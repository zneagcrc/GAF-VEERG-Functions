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115B0036-CA33-4C1F-81FB-8CE4D8059F14}" xr6:coauthVersionLast="47" xr6:coauthVersionMax="47" xr10:uidLastSave="{00000000-0000-0000-0000-000000000000}"/>
  <bookViews>
    <workbookView xWindow="1395" yWindow="1215" windowWidth="36330" windowHeight="19485" firstSheet="6" activeTab="11" xr2:uid="{992023F3-CAB7-4E5B-A348-08D563A0EF40}"/>
  </bookViews>
  <sheets>
    <sheet name="Home" sheetId="71" r:id="rId1"/>
    <sheet name="Overview" sheetId="118" r:id="rId2"/>
    <sheet name="Results" sheetId="13" r:id="rId3"/>
    <sheet name="Input - Site" sheetId="15" r:id="rId4"/>
    <sheet name="Input - Crop" sheetId="70" r:id="rId5"/>
    <sheet name="Input - Pasture" sheetId="120" r:id="rId6"/>
    <sheet name="6.1.1.1-2 Crop residue N2O" sheetId="69" r:id="rId7"/>
    <sheet name="6.2.1.1-2 Pasture residue N2O" sheetId="74" r:id="rId8"/>
    <sheet name="6.3.1.1-2 Leaching and runoff" sheetId="113" r:id="rId9"/>
    <sheet name="6.3.1.1-2 Leach runoff crop" sheetId="123" r:id="rId10"/>
    <sheet name="6.3.1.1-2 Leach runoff pasture" sheetId="122" r:id="rId11"/>
    <sheet name="6.4.1.1-2 Residue burning" sheetId="114" r:id="rId12"/>
    <sheet name="Constants - Ag Residue" sheetId="110" r:id="rId13"/>
    <sheet name="Constants - Common" sheetId="136" r:id="rId14"/>
  </sheets>
  <definedNames>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generated","","Input";"M_B","mass of each bale","kg","Input";"P_c","annual production of crop c","kg","Input";"R_AGc","residue to crop ratio for crop c","","Constant";"c","Crop type","","Input"}, _xlpm.r, _xlpm.c))))</definedName>
    <definedName name="AgResidue_Equations_CropResidue.VEERG_6_1_1_2__1__FractionOfCropResidueRemovedBaled_LatexEquation">_xlfn.LAMBDA("FFOD_{c}=\frac{B\times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_xlfn.LAMBDA("fraction")</definedName>
    <definedName name="AgResidue_Equations_CropResidue.VEERG_6_1_1_2__1__FractionOfCropResidueRemovedBaled_Variable">_xlfn.LAMBDA("FFOD_c")</definedName>
    <definedName name="AgResidue_Equations_CropResidue.VEERG_6_1_1_2__1__FractionOfCropResidueRemovedBaled_Variation">_xlfn.LAMBDA("")</definedName>
    <definedName name="AgResidue_Equations_FieldBurning.VEERG_6_4_1_1__1__MethaneEmissionsFromBurningOfCropResidues">_xlfn.LAMBDA(_xlpm.M_burnc,_xlpm.CC_c,_xlpm.EF_CH4,_xlpm.C_CH4, (_xlpm.M_burnc * _xlpm.CC_c) * _xlpm.EF_CH4 * _xlpm.C_CH4 * 10 ^ (-3))</definedName>
    <definedName name="AgResidue_Equations_FieldBurning.VEERG_6_4_1_1__1__MethaneEmissionsFromBurningOfCropResidues_Arguments">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_xlfn.LAMBDA("E_{CH4}=\sum\nolimits_c(M_{burn,c}\times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_xlfn.LAMBDA(_xlpm.M_burnc,_xlpm.NC_AGc,_xlpm.EF_N2O,_xlpm.C_N2O, (_xlpm.M_burnc * _xlpm.NC_AGc) * _xlpm.EF_N2O * _xlpm.C_N2O * 10 ^ (-3))</definedName>
    <definedName name="AgResidue_Equations_FieldBurning.VEERG_6_4_1_1__2__NitrousOxideEmissionsFromBurningOfCropResidues_Arguments">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_xlfn.LAMBDA("E_{N2O}=\sum\nolimits_c(M_{burn,c}\times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_xlfn.LAMBDA(_xlpm.P_c,_xlpm.R_AGc,_xlpm.S_c,_xlpm.DM_c,_xlpm.Z_c,_xlpm.F_c, _xlpm.P_c * _xlpm.R_AGc * _xlpm.S_c * _xlpm.DM_c * _xlpm.Z_c * _xlpm.F_c)</definedName>
    <definedName name="AgResidue_Equations_FieldBurning.VEERG_6_4_1_1__3__MassOfCropResidueBurnt_Arguments">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_xlfn.LAMBDA("M_burnc")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ir","fraction","Constant";"FracLEACH","fraction of N that is lost through leaching and runoff","fraction","Constant";"z","Location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
  _xlfn.MAKEARRAY(6, 3,
    _xlfn.LAMBDA(_xlpm.r,_xlpm.c,
      INDEX({"Gas species","Emission factor EFg (Gg element in species/ Gg element in fuel burnt)","Elemental to molecular mass conversion factor (Cg)";"CH4",0.0035,"16/12";"N2O",0.0076,"44/28";"NOx",0.21,"46/14";"CO",0.078,"28/12";"NMVOC",0.0091,"14/12"}, _xlpm.r, _xlpm.c)
)))</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
  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
)))</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
  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
)))</definedName>
    <definedName name="Agresidue_SourceData.CropFractionRemoved_Data">_xlfn.LAMBDA(
  _xlfn.MAKEARRAY(17,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
)))</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3">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3">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3">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3">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3">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Fertiliser_InputFunctions.Fertiliser_SumProductApplied(
      _xlpm.ChemicalCompound,
      _xlpm.ProductIngredient1,
      _xlpm.calculatedAmount1
    ) + IFERROR(
      Fertiliser_InputFunctions.Fertiliser_SumProductApplied(
        _xlpm.ChemicalCompound,
        _xlpm.ProductIngredient2,
        _xlpm.calculatedAmount2
      ),
      0
    ) + IFERROR(
      Fertiliser_InputFunctions.Fertiliser_SumProductApplied(
        _xlpm.ChemicalCompound,
        _xlpm.ProductIngredient3,
        _xlpm.calculatedAmount3
      ),
      0
    ) + IFERROR(
      Fertiliser_InputFunctions.Fertiliser_SumProductApplied(
        _xlpm.ChemicalCompound,
        _xlpm.ProductIngredient4,
        _xlpm.calculatedAmount4
      ),
      0
    ) + IFERROR(
      Fertiliser_InputFunctions.Fertiliser_SumProductApplied(
        _xlpm.ChemicalCompound,
        _xlpm.ProductIngredient5,
        _xlpm.calculatedAmount5
      ),
      0
    ) + IFERROR(
      Fertiliser_InputFunctions.Fertiliser_SumProductApplied(
        _xlpm.ChemicalCompound,
        _xlpm.ProductIngredient6,
        _xlpm.calculatedAmount6
      ),
      0
    )
  )
)</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Fertiliser_InputFunctions.Fertiliser_SumProductApplied(
      _xlpm.ChemicalCompound,
      _xlpm.ProductIngredient1,
      _xlpm.calculatedAmount1,
      _xlpm.Source,
      _xlpm.ProductIngredientSource
    ) + IFERROR(
      Fertiliser_InputFunctions.Fertiliser_SumProductApplied(
        _xlpm.ChemicalCompound,
        _xlpm.ProductIngredient2,
        _xlpm.calculatedAmount2,
        _xlpm.Source,
        _xlpm.ProductIngredientSource
      ),
      0
    ) + IFERROR(
      Fertiliser_InputFunctions.Fertiliser_SumProductApplied(
        _xlpm.ChemicalCompound,
        _xlpm.ProductIngredient3,
        _xlpm.calculatedAmount3,
        _xlpm.Source,
        _xlpm.ProductIngredientSource
      ),
      0
    ) + IFERROR(
      Fertiliser_InputFunctions.Fertiliser_SumProductApplied(
        _xlpm.ChemicalCompound,
        _xlpm.ProductIngredient4,
        _xlpm.calculatedAmount4,
        _xlpm.Source,
        _xlpm.ProductIngredientSource
      ),
      0
    ) + IFERROR(
      Fertiliser_InputFunctions.Fertiliser_SumProductApplied(
        _xlpm.ChemicalCompound,
        _xlpm.ProductIngredient5,
        _xlpm.calculatedAmount5,
        _xlpm.Source,
        _xlpm.ProductIngredientSource
      ),
      0
    ) + IFERROR(
      Fertiliser_InputFunctions.Fertiliser_SumProductApplied(
        _xlpm.ChemicalCompound,
        _xlpm.ProductIngredient6,
        _xlpm.calculatedAmount6,
        _xlpm.Source,
        _xlpm.ProductIngredientSource
      ),
      0
    )
  )
)</definedName>
    <definedName name="Fertiliser_InputFunctions.Fertiliser_TotalSoilAmendmentApplied">_xlfn.LAMBDA(_xlpm.AmountApplied,_xlpm.AmendmentPercent, SUMPRODUCT(_xlpm.AmountApplied * _xlpm.AmendmentPercent))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E_N2O" localSheetId="9">'6.3.1.1-2 Leach runoff crop'!$N$44:$O$46</definedName>
    <definedName name="M1_Table_E_N2O" localSheetId="10">'6.3.1.1-2 Leach runoff pasture'!$N$44:$O$46</definedName>
    <definedName name="M1_Table_E_N2O">'6.3.1.1-2 Leaching and runoff'!$N$44:$O$46</definedName>
    <definedName name="M1_Table_E_N2O_Consumer_1" localSheetId="9">'6.3.1.1-2 Leach runoff crop'!$D$44:$E$46</definedName>
    <definedName name="M1_Table_E_N2O_Consumer_1" localSheetId="10">'6.3.1.1-2 Leach runoff pasture'!$D$44:$E$46</definedName>
    <definedName name="M1_Table_E_N2O_Consumer_1">'6.3.1.1-2 Leaching and runoff'!$D$44:$E$46</definedName>
    <definedName name="M1_Table_M_leach_cp" localSheetId="9">'6.3.1.1-2 Leach runoff crop'!$D$23:$I$25</definedName>
    <definedName name="M1_Table_M_leach_cp" localSheetId="10">'6.3.1.1-2 Leach runoff pasture'!$D$23:$I$25</definedName>
    <definedName name="M1_Table_M_leach_cp">'6.3.1.1-2 Leaching and runoff'!$D$23:$I$25</definedName>
    <definedName name="M2_Table_M_leach_cp" localSheetId="9">'6.3.1.1-2 Leach runoff crop'!$N$23:$S$23</definedName>
    <definedName name="M2_Table_M_leach_cp" localSheetId="10">'6.3.1.1-2 Leach runoff pasture'!$N$23:$S$23</definedName>
    <definedName name="M2_Table_M_leach_cp">'6.3.1.1-2 Leaching and runoff'!$N$23:$S$23</definedName>
    <definedName name="Result_CarbonRemovalsFromPlantings">Results!$E$50</definedName>
    <definedName name="Result_EmissionsForWholeProductionCycle_Method1">Results!$E$39</definedName>
    <definedName name="Result_EmissionsForWholeProductionCycle_Method2">Results!$F$39</definedName>
    <definedName name="Result_Enterprise_Method1">Results!$H$25</definedName>
    <definedName name="Result_Enterprise_Method2">Results!$I$25</definedName>
    <definedName name="Result_NetEmissions_Method1">Results!$E$56</definedName>
    <definedName name="Result_NetEmissions_Method2">Results!$F$56</definedName>
    <definedName name="VEERG_6_1_1_1__1__NitrousOxideEmissionsFromCropResidues_Result_Method1">'6.1.1.1-2 Crop residue N2O'!$E$42</definedName>
    <definedName name="VEERG_6_1_1_1__1__NitrousOxideEmissionsFromCropResidues_Result_Method2">'6.1.1.1-2 Crop residue N2O'!$N$61</definedName>
    <definedName name="VEERG_6_1_1_1__2__MassOfNitrogenInCropResidues_Result_Method1">'6.1.1.1-2 Crop residue N2O'!$E$24</definedName>
    <definedName name="VEERG_6_1_1_1__2__MassOfNitrogenInCropResidues_Result_Method2">'6.1.1.1-2 Crop residue N2O'!$N$43</definedName>
    <definedName name="VEERG_6_1_1_2__1__FractionOfCropResidueRemovedBaled_Result">'6.1.1.1-2 Crop residue N2O'!$N$20</definedName>
    <definedName name="VEERG_6_2_1_1__1__NitrousOxideEmissionsFromPastureResidues_Result_Method1">'6.2.1.1-2 Pasture residue N2O'!$E$40</definedName>
    <definedName name="VEERG_6_2_1_1__1__NitrousOxideEmissionsFromPastureResidues_Result_Method2">'6.2.1.1-2 Pasture residue N2O'!$O$40</definedName>
    <definedName name="VEERG_6_3_1_1__1__LeachingAndRunoffEmissionsCropAndPastureResidue_CropOnly_Result_Method1">'6.3.1.1-2 Leach runoff crop'!$E$48</definedName>
    <definedName name="VEERG_6_3_1_1__1__LeachingAndRunoffEmissionsCropAndPastureResidue_CropOnly_Result_Method2">'6.3.1.1-2 Leach runoff crop'!$O$48</definedName>
    <definedName name="VEERG_6_3_1_1__1__LeachingAndRunoffEmissionsCropAndPastureResidue_PastureOnly_Result_Method1">'6.3.1.1-2 Leach runoff pasture'!$E$48</definedName>
    <definedName name="VEERG_6_3_1_1__1__LeachingAndRunoffEmissionsCropAndPastureResidue_PastureOnly_Result_Method2">'6.3.1.1-2 Leach runoff pasture'!$O$48</definedName>
    <definedName name="VEERG_6_3_1_1__1__LeachingAndRunoffEmissionsCropAndPastureResidue_Result_Method1" localSheetId="9">'6.3.1.1-2 Leach runoff crop'!$E$48</definedName>
    <definedName name="VEERG_6_3_1_1__1__LeachingAndRunoffEmissionsCropAndPastureResidue_Result_Method1" localSheetId="10">'6.3.1.1-2 Leach runoff pasture'!$E$48</definedName>
    <definedName name="VEERG_6_3_1_1__1__LeachingAndRunoffEmissionsCropAndPastureResidue_Result_Method1">'6.3.1.1-2 Leaching and runoff'!$E$48</definedName>
    <definedName name="VEERG_6_3_1_1__1__LeachingAndRunoffEmissionsCropAndPastureResidue_Result_Method2" localSheetId="9">'6.3.1.1-2 Leach runoff crop'!$O$48</definedName>
    <definedName name="VEERG_6_3_1_1__1__LeachingAndRunoffEmissionsCropAndPastureResidue_Result_Method2" localSheetId="10">'6.3.1.1-2 Leach runoff pasture'!$O$48</definedName>
    <definedName name="VEERG_6_3_1_1__1__LeachingAndRunoffEmissionsCropAndPastureResidue_Result_Method2">'6.3.1.1-2 Leaching and runoff'!$O$48</definedName>
    <definedName name="VEERG_6_4_1_1__1__MethaneEmissionsFromBurningOfCropResidues_Result_Method1">'6.4.1.1-2 Residue burning'!$E$62</definedName>
    <definedName name="VEERG_6_4_1_1__2__NitrousOxideEmissionsFromBurningOfCropResidues_Result_Method1">'6.4.1.1-2 Residue burning'!$E$39</definedName>
    <definedName name="X_Cell_Crop_AreaUnderCropping">'Input - Crop'!$E$13</definedName>
    <definedName name="X_Cell_Crop_AverageWeightPerBale">'Input - Crop'!$E$34</definedName>
    <definedName name="X_Cell_Crop_CropPurpose">'Input - Crop'!$E$10</definedName>
    <definedName name="X_Cell_Crop_CropType">'Input - Crop'!$E$9</definedName>
    <definedName name="X_Cell_Crop_IrrigationMethod">'Input - Crop'!$E$11</definedName>
    <definedName name="X_Cell_Crop_NumberOfBales">'Input - Crop'!$E$35</definedName>
    <definedName name="X_Cell_Crop_PercentResidueBaled">'Input - Crop'!$E$33</definedName>
    <definedName name="X_Cell_Crop_PercentResidueBurned">'Input - Crop'!$E$39</definedName>
    <definedName name="X_Cell_Crop_ResidueAfterHarvest">'Input - Crop'!$E$30</definedName>
    <definedName name="X_Cell_Crop_ResidueToCropRatio">'Input - Crop'!$E$18</definedName>
    <definedName name="X_Cell_Crop_TotalProductionOfCrop">'Input - Crop'!$E$22</definedName>
    <definedName name="X_Cell_Crop_TotalResidueBaled">'Input - Crop'!$E$36</definedName>
    <definedName name="X_Cell_Crop_TotalResidueBurned">'Input - Crop'!$E$40</definedName>
    <definedName name="X_Cell_Crop_TotalResidueRemainingOnPaddocks">'Input - Crop'!$E$42</definedName>
    <definedName name="X_Cell_Crop_YieldPerHectare">'Input - Crop'!$E$17</definedName>
    <definedName name="X_Cell_Pasture_AreaRemovedOrRenewed">'Input - Pasture'!$E$25</definedName>
    <definedName name="X_Cell_Pasture_AreaUnderPasture">'Input - Pasture'!$E$12</definedName>
    <definedName name="X_Cell_Pasture_IrrigationMethod">'Input - Pasture'!$E$10</definedName>
    <definedName name="X_Cell_Pasture_PastureType">'Input - Pasture'!$E$9</definedName>
    <definedName name="X_Cell_Pasture_YieldPerHectare">'Input - Pasture'!$E$19</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14" l="1"/>
  <c r="I14" i="69"/>
  <c r="J37" i="122"/>
  <c r="J15" i="122"/>
  <c r="J37" i="123"/>
  <c r="J15" i="123"/>
  <c r="J37" i="113"/>
  <c r="J15" i="113"/>
  <c r="H65" i="114"/>
  <c r="I59" i="114"/>
  <c r="H42" i="114"/>
  <c r="I36" i="114"/>
  <c r="Q51" i="122"/>
  <c r="G51" i="122"/>
  <c r="J38" i="122"/>
  <c r="H25" i="122"/>
  <c r="Q51" i="123"/>
  <c r="G51" i="123"/>
  <c r="J38" i="123"/>
  <c r="H24" i="123"/>
  <c r="Q51" i="113"/>
  <c r="G51" i="113"/>
  <c r="J38" i="113"/>
  <c r="H25" i="113"/>
  <c r="H24" i="113"/>
  <c r="Q43" i="74"/>
  <c r="G43" i="74"/>
  <c r="J35" i="74"/>
  <c r="P64" i="69"/>
  <c r="R57" i="69"/>
  <c r="G45" i="69"/>
  <c r="I38" i="69"/>
  <c r="I22" i="69"/>
  <c r="E33" i="15"/>
  <c r="E32" i="15"/>
  <c r="E31" i="15"/>
  <c r="E30" i="15"/>
  <c r="E259" i="136" a="1"/>
  <c r="E259" i="136" s="1"/>
  <c r="D259" i="136" a="1"/>
  <c r="D259" i="136" s="1"/>
  <c r="E258" i="136" a="1"/>
  <c r="E258" i="136" s="1"/>
  <c r="D258" i="136" a="1"/>
  <c r="D258" i="136" s="1"/>
  <c r="D256" i="136" a="1"/>
  <c r="D256" i="136" s="1"/>
  <c r="D255" i="136" a="1"/>
  <c r="D255" i="136" s="1"/>
  <c r="D254" i="136" a="1"/>
  <c r="D254" i="136" s="1"/>
  <c r="D253" i="136" a="1"/>
  <c r="D253" i="136" s="1"/>
  <c r="S250" i="136" a="1"/>
  <c r="S250" i="136" s="1"/>
  <c r="R250" i="136" a="1"/>
  <c r="R250" i="136" s="1"/>
  <c r="Q250" i="136" a="1"/>
  <c r="Q250" i="136" s="1"/>
  <c r="P250" i="136" a="1"/>
  <c r="P250" i="136" s="1"/>
  <c r="O250" i="136" a="1"/>
  <c r="O250" i="136" s="1"/>
  <c r="N250" i="136" a="1"/>
  <c r="N250" i="136" s="1"/>
  <c r="M250" i="136" a="1"/>
  <c r="M250" i="136" s="1"/>
  <c r="L250" i="136" a="1"/>
  <c r="L250" i="136" s="1"/>
  <c r="K250" i="136" a="1"/>
  <c r="K250" i="136" s="1"/>
  <c r="J250" i="136" a="1"/>
  <c r="J250" i="136" s="1"/>
  <c r="I250" i="136" a="1"/>
  <c r="I250" i="136" s="1"/>
  <c r="H250" i="136" a="1"/>
  <c r="H250" i="136" s="1"/>
  <c r="G250" i="136" a="1"/>
  <c r="G250" i="136" s="1"/>
  <c r="F250" i="136" a="1"/>
  <c r="F250" i="136" s="1"/>
  <c r="E250" i="136" a="1"/>
  <c r="E250" i="136" s="1"/>
  <c r="D250" i="136" a="1"/>
  <c r="D250" i="136" s="1"/>
  <c r="S249" i="136" a="1"/>
  <c r="S249" i="136" s="1"/>
  <c r="R249" i="136" a="1"/>
  <c r="R249" i="136" s="1"/>
  <c r="Q249" i="136" a="1"/>
  <c r="Q249" i="136" s="1"/>
  <c r="P249" i="136" a="1"/>
  <c r="P249" i="136" s="1"/>
  <c r="O249" i="136" a="1"/>
  <c r="O249" i="136" s="1"/>
  <c r="N249" i="136" a="1"/>
  <c r="N249" i="136" s="1"/>
  <c r="M249" i="136" a="1"/>
  <c r="M249" i="136" s="1"/>
  <c r="L249" i="136" a="1"/>
  <c r="L249" i="136" s="1"/>
  <c r="K249" i="136" a="1"/>
  <c r="K249" i="136" s="1"/>
  <c r="J249" i="136" a="1"/>
  <c r="J249" i="136" s="1"/>
  <c r="I249" i="136" a="1"/>
  <c r="I249" i="136" s="1"/>
  <c r="H249" i="136" a="1"/>
  <c r="H249" i="136" s="1"/>
  <c r="G249" i="136" a="1"/>
  <c r="G249" i="136" s="1"/>
  <c r="F249" i="136" a="1"/>
  <c r="F249" i="136" s="1"/>
  <c r="E249" i="136" a="1"/>
  <c r="E249" i="136" s="1"/>
  <c r="D249" i="136" a="1"/>
  <c r="D249" i="136" s="1"/>
  <c r="S248" i="136" a="1"/>
  <c r="S248" i="136" s="1"/>
  <c r="R248" i="136" a="1"/>
  <c r="R248" i="136" s="1"/>
  <c r="Q248" i="136" a="1"/>
  <c r="Q248" i="136" s="1"/>
  <c r="P248" i="136" a="1"/>
  <c r="P248" i="136" s="1"/>
  <c r="O248" i="136" a="1"/>
  <c r="O248" i="136" s="1"/>
  <c r="N248" i="136" a="1"/>
  <c r="N248" i="136" s="1"/>
  <c r="M248" i="136" a="1"/>
  <c r="M248" i="136" s="1"/>
  <c r="L248" i="136" a="1"/>
  <c r="L248" i="136" s="1"/>
  <c r="K248" i="136" a="1"/>
  <c r="K248" i="136" s="1"/>
  <c r="J248" i="136" a="1"/>
  <c r="J248" i="136" s="1"/>
  <c r="I248" i="136" a="1"/>
  <c r="I248" i="136" s="1"/>
  <c r="H248" i="136" a="1"/>
  <c r="H248" i="136" s="1"/>
  <c r="G248" i="136" a="1"/>
  <c r="G248" i="136" s="1"/>
  <c r="F248" i="136" a="1"/>
  <c r="F248" i="136" s="1"/>
  <c r="E248" i="136" a="1"/>
  <c r="E248" i="136" s="1"/>
  <c r="D248" i="136" a="1"/>
  <c r="D248" i="136" s="1"/>
  <c r="S247" i="136" a="1"/>
  <c r="S247" i="136" s="1"/>
  <c r="R247" i="136" a="1"/>
  <c r="R247" i="136" s="1"/>
  <c r="Q247" i="136" a="1"/>
  <c r="Q247" i="136" s="1"/>
  <c r="P247" i="136" a="1"/>
  <c r="P247" i="136" s="1"/>
  <c r="O247" i="136" a="1"/>
  <c r="O247" i="136" s="1"/>
  <c r="N247" i="136" a="1"/>
  <c r="N247" i="136" s="1"/>
  <c r="M247" i="136" a="1"/>
  <c r="M247" i="136" s="1"/>
  <c r="L247" i="136" a="1"/>
  <c r="L247" i="136" s="1"/>
  <c r="K247" i="136" a="1"/>
  <c r="K247" i="136" s="1"/>
  <c r="J247" i="136" a="1"/>
  <c r="J247" i="136" s="1"/>
  <c r="I247" i="136" a="1"/>
  <c r="I247" i="136" s="1"/>
  <c r="H247" i="136" a="1"/>
  <c r="H247" i="136" s="1"/>
  <c r="G247" i="136" a="1"/>
  <c r="G247" i="136" s="1"/>
  <c r="F247" i="136" a="1"/>
  <c r="F247" i="136" s="1"/>
  <c r="E247" i="136" a="1"/>
  <c r="E247" i="136" s="1"/>
  <c r="D247" i="136" a="1"/>
  <c r="D247" i="136" s="1"/>
  <c r="S246" i="136" a="1"/>
  <c r="S246" i="136" s="1"/>
  <c r="R246" i="136" a="1"/>
  <c r="R246" i="136" s="1"/>
  <c r="Q246" i="136" a="1"/>
  <c r="Q246" i="136" s="1"/>
  <c r="P246" i="136" a="1"/>
  <c r="P246" i="136" s="1"/>
  <c r="O246" i="136" a="1"/>
  <c r="O246" i="136" s="1"/>
  <c r="N246" i="136" a="1"/>
  <c r="N246" i="136" s="1"/>
  <c r="M246" i="136" a="1"/>
  <c r="M246" i="136" s="1"/>
  <c r="L246" i="136" a="1"/>
  <c r="L246" i="136" s="1"/>
  <c r="K246" i="136" a="1"/>
  <c r="K246" i="136" s="1"/>
  <c r="J246" i="136" a="1"/>
  <c r="J246" i="136" s="1"/>
  <c r="I246" i="136" a="1"/>
  <c r="I246" i="136" s="1"/>
  <c r="H246" i="136" a="1"/>
  <c r="H246" i="136" s="1"/>
  <c r="G246" i="136" a="1"/>
  <c r="G246" i="136" s="1"/>
  <c r="F246" i="136" a="1"/>
  <c r="F246" i="136" s="1"/>
  <c r="E246" i="136" a="1"/>
  <c r="E246" i="136" s="1"/>
  <c r="D246" i="136" a="1"/>
  <c r="D246" i="136" s="1"/>
  <c r="S245" i="136" a="1"/>
  <c r="S245" i="136" s="1"/>
  <c r="R245" i="136" a="1"/>
  <c r="R245" i="136" s="1"/>
  <c r="Q245" i="136" a="1"/>
  <c r="Q245" i="136" s="1"/>
  <c r="P245" i="136" a="1"/>
  <c r="P245" i="136" s="1"/>
  <c r="O245" i="136" a="1"/>
  <c r="O245" i="136" s="1"/>
  <c r="N245" i="136" a="1"/>
  <c r="N245" i="136" s="1"/>
  <c r="M245" i="136" a="1"/>
  <c r="M245" i="136" s="1"/>
  <c r="L245" i="136" a="1"/>
  <c r="L245" i="136" s="1"/>
  <c r="K245" i="136" a="1"/>
  <c r="K245" i="136" s="1"/>
  <c r="J245" i="136" a="1"/>
  <c r="J245" i="136" s="1"/>
  <c r="I245" i="136" a="1"/>
  <c r="I245" i="136" s="1"/>
  <c r="H245" i="136" a="1"/>
  <c r="H245" i="136" s="1"/>
  <c r="G245" i="136" a="1"/>
  <c r="G245" i="136" s="1"/>
  <c r="F245" i="136" a="1"/>
  <c r="F245" i="136" s="1"/>
  <c r="E245" i="136" a="1"/>
  <c r="E245" i="136" s="1"/>
  <c r="D245" i="136" a="1"/>
  <c r="D245" i="136" s="1"/>
  <c r="S244" i="136" a="1"/>
  <c r="S244" i="136" s="1"/>
  <c r="R244" i="136" a="1"/>
  <c r="R244" i="136" s="1"/>
  <c r="Q244" i="136" a="1"/>
  <c r="Q244" i="136" s="1"/>
  <c r="P244" i="136" a="1"/>
  <c r="P244" i="136" s="1"/>
  <c r="O244" i="136" a="1"/>
  <c r="O244" i="136" s="1"/>
  <c r="N244" i="136" a="1"/>
  <c r="N244" i="136" s="1"/>
  <c r="M244" i="136" a="1"/>
  <c r="M244" i="136" s="1"/>
  <c r="L244" i="136" a="1"/>
  <c r="L244" i="136" s="1"/>
  <c r="K244" i="136" a="1"/>
  <c r="K244" i="136" s="1"/>
  <c r="J244" i="136" a="1"/>
  <c r="J244" i="136" s="1"/>
  <c r="I244" i="136" a="1"/>
  <c r="I244" i="136" s="1"/>
  <c r="H244" i="136" a="1"/>
  <c r="H244" i="136" s="1"/>
  <c r="G244" i="136" a="1"/>
  <c r="G244" i="136" s="1"/>
  <c r="F244" i="136" a="1"/>
  <c r="F244" i="136" s="1"/>
  <c r="E244" i="136" a="1"/>
  <c r="E244" i="136" s="1"/>
  <c r="D244" i="136" a="1"/>
  <c r="D244" i="136" s="1"/>
  <c r="S243" i="136" a="1"/>
  <c r="S243" i="136" s="1"/>
  <c r="R243" i="136" a="1"/>
  <c r="R243" i="136" s="1"/>
  <c r="Q243" i="136" a="1"/>
  <c r="Q243" i="136" s="1"/>
  <c r="P243" i="136" a="1"/>
  <c r="P243" i="136" s="1"/>
  <c r="O243" i="136" a="1"/>
  <c r="O243" i="136" s="1"/>
  <c r="N243" i="136" a="1"/>
  <c r="N243" i="136" s="1"/>
  <c r="M243" i="136" a="1"/>
  <c r="M243" i="136" s="1"/>
  <c r="L243" i="136" a="1"/>
  <c r="L243" i="136" s="1"/>
  <c r="K243" i="136" a="1"/>
  <c r="K243" i="136" s="1"/>
  <c r="J243" i="136" a="1"/>
  <c r="J243" i="136" s="1"/>
  <c r="I243" i="136" a="1"/>
  <c r="I243" i="136" s="1"/>
  <c r="H243" i="136" a="1"/>
  <c r="H243" i="136" s="1"/>
  <c r="G243" i="136" a="1"/>
  <c r="G243" i="136" s="1"/>
  <c r="F243" i="136" a="1"/>
  <c r="F243" i="136" s="1"/>
  <c r="E243" i="136" a="1"/>
  <c r="E243" i="136" s="1"/>
  <c r="D243" i="136" a="1"/>
  <c r="D243" i="136" s="1"/>
  <c r="S242" i="136" a="1"/>
  <c r="S242" i="136" s="1"/>
  <c r="R242" i="136" a="1"/>
  <c r="R242" i="136" s="1"/>
  <c r="Q242" i="136" a="1"/>
  <c r="Q242" i="136" s="1"/>
  <c r="P242" i="136" a="1"/>
  <c r="P242" i="136" s="1"/>
  <c r="O242" i="136" a="1"/>
  <c r="O242" i="136" s="1"/>
  <c r="N242" i="136" a="1"/>
  <c r="N242" i="136" s="1"/>
  <c r="M242" i="136" a="1"/>
  <c r="M242" i="136" s="1"/>
  <c r="L242" i="136" a="1"/>
  <c r="L242" i="136" s="1"/>
  <c r="K242" i="136" a="1"/>
  <c r="K242" i="136" s="1"/>
  <c r="J242" i="136" a="1"/>
  <c r="J242" i="136" s="1"/>
  <c r="I242" i="136" a="1"/>
  <c r="I242" i="136" s="1"/>
  <c r="H242" i="136" a="1"/>
  <c r="H242" i="136" s="1"/>
  <c r="G242" i="136" a="1"/>
  <c r="G242" i="136" s="1"/>
  <c r="F242" i="136" a="1"/>
  <c r="F242" i="136" s="1"/>
  <c r="E242" i="136" a="1"/>
  <c r="E242" i="136" s="1"/>
  <c r="D242" i="136" a="1"/>
  <c r="D242" i="136" s="1"/>
  <c r="S241" i="136" a="1"/>
  <c r="S241" i="136" s="1"/>
  <c r="R241" i="136" a="1"/>
  <c r="R241" i="136" s="1"/>
  <c r="Q241" i="136" a="1"/>
  <c r="Q241" i="136" s="1"/>
  <c r="P241" i="136" a="1"/>
  <c r="P241" i="136" s="1"/>
  <c r="O241" i="136" a="1"/>
  <c r="O241" i="136" s="1"/>
  <c r="N241" i="136" a="1"/>
  <c r="N241" i="136" s="1"/>
  <c r="M241" i="136" a="1"/>
  <c r="M241" i="136" s="1"/>
  <c r="L241" i="136" a="1"/>
  <c r="L241" i="136" s="1"/>
  <c r="K241" i="136" a="1"/>
  <c r="K241" i="136" s="1"/>
  <c r="J241" i="136" a="1"/>
  <c r="J241" i="136" s="1"/>
  <c r="I241" i="136" a="1"/>
  <c r="I241" i="136" s="1"/>
  <c r="H241" i="136" a="1"/>
  <c r="H241" i="136" s="1"/>
  <c r="G241" i="136" a="1"/>
  <c r="G241" i="136" s="1"/>
  <c r="F241" i="136" a="1"/>
  <c r="F241" i="136" s="1"/>
  <c r="E241" i="136" a="1"/>
  <c r="E241" i="136" s="1"/>
  <c r="D241" i="136" a="1"/>
  <c r="D241" i="136" s="1"/>
  <c r="S240" i="136" a="1"/>
  <c r="S240" i="136" s="1"/>
  <c r="R240" i="136" a="1"/>
  <c r="R240" i="136" s="1"/>
  <c r="Q240" i="136" a="1"/>
  <c r="Q240" i="136" s="1"/>
  <c r="P240" i="136" a="1"/>
  <c r="P240" i="136" s="1"/>
  <c r="O240" i="136" a="1"/>
  <c r="O240" i="136" s="1"/>
  <c r="N240" i="136" a="1"/>
  <c r="N240" i="136" s="1"/>
  <c r="M240" i="136" a="1"/>
  <c r="M240" i="136" s="1"/>
  <c r="L240" i="136" a="1"/>
  <c r="L240" i="136" s="1"/>
  <c r="K240" i="136" a="1"/>
  <c r="K240" i="136" s="1"/>
  <c r="J240" i="136" a="1"/>
  <c r="J240" i="136" s="1"/>
  <c r="I240" i="136" a="1"/>
  <c r="I240" i="136" s="1"/>
  <c r="H240" i="136" a="1"/>
  <c r="H240" i="136" s="1"/>
  <c r="G240" i="136" a="1"/>
  <c r="G240" i="136" s="1"/>
  <c r="F240" i="136" a="1"/>
  <c r="F240" i="136" s="1"/>
  <c r="E240" i="136" a="1"/>
  <c r="E240" i="136" s="1"/>
  <c r="D240" i="136" a="1"/>
  <c r="D240" i="136" s="1"/>
  <c r="S239" i="136" a="1"/>
  <c r="S239" i="136" s="1"/>
  <c r="R239" i="136" a="1"/>
  <c r="R239" i="136" s="1"/>
  <c r="Q239" i="136" a="1"/>
  <c r="Q239" i="136" s="1"/>
  <c r="P239" i="136" a="1"/>
  <c r="P239" i="136" s="1"/>
  <c r="O239" i="136" a="1"/>
  <c r="O239" i="136" s="1"/>
  <c r="N239" i="136" a="1"/>
  <c r="N239" i="136" s="1"/>
  <c r="M239" i="136" a="1"/>
  <c r="M239" i="136" s="1"/>
  <c r="L239" i="136" a="1"/>
  <c r="L239" i="136" s="1"/>
  <c r="K239" i="136" a="1"/>
  <c r="K239" i="136" s="1"/>
  <c r="J239" i="136" a="1"/>
  <c r="J239" i="136" s="1"/>
  <c r="I239" i="136" a="1"/>
  <c r="I239" i="136" s="1"/>
  <c r="H239" i="136" a="1"/>
  <c r="H239" i="136" s="1"/>
  <c r="G239" i="136" a="1"/>
  <c r="G239" i="136" s="1"/>
  <c r="F239" i="136" a="1"/>
  <c r="F239" i="136" s="1"/>
  <c r="E239" i="136" a="1"/>
  <c r="E239" i="136" s="1"/>
  <c r="D239" i="136" a="1"/>
  <c r="D239" i="136" s="1"/>
  <c r="S238" i="136" a="1"/>
  <c r="S238" i="136" s="1"/>
  <c r="R238" i="136" a="1"/>
  <c r="R238" i="136" s="1"/>
  <c r="Q238" i="136" a="1"/>
  <c r="Q238" i="136" s="1"/>
  <c r="P238" i="136" a="1"/>
  <c r="P238" i="136" s="1"/>
  <c r="O238" i="136" a="1"/>
  <c r="O238" i="136" s="1"/>
  <c r="N238" i="136" a="1"/>
  <c r="N238" i="136" s="1"/>
  <c r="M238" i="136" a="1"/>
  <c r="M238" i="136" s="1"/>
  <c r="L238" i="136" a="1"/>
  <c r="L238" i="136" s="1"/>
  <c r="K238" i="136" a="1"/>
  <c r="K238" i="136" s="1"/>
  <c r="J238" i="136" a="1"/>
  <c r="J238" i="136" s="1"/>
  <c r="I238" i="136" a="1"/>
  <c r="I238" i="136" s="1"/>
  <c r="H238" i="136" a="1"/>
  <c r="H238" i="136" s="1"/>
  <c r="G238" i="136" a="1"/>
  <c r="G238" i="136" s="1"/>
  <c r="F238" i="136" a="1"/>
  <c r="F238" i="136" s="1"/>
  <c r="E238" i="136" a="1"/>
  <c r="E238" i="136" s="1"/>
  <c r="D238" i="136" a="1"/>
  <c r="D238" i="136" s="1"/>
  <c r="S237" i="136" a="1"/>
  <c r="S237" i="136" s="1"/>
  <c r="R237" i="136" a="1"/>
  <c r="R237" i="136" s="1"/>
  <c r="Q237" i="136" a="1"/>
  <c r="Q237" i="136" s="1"/>
  <c r="P237" i="136" a="1"/>
  <c r="P237" i="136" s="1"/>
  <c r="O237" i="136" a="1"/>
  <c r="O237" i="136" s="1"/>
  <c r="N237" i="136" a="1"/>
  <c r="N237" i="136" s="1"/>
  <c r="M237" i="136" a="1"/>
  <c r="M237" i="136" s="1"/>
  <c r="L237" i="136" a="1"/>
  <c r="L237" i="136" s="1"/>
  <c r="K237" i="136" a="1"/>
  <c r="K237" i="136" s="1"/>
  <c r="J237" i="136" a="1"/>
  <c r="J237" i="136" s="1"/>
  <c r="I237" i="136" a="1"/>
  <c r="I237" i="136" s="1"/>
  <c r="H237" i="136" a="1"/>
  <c r="H237" i="136" s="1"/>
  <c r="G237" i="136" a="1"/>
  <c r="G237" i="136" s="1"/>
  <c r="F237" i="136" a="1"/>
  <c r="F237" i="136" s="1"/>
  <c r="E237" i="136" a="1"/>
  <c r="E237" i="136" s="1"/>
  <c r="D237" i="136" a="1"/>
  <c r="D237" i="136" s="1"/>
  <c r="S236" i="136" a="1"/>
  <c r="S236" i="136" s="1"/>
  <c r="R236" i="136" a="1"/>
  <c r="R236" i="136" s="1"/>
  <c r="Q236" i="136" a="1"/>
  <c r="Q236" i="136" s="1"/>
  <c r="P236" i="136" a="1"/>
  <c r="P236" i="136" s="1"/>
  <c r="O236" i="136" a="1"/>
  <c r="O236" i="136" s="1"/>
  <c r="N236" i="136" a="1"/>
  <c r="N236" i="136" s="1"/>
  <c r="M236" i="136" a="1"/>
  <c r="M236" i="136" s="1"/>
  <c r="L236" i="136" a="1"/>
  <c r="L236" i="136" s="1"/>
  <c r="K236" i="136" a="1"/>
  <c r="K236" i="136" s="1"/>
  <c r="J236" i="136" a="1"/>
  <c r="J236" i="136" s="1"/>
  <c r="I236" i="136" a="1"/>
  <c r="I236" i="136" s="1"/>
  <c r="H236" i="136" a="1"/>
  <c r="H236" i="136" s="1"/>
  <c r="G236" i="136" a="1"/>
  <c r="G236" i="136" s="1"/>
  <c r="F236" i="136" a="1"/>
  <c r="F236" i="136" s="1"/>
  <c r="E236" i="136" a="1"/>
  <c r="E236" i="136" s="1"/>
  <c r="D236" i="136" a="1"/>
  <c r="D236" i="136" s="1"/>
  <c r="S235" i="136" a="1"/>
  <c r="S235" i="136" s="1"/>
  <c r="R235" i="136" a="1"/>
  <c r="R235" i="136" s="1"/>
  <c r="Q235" i="136" a="1"/>
  <c r="Q235" i="136" s="1"/>
  <c r="P235" i="136" a="1"/>
  <c r="P235" i="136" s="1"/>
  <c r="O235" i="136" a="1"/>
  <c r="O235" i="136" s="1"/>
  <c r="N235" i="136" a="1"/>
  <c r="N235" i="136" s="1"/>
  <c r="M235" i="136" a="1"/>
  <c r="M235" i="136" s="1"/>
  <c r="L235" i="136" a="1"/>
  <c r="L235" i="136" s="1"/>
  <c r="K235" i="136" a="1"/>
  <c r="K235" i="136" s="1"/>
  <c r="J235" i="136" a="1"/>
  <c r="J235" i="136" s="1"/>
  <c r="I235" i="136" a="1"/>
  <c r="I235" i="136" s="1"/>
  <c r="H235" i="136" a="1"/>
  <c r="H235" i="136" s="1"/>
  <c r="G235" i="136" a="1"/>
  <c r="G235" i="136" s="1"/>
  <c r="F235" i="136" a="1"/>
  <c r="F235" i="136" s="1"/>
  <c r="E235" i="136" a="1"/>
  <c r="E235" i="136" s="1"/>
  <c r="D235" i="136" a="1"/>
  <c r="D235" i="136" s="1"/>
  <c r="S234" i="136" a="1"/>
  <c r="S234" i="136" s="1"/>
  <c r="R234" i="136" a="1"/>
  <c r="R234" i="136" s="1"/>
  <c r="Q234" i="136" a="1"/>
  <c r="Q234" i="136" s="1"/>
  <c r="P234" i="136" a="1"/>
  <c r="P234" i="136" s="1"/>
  <c r="O234" i="136" a="1"/>
  <c r="O234" i="136" s="1"/>
  <c r="N234" i="136" a="1"/>
  <c r="N234" i="136" s="1"/>
  <c r="M234" i="136" a="1"/>
  <c r="M234" i="136" s="1"/>
  <c r="L234" i="136" a="1"/>
  <c r="L234" i="136" s="1"/>
  <c r="K234" i="136" a="1"/>
  <c r="K234" i="136" s="1"/>
  <c r="J234" i="136" a="1"/>
  <c r="J234" i="136" s="1"/>
  <c r="I234" i="136" a="1"/>
  <c r="I234" i="136" s="1"/>
  <c r="H234" i="136" a="1"/>
  <c r="H234" i="136" s="1"/>
  <c r="G234" i="136" a="1"/>
  <c r="G234" i="136" s="1"/>
  <c r="F234" i="136" a="1"/>
  <c r="F234" i="136" s="1"/>
  <c r="E234" i="136" a="1"/>
  <c r="E234" i="136" s="1"/>
  <c r="D234" i="136" a="1"/>
  <c r="D234" i="136" s="1"/>
  <c r="S233" i="136" a="1"/>
  <c r="S233" i="136" s="1"/>
  <c r="R233" i="136" a="1"/>
  <c r="R233" i="136" s="1"/>
  <c r="Q233" i="136" a="1"/>
  <c r="Q233" i="136" s="1"/>
  <c r="P233" i="136" a="1"/>
  <c r="P233" i="136" s="1"/>
  <c r="O233" i="136" a="1"/>
  <c r="O233" i="136" s="1"/>
  <c r="N233" i="136" a="1"/>
  <c r="N233" i="136" s="1"/>
  <c r="M233" i="136" a="1"/>
  <c r="M233" i="136" s="1"/>
  <c r="L233" i="136" a="1"/>
  <c r="L233" i="136" s="1"/>
  <c r="K233" i="136" a="1"/>
  <c r="K233" i="136" s="1"/>
  <c r="J233" i="136" a="1"/>
  <c r="J233" i="136" s="1"/>
  <c r="I233" i="136" a="1"/>
  <c r="I233" i="136" s="1"/>
  <c r="H233" i="136" a="1"/>
  <c r="H233" i="136" s="1"/>
  <c r="G233" i="136" a="1"/>
  <c r="G233" i="136" s="1"/>
  <c r="F233" i="136" a="1"/>
  <c r="F233" i="136" s="1"/>
  <c r="E233" i="136" a="1"/>
  <c r="E233" i="136" s="1"/>
  <c r="D233" i="136" a="1"/>
  <c r="D233" i="136" s="1"/>
  <c r="S232" i="136" a="1"/>
  <c r="S232" i="136" s="1"/>
  <c r="R232" i="136" a="1"/>
  <c r="R232" i="136" s="1"/>
  <c r="Q232" i="136" a="1"/>
  <c r="Q232" i="136" s="1"/>
  <c r="P232" i="136" a="1"/>
  <c r="P232" i="136" s="1"/>
  <c r="O232" i="136" a="1"/>
  <c r="O232" i="136" s="1"/>
  <c r="N232" i="136" a="1"/>
  <c r="N232" i="136" s="1"/>
  <c r="M232" i="136" a="1"/>
  <c r="M232" i="136" s="1"/>
  <c r="L232" i="136" a="1"/>
  <c r="L232" i="136" s="1"/>
  <c r="K232" i="136" a="1"/>
  <c r="K232" i="136" s="1"/>
  <c r="J232" i="136" a="1"/>
  <c r="J232" i="136" s="1"/>
  <c r="I232" i="136" a="1"/>
  <c r="I232" i="136" s="1"/>
  <c r="H232" i="136" a="1"/>
  <c r="H232" i="136" s="1"/>
  <c r="G232" i="136" a="1"/>
  <c r="G232" i="136" s="1"/>
  <c r="F232" i="136" a="1"/>
  <c r="F232" i="136" s="1"/>
  <c r="E232" i="136" a="1"/>
  <c r="E232" i="136" s="1"/>
  <c r="D232" i="136" a="1"/>
  <c r="D232" i="136" s="1"/>
  <c r="D229" i="136" a="1"/>
  <c r="D229" i="136" s="1"/>
  <c r="D228" i="136" a="1"/>
  <c r="D228" i="136" s="1"/>
  <c r="D227" i="136" a="1"/>
  <c r="D227" i="136" s="1"/>
  <c r="E224" i="136" a="1"/>
  <c r="E224" i="136" s="1"/>
  <c r="D224" i="136" a="1"/>
  <c r="D224" i="136" s="1"/>
  <c r="E223" i="136" a="1"/>
  <c r="E223" i="136" s="1"/>
  <c r="D223" i="136" a="1"/>
  <c r="D223" i="136" s="1"/>
  <c r="E222" i="136" a="1"/>
  <c r="E222" i="136" s="1"/>
  <c r="D222" i="136" a="1"/>
  <c r="D222" i="136" s="1"/>
  <c r="E221" i="136" a="1"/>
  <c r="E221" i="136" s="1"/>
  <c r="D221" i="136" a="1"/>
  <c r="D221" i="136" s="1"/>
  <c r="E220" i="136" a="1"/>
  <c r="E220" i="136" s="1"/>
  <c r="D220" i="136" a="1"/>
  <c r="D220" i="136" s="1"/>
  <c r="E219" i="136" a="1"/>
  <c r="E219" i="136" s="1"/>
  <c r="D219" i="136" a="1"/>
  <c r="D219" i="136" s="1"/>
  <c r="E218" i="136" a="1"/>
  <c r="E218" i="136" s="1"/>
  <c r="D218" i="136" a="1"/>
  <c r="D218" i="136" s="1"/>
  <c r="E217" i="136" a="1"/>
  <c r="E217" i="136" s="1"/>
  <c r="D217" i="136" a="1"/>
  <c r="D217" i="136" s="1"/>
  <c r="E216" i="136" a="1"/>
  <c r="E216" i="136" s="1"/>
  <c r="D216" i="136" a="1"/>
  <c r="D216" i="136" s="1"/>
  <c r="E215" i="136" a="1"/>
  <c r="E215" i="136" s="1"/>
  <c r="D215" i="136" a="1"/>
  <c r="D215" i="136" s="1"/>
  <c r="E214" i="136" a="1"/>
  <c r="E214" i="136" s="1"/>
  <c r="D214" i="136" a="1"/>
  <c r="D214" i="136" s="1"/>
  <c r="E213" i="136" a="1"/>
  <c r="E213" i="136" s="1"/>
  <c r="D213" i="136" a="1"/>
  <c r="D213" i="136" s="1"/>
  <c r="D211" i="136" a="1"/>
  <c r="D211" i="136" s="1"/>
  <c r="E208" i="136" a="1"/>
  <c r="E208" i="136" s="1"/>
  <c r="D208" i="136" a="1"/>
  <c r="D208" i="136" s="1"/>
  <c r="E207" i="136" a="1"/>
  <c r="E207" i="136" s="1"/>
  <c r="D207" i="136" a="1"/>
  <c r="D207" i="136" s="1"/>
  <c r="D205" i="136" a="1"/>
  <c r="D205" i="136" s="1"/>
  <c r="D204" i="136" a="1"/>
  <c r="D204" i="136" s="1"/>
  <c r="D203" i="136" a="1"/>
  <c r="D203" i="136" s="1"/>
  <c r="D202" i="136" a="1"/>
  <c r="D202" i="136" s="1"/>
  <c r="H199" i="136" a="1"/>
  <c r="H199" i="136" s="1"/>
  <c r="G199" i="136" a="1"/>
  <c r="G199" i="136" s="1"/>
  <c r="F199" i="136" a="1"/>
  <c r="F199" i="136" s="1"/>
  <c r="E199" i="136" a="1"/>
  <c r="E199" i="136" s="1"/>
  <c r="D199" i="136" a="1"/>
  <c r="D199" i="136" s="1"/>
  <c r="H198" i="136" a="1"/>
  <c r="H198" i="136" s="1"/>
  <c r="G198" i="136" a="1"/>
  <c r="G198" i="136" s="1"/>
  <c r="F198" i="136" a="1"/>
  <c r="F198" i="136" s="1"/>
  <c r="E198" i="136" a="1"/>
  <c r="E198" i="136" s="1"/>
  <c r="D198" i="136" a="1"/>
  <c r="D198" i="136" s="1"/>
  <c r="H197" i="136" a="1"/>
  <c r="H197" i="136" s="1"/>
  <c r="G197" i="136" a="1"/>
  <c r="G197" i="136" s="1"/>
  <c r="F197" i="136" a="1"/>
  <c r="F197" i="136" s="1"/>
  <c r="E197" i="136" a="1"/>
  <c r="E197" i="136" s="1"/>
  <c r="D197" i="136" a="1"/>
  <c r="D197" i="136" s="1"/>
  <c r="H196" i="136" a="1"/>
  <c r="H196" i="136" s="1"/>
  <c r="G196" i="136" a="1"/>
  <c r="G196" i="136" s="1"/>
  <c r="F196" i="136" a="1"/>
  <c r="F196" i="136" s="1"/>
  <c r="E196" i="136" a="1"/>
  <c r="E196" i="136" s="1"/>
  <c r="D196" i="136" a="1"/>
  <c r="D196" i="136" s="1"/>
  <c r="H195" i="136" a="1"/>
  <c r="H195" i="136" s="1"/>
  <c r="G195" i="136" a="1"/>
  <c r="G195" i="136" s="1"/>
  <c r="F195" i="136" a="1"/>
  <c r="F195" i="136" s="1"/>
  <c r="E195" i="136" a="1"/>
  <c r="E195" i="136" s="1"/>
  <c r="D195" i="136" a="1"/>
  <c r="D195" i="136" s="1"/>
  <c r="H194" i="136" a="1"/>
  <c r="H194" i="136" s="1"/>
  <c r="G194" i="136" a="1"/>
  <c r="G194" i="136" s="1"/>
  <c r="F194" i="136" a="1"/>
  <c r="F194" i="136" s="1"/>
  <c r="E194" i="136" a="1"/>
  <c r="E194" i="136" s="1"/>
  <c r="D194" i="136" a="1"/>
  <c r="D194" i="136" s="1"/>
  <c r="H193" i="136" a="1"/>
  <c r="H193" i="136" s="1"/>
  <c r="G193" i="136" a="1"/>
  <c r="G193" i="136" s="1"/>
  <c r="F193" i="136" a="1"/>
  <c r="F193" i="136" s="1"/>
  <c r="E193" i="136" a="1"/>
  <c r="E193" i="136" s="1"/>
  <c r="D193" i="136" a="1"/>
  <c r="D193" i="136" s="1"/>
  <c r="H192" i="136" a="1"/>
  <c r="H192" i="136" s="1"/>
  <c r="G192" i="136" a="1"/>
  <c r="G192" i="136" s="1"/>
  <c r="F192" i="136" a="1"/>
  <c r="F192" i="136" s="1"/>
  <c r="E192" i="136" a="1"/>
  <c r="E192" i="136" s="1"/>
  <c r="D192" i="136" a="1"/>
  <c r="D192" i="136" s="1"/>
  <c r="H191" i="136" a="1"/>
  <c r="H191" i="136" s="1"/>
  <c r="G191" i="136" a="1"/>
  <c r="G191" i="136" s="1"/>
  <c r="F191" i="136" a="1"/>
  <c r="F191" i="136" s="1"/>
  <c r="E191" i="136" a="1"/>
  <c r="E191" i="136" s="1"/>
  <c r="D191" i="136" a="1"/>
  <c r="D191" i="136" s="1"/>
  <c r="H190" i="136" a="1"/>
  <c r="H190" i="136" s="1"/>
  <c r="G190" i="136" a="1"/>
  <c r="G190" i="136" s="1"/>
  <c r="F190" i="136" a="1"/>
  <c r="F190" i="136" s="1"/>
  <c r="E190" i="136" a="1"/>
  <c r="E190" i="136" s="1"/>
  <c r="D190" i="136" a="1"/>
  <c r="D190" i="136" s="1"/>
  <c r="H189" i="136" a="1"/>
  <c r="H189" i="136" s="1"/>
  <c r="G189" i="136" a="1"/>
  <c r="G189" i="136" s="1"/>
  <c r="F189" i="136" a="1"/>
  <c r="F189" i="136" s="1"/>
  <c r="E189" i="136" a="1"/>
  <c r="E189" i="136" s="1"/>
  <c r="D189" i="136" a="1"/>
  <c r="D189" i="136" s="1"/>
  <c r="H188" i="136" a="1"/>
  <c r="H188" i="136" s="1"/>
  <c r="G188" i="136" a="1"/>
  <c r="G188" i="136" s="1"/>
  <c r="F188" i="136" a="1"/>
  <c r="F188" i="136" s="1"/>
  <c r="E188" i="136" a="1"/>
  <c r="E188" i="136" s="1"/>
  <c r="D188" i="136" a="1"/>
  <c r="D188" i="136" s="1"/>
  <c r="H187" i="136" a="1"/>
  <c r="H187" i="136" s="1"/>
  <c r="G187" i="136" a="1"/>
  <c r="G187" i="136" s="1"/>
  <c r="F187" i="136" a="1"/>
  <c r="F187" i="136" s="1"/>
  <c r="E187" i="136" a="1"/>
  <c r="E187" i="136" s="1"/>
  <c r="D187" i="136" a="1"/>
  <c r="D187" i="136" s="1"/>
  <c r="D181" i="136" a="1"/>
  <c r="D181" i="136" s="1"/>
  <c r="D180" i="136" a="1"/>
  <c r="D180" i="136" s="1"/>
  <c r="D179" i="136" a="1"/>
  <c r="D179" i="136" s="1"/>
  <c r="D178" i="136" a="1"/>
  <c r="D178" i="136" s="1"/>
  <c r="E175" i="136" a="1"/>
  <c r="E175" i="136" s="1"/>
  <c r="D175" i="136" a="1"/>
  <c r="D175" i="136" s="1"/>
  <c r="D174" i="136" a="1"/>
  <c r="D174" i="136" s="1"/>
  <c r="D173" i="136" a="1"/>
  <c r="D173" i="136" s="1"/>
  <c r="D170" i="136" a="1"/>
  <c r="D170" i="136" s="1"/>
  <c r="D169" i="136" a="1"/>
  <c r="D169" i="136" s="1"/>
  <c r="D168" i="136" a="1"/>
  <c r="D168" i="136" s="1"/>
  <c r="D167" i="136" a="1"/>
  <c r="D167" i="136" s="1"/>
  <c r="D164" i="136" a="1"/>
  <c r="D164" i="136" s="1"/>
  <c r="D163" i="136" a="1"/>
  <c r="D163" i="136" s="1"/>
  <c r="D162" i="136" a="1"/>
  <c r="D162" i="136" s="1"/>
  <c r="D161" i="136" a="1"/>
  <c r="D161" i="136" s="1"/>
  <c r="E158" i="136" a="1"/>
  <c r="E158" i="136" s="1"/>
  <c r="D158" i="136" a="1"/>
  <c r="D158" i="136" s="1"/>
  <c r="E157" i="136" a="1"/>
  <c r="E157" i="136" s="1"/>
  <c r="D157" i="136" a="1"/>
  <c r="D157" i="136" s="1"/>
  <c r="E156" i="136" a="1"/>
  <c r="E156" i="136" s="1"/>
  <c r="D156" i="136" a="1"/>
  <c r="D156" i="136" s="1"/>
  <c r="E155" i="136" a="1"/>
  <c r="E155" i="136" s="1"/>
  <c r="D155" i="136" a="1"/>
  <c r="D155" i="136" s="1"/>
  <c r="E154" i="136" a="1"/>
  <c r="E154" i="136" s="1"/>
  <c r="D154" i="136" a="1"/>
  <c r="D154" i="136" s="1"/>
  <c r="D151" i="136" a="1"/>
  <c r="D151" i="136" s="1"/>
  <c r="D150" i="136" a="1"/>
  <c r="D150" i="136" s="1"/>
  <c r="E147" i="136" a="1"/>
  <c r="E147" i="136" s="1"/>
  <c r="D147" i="136" a="1"/>
  <c r="D147" i="136" s="1"/>
  <c r="E146" i="136" a="1"/>
  <c r="E146" i="136" s="1"/>
  <c r="D146" i="136" a="1"/>
  <c r="D146" i="136" s="1"/>
  <c r="E145" i="136" a="1"/>
  <c r="E145" i="136" s="1"/>
  <c r="D145" i="136" a="1"/>
  <c r="D145" i="136" s="1"/>
  <c r="E144" i="136" a="1"/>
  <c r="E144" i="136" s="1"/>
  <c r="D144" i="136" a="1"/>
  <c r="D144" i="136" s="1"/>
  <c r="E143" i="136" a="1"/>
  <c r="E143" i="136" s="1"/>
  <c r="D143" i="136" a="1"/>
  <c r="D143" i="136" s="1"/>
  <c r="D141" i="136" a="1"/>
  <c r="D141" i="136" s="1"/>
  <c r="D140" i="136" a="1"/>
  <c r="D140" i="136" s="1"/>
  <c r="D139" i="136" a="1"/>
  <c r="D139" i="136" s="1"/>
  <c r="E136" i="136" a="1"/>
  <c r="E136" i="136" s="1"/>
  <c r="D136" i="136" a="1"/>
  <c r="D136" i="136" s="1"/>
  <c r="E135" i="136" a="1"/>
  <c r="E135" i="136" s="1"/>
  <c r="D135" i="136" a="1"/>
  <c r="D135" i="136" s="1"/>
  <c r="D133" i="136" a="1"/>
  <c r="D133" i="136" s="1"/>
  <c r="D132" i="136" a="1"/>
  <c r="D132" i="136" s="1"/>
  <c r="E129" i="136" a="1"/>
  <c r="E129" i="136" s="1"/>
  <c r="D129" i="136" a="1"/>
  <c r="D129" i="136" s="1"/>
  <c r="E128" i="136" a="1"/>
  <c r="E128" i="136" s="1"/>
  <c r="D128" i="136" a="1"/>
  <c r="D128" i="136" s="1"/>
  <c r="D125" i="136" a="1"/>
  <c r="D125" i="136" s="1"/>
  <c r="D124" i="136" a="1"/>
  <c r="D124" i="136" s="1"/>
  <c r="G121" i="136" a="1"/>
  <c r="G121" i="136" s="1"/>
  <c r="F121" i="136" a="1"/>
  <c r="F121" i="136" s="1"/>
  <c r="E121" i="136" a="1"/>
  <c r="E121" i="136" s="1"/>
  <c r="D121" i="136" a="1"/>
  <c r="D121" i="136" s="1"/>
  <c r="G120" i="136" a="1"/>
  <c r="G120" i="136" s="1"/>
  <c r="F120" i="136" a="1"/>
  <c r="F120" i="136" s="1"/>
  <c r="E120" i="136" a="1"/>
  <c r="E120" i="136" s="1"/>
  <c r="D120" i="136" a="1"/>
  <c r="D120" i="136" s="1"/>
  <c r="D117" i="136" a="1"/>
  <c r="D117" i="136" s="1"/>
  <c r="D116" i="136" a="1"/>
  <c r="D116" i="136" s="1"/>
  <c r="D115" i="136" a="1"/>
  <c r="D115" i="136" s="1"/>
  <c r="G112" i="136" a="1"/>
  <c r="G112" i="136" s="1"/>
  <c r="F112" i="136" a="1"/>
  <c r="F112" i="136" s="1"/>
  <c r="E112" i="136" a="1"/>
  <c r="E112" i="136" s="1"/>
  <c r="D112" i="136" a="1"/>
  <c r="D112" i="136" s="1"/>
  <c r="G111" i="136" a="1"/>
  <c r="G111" i="136" s="1"/>
  <c r="F111" i="136" a="1"/>
  <c r="F111" i="136" s="1"/>
  <c r="E111" i="136" a="1"/>
  <c r="E111" i="136" s="1"/>
  <c r="D111" i="136" a="1"/>
  <c r="D111" i="136" s="1"/>
  <c r="G110" i="136" a="1"/>
  <c r="G110" i="136" s="1"/>
  <c r="F110" i="136" a="1"/>
  <c r="F110" i="136" s="1"/>
  <c r="E110" i="136" a="1"/>
  <c r="E110" i="136" s="1"/>
  <c r="D110" i="136" a="1"/>
  <c r="D110" i="136" s="1"/>
  <c r="D107" i="136" a="1"/>
  <c r="D107" i="136" s="1"/>
  <c r="D106" i="136" a="1"/>
  <c r="D106" i="136" s="1"/>
  <c r="D105" i="136" a="1"/>
  <c r="D105" i="136" s="1"/>
  <c r="D99" i="136" a="1"/>
  <c r="D99" i="136" s="1"/>
  <c r="S97" i="136" a="1"/>
  <c r="S97" i="136" s="1"/>
  <c r="R97" i="136" a="1"/>
  <c r="R97" i="136" s="1"/>
  <c r="Q97" i="136" a="1"/>
  <c r="Q97" i="136" s="1"/>
  <c r="P97" i="136" a="1"/>
  <c r="P97" i="136" s="1"/>
  <c r="O97" i="136" a="1"/>
  <c r="O97" i="136" s="1"/>
  <c r="N97" i="136" a="1"/>
  <c r="N97" i="136" s="1"/>
  <c r="M97" i="136" a="1"/>
  <c r="M97" i="136" s="1"/>
  <c r="L97" i="136" a="1"/>
  <c r="L97" i="136" s="1"/>
  <c r="K97" i="136" a="1"/>
  <c r="K97" i="136" s="1"/>
  <c r="J97" i="136" a="1"/>
  <c r="J97" i="136" s="1"/>
  <c r="I97" i="136" a="1"/>
  <c r="I97" i="136" s="1"/>
  <c r="H97" i="136" a="1"/>
  <c r="H97" i="136" s="1"/>
  <c r="G97" i="136" a="1"/>
  <c r="G97" i="136" s="1"/>
  <c r="F97" i="136" a="1"/>
  <c r="F97" i="136" s="1"/>
  <c r="E97" i="136" a="1"/>
  <c r="E97" i="136" s="1"/>
  <c r="D97" i="136" a="1"/>
  <c r="D97" i="136" s="1"/>
  <c r="S96" i="136" a="1"/>
  <c r="S96" i="136" s="1"/>
  <c r="R96" i="136" a="1"/>
  <c r="R96" i="136" s="1"/>
  <c r="Q96" i="136" a="1"/>
  <c r="Q96" i="136" s="1"/>
  <c r="P96" i="136" a="1"/>
  <c r="P96" i="136" s="1"/>
  <c r="O96" i="136" a="1"/>
  <c r="O96" i="136" s="1"/>
  <c r="N96" i="136" a="1"/>
  <c r="N96" i="136" s="1"/>
  <c r="M96" i="136" a="1"/>
  <c r="M96" i="136" s="1"/>
  <c r="L96" i="136" a="1"/>
  <c r="L96" i="136" s="1"/>
  <c r="K96" i="136" a="1"/>
  <c r="K96" i="136" s="1"/>
  <c r="J96" i="136" a="1"/>
  <c r="J96" i="136" s="1"/>
  <c r="I96" i="136" a="1"/>
  <c r="I96" i="136" s="1"/>
  <c r="H96" i="136" a="1"/>
  <c r="H96" i="136" s="1"/>
  <c r="G96" i="136" a="1"/>
  <c r="G96" i="136" s="1"/>
  <c r="F96" i="136" a="1"/>
  <c r="F96" i="136" s="1"/>
  <c r="E96" i="136" a="1"/>
  <c r="E96" i="136" s="1"/>
  <c r="D96" i="136" a="1"/>
  <c r="D96" i="136" s="1"/>
  <c r="S95" i="136" a="1"/>
  <c r="S95" i="136" s="1"/>
  <c r="R95" i="136" a="1"/>
  <c r="R95" i="136" s="1"/>
  <c r="Q95" i="136" a="1"/>
  <c r="Q95" i="136" s="1"/>
  <c r="P95" i="136" a="1"/>
  <c r="P95" i="136" s="1"/>
  <c r="O95" i="136" a="1"/>
  <c r="O95" i="136" s="1"/>
  <c r="N95" i="136" a="1"/>
  <c r="N95" i="136" s="1"/>
  <c r="M95" i="136" a="1"/>
  <c r="M95" i="136" s="1"/>
  <c r="L95" i="136" a="1"/>
  <c r="L95" i="136" s="1"/>
  <c r="K95" i="136" a="1"/>
  <c r="K95" i="136" s="1"/>
  <c r="J95" i="136" a="1"/>
  <c r="J95" i="136" s="1"/>
  <c r="I95" i="136" a="1"/>
  <c r="I95" i="136" s="1"/>
  <c r="H95" i="136" a="1"/>
  <c r="H95" i="136" s="1"/>
  <c r="G95" i="136" a="1"/>
  <c r="G95" i="136" s="1"/>
  <c r="F95" i="136" a="1"/>
  <c r="F95" i="136" s="1"/>
  <c r="E95" i="136" a="1"/>
  <c r="E95" i="136" s="1"/>
  <c r="D95" i="136" a="1"/>
  <c r="D95" i="136" s="1"/>
  <c r="S94" i="136" a="1"/>
  <c r="S94" i="136" s="1"/>
  <c r="R94" i="136" a="1"/>
  <c r="R94" i="136" s="1"/>
  <c r="Q94" i="136" a="1"/>
  <c r="Q94" i="136" s="1"/>
  <c r="P94" i="136" a="1"/>
  <c r="P94" i="136" s="1"/>
  <c r="O94" i="136" a="1"/>
  <c r="O94" i="136" s="1"/>
  <c r="N94" i="136" a="1"/>
  <c r="N94" i="136" s="1"/>
  <c r="M94" i="136" a="1"/>
  <c r="M94" i="136" s="1"/>
  <c r="L94" i="136" a="1"/>
  <c r="L94" i="136" s="1"/>
  <c r="K94" i="136" a="1"/>
  <c r="K94" i="136" s="1"/>
  <c r="J94" i="136" a="1"/>
  <c r="J94" i="136" s="1"/>
  <c r="I94" i="136" a="1"/>
  <c r="I94" i="136" s="1"/>
  <c r="H94" i="136" a="1"/>
  <c r="H94" i="136" s="1"/>
  <c r="G94" i="136" a="1"/>
  <c r="G94" i="136" s="1"/>
  <c r="F94" i="136" a="1"/>
  <c r="F94" i="136" s="1"/>
  <c r="E94" i="136" a="1"/>
  <c r="E94" i="136" s="1"/>
  <c r="D94" i="136" a="1"/>
  <c r="D94" i="136" s="1"/>
  <c r="S93" i="136" a="1"/>
  <c r="S93" i="136" s="1"/>
  <c r="R93" i="136" a="1"/>
  <c r="R93" i="136" s="1"/>
  <c r="Q93" i="136" a="1"/>
  <c r="Q93" i="136" s="1"/>
  <c r="P93" i="136" a="1"/>
  <c r="P93" i="136" s="1"/>
  <c r="O93" i="136" a="1"/>
  <c r="O93" i="136" s="1"/>
  <c r="N93" i="136" a="1"/>
  <c r="N93" i="136" s="1"/>
  <c r="M93" i="136" a="1"/>
  <c r="M93" i="136" s="1"/>
  <c r="L93" i="136" a="1"/>
  <c r="L93" i="136" s="1"/>
  <c r="K93" i="136" a="1"/>
  <c r="K93" i="136" s="1"/>
  <c r="J93" i="136" a="1"/>
  <c r="J93" i="136" s="1"/>
  <c r="I93" i="136" a="1"/>
  <c r="I93" i="136" s="1"/>
  <c r="H93" i="136" a="1"/>
  <c r="H93" i="136" s="1"/>
  <c r="G93" i="136" a="1"/>
  <c r="G93" i="136" s="1"/>
  <c r="F93" i="136" a="1"/>
  <c r="F93" i="136" s="1"/>
  <c r="E93" i="136" a="1"/>
  <c r="E93" i="136" s="1"/>
  <c r="D93" i="136" a="1"/>
  <c r="D93" i="136" s="1"/>
  <c r="S92" i="136" a="1"/>
  <c r="S92" i="136" s="1"/>
  <c r="R92" i="136" a="1"/>
  <c r="R92" i="136" s="1"/>
  <c r="Q92" i="136" a="1"/>
  <c r="Q92" i="136" s="1"/>
  <c r="P92" i="136" a="1"/>
  <c r="P92" i="136" s="1"/>
  <c r="O92" i="136" a="1"/>
  <c r="O92" i="136" s="1"/>
  <c r="N92" i="136" a="1"/>
  <c r="N92" i="136" s="1"/>
  <c r="M92" i="136" a="1"/>
  <c r="M92" i="136" s="1"/>
  <c r="L92" i="136" a="1"/>
  <c r="L92" i="136" s="1"/>
  <c r="K92" i="136" a="1"/>
  <c r="K92" i="136" s="1"/>
  <c r="J92" i="136" a="1"/>
  <c r="J92" i="136" s="1"/>
  <c r="I92" i="136" a="1"/>
  <c r="I92" i="136" s="1"/>
  <c r="H92" i="136" a="1"/>
  <c r="H92" i="136" s="1"/>
  <c r="G92" i="136" a="1"/>
  <c r="G92" i="136" s="1"/>
  <c r="F92" i="136" a="1"/>
  <c r="F92" i="136" s="1"/>
  <c r="E92" i="136" a="1"/>
  <c r="E92" i="136" s="1"/>
  <c r="D92" i="136" a="1"/>
  <c r="D92" i="136" s="1"/>
  <c r="S91" i="136" a="1"/>
  <c r="S91" i="136" s="1"/>
  <c r="R91" i="136" a="1"/>
  <c r="R91" i="136" s="1"/>
  <c r="Q91" i="136" a="1"/>
  <c r="Q91" i="136" s="1"/>
  <c r="P91" i="136" a="1"/>
  <c r="P91" i="136" s="1"/>
  <c r="O91" i="136" a="1"/>
  <c r="O91" i="136" s="1"/>
  <c r="N91" i="136" a="1"/>
  <c r="N91" i="136" s="1"/>
  <c r="M91" i="136" a="1"/>
  <c r="M91" i="136" s="1"/>
  <c r="L91" i="136" a="1"/>
  <c r="L91" i="136" s="1"/>
  <c r="K91" i="136" a="1"/>
  <c r="K91" i="136" s="1"/>
  <c r="J91" i="136" a="1"/>
  <c r="J91" i="136" s="1"/>
  <c r="I91" i="136" a="1"/>
  <c r="I91" i="136" s="1"/>
  <c r="H91" i="136" a="1"/>
  <c r="H91" i="136" s="1"/>
  <c r="G91" i="136" a="1"/>
  <c r="G91" i="136" s="1"/>
  <c r="F91" i="136" a="1"/>
  <c r="F91" i="136" s="1"/>
  <c r="E91" i="136" a="1"/>
  <c r="E91" i="136" s="1"/>
  <c r="D91" i="136" a="1"/>
  <c r="D91" i="136" s="1"/>
  <c r="S90" i="136" a="1"/>
  <c r="S90" i="136" s="1"/>
  <c r="R90" i="136" a="1"/>
  <c r="R90" i="136" s="1"/>
  <c r="Q90" i="136" a="1"/>
  <c r="Q90" i="136" s="1"/>
  <c r="P90" i="136" a="1"/>
  <c r="P90" i="136" s="1"/>
  <c r="O90" i="136" a="1"/>
  <c r="O90" i="136" s="1"/>
  <c r="N90" i="136" a="1"/>
  <c r="N90" i="136" s="1"/>
  <c r="M90" i="136" a="1"/>
  <c r="M90" i="136" s="1"/>
  <c r="L90" i="136" a="1"/>
  <c r="L90" i="136" s="1"/>
  <c r="K90" i="136" a="1"/>
  <c r="K90" i="136" s="1"/>
  <c r="J90" i="136" a="1"/>
  <c r="J90" i="136" s="1"/>
  <c r="I90" i="136" a="1"/>
  <c r="I90" i="136" s="1"/>
  <c r="H90" i="136" a="1"/>
  <c r="H90" i="136" s="1"/>
  <c r="G90" i="136" a="1"/>
  <c r="G90" i="136" s="1"/>
  <c r="F90" i="136" a="1"/>
  <c r="F90" i="136" s="1"/>
  <c r="E90" i="136" a="1"/>
  <c r="E90" i="136" s="1"/>
  <c r="D90" i="136" a="1"/>
  <c r="D90" i="136" s="1"/>
  <c r="D83" i="136" a="1"/>
  <c r="D83" i="136" s="1"/>
  <c r="D82" i="136" a="1"/>
  <c r="D82" i="136" s="1"/>
  <c r="D81" i="136" a="1"/>
  <c r="D81" i="136" s="1"/>
  <c r="E77" i="136" a="1"/>
  <c r="E77" i="136" s="1"/>
  <c r="D77" i="136" a="1"/>
  <c r="D77" i="136" s="1"/>
  <c r="E76" i="136" a="1"/>
  <c r="E76" i="136" s="1"/>
  <c r="D76" i="136" a="1"/>
  <c r="D76" i="136" s="1"/>
  <c r="E75" i="136" a="1"/>
  <c r="E75" i="136" s="1"/>
  <c r="D75" i="136" a="1"/>
  <c r="D75" i="136" s="1"/>
  <c r="E74" i="136" a="1"/>
  <c r="E74" i="136" s="1"/>
  <c r="D74" i="136" a="1"/>
  <c r="D74" i="136" s="1"/>
  <c r="E73" i="136" a="1"/>
  <c r="E73" i="136" s="1"/>
  <c r="D73" i="136" a="1"/>
  <c r="D73" i="136" s="1"/>
  <c r="E72" i="136" a="1"/>
  <c r="E72" i="136" s="1"/>
  <c r="D72" i="136" a="1"/>
  <c r="D72" i="136" s="1"/>
  <c r="E71" i="136" a="1"/>
  <c r="E71" i="136" s="1"/>
  <c r="D71" i="136" a="1"/>
  <c r="D71" i="136" s="1"/>
  <c r="E70" i="136" a="1"/>
  <c r="E70" i="136" s="1"/>
  <c r="D70" i="136" a="1"/>
  <c r="D70" i="136" s="1"/>
  <c r="E69" i="136" a="1"/>
  <c r="E69" i="136" s="1"/>
  <c r="D69" i="136" a="1"/>
  <c r="D69" i="136" s="1"/>
  <c r="E68" i="136" a="1"/>
  <c r="E68" i="136" s="1"/>
  <c r="D68" i="136" a="1"/>
  <c r="D68" i="136" s="1"/>
  <c r="E67" i="136" a="1"/>
  <c r="E67" i="136" s="1"/>
  <c r="D67" i="136" a="1"/>
  <c r="D67" i="136" s="1"/>
  <c r="E66" i="136" a="1"/>
  <c r="E66" i="136" s="1"/>
  <c r="D66" i="136" a="1"/>
  <c r="D66" i="136" s="1"/>
  <c r="E65" i="136" a="1"/>
  <c r="E65" i="136" s="1"/>
  <c r="D65" i="136" a="1"/>
  <c r="D65" i="136" s="1"/>
  <c r="E64" i="136" a="1"/>
  <c r="E64" i="136" s="1"/>
  <c r="D64" i="136" a="1"/>
  <c r="D64" i="136" s="1"/>
  <c r="D59" i="136" a="1"/>
  <c r="D59" i="136" s="1"/>
  <c r="D58" i="136"/>
  <c r="D58" i="136" a="1"/>
  <c r="D57" i="136" a="1"/>
  <c r="D57" i="136" s="1"/>
  <c r="G54" i="136" a="1"/>
  <c r="G54" i="136" s="1"/>
  <c r="F54" i="136" a="1"/>
  <c r="F54" i="136" s="1"/>
  <c r="E54" i="136" a="1"/>
  <c r="E54" i="136" s="1"/>
  <c r="D54" i="136" a="1"/>
  <c r="D54" i="136" s="1"/>
  <c r="G53" i="136" a="1"/>
  <c r="G53" i="136" s="1"/>
  <c r="F53" i="136" a="1"/>
  <c r="F53" i="136" s="1"/>
  <c r="E53" i="136" a="1"/>
  <c r="E53" i="136" s="1"/>
  <c r="D53" i="136" a="1"/>
  <c r="D53" i="136" s="1"/>
  <c r="G52" i="136" a="1"/>
  <c r="G52" i="136" s="1"/>
  <c r="F52" i="136" a="1"/>
  <c r="F52" i="136" s="1"/>
  <c r="E52" i="136" a="1"/>
  <c r="E52" i="136" s="1"/>
  <c r="D52" i="136" a="1"/>
  <c r="D52" i="136" s="1"/>
  <c r="G51" i="136" a="1"/>
  <c r="G51" i="136" s="1"/>
  <c r="F51" i="136" a="1"/>
  <c r="F51" i="136" s="1"/>
  <c r="E51" i="136" a="1"/>
  <c r="E51" i="136" s="1"/>
  <c r="D51" i="136" a="1"/>
  <c r="D51" i="136" s="1"/>
  <c r="G50" i="136" a="1"/>
  <c r="G50" i="136" s="1"/>
  <c r="F50" i="136" a="1"/>
  <c r="F50" i="136" s="1"/>
  <c r="E50" i="136" a="1"/>
  <c r="E50" i="136" s="1"/>
  <c r="D50" i="136" a="1"/>
  <c r="D50" i="136" s="1"/>
  <c r="G49" i="136" a="1"/>
  <c r="G49" i="136" s="1"/>
  <c r="F49" i="136" a="1"/>
  <c r="F49" i="136" s="1"/>
  <c r="E49" i="136" a="1"/>
  <c r="E49" i="136" s="1"/>
  <c r="D49" i="136" a="1"/>
  <c r="D49" i="136" s="1"/>
  <c r="G48" i="136" a="1"/>
  <c r="G48" i="136" s="1"/>
  <c r="F48" i="136" a="1"/>
  <c r="F48" i="136" s="1"/>
  <c r="E48" i="136" a="1"/>
  <c r="E48" i="136" s="1"/>
  <c r="D48" i="136" a="1"/>
  <c r="D48" i="136" s="1"/>
  <c r="D46" i="136" a="1"/>
  <c r="D46" i="136" s="1"/>
  <c r="D45" i="136" a="1"/>
  <c r="D45" i="136" s="1"/>
  <c r="E43" i="136" a="1"/>
  <c r="E43" i="136" s="1"/>
  <c r="D43" i="136" a="1"/>
  <c r="D43" i="136" s="1"/>
  <c r="E42" i="136" a="1"/>
  <c r="E42" i="136" s="1"/>
  <c r="D42" i="136" a="1"/>
  <c r="D42" i="136" s="1"/>
  <c r="E41" i="136" a="1"/>
  <c r="E41" i="136" s="1"/>
  <c r="D41" i="136" a="1"/>
  <c r="D41" i="136" s="1"/>
  <c r="E40" i="136" a="1"/>
  <c r="E40" i="136" s="1"/>
  <c r="D40" i="136" a="1"/>
  <c r="D40" i="136" s="1"/>
  <c r="E39" i="136" a="1"/>
  <c r="E39" i="136" s="1"/>
  <c r="D39" i="136" a="1"/>
  <c r="D39" i="136" s="1"/>
  <c r="E38" i="136" a="1"/>
  <c r="E38" i="136" s="1"/>
  <c r="D38" i="136" a="1"/>
  <c r="D38" i="136" s="1"/>
  <c r="E37" i="136" a="1"/>
  <c r="E37" i="136" s="1"/>
  <c r="D37" i="136" a="1"/>
  <c r="D37" i="136" s="1"/>
  <c r="D35" i="136"/>
  <c r="D35" i="136" a="1"/>
  <c r="D34" i="136" a="1"/>
  <c r="D34" i="136" s="1"/>
  <c r="D30" i="136" a="1"/>
  <c r="D30" i="136" s="1"/>
  <c r="D29" i="136" a="1"/>
  <c r="D29" i="136" s="1"/>
  <c r="D28" i="136" a="1"/>
  <c r="D28" i="136" s="1"/>
  <c r="D27" i="136" a="1"/>
  <c r="D27" i="136" s="1"/>
  <c r="D26" i="136" a="1"/>
  <c r="D26" i="136" s="1"/>
  <c r="D25" i="136" a="1"/>
  <c r="D25" i="136" s="1"/>
  <c r="D24" i="136" a="1"/>
  <c r="D24" i="136" s="1"/>
  <c r="D23" i="136" a="1"/>
  <c r="D23" i="136" s="1"/>
  <c r="D22" i="136" a="1"/>
  <c r="D22" i="136" s="1"/>
  <c r="D21" i="136" a="1"/>
  <c r="D21" i="136" s="1"/>
  <c r="D19" i="136" a="1"/>
  <c r="D19" i="136" s="1"/>
  <c r="D18" i="136" a="1"/>
  <c r="D18" i="136" s="1"/>
  <c r="F14" i="136" a="1"/>
  <c r="F14" i="136" s="1"/>
  <c r="E14" i="136" a="1"/>
  <c r="E14" i="136" s="1"/>
  <c r="D14" i="136" a="1"/>
  <c r="D14" i="136" s="1"/>
  <c r="F13" i="136" a="1"/>
  <c r="F13" i="136" s="1"/>
  <c r="E13" i="136" a="1"/>
  <c r="E13" i="136" s="1"/>
  <c r="D13" i="136" a="1"/>
  <c r="D13" i="136" s="1"/>
  <c r="F12" i="136" a="1"/>
  <c r="F12" i="136" s="1"/>
  <c r="E12" i="136" a="1"/>
  <c r="E12" i="136" s="1"/>
  <c r="D12" i="136" a="1"/>
  <c r="D12" i="136" s="1"/>
  <c r="F11" i="136" a="1"/>
  <c r="F11" i="136" s="1"/>
  <c r="E11" i="136" a="1"/>
  <c r="E11" i="136" s="1"/>
  <c r="D11" i="136" a="1"/>
  <c r="D11" i="136" s="1"/>
  <c r="F10" i="136" a="1"/>
  <c r="F10" i="136" s="1"/>
  <c r="E10" i="136" a="1"/>
  <c r="E10" i="136" s="1"/>
  <c r="D10" i="136" a="1"/>
  <c r="D10" i="136" s="1"/>
  <c r="F9" i="136" a="1"/>
  <c r="F9" i="136" s="1"/>
  <c r="E9" i="136" a="1"/>
  <c r="E9" i="136" s="1"/>
  <c r="D9" i="136" a="1"/>
  <c r="D9" i="136" s="1"/>
  <c r="F8" i="136" a="1"/>
  <c r="F8" i="136" s="1"/>
  <c r="E8" i="136" a="1"/>
  <c r="E8" i="136" s="1"/>
  <c r="D8" i="136" a="1"/>
  <c r="D8" i="136" s="1"/>
  <c r="A8" i="136"/>
  <c r="F7" i="136" a="1"/>
  <c r="F7" i="136" s="1"/>
  <c r="E7" i="136" a="1"/>
  <c r="E7" i="136" s="1"/>
  <c r="D7" i="136" a="1"/>
  <c r="D7" i="136" s="1"/>
  <c r="A7" i="136"/>
  <c r="D5" i="136" a="1"/>
  <c r="D5" i="136" s="1"/>
  <c r="A3" i="136"/>
  <c r="A8" i="71"/>
  <c r="A7" i="71"/>
  <c r="A3" i="71"/>
  <c r="E22" i="70"/>
  <c r="I13" i="114" s="1"/>
  <c r="E29" i="15"/>
  <c r="E13" i="15"/>
  <c r="A25" i="110"/>
  <c r="A24" i="110"/>
  <c r="A20" i="110"/>
  <c r="A19" i="110"/>
  <c r="A18" i="110"/>
  <c r="A17" i="110"/>
  <c r="A16" i="110"/>
  <c r="A15" i="110"/>
  <c r="A11" i="110"/>
  <c r="A10" i="110"/>
  <c r="A9" i="110"/>
  <c r="A5" i="110"/>
  <c r="A4" i="110"/>
  <c r="A3" i="110"/>
  <c r="A25" i="114"/>
  <c r="A24" i="114"/>
  <c r="A20" i="114"/>
  <c r="A19" i="114"/>
  <c r="A18" i="114"/>
  <c r="A17" i="114"/>
  <c r="A16" i="114"/>
  <c r="A15" i="114"/>
  <c r="A11" i="114"/>
  <c r="A10" i="114"/>
  <c r="A9" i="114"/>
  <c r="A5" i="114"/>
  <c r="A4" i="114"/>
  <c r="A3" i="114"/>
  <c r="A25" i="122"/>
  <c r="A24" i="122"/>
  <c r="A20" i="122"/>
  <c r="A19" i="122"/>
  <c r="A18" i="122"/>
  <c r="A17" i="122"/>
  <c r="A16" i="122"/>
  <c r="A15" i="122"/>
  <c r="A11" i="122"/>
  <c r="A10" i="122"/>
  <c r="A9" i="122"/>
  <c r="A5" i="122"/>
  <c r="A4" i="122"/>
  <c r="A3" i="122"/>
  <c r="A25" i="123"/>
  <c r="A24" i="123"/>
  <c r="A20" i="123"/>
  <c r="A19" i="123"/>
  <c r="A18" i="123"/>
  <c r="A17" i="123"/>
  <c r="A16" i="123"/>
  <c r="A15" i="123"/>
  <c r="A11" i="123"/>
  <c r="A10" i="123"/>
  <c r="A9" i="123"/>
  <c r="A5" i="123"/>
  <c r="A4" i="123"/>
  <c r="A3" i="123"/>
  <c r="A25" i="113"/>
  <c r="A24" i="113"/>
  <c r="A20" i="113"/>
  <c r="A19" i="113"/>
  <c r="A18" i="113"/>
  <c r="A17" i="113"/>
  <c r="A16" i="113"/>
  <c r="A15" i="113"/>
  <c r="A11" i="113"/>
  <c r="A10" i="113"/>
  <c r="A9" i="113"/>
  <c r="A5" i="113"/>
  <c r="A4" i="113"/>
  <c r="A3" i="113"/>
  <c r="A25" i="74"/>
  <c r="A24" i="74"/>
  <c r="A20" i="74"/>
  <c r="A19" i="74"/>
  <c r="A18" i="74"/>
  <c r="A17" i="74"/>
  <c r="A16" i="74"/>
  <c r="A15" i="74"/>
  <c r="A11" i="74"/>
  <c r="A10" i="74"/>
  <c r="A9" i="74"/>
  <c r="A5" i="74"/>
  <c r="A4" i="74"/>
  <c r="A3" i="74"/>
  <c r="A25" i="69"/>
  <c r="A24" i="69"/>
  <c r="A20" i="69"/>
  <c r="A19" i="69"/>
  <c r="A18" i="69"/>
  <c r="A17" i="69"/>
  <c r="A16" i="69"/>
  <c r="A15" i="69"/>
  <c r="A11" i="69"/>
  <c r="A10" i="69"/>
  <c r="A9" i="69"/>
  <c r="A5" i="69"/>
  <c r="A4" i="69"/>
  <c r="A3" i="69"/>
  <c r="A25" i="120"/>
  <c r="A24" i="120"/>
  <c r="A20" i="120"/>
  <c r="A19" i="120"/>
  <c r="A18" i="120"/>
  <c r="A17" i="120"/>
  <c r="A16" i="120"/>
  <c r="A15" i="120"/>
  <c r="A11" i="120"/>
  <c r="A10" i="120"/>
  <c r="A9" i="120"/>
  <c r="A5" i="120"/>
  <c r="A4" i="120"/>
  <c r="A3" i="120"/>
  <c r="A25" i="70"/>
  <c r="A24" i="70"/>
  <c r="A20" i="70"/>
  <c r="A19" i="70"/>
  <c r="A18" i="70"/>
  <c r="A17" i="70"/>
  <c r="A16" i="70"/>
  <c r="A15" i="70"/>
  <c r="A11" i="70"/>
  <c r="A10" i="70"/>
  <c r="A9" i="70"/>
  <c r="A5" i="70"/>
  <c r="A4" i="70"/>
  <c r="A3" i="70"/>
  <c r="A25" i="15"/>
  <c r="A24" i="15"/>
  <c r="A20" i="15"/>
  <c r="A19" i="15"/>
  <c r="A18" i="15"/>
  <c r="A17" i="15"/>
  <c r="A16" i="15"/>
  <c r="A15" i="15"/>
  <c r="A11" i="15"/>
  <c r="A10" i="15"/>
  <c r="A9" i="15"/>
  <c r="A5" i="15"/>
  <c r="A4" i="15"/>
  <c r="A3" i="15"/>
  <c r="A25" i="13"/>
  <c r="A24" i="13"/>
  <c r="A20" i="13"/>
  <c r="A19" i="13"/>
  <c r="A18" i="13"/>
  <c r="A17" i="13"/>
  <c r="A16" i="13"/>
  <c r="A15" i="13"/>
  <c r="A11" i="13"/>
  <c r="A10" i="13"/>
  <c r="A9" i="13"/>
  <c r="A5" i="13"/>
  <c r="A4" i="13"/>
  <c r="A3" i="13"/>
  <c r="A25" i="118"/>
  <c r="A24" i="118"/>
  <c r="A20" i="118"/>
  <c r="A19" i="118"/>
  <c r="A18" i="118"/>
  <c r="A17" i="118"/>
  <c r="A16" i="118"/>
  <c r="A15" i="118"/>
  <c r="A11" i="118"/>
  <c r="A10" i="118"/>
  <c r="A9" i="118"/>
  <c r="A5" i="118"/>
  <c r="A4" i="118"/>
  <c r="A3" i="118"/>
  <c r="P53" i="123" a="1"/>
  <c r="P53" i="123" s="1"/>
  <c r="F53" i="123" a="1"/>
  <c r="F53" i="123" s="1"/>
  <c r="N50" i="123" a="1"/>
  <c r="N50" i="123" s="1"/>
  <c r="D50" i="123" a="1"/>
  <c r="D50" i="123" s="1"/>
  <c r="J39" i="123"/>
  <c r="J36" i="123" a="1"/>
  <c r="J36" i="123" s="1"/>
  <c r="H36" i="123" a="1"/>
  <c r="H36" i="123" s="1"/>
  <c r="D36" i="123" a="1"/>
  <c r="D36" i="123" s="1"/>
  <c r="E34" i="123" a="1"/>
  <c r="E34" i="123" s="1"/>
  <c r="E33" i="123" a="1"/>
  <c r="E33" i="123" s="1"/>
  <c r="D29" i="123" a="1"/>
  <c r="D29" i="123" s="1"/>
  <c r="D28" i="123" a="1"/>
  <c r="D28" i="123" s="1"/>
  <c r="G24" i="123"/>
  <c r="F24" i="123"/>
  <c r="J19" i="123" a="1"/>
  <c r="J19" i="123" s="1"/>
  <c r="J17" i="123"/>
  <c r="J16" i="123" a="1"/>
  <c r="J16" i="123" s="1"/>
  <c r="J14" i="123" a="1"/>
  <c r="J14" i="123" s="1"/>
  <c r="J13" i="123" a="1"/>
  <c r="J13" i="123" s="1"/>
  <c r="H13" i="123" a="1"/>
  <c r="H13" i="123" s="1"/>
  <c r="D13" i="123" a="1"/>
  <c r="D13" i="123" s="1"/>
  <c r="E11" i="123" a="1"/>
  <c r="E11" i="123" s="1"/>
  <c r="E10" i="123" a="1"/>
  <c r="E10" i="123" s="1"/>
  <c r="D6" i="123" a="1"/>
  <c r="D6" i="123" s="1"/>
  <c r="D5" i="123" a="1"/>
  <c r="D5" i="123" s="1"/>
  <c r="P53" i="122" a="1"/>
  <c r="P53" i="122" s="1"/>
  <c r="F53" i="122" a="1"/>
  <c r="F53" i="122" s="1"/>
  <c r="N50" i="122" a="1"/>
  <c r="N50" i="122" s="1"/>
  <c r="D50" i="122" a="1"/>
  <c r="D50" i="122" s="1"/>
  <c r="J40" i="122"/>
  <c r="J36" i="122" a="1"/>
  <c r="J36" i="122" s="1"/>
  <c r="H36" i="122" a="1"/>
  <c r="H36" i="122" s="1"/>
  <c r="D36" i="122" a="1"/>
  <c r="D36" i="122" s="1"/>
  <c r="E34" i="122" a="1"/>
  <c r="E34" i="122" s="1"/>
  <c r="E33" i="122" a="1"/>
  <c r="E33" i="122" s="1"/>
  <c r="D29" i="122" a="1"/>
  <c r="D29" i="122" s="1"/>
  <c r="D28" i="122" a="1"/>
  <c r="D28" i="122" s="1"/>
  <c r="G25" i="122"/>
  <c r="F25" i="122"/>
  <c r="J19" i="122" a="1"/>
  <c r="J19" i="122" s="1"/>
  <c r="J18" i="122"/>
  <c r="J16" i="122" a="1"/>
  <c r="J16" i="122" s="1"/>
  <c r="J14" i="122" a="1"/>
  <c r="J14" i="122" s="1"/>
  <c r="J13" i="122" a="1"/>
  <c r="J13" i="122" s="1"/>
  <c r="H13" i="122" a="1"/>
  <c r="H13" i="122" s="1"/>
  <c r="D13" i="122" a="1"/>
  <c r="D13" i="122" s="1"/>
  <c r="E11" i="122" a="1"/>
  <c r="E11" i="122" s="1"/>
  <c r="E10" i="122" a="1"/>
  <c r="E10" i="122" s="1"/>
  <c r="D6" i="122" a="1"/>
  <c r="D6" i="122" s="1"/>
  <c r="D5" i="122" a="1"/>
  <c r="D5" i="122" s="1"/>
  <c r="I18" i="114"/>
  <c r="G25" i="113"/>
  <c r="F25" i="113"/>
  <c r="G24" i="113"/>
  <c r="F24" i="113"/>
  <c r="I60" i="114"/>
  <c r="I37" i="114"/>
  <c r="I19" i="114"/>
  <c r="J40" i="113"/>
  <c r="J39" i="113"/>
  <c r="J18" i="113"/>
  <c r="J17" i="113"/>
  <c r="J36" i="74"/>
  <c r="J19" i="74"/>
  <c r="J13" i="74"/>
  <c r="R58" i="69"/>
  <c r="E27" i="114"/>
  <c r="N26" i="69"/>
  <c r="E7" i="122" a="1"/>
  <c r="E7" i="123" a="1"/>
  <c r="E30" i="69"/>
  <c r="E7" i="69"/>
  <c r="N49" i="69"/>
  <c r="N7" i="69"/>
  <c r="E30" i="122" a="1"/>
  <c r="O27" i="74"/>
  <c r="E30" i="123" a="1"/>
  <c r="E50" i="114"/>
  <c r="E27" i="74"/>
  <c r="H53" i="136" l="1"/>
  <c r="H51" i="136"/>
  <c r="H54" i="136"/>
  <c r="H52" i="136"/>
  <c r="H49" i="136"/>
  <c r="H48" i="136"/>
  <c r="H50" i="136"/>
  <c r="E7" i="122"/>
  <c r="E30" i="122"/>
  <c r="E30" i="123"/>
  <c r="E7" i="123"/>
  <c r="P48" i="123"/>
  <c r="F48" i="123"/>
  <c r="P48" i="122"/>
  <c r="F48" i="122"/>
  <c r="I39" i="69"/>
  <c r="Q18" i="69"/>
  <c r="Q16" i="69"/>
  <c r="Q15" i="69"/>
  <c r="I21" i="69"/>
  <c r="I16" i="69"/>
  <c r="I13" i="69"/>
  <c r="D5" i="110" a="1"/>
  <c r="D5" i="110" s="1"/>
  <c r="K10" i="110" a="1"/>
  <c r="K10" i="110" s="1"/>
  <c r="J10" i="110" a="1"/>
  <c r="J10" i="110" s="1"/>
  <c r="I10" i="110" a="1"/>
  <c r="I10" i="110" s="1"/>
  <c r="H10" i="110" a="1"/>
  <c r="H10" i="110" s="1"/>
  <c r="G10" i="110" a="1"/>
  <c r="G10" i="110" s="1"/>
  <c r="F10" i="110" a="1"/>
  <c r="F10" i="110" s="1"/>
  <c r="E10" i="110" a="1"/>
  <c r="E10" i="110" s="1"/>
  <c r="D10" i="110" a="1"/>
  <c r="D10" i="110" s="1"/>
  <c r="K9" i="110" a="1"/>
  <c r="K9" i="110" s="1"/>
  <c r="J9" i="110" a="1"/>
  <c r="J9" i="110" s="1"/>
  <c r="I9" i="110" a="1"/>
  <c r="I9" i="110" s="1"/>
  <c r="H9" i="110" a="1"/>
  <c r="H9" i="110" s="1"/>
  <c r="G9" i="110" a="1"/>
  <c r="G9" i="110" s="1"/>
  <c r="F9" i="110" a="1"/>
  <c r="F9" i="110" s="1"/>
  <c r="E9" i="110" a="1"/>
  <c r="E9" i="110" s="1"/>
  <c r="D9" i="110" a="1"/>
  <c r="D9" i="110" s="1"/>
  <c r="K8" i="110" a="1"/>
  <c r="K8" i="110" s="1"/>
  <c r="J8" i="110" a="1"/>
  <c r="J8" i="110" s="1"/>
  <c r="I8" i="110" a="1"/>
  <c r="I8" i="110" s="1"/>
  <c r="H8" i="110" a="1"/>
  <c r="H8" i="110" s="1"/>
  <c r="G8" i="110" a="1"/>
  <c r="G8" i="110" s="1"/>
  <c r="F8" i="110" a="1"/>
  <c r="F8" i="110" s="1"/>
  <c r="E8" i="110" a="1"/>
  <c r="E8" i="110" s="1"/>
  <c r="D8" i="110" a="1"/>
  <c r="D8" i="110" s="1"/>
  <c r="D30" i="70" l="1"/>
  <c r="D25" i="70"/>
  <c r="D26" i="70"/>
  <c r="D24" i="70"/>
  <c r="F22" i="70"/>
  <c r="F17" i="70"/>
  <c r="D17" i="70"/>
  <c r="J37" i="74"/>
  <c r="I40" i="69" l="1"/>
  <c r="R59" i="69"/>
  <c r="D26" i="114" a="1"/>
  <c r="D26" i="114" s="1"/>
  <c r="D49" i="114" a="1"/>
  <c r="D49" i="114" s="1"/>
  <c r="F67" i="110" a="1"/>
  <c r="F67" i="110" s="1"/>
  <c r="E67" i="110" a="1"/>
  <c r="E67" i="110" s="1"/>
  <c r="D67" i="110" a="1"/>
  <c r="D67" i="110" s="1"/>
  <c r="F66" i="110" a="1"/>
  <c r="F66" i="110" s="1"/>
  <c r="E66" i="110" a="1"/>
  <c r="E66" i="110" s="1"/>
  <c r="D66" i="110" a="1"/>
  <c r="D66" i="110" s="1"/>
  <c r="F65" i="110" a="1"/>
  <c r="F65" i="110" s="1"/>
  <c r="E65" i="110" a="1"/>
  <c r="E65" i="110" s="1"/>
  <c r="D65" i="110" a="1"/>
  <c r="D65" i="110" s="1"/>
  <c r="F64" i="110" a="1"/>
  <c r="F64" i="110" s="1"/>
  <c r="E64" i="110" a="1"/>
  <c r="E64" i="110" s="1"/>
  <c r="D64" i="110" a="1"/>
  <c r="D64" i="110" s="1"/>
  <c r="F63" i="110" a="1"/>
  <c r="F63" i="110" s="1"/>
  <c r="E63" i="110" a="1"/>
  <c r="E63" i="110" s="1"/>
  <c r="D63" i="110" a="1"/>
  <c r="D63" i="110" s="1"/>
  <c r="D60" i="110" a="1"/>
  <c r="D60" i="110" s="1"/>
  <c r="D59" i="110" a="1"/>
  <c r="D59" i="110" s="1"/>
  <c r="G56" i="114" a="1"/>
  <c r="G56" i="114" s="1"/>
  <c r="D56" i="114" a="1"/>
  <c r="D56" i="114" s="1"/>
  <c r="G33" i="114" a="1"/>
  <c r="G33" i="114" s="1"/>
  <c r="D33" i="114" a="1"/>
  <c r="D33" i="114" s="1"/>
  <c r="G13" i="114" a="1"/>
  <c r="G13" i="114" s="1"/>
  <c r="D13" i="114" a="1"/>
  <c r="D13" i="114" s="1"/>
  <c r="F67" i="114" a="1"/>
  <c r="F67" i="114" s="1"/>
  <c r="D64" i="114" a="1"/>
  <c r="D64" i="114" s="1"/>
  <c r="E54" i="114" a="1"/>
  <c r="E54" i="114" s="1"/>
  <c r="F62" i="114" s="1"/>
  <c r="E53" i="114" a="1"/>
  <c r="E53" i="114" s="1"/>
  <c r="D48" i="114" a="1"/>
  <c r="D48" i="114" s="1"/>
  <c r="F44" i="114" a="1"/>
  <c r="F44" i="114" s="1"/>
  <c r="D41" i="114" a="1"/>
  <c r="D41" i="114" s="1"/>
  <c r="F39" i="114" a="1"/>
  <c r="F39" i="114" s="1"/>
  <c r="E31" i="114" a="1"/>
  <c r="E31" i="114" s="1"/>
  <c r="E30" i="114" a="1"/>
  <c r="E30" i="114" s="1"/>
  <c r="D25" i="114" a="1"/>
  <c r="D25" i="114" s="1"/>
  <c r="F21" i="114" a="1"/>
  <c r="F21" i="114" s="1"/>
  <c r="E11" i="114" a="1"/>
  <c r="E11" i="114" s="1"/>
  <c r="E10" i="114" a="1"/>
  <c r="E10" i="114" s="1"/>
  <c r="D6" i="114" a="1"/>
  <c r="D6" i="114" s="1"/>
  <c r="D5" i="114" a="1"/>
  <c r="D5" i="114" s="1"/>
  <c r="P53" i="113" a="1"/>
  <c r="P53" i="113" s="1"/>
  <c r="N50" i="113" a="1"/>
  <c r="N50" i="113" s="1"/>
  <c r="J36" i="113" a="1"/>
  <c r="J36" i="113" s="1"/>
  <c r="J19" i="113" a="1"/>
  <c r="J19" i="113" s="1"/>
  <c r="J16" i="113" a="1"/>
  <c r="J16" i="113" s="1"/>
  <c r="J14" i="113" a="1"/>
  <c r="J14" i="113" s="1"/>
  <c r="J13" i="113" a="1"/>
  <c r="J13" i="113" s="1"/>
  <c r="F235" i="110" a="1"/>
  <c r="F235" i="110" s="1"/>
  <c r="E235" i="110" a="1"/>
  <c r="E235" i="110" s="1"/>
  <c r="D235" i="110" a="1"/>
  <c r="D235" i="110" s="1"/>
  <c r="F234" i="110" a="1"/>
  <c r="F234" i="110" s="1"/>
  <c r="E234" i="110" a="1"/>
  <c r="E234" i="110" s="1"/>
  <c r="D234" i="110" a="1"/>
  <c r="D234" i="110" s="1"/>
  <c r="F233" i="110" a="1"/>
  <c r="F233" i="110" s="1"/>
  <c r="E233" i="110" a="1"/>
  <c r="E233" i="110" s="1"/>
  <c r="D233" i="110" a="1"/>
  <c r="D233" i="110" s="1"/>
  <c r="F232" i="110" a="1"/>
  <c r="F232" i="110" s="1"/>
  <c r="E232" i="110" a="1"/>
  <c r="E232" i="110" s="1"/>
  <c r="D232" i="110" a="1"/>
  <c r="D232" i="110" s="1"/>
  <c r="F231" i="110" a="1"/>
  <c r="F231" i="110" s="1"/>
  <c r="E231" i="110" a="1"/>
  <c r="E231" i="110" s="1"/>
  <c r="D231" i="110" a="1"/>
  <c r="D231" i="110" s="1"/>
  <c r="F230" i="110" a="1"/>
  <c r="F230" i="110" s="1"/>
  <c r="E230" i="110" a="1"/>
  <c r="E230" i="110" s="1"/>
  <c r="D230" i="110" a="1"/>
  <c r="D230" i="110" s="1"/>
  <c r="F229" i="110" a="1"/>
  <c r="F229" i="110" s="1"/>
  <c r="E229" i="110" a="1"/>
  <c r="E229" i="110" s="1"/>
  <c r="D229" i="110" a="1"/>
  <c r="D229" i="110" s="1"/>
  <c r="F228" i="110" a="1"/>
  <c r="F228" i="110" s="1"/>
  <c r="E228" i="110" a="1"/>
  <c r="E228" i="110" s="1"/>
  <c r="D228" i="110" a="1"/>
  <c r="D228" i="110" s="1"/>
  <c r="F227" i="110" a="1"/>
  <c r="F227" i="110" s="1"/>
  <c r="E227" i="110" a="1"/>
  <c r="E227" i="110" s="1"/>
  <c r="D227" i="110" a="1"/>
  <c r="D227" i="110" s="1"/>
  <c r="F226" i="110" a="1"/>
  <c r="F226" i="110" s="1"/>
  <c r="E226" i="110" a="1"/>
  <c r="E226" i="110" s="1"/>
  <c r="D226" i="110" a="1"/>
  <c r="D226" i="110" s="1"/>
  <c r="F225" i="110" a="1"/>
  <c r="F225" i="110" s="1"/>
  <c r="E225" i="110" a="1"/>
  <c r="E225" i="110" s="1"/>
  <c r="D225" i="110" a="1"/>
  <c r="D225" i="110" s="1"/>
  <c r="F224" i="110" a="1"/>
  <c r="F224" i="110" s="1"/>
  <c r="E224" i="110" a="1"/>
  <c r="E224" i="110" s="1"/>
  <c r="D224" i="110" a="1"/>
  <c r="D224" i="110" s="1"/>
  <c r="F223" i="110" a="1"/>
  <c r="F223" i="110" s="1"/>
  <c r="E223" i="110" a="1"/>
  <c r="E223" i="110" s="1"/>
  <c r="D223" i="110" a="1"/>
  <c r="D223" i="110" s="1"/>
  <c r="F222" i="110" a="1"/>
  <c r="F222" i="110" s="1"/>
  <c r="E222" i="110" a="1"/>
  <c r="E222" i="110" s="1"/>
  <c r="D222" i="110" a="1"/>
  <c r="D222" i="110" s="1"/>
  <c r="F221" i="110" a="1"/>
  <c r="F221" i="110" s="1"/>
  <c r="E221" i="110" a="1"/>
  <c r="E221" i="110" s="1"/>
  <c r="D221" i="110" a="1"/>
  <c r="D221" i="110" s="1"/>
  <c r="F220" i="110" a="1"/>
  <c r="F220" i="110" s="1"/>
  <c r="E220" i="110" a="1"/>
  <c r="E220" i="110" s="1"/>
  <c r="D220" i="110" a="1"/>
  <c r="D220" i="110" s="1"/>
  <c r="F219" i="110" a="1"/>
  <c r="F219" i="110" s="1"/>
  <c r="E219" i="110" a="1"/>
  <c r="E219" i="110" s="1"/>
  <c r="D219" i="110" a="1"/>
  <c r="D219" i="110" s="1"/>
  <c r="F218" i="110" a="1"/>
  <c r="F218" i="110" s="1"/>
  <c r="E218" i="110" a="1"/>
  <c r="E218" i="110" s="1"/>
  <c r="D218" i="110" a="1"/>
  <c r="D218" i="110" s="1"/>
  <c r="F217" i="110" a="1"/>
  <c r="F217" i="110" s="1"/>
  <c r="E217" i="110" a="1"/>
  <c r="E217" i="110" s="1"/>
  <c r="D217" i="110" a="1"/>
  <c r="D217" i="110" s="1"/>
  <c r="F216" i="110" a="1"/>
  <c r="F216" i="110" s="1"/>
  <c r="E216" i="110" a="1"/>
  <c r="E216" i="110" s="1"/>
  <c r="D216" i="110" a="1"/>
  <c r="D216" i="110" s="1"/>
  <c r="F215" i="110" a="1"/>
  <c r="F215" i="110" s="1"/>
  <c r="E215" i="110" a="1"/>
  <c r="E215" i="110" s="1"/>
  <c r="D215" i="110" a="1"/>
  <c r="D215" i="110" s="1"/>
  <c r="F214" i="110" a="1"/>
  <c r="F214" i="110" s="1"/>
  <c r="E214" i="110" a="1"/>
  <c r="E214" i="110" s="1"/>
  <c r="D214" i="110" a="1"/>
  <c r="D214" i="110" s="1"/>
  <c r="F213" i="110" a="1"/>
  <c r="F213" i="110" s="1"/>
  <c r="E213" i="110" a="1"/>
  <c r="E213" i="110" s="1"/>
  <c r="D213" i="110" a="1"/>
  <c r="D213" i="110" s="1"/>
  <c r="F212" i="110" a="1"/>
  <c r="F212" i="110" s="1"/>
  <c r="E212" i="110" a="1"/>
  <c r="E212" i="110" s="1"/>
  <c r="D212" i="110" a="1"/>
  <c r="D212" i="110" s="1"/>
  <c r="F211" i="110" a="1"/>
  <c r="F211" i="110" s="1"/>
  <c r="E211" i="110" a="1"/>
  <c r="E211" i="110" s="1"/>
  <c r="D211" i="110" a="1"/>
  <c r="D211" i="110" s="1"/>
  <c r="F210" i="110" a="1"/>
  <c r="F210" i="110" s="1"/>
  <c r="E210" i="110" a="1"/>
  <c r="E210" i="110" s="1"/>
  <c r="D210" i="110" a="1"/>
  <c r="D210" i="110" s="1"/>
  <c r="F209" i="110" a="1"/>
  <c r="F209" i="110" s="1"/>
  <c r="E209" i="110" a="1"/>
  <c r="E209" i="110" s="1"/>
  <c r="D209" i="110" a="1"/>
  <c r="D209" i="110" s="1"/>
  <c r="F208" i="110" a="1"/>
  <c r="F208" i="110" s="1"/>
  <c r="E208" i="110" a="1"/>
  <c r="E208" i="110" s="1"/>
  <c r="D208" i="110" a="1"/>
  <c r="D208" i="110" s="1"/>
  <c r="F207" i="110" a="1"/>
  <c r="F207" i="110" s="1"/>
  <c r="E207" i="110" a="1"/>
  <c r="E207" i="110" s="1"/>
  <c r="D207" i="110" a="1"/>
  <c r="D207" i="110" s="1"/>
  <c r="F206" i="110" a="1"/>
  <c r="F206" i="110" s="1"/>
  <c r="E206" i="110" a="1"/>
  <c r="E206" i="110" s="1"/>
  <c r="D206" i="110" a="1"/>
  <c r="D206" i="110" s="1"/>
  <c r="F205" i="110" a="1"/>
  <c r="F205" i="110" s="1"/>
  <c r="E205" i="110" a="1"/>
  <c r="E205" i="110" s="1"/>
  <c r="D205" i="110" a="1"/>
  <c r="D205" i="110" s="1"/>
  <c r="F204" i="110" a="1"/>
  <c r="F204" i="110" s="1"/>
  <c r="E204" i="110" a="1"/>
  <c r="E204" i="110" s="1"/>
  <c r="D204" i="110" a="1"/>
  <c r="D204" i="110" s="1"/>
  <c r="F203" i="110" a="1"/>
  <c r="F203" i="110" s="1"/>
  <c r="E203" i="110" a="1"/>
  <c r="E203" i="110" s="1"/>
  <c r="D203" i="110" a="1"/>
  <c r="D203" i="110" s="1"/>
  <c r="F202" i="110" a="1"/>
  <c r="F202" i="110" s="1"/>
  <c r="E202" i="110" a="1"/>
  <c r="E202" i="110" s="1"/>
  <c r="D202" i="110" a="1"/>
  <c r="D202" i="110" s="1"/>
  <c r="F201" i="110" a="1"/>
  <c r="F201" i="110" s="1"/>
  <c r="E201" i="110" a="1"/>
  <c r="E201" i="110" s="1"/>
  <c r="D201" i="110" a="1"/>
  <c r="D201" i="110" s="1"/>
  <c r="F200" i="110" a="1"/>
  <c r="F200" i="110" s="1"/>
  <c r="E200" i="110" a="1"/>
  <c r="E200" i="110" s="1"/>
  <c r="D200" i="110" a="1"/>
  <c r="D200" i="110" s="1"/>
  <c r="F199" i="110" a="1"/>
  <c r="F199" i="110" s="1"/>
  <c r="E199" i="110" a="1"/>
  <c r="E199" i="110" s="1"/>
  <c r="D199" i="110" a="1"/>
  <c r="D199" i="110" s="1"/>
  <c r="F198" i="110" a="1"/>
  <c r="F198" i="110" s="1"/>
  <c r="E198" i="110" a="1"/>
  <c r="E198" i="110" s="1"/>
  <c r="D198" i="110" a="1"/>
  <c r="D198" i="110" s="1"/>
  <c r="F197" i="110" a="1"/>
  <c r="F197" i="110" s="1"/>
  <c r="E197" i="110" a="1"/>
  <c r="E197" i="110" s="1"/>
  <c r="D197" i="110" a="1"/>
  <c r="D197" i="110" s="1"/>
  <c r="F196" i="110" a="1"/>
  <c r="F196" i="110" s="1"/>
  <c r="E196" i="110" a="1"/>
  <c r="E196" i="110" s="1"/>
  <c r="D196" i="110" a="1"/>
  <c r="D196" i="110" s="1"/>
  <c r="F195" i="110" a="1"/>
  <c r="F195" i="110" s="1"/>
  <c r="E195" i="110" a="1"/>
  <c r="E195" i="110" s="1"/>
  <c r="D195" i="110" a="1"/>
  <c r="D195" i="110" s="1"/>
  <c r="F194" i="110" a="1"/>
  <c r="F194" i="110" s="1"/>
  <c r="E194" i="110" a="1"/>
  <c r="E194" i="110" s="1"/>
  <c r="D194" i="110" a="1"/>
  <c r="D194" i="110" s="1"/>
  <c r="F193" i="110" a="1"/>
  <c r="F193" i="110" s="1"/>
  <c r="E193" i="110" a="1"/>
  <c r="E193" i="110" s="1"/>
  <c r="D193" i="110" a="1"/>
  <c r="D193" i="110" s="1"/>
  <c r="F192" i="110" a="1"/>
  <c r="F192" i="110" s="1"/>
  <c r="E192" i="110" a="1"/>
  <c r="E192" i="110" s="1"/>
  <c r="D192" i="110" a="1"/>
  <c r="D192" i="110" s="1"/>
  <c r="F191" i="110" a="1"/>
  <c r="F191" i="110" s="1"/>
  <c r="E191" i="110" a="1"/>
  <c r="E191" i="110" s="1"/>
  <c r="D191" i="110" a="1"/>
  <c r="D191" i="110" s="1"/>
  <c r="F190" i="110" a="1"/>
  <c r="F190" i="110" s="1"/>
  <c r="E190" i="110" a="1"/>
  <c r="E190" i="110" s="1"/>
  <c r="D190" i="110" a="1"/>
  <c r="D190" i="110" s="1"/>
  <c r="F189" i="110" a="1"/>
  <c r="F189" i="110" s="1"/>
  <c r="E189" i="110" a="1"/>
  <c r="E189" i="110" s="1"/>
  <c r="D189" i="110" a="1"/>
  <c r="D189" i="110" s="1"/>
  <c r="F188" i="110" a="1"/>
  <c r="F188" i="110" s="1"/>
  <c r="E188" i="110" a="1"/>
  <c r="E188" i="110" s="1"/>
  <c r="D188" i="110" a="1"/>
  <c r="D188" i="110" s="1"/>
  <c r="F187" i="110" a="1"/>
  <c r="F187" i="110" s="1"/>
  <c r="E187" i="110" a="1"/>
  <c r="E187" i="110" s="1"/>
  <c r="D187" i="110" a="1"/>
  <c r="D187" i="110" s="1"/>
  <c r="F186" i="110" a="1"/>
  <c r="F186" i="110" s="1"/>
  <c r="E186" i="110" a="1"/>
  <c r="E186" i="110" s="1"/>
  <c r="D186" i="110" a="1"/>
  <c r="D186" i="110" s="1"/>
  <c r="F185" i="110" a="1"/>
  <c r="F185" i="110" s="1"/>
  <c r="E185" i="110" a="1"/>
  <c r="E185" i="110" s="1"/>
  <c r="D185" i="110" a="1"/>
  <c r="D185" i="110" s="1"/>
  <c r="F184" i="110" a="1"/>
  <c r="F184" i="110" s="1"/>
  <c r="E184" i="110" a="1"/>
  <c r="E184" i="110" s="1"/>
  <c r="D184" i="110" a="1"/>
  <c r="D184" i="110" s="1"/>
  <c r="F183" i="110" a="1"/>
  <c r="F183" i="110" s="1"/>
  <c r="E183" i="110" a="1"/>
  <c r="E183" i="110" s="1"/>
  <c r="D183" i="110" a="1"/>
  <c r="D183" i="110" s="1"/>
  <c r="F182" i="110" a="1"/>
  <c r="F182" i="110" s="1"/>
  <c r="E182" i="110" a="1"/>
  <c r="E182" i="110" s="1"/>
  <c r="D182" i="110" a="1"/>
  <c r="D182" i="110" s="1"/>
  <c r="F181" i="110" a="1"/>
  <c r="F181" i="110" s="1"/>
  <c r="E181" i="110" a="1"/>
  <c r="E181" i="110" s="1"/>
  <c r="D181" i="110" a="1"/>
  <c r="D181" i="110" s="1"/>
  <c r="F180" i="110" a="1"/>
  <c r="F180" i="110" s="1"/>
  <c r="E180" i="110" a="1"/>
  <c r="E180" i="110" s="1"/>
  <c r="D180" i="110" a="1"/>
  <c r="D180" i="110" s="1"/>
  <c r="F179" i="110" a="1"/>
  <c r="F179" i="110" s="1"/>
  <c r="E179" i="110" a="1"/>
  <c r="E179" i="110" s="1"/>
  <c r="D179" i="110" a="1"/>
  <c r="D179" i="110" s="1"/>
  <c r="F178" i="110" a="1"/>
  <c r="F178" i="110" s="1"/>
  <c r="E178" i="110" a="1"/>
  <c r="E178" i="110" s="1"/>
  <c r="D178" i="110" a="1"/>
  <c r="D178" i="110" s="1"/>
  <c r="F177" i="110" a="1"/>
  <c r="F177" i="110" s="1"/>
  <c r="E177" i="110" a="1"/>
  <c r="E177" i="110" s="1"/>
  <c r="D177" i="110" a="1"/>
  <c r="D177" i="110" s="1"/>
  <c r="F176" i="110" a="1"/>
  <c r="F176" i="110" s="1"/>
  <c r="E176" i="110" a="1"/>
  <c r="E176" i="110" s="1"/>
  <c r="D176" i="110" a="1"/>
  <c r="D176" i="110" s="1"/>
  <c r="F175" i="110" a="1"/>
  <c r="F175" i="110" s="1"/>
  <c r="E175" i="110" a="1"/>
  <c r="E175" i="110" s="1"/>
  <c r="D175" i="110" a="1"/>
  <c r="D175" i="110" s="1"/>
  <c r="F174" i="110" a="1"/>
  <c r="F174" i="110" s="1"/>
  <c r="E174" i="110" a="1"/>
  <c r="E174" i="110" s="1"/>
  <c r="D174" i="110" a="1"/>
  <c r="D174" i="110" s="1"/>
  <c r="F173" i="110" a="1"/>
  <c r="F173" i="110" s="1"/>
  <c r="E173" i="110" a="1"/>
  <c r="E173" i="110" s="1"/>
  <c r="D173" i="110" a="1"/>
  <c r="D173" i="110" s="1"/>
  <c r="F172" i="110" a="1"/>
  <c r="F172" i="110" s="1"/>
  <c r="E172" i="110" a="1"/>
  <c r="E172" i="110" s="1"/>
  <c r="D172" i="110" a="1"/>
  <c r="D172" i="110" s="1"/>
  <c r="F171" i="110" a="1"/>
  <c r="F171" i="110" s="1"/>
  <c r="E171" i="110" a="1"/>
  <c r="E171" i="110" s="1"/>
  <c r="D171" i="110" a="1"/>
  <c r="D171" i="110" s="1"/>
  <c r="F170" i="110" a="1"/>
  <c r="F170" i="110" s="1"/>
  <c r="E170" i="110" a="1"/>
  <c r="E170" i="110" s="1"/>
  <c r="D170" i="110" a="1"/>
  <c r="D170" i="110" s="1"/>
  <c r="F169" i="110" a="1"/>
  <c r="F169" i="110" s="1"/>
  <c r="E169" i="110" a="1"/>
  <c r="E169" i="110" s="1"/>
  <c r="D169" i="110" a="1"/>
  <c r="D169" i="110" s="1"/>
  <c r="F168" i="110" a="1"/>
  <c r="F168" i="110" s="1"/>
  <c r="E168" i="110" a="1"/>
  <c r="E168" i="110" s="1"/>
  <c r="D168" i="110" a="1"/>
  <c r="D168" i="110" s="1"/>
  <c r="F167" i="110" a="1"/>
  <c r="F167" i="110" s="1"/>
  <c r="E167" i="110" a="1"/>
  <c r="E167" i="110" s="1"/>
  <c r="D167" i="110" a="1"/>
  <c r="D167" i="110" s="1"/>
  <c r="F166" i="110" a="1"/>
  <c r="F166" i="110" s="1"/>
  <c r="E166" i="110" a="1"/>
  <c r="E166" i="110" s="1"/>
  <c r="D166" i="110" a="1"/>
  <c r="D166" i="110" s="1"/>
  <c r="F165" i="110" a="1"/>
  <c r="F165" i="110" s="1"/>
  <c r="E165" i="110" a="1"/>
  <c r="E165" i="110" s="1"/>
  <c r="D165" i="110" a="1"/>
  <c r="D165" i="110" s="1"/>
  <c r="F164" i="110" a="1"/>
  <c r="F164" i="110" s="1"/>
  <c r="E164" i="110" a="1"/>
  <c r="E164" i="110" s="1"/>
  <c r="D164" i="110" a="1"/>
  <c r="D164" i="110" s="1"/>
  <c r="F163" i="110" a="1"/>
  <c r="F163" i="110" s="1"/>
  <c r="E163" i="110" a="1"/>
  <c r="E163" i="110" s="1"/>
  <c r="D163" i="110" a="1"/>
  <c r="D163" i="110" s="1"/>
  <c r="F162" i="110" a="1"/>
  <c r="F162" i="110" s="1"/>
  <c r="E162" i="110" a="1"/>
  <c r="E162" i="110" s="1"/>
  <c r="D162" i="110" a="1"/>
  <c r="D162" i="110" s="1"/>
  <c r="F161" i="110" a="1"/>
  <c r="F161" i="110" s="1"/>
  <c r="E161" i="110" a="1"/>
  <c r="E161" i="110" s="1"/>
  <c r="D161" i="110" a="1"/>
  <c r="D161" i="110" s="1"/>
  <c r="F160" i="110" a="1"/>
  <c r="F160" i="110" s="1"/>
  <c r="E160" i="110" a="1"/>
  <c r="E160" i="110" s="1"/>
  <c r="D160" i="110" a="1"/>
  <c r="D160" i="110" s="1"/>
  <c r="F159" i="110" a="1"/>
  <c r="F159" i="110" s="1"/>
  <c r="E159" i="110" a="1"/>
  <c r="E159" i="110" s="1"/>
  <c r="D159" i="110" a="1"/>
  <c r="D159" i="110" s="1"/>
  <c r="F158" i="110" a="1"/>
  <c r="F158" i="110" s="1"/>
  <c r="E158" i="110" a="1"/>
  <c r="E158" i="110" s="1"/>
  <c r="D158" i="110" a="1"/>
  <c r="D158" i="110" s="1"/>
  <c r="F157" i="110" a="1"/>
  <c r="F157" i="110" s="1"/>
  <c r="E157" i="110" a="1"/>
  <c r="E157" i="110" s="1"/>
  <c r="D157" i="110" a="1"/>
  <c r="D157" i="110" s="1"/>
  <c r="F156" i="110" a="1"/>
  <c r="F156" i="110" s="1"/>
  <c r="E156" i="110" a="1"/>
  <c r="E156" i="110" s="1"/>
  <c r="D156" i="110" a="1"/>
  <c r="D156" i="110" s="1"/>
  <c r="F155" i="110" a="1"/>
  <c r="F155" i="110" s="1"/>
  <c r="E155" i="110" a="1"/>
  <c r="E155" i="110" s="1"/>
  <c r="D155" i="110" a="1"/>
  <c r="D155" i="110" s="1"/>
  <c r="F154" i="110" a="1"/>
  <c r="F154" i="110" s="1"/>
  <c r="E154" i="110" a="1"/>
  <c r="E154" i="110" s="1"/>
  <c r="D154" i="110" a="1"/>
  <c r="D154" i="110" s="1"/>
  <c r="F153" i="110" a="1"/>
  <c r="F153" i="110" s="1"/>
  <c r="E153" i="110" a="1"/>
  <c r="E153" i="110" s="1"/>
  <c r="D153" i="110" a="1"/>
  <c r="D153" i="110" s="1"/>
  <c r="F152" i="110" a="1"/>
  <c r="F152" i="110" s="1"/>
  <c r="E152" i="110" a="1"/>
  <c r="E152" i="110" s="1"/>
  <c r="D152" i="110" a="1"/>
  <c r="D152" i="110" s="1"/>
  <c r="F151" i="110" a="1"/>
  <c r="F151" i="110" s="1"/>
  <c r="E151" i="110" a="1"/>
  <c r="E151" i="110" s="1"/>
  <c r="D151" i="110" a="1"/>
  <c r="D151" i="110" s="1"/>
  <c r="F150" i="110" a="1"/>
  <c r="F150" i="110" s="1"/>
  <c r="E150" i="110" a="1"/>
  <c r="E150" i="110" s="1"/>
  <c r="D150" i="110" a="1"/>
  <c r="D150" i="110" s="1"/>
  <c r="F149" i="110" a="1"/>
  <c r="F149" i="110" s="1"/>
  <c r="E149" i="110" a="1"/>
  <c r="E149" i="110" s="1"/>
  <c r="D149" i="110" a="1"/>
  <c r="D149" i="110" s="1"/>
  <c r="F148" i="110" a="1"/>
  <c r="F148" i="110" s="1"/>
  <c r="E148" i="110" a="1"/>
  <c r="E148" i="110" s="1"/>
  <c r="D148" i="110" a="1"/>
  <c r="D148" i="110" s="1"/>
  <c r="F147" i="110" a="1"/>
  <c r="F147" i="110" s="1"/>
  <c r="E147" i="110" a="1"/>
  <c r="E147" i="110" s="1"/>
  <c r="D147" i="110" a="1"/>
  <c r="D147" i="110" s="1"/>
  <c r="F146" i="110" a="1"/>
  <c r="F146" i="110" s="1"/>
  <c r="E146" i="110" a="1"/>
  <c r="E146" i="110" s="1"/>
  <c r="D146" i="110" a="1"/>
  <c r="D146" i="110" s="1"/>
  <c r="F145" i="110" a="1"/>
  <c r="F145" i="110" s="1"/>
  <c r="E145" i="110" a="1"/>
  <c r="E145" i="110" s="1"/>
  <c r="D145" i="110" a="1"/>
  <c r="D145" i="110" s="1"/>
  <c r="F144" i="110" a="1"/>
  <c r="F144" i="110" s="1"/>
  <c r="E144" i="110" a="1"/>
  <c r="E144" i="110" s="1"/>
  <c r="D144" i="110" a="1"/>
  <c r="D144" i="110" s="1"/>
  <c r="F143" i="110" a="1"/>
  <c r="F143" i="110" s="1"/>
  <c r="E143" i="110" a="1"/>
  <c r="E143" i="110" s="1"/>
  <c r="D143" i="110" a="1"/>
  <c r="D143" i="110" s="1"/>
  <c r="F142" i="110" a="1"/>
  <c r="F142" i="110" s="1"/>
  <c r="E142" i="110" a="1"/>
  <c r="E142" i="110" s="1"/>
  <c r="D142" i="110" a="1"/>
  <c r="D142" i="110" s="1"/>
  <c r="F141" i="110" a="1"/>
  <c r="F141" i="110" s="1"/>
  <c r="E141" i="110" a="1"/>
  <c r="E141" i="110" s="1"/>
  <c r="D141" i="110" a="1"/>
  <c r="D141" i="110" s="1"/>
  <c r="F140" i="110" a="1"/>
  <c r="F140" i="110" s="1"/>
  <c r="E140" i="110" a="1"/>
  <c r="E140" i="110" s="1"/>
  <c r="D140" i="110" a="1"/>
  <c r="D140" i="110" s="1"/>
  <c r="F139" i="110" a="1"/>
  <c r="F139" i="110" s="1"/>
  <c r="E139" i="110" a="1"/>
  <c r="E139" i="110" s="1"/>
  <c r="D139" i="110" a="1"/>
  <c r="D139" i="110" s="1"/>
  <c r="F138" i="110" a="1"/>
  <c r="F138" i="110" s="1"/>
  <c r="E138" i="110" a="1"/>
  <c r="E138" i="110" s="1"/>
  <c r="D138" i="110" a="1"/>
  <c r="D138" i="110" s="1"/>
  <c r="F137" i="110" a="1"/>
  <c r="F137" i="110" s="1"/>
  <c r="E137" i="110" a="1"/>
  <c r="E137" i="110" s="1"/>
  <c r="D137" i="110" a="1"/>
  <c r="D137" i="110" s="1"/>
  <c r="F136" i="110" a="1"/>
  <c r="F136" i="110" s="1"/>
  <c r="E136" i="110" a="1"/>
  <c r="E136" i="110" s="1"/>
  <c r="D136" i="110" a="1"/>
  <c r="D136" i="110" s="1"/>
  <c r="F135" i="110" a="1"/>
  <c r="F135" i="110" s="1"/>
  <c r="E135" i="110" a="1"/>
  <c r="E135" i="110" s="1"/>
  <c r="D135" i="110" a="1"/>
  <c r="D135" i="110" s="1"/>
  <c r="F134" i="110" a="1"/>
  <c r="F134" i="110" s="1"/>
  <c r="E134" i="110" a="1"/>
  <c r="E134" i="110" s="1"/>
  <c r="D134" i="110" a="1"/>
  <c r="D134" i="110" s="1"/>
  <c r="F133" i="110" a="1"/>
  <c r="F133" i="110" s="1"/>
  <c r="E133" i="110" a="1"/>
  <c r="E133" i="110" s="1"/>
  <c r="D133" i="110" a="1"/>
  <c r="D133" i="110" s="1"/>
  <c r="F132" i="110" a="1"/>
  <c r="F132" i="110" s="1"/>
  <c r="E132" i="110" a="1"/>
  <c r="E132" i="110" s="1"/>
  <c r="D132" i="110" a="1"/>
  <c r="D132" i="110" s="1"/>
  <c r="F131" i="110" a="1"/>
  <c r="F131" i="110" s="1"/>
  <c r="E131" i="110" a="1"/>
  <c r="E131" i="110" s="1"/>
  <c r="D131" i="110" a="1"/>
  <c r="D131" i="110" s="1"/>
  <c r="F130" i="110" a="1"/>
  <c r="F130" i="110" s="1"/>
  <c r="E130" i="110" a="1"/>
  <c r="E130" i="110" s="1"/>
  <c r="D130" i="110" a="1"/>
  <c r="D130" i="110" s="1"/>
  <c r="F129" i="110" a="1"/>
  <c r="F129" i="110" s="1"/>
  <c r="E129" i="110" a="1"/>
  <c r="E129" i="110" s="1"/>
  <c r="D129" i="110" a="1"/>
  <c r="D129" i="110" s="1"/>
  <c r="F128" i="110" a="1"/>
  <c r="F128" i="110" s="1"/>
  <c r="E128" i="110" a="1"/>
  <c r="E128" i="110" s="1"/>
  <c r="D128" i="110" a="1"/>
  <c r="D128" i="110" s="1"/>
  <c r="F127" i="110" a="1"/>
  <c r="F127" i="110" s="1"/>
  <c r="E127" i="110" a="1"/>
  <c r="E127" i="110" s="1"/>
  <c r="D127" i="110" a="1"/>
  <c r="D127" i="110" s="1"/>
  <c r="F126" i="110" a="1"/>
  <c r="F126" i="110" s="1"/>
  <c r="E126" i="110" a="1"/>
  <c r="E126" i="110" s="1"/>
  <c r="D126" i="110" a="1"/>
  <c r="D126" i="110" s="1"/>
  <c r="F125" i="110" a="1"/>
  <c r="F125" i="110" s="1"/>
  <c r="E125" i="110" a="1"/>
  <c r="E125" i="110" s="1"/>
  <c r="D125" i="110" a="1"/>
  <c r="D125" i="110" s="1"/>
  <c r="F124" i="110" a="1"/>
  <c r="F124" i="110" s="1"/>
  <c r="E124" i="110" a="1"/>
  <c r="E124" i="110" s="1"/>
  <c r="D124" i="110" a="1"/>
  <c r="D124" i="110" s="1"/>
  <c r="F123" i="110" a="1"/>
  <c r="F123" i="110" s="1"/>
  <c r="E123" i="110" a="1"/>
  <c r="E123" i="110" s="1"/>
  <c r="D123" i="110" a="1"/>
  <c r="D123" i="110" s="1"/>
  <c r="F122" i="110" a="1"/>
  <c r="F122" i="110" s="1"/>
  <c r="E122" i="110" a="1"/>
  <c r="E122" i="110" s="1"/>
  <c r="D122" i="110" a="1"/>
  <c r="D122" i="110" s="1"/>
  <c r="F121" i="110" a="1"/>
  <c r="F121" i="110" s="1"/>
  <c r="E121" i="110" a="1"/>
  <c r="E121" i="110" s="1"/>
  <c r="D121" i="110" a="1"/>
  <c r="D121" i="110" s="1"/>
  <c r="F120" i="110" a="1"/>
  <c r="F120" i="110" s="1"/>
  <c r="E120" i="110" a="1"/>
  <c r="E120" i="110" s="1"/>
  <c r="D120" i="110" a="1"/>
  <c r="D120" i="110" s="1"/>
  <c r="F119" i="110" a="1"/>
  <c r="F119" i="110" s="1"/>
  <c r="E119" i="110" a="1"/>
  <c r="E119" i="110" s="1"/>
  <c r="D119" i="110" a="1"/>
  <c r="D119" i="110" s="1"/>
  <c r="F118" i="110" a="1"/>
  <c r="F118" i="110" s="1"/>
  <c r="E118" i="110" a="1"/>
  <c r="E118" i="110" s="1"/>
  <c r="D118" i="110" a="1"/>
  <c r="D118" i="110" s="1"/>
  <c r="F117" i="110" a="1"/>
  <c r="F117" i="110" s="1"/>
  <c r="E117" i="110" a="1"/>
  <c r="E117" i="110" s="1"/>
  <c r="D117" i="110" a="1"/>
  <c r="D117" i="110" s="1"/>
  <c r="F116" i="110" a="1"/>
  <c r="F116" i="110" s="1"/>
  <c r="E116" i="110" a="1"/>
  <c r="E116" i="110" s="1"/>
  <c r="D116" i="110" a="1"/>
  <c r="D116" i="110" s="1"/>
  <c r="F115" i="110" a="1"/>
  <c r="F115" i="110" s="1"/>
  <c r="E115" i="110" a="1"/>
  <c r="E115" i="110" s="1"/>
  <c r="D115" i="110" a="1"/>
  <c r="D115" i="110" s="1"/>
  <c r="F114" i="110" a="1"/>
  <c r="F114" i="110" s="1"/>
  <c r="E114" i="110" a="1"/>
  <c r="E114" i="110" s="1"/>
  <c r="D114" i="110" a="1"/>
  <c r="D114" i="110" s="1"/>
  <c r="F113" i="110" a="1"/>
  <c r="F113" i="110" s="1"/>
  <c r="E113" i="110" a="1"/>
  <c r="E113" i="110" s="1"/>
  <c r="D113" i="110" a="1"/>
  <c r="D113" i="110" s="1"/>
  <c r="F112" i="110" a="1"/>
  <c r="F112" i="110" s="1"/>
  <c r="E112" i="110" a="1"/>
  <c r="E112" i="110" s="1"/>
  <c r="D112" i="110" a="1"/>
  <c r="D112" i="110" s="1"/>
  <c r="F111" i="110" a="1"/>
  <c r="F111" i="110" s="1"/>
  <c r="E111" i="110" a="1"/>
  <c r="E111" i="110" s="1"/>
  <c r="D111" i="110" a="1"/>
  <c r="D111" i="110" s="1"/>
  <c r="F110" i="110" a="1"/>
  <c r="F110" i="110" s="1"/>
  <c r="E110" i="110" a="1"/>
  <c r="E110" i="110" s="1"/>
  <c r="D110" i="110" a="1"/>
  <c r="D110" i="110" s="1"/>
  <c r="F109" i="110" a="1"/>
  <c r="F109" i="110" s="1"/>
  <c r="E109" i="110" a="1"/>
  <c r="E109" i="110" s="1"/>
  <c r="D109" i="110" a="1"/>
  <c r="D109" i="110" s="1"/>
  <c r="F108" i="110" a="1"/>
  <c r="F108" i="110" s="1"/>
  <c r="E108" i="110" a="1"/>
  <c r="E108" i="110" s="1"/>
  <c r="D108" i="110" a="1"/>
  <c r="D108" i="110" s="1"/>
  <c r="F107" i="110" a="1"/>
  <c r="F107" i="110" s="1"/>
  <c r="E107" i="110" a="1"/>
  <c r="E107" i="110" s="1"/>
  <c r="D107" i="110" a="1"/>
  <c r="D107" i="110" s="1"/>
  <c r="F106" i="110" a="1"/>
  <c r="F106" i="110" s="1"/>
  <c r="E106" i="110" a="1"/>
  <c r="E106" i="110" s="1"/>
  <c r="D106" i="110" a="1"/>
  <c r="D106" i="110" s="1"/>
  <c r="F105" i="110" a="1"/>
  <c r="F105" i="110" s="1"/>
  <c r="E105" i="110" a="1"/>
  <c r="E105" i="110" s="1"/>
  <c r="D105" i="110" a="1"/>
  <c r="D105" i="110" s="1"/>
  <c r="F104" i="110" a="1"/>
  <c r="F104" i="110" s="1"/>
  <c r="E104" i="110" a="1"/>
  <c r="E104" i="110" s="1"/>
  <c r="D104" i="110" a="1"/>
  <c r="D104" i="110" s="1"/>
  <c r="F103" i="110" a="1"/>
  <c r="F103" i="110" s="1"/>
  <c r="E103" i="110" a="1"/>
  <c r="E103" i="110" s="1"/>
  <c r="D103" i="110" a="1"/>
  <c r="D103" i="110" s="1"/>
  <c r="F102" i="110" a="1"/>
  <c r="F102" i="110" s="1"/>
  <c r="E102" i="110" a="1"/>
  <c r="E102" i="110" s="1"/>
  <c r="D102" i="110" a="1"/>
  <c r="D102" i="110" s="1"/>
  <c r="F101" i="110" a="1"/>
  <c r="F101" i="110" s="1"/>
  <c r="E101" i="110" a="1"/>
  <c r="E101" i="110" s="1"/>
  <c r="D101" i="110" a="1"/>
  <c r="D101" i="110" s="1"/>
  <c r="F100" i="110" a="1"/>
  <c r="F100" i="110" s="1"/>
  <c r="E100" i="110" a="1"/>
  <c r="E100" i="110" s="1"/>
  <c r="D100" i="110" a="1"/>
  <c r="D100" i="110" s="1"/>
  <c r="F99" i="110" a="1"/>
  <c r="F99" i="110" s="1"/>
  <c r="E99" i="110" a="1"/>
  <c r="E99" i="110" s="1"/>
  <c r="D99" i="110" a="1"/>
  <c r="D99" i="110" s="1"/>
  <c r="F98" i="110" a="1"/>
  <c r="F98" i="110" s="1"/>
  <c r="E98" i="110" a="1"/>
  <c r="E98" i="110" s="1"/>
  <c r="D98" i="110" a="1"/>
  <c r="D98" i="110" s="1"/>
  <c r="F97" i="110" a="1"/>
  <c r="F97" i="110" s="1"/>
  <c r="E97" i="110" a="1"/>
  <c r="E97" i="110" s="1"/>
  <c r="D97" i="110" a="1"/>
  <c r="D97" i="110" s="1"/>
  <c r="F96" i="110" a="1"/>
  <c r="F96" i="110" s="1"/>
  <c r="E96" i="110" a="1"/>
  <c r="E96" i="110" s="1"/>
  <c r="D96" i="110" a="1"/>
  <c r="D96" i="110" s="1"/>
  <c r="F95" i="110" a="1"/>
  <c r="F95" i="110" s="1"/>
  <c r="E95" i="110" a="1"/>
  <c r="E95" i="110" s="1"/>
  <c r="D95" i="110" a="1"/>
  <c r="D95" i="110" s="1"/>
  <c r="F94" i="110" a="1"/>
  <c r="F94" i="110" s="1"/>
  <c r="E94" i="110" a="1"/>
  <c r="E94" i="110" s="1"/>
  <c r="D94" i="110" a="1"/>
  <c r="D94" i="110" s="1"/>
  <c r="F93" i="110" a="1"/>
  <c r="F93" i="110" s="1"/>
  <c r="E93" i="110" a="1"/>
  <c r="E93" i="110" s="1"/>
  <c r="D93" i="110" a="1"/>
  <c r="D93" i="110" s="1"/>
  <c r="D91" i="110" a="1"/>
  <c r="D91" i="110" s="1"/>
  <c r="F89" i="110" a="1"/>
  <c r="F89" i="110" s="1"/>
  <c r="E89" i="110" a="1"/>
  <c r="E89" i="110" s="1"/>
  <c r="D89" i="110" a="1"/>
  <c r="D89" i="110" s="1"/>
  <c r="F88" i="110" a="1"/>
  <c r="F88" i="110" s="1"/>
  <c r="E88" i="110" a="1"/>
  <c r="E88" i="110" s="1"/>
  <c r="D88" i="110" a="1"/>
  <c r="D88" i="110" s="1"/>
  <c r="F87" i="110" a="1"/>
  <c r="F87" i="110" s="1"/>
  <c r="E87" i="110" a="1"/>
  <c r="E87" i="110" s="1"/>
  <c r="D87" i="110" a="1"/>
  <c r="D87" i="110" s="1"/>
  <c r="F86" i="110" a="1"/>
  <c r="F86" i="110" s="1"/>
  <c r="E86" i="110" a="1"/>
  <c r="E86" i="110" s="1"/>
  <c r="D86" i="110" a="1"/>
  <c r="D86" i="110" s="1"/>
  <c r="F85" i="110" a="1"/>
  <c r="F85" i="110" s="1"/>
  <c r="E85" i="110" a="1"/>
  <c r="E85" i="110" s="1"/>
  <c r="D85" i="110" a="1"/>
  <c r="D85" i="110" s="1"/>
  <c r="F84" i="110" a="1"/>
  <c r="F84" i="110" s="1"/>
  <c r="E84" i="110" a="1"/>
  <c r="E84" i="110" s="1"/>
  <c r="D84" i="110" a="1"/>
  <c r="D84" i="110" s="1"/>
  <c r="F83" i="110" a="1"/>
  <c r="F83" i="110" s="1"/>
  <c r="E83" i="110" a="1"/>
  <c r="E83" i="110" s="1"/>
  <c r="D83" i="110" a="1"/>
  <c r="D83" i="110" s="1"/>
  <c r="F82" i="110" a="1"/>
  <c r="F82" i="110" s="1"/>
  <c r="E82" i="110" a="1"/>
  <c r="E82" i="110" s="1"/>
  <c r="D82" i="110" a="1"/>
  <c r="D82" i="110" s="1"/>
  <c r="F81" i="110" a="1"/>
  <c r="F81" i="110" s="1"/>
  <c r="E81" i="110" a="1"/>
  <c r="E81" i="110" s="1"/>
  <c r="D81" i="110" a="1"/>
  <c r="D81" i="110" s="1"/>
  <c r="F80" i="110" a="1"/>
  <c r="F80" i="110" s="1"/>
  <c r="E80" i="110" a="1"/>
  <c r="E80" i="110" s="1"/>
  <c r="D80" i="110" a="1"/>
  <c r="D80" i="110" s="1"/>
  <c r="F79" i="110" a="1"/>
  <c r="F79" i="110" s="1"/>
  <c r="E79" i="110" a="1"/>
  <c r="E79" i="110" s="1"/>
  <c r="D79" i="110" a="1"/>
  <c r="D79" i="110" s="1"/>
  <c r="F78" i="110" a="1"/>
  <c r="F78" i="110" s="1"/>
  <c r="E78" i="110" a="1"/>
  <c r="E78" i="110" s="1"/>
  <c r="D78" i="110" a="1"/>
  <c r="D78" i="110" s="1"/>
  <c r="F77" i="110" a="1"/>
  <c r="F77" i="110" s="1"/>
  <c r="E77" i="110" a="1"/>
  <c r="E77" i="110" s="1"/>
  <c r="D77" i="110" a="1"/>
  <c r="D77" i="110" s="1"/>
  <c r="F76" i="110" a="1"/>
  <c r="F76" i="110" s="1"/>
  <c r="E76" i="110" a="1"/>
  <c r="E76" i="110" s="1"/>
  <c r="D76" i="110" a="1"/>
  <c r="D76" i="110" s="1"/>
  <c r="F75" i="110" a="1"/>
  <c r="F75" i="110" s="1"/>
  <c r="E75" i="110" a="1"/>
  <c r="E75" i="110" s="1"/>
  <c r="D75" i="110" a="1"/>
  <c r="D75" i="110" s="1"/>
  <c r="F74" i="110" a="1"/>
  <c r="F74" i="110" s="1"/>
  <c r="E74" i="110" a="1"/>
  <c r="E74" i="110" s="1"/>
  <c r="D74" i="110" a="1"/>
  <c r="D74" i="110" s="1"/>
  <c r="D71" i="110" a="1"/>
  <c r="D71" i="110" s="1"/>
  <c r="D70" i="110" a="1"/>
  <c r="D70" i="110" s="1"/>
  <c r="L37" i="110" a="1"/>
  <c r="L37" i="110" s="1"/>
  <c r="K37" i="110" a="1"/>
  <c r="K37" i="110" s="1"/>
  <c r="J37" i="110" a="1"/>
  <c r="J37" i="110" s="1"/>
  <c r="I37" i="110" a="1"/>
  <c r="I37" i="110" s="1"/>
  <c r="H37" i="110" a="1"/>
  <c r="H37" i="110" s="1"/>
  <c r="G37" i="110" a="1"/>
  <c r="G37" i="110" s="1"/>
  <c r="F37" i="110" a="1"/>
  <c r="F37" i="110" s="1"/>
  <c r="E37" i="110" a="1"/>
  <c r="E37" i="110" s="1"/>
  <c r="D37" i="110" a="1"/>
  <c r="D37" i="110" s="1"/>
  <c r="L36" i="110" a="1"/>
  <c r="L36" i="110" s="1"/>
  <c r="K36" i="110" a="1"/>
  <c r="K36" i="110" s="1"/>
  <c r="J36" i="110" a="1"/>
  <c r="J36" i="110" s="1"/>
  <c r="I36" i="110" a="1"/>
  <c r="I36" i="110" s="1"/>
  <c r="H36" i="110" a="1"/>
  <c r="H36" i="110" s="1"/>
  <c r="G36" i="110" a="1"/>
  <c r="G36" i="110" s="1"/>
  <c r="F36" i="110" a="1"/>
  <c r="F36" i="110" s="1"/>
  <c r="E36" i="110" a="1"/>
  <c r="E36" i="110" s="1"/>
  <c r="D36" i="110" a="1"/>
  <c r="D36" i="110" s="1"/>
  <c r="L35" i="110" a="1"/>
  <c r="L35" i="110" s="1"/>
  <c r="K35" i="110" a="1"/>
  <c r="K35" i="110" s="1"/>
  <c r="J35" i="110" a="1"/>
  <c r="J35" i="110" s="1"/>
  <c r="I35" i="110" a="1"/>
  <c r="I35" i="110" s="1"/>
  <c r="H35" i="110" a="1"/>
  <c r="H35" i="110" s="1"/>
  <c r="G35" i="110" a="1"/>
  <c r="G35" i="110" s="1"/>
  <c r="F35" i="110" a="1"/>
  <c r="F35" i="110" s="1"/>
  <c r="E35" i="110" a="1"/>
  <c r="E35" i="110" s="1"/>
  <c r="D35" i="110" a="1"/>
  <c r="D35" i="110" s="1"/>
  <c r="L34" i="110" a="1"/>
  <c r="L34" i="110" s="1"/>
  <c r="K34" i="110" a="1"/>
  <c r="K34" i="110" s="1"/>
  <c r="J34" i="110" a="1"/>
  <c r="J34" i="110" s="1"/>
  <c r="I34" i="110" a="1"/>
  <c r="I34" i="110" s="1"/>
  <c r="H34" i="110" a="1"/>
  <c r="H34" i="110" s="1"/>
  <c r="G34" i="110" a="1"/>
  <c r="G34" i="110" s="1"/>
  <c r="F34" i="110" a="1"/>
  <c r="F34" i="110" s="1"/>
  <c r="E34" i="110" a="1"/>
  <c r="E34" i="110" s="1"/>
  <c r="D34" i="110" a="1"/>
  <c r="D34" i="110" s="1"/>
  <c r="L33" i="110" a="1"/>
  <c r="L33" i="110" s="1"/>
  <c r="K33" i="110" a="1"/>
  <c r="K33" i="110" s="1"/>
  <c r="J33" i="110" a="1"/>
  <c r="J33" i="110" s="1"/>
  <c r="I33" i="110" a="1"/>
  <c r="I33" i="110" s="1"/>
  <c r="H33" i="110" a="1"/>
  <c r="H33" i="110" s="1"/>
  <c r="G33" i="110" a="1"/>
  <c r="G33" i="110" s="1"/>
  <c r="F33" i="110" a="1"/>
  <c r="F33" i="110" s="1"/>
  <c r="E33" i="110" a="1"/>
  <c r="E33" i="110" s="1"/>
  <c r="D33" i="110" a="1"/>
  <c r="D33" i="110" s="1"/>
  <c r="L32" i="110" a="1"/>
  <c r="L32" i="110" s="1"/>
  <c r="K32" i="110" a="1"/>
  <c r="K32" i="110" s="1"/>
  <c r="J32" i="110" a="1"/>
  <c r="J32" i="110" s="1"/>
  <c r="I32" i="110" a="1"/>
  <c r="I32" i="110" s="1"/>
  <c r="H32" i="110" a="1"/>
  <c r="H32" i="110" s="1"/>
  <c r="G32" i="110" a="1"/>
  <c r="G32" i="110" s="1"/>
  <c r="F32" i="110" a="1"/>
  <c r="F32" i="110" s="1"/>
  <c r="E32" i="110" a="1"/>
  <c r="E32" i="110" s="1"/>
  <c r="D32" i="110" a="1"/>
  <c r="D32" i="110" s="1"/>
  <c r="L31" i="110" a="1"/>
  <c r="L31" i="110" s="1"/>
  <c r="K31" i="110" a="1"/>
  <c r="K31" i="110" s="1"/>
  <c r="J31" i="110" a="1"/>
  <c r="J31" i="110" s="1"/>
  <c r="I31" i="110" a="1"/>
  <c r="I31" i="110" s="1"/>
  <c r="H31" i="110" a="1"/>
  <c r="H31" i="110" s="1"/>
  <c r="G31" i="110" a="1"/>
  <c r="G31" i="110" s="1"/>
  <c r="F31" i="110" a="1"/>
  <c r="F31" i="110" s="1"/>
  <c r="E31" i="110" a="1"/>
  <c r="E31" i="110" s="1"/>
  <c r="D31" i="110" a="1"/>
  <c r="D31" i="110" s="1"/>
  <c r="L30" i="110" a="1"/>
  <c r="L30" i="110" s="1"/>
  <c r="K30" i="110" a="1"/>
  <c r="K30" i="110" s="1"/>
  <c r="J30" i="110" a="1"/>
  <c r="J30" i="110" s="1"/>
  <c r="I30" i="110" a="1"/>
  <c r="I30" i="110" s="1"/>
  <c r="H30" i="110" a="1"/>
  <c r="H30" i="110" s="1"/>
  <c r="G30" i="110" a="1"/>
  <c r="G30" i="110" s="1"/>
  <c r="F30" i="110" a="1"/>
  <c r="F30" i="110" s="1"/>
  <c r="E30" i="110" a="1"/>
  <c r="E30" i="110" s="1"/>
  <c r="D30" i="110" a="1"/>
  <c r="D30" i="110" s="1"/>
  <c r="L29" i="110" a="1"/>
  <c r="L29" i="110" s="1"/>
  <c r="K29" i="110" a="1"/>
  <c r="K29" i="110" s="1"/>
  <c r="J29" i="110" a="1"/>
  <c r="J29" i="110" s="1"/>
  <c r="I29" i="110" a="1"/>
  <c r="I29" i="110" s="1"/>
  <c r="H29" i="110" a="1"/>
  <c r="H29" i="110" s="1"/>
  <c r="G29" i="110" a="1"/>
  <c r="G29" i="110" s="1"/>
  <c r="F29" i="110" a="1"/>
  <c r="F29" i="110" s="1"/>
  <c r="E29" i="110" a="1"/>
  <c r="E29" i="110" s="1"/>
  <c r="D29" i="110" a="1"/>
  <c r="D29" i="110" s="1"/>
  <c r="L28" i="110" a="1"/>
  <c r="L28" i="110" s="1"/>
  <c r="K28" i="110" a="1"/>
  <c r="K28" i="110" s="1"/>
  <c r="J28" i="110" a="1"/>
  <c r="J28" i="110" s="1"/>
  <c r="I28" i="110" a="1"/>
  <c r="I28" i="110" s="1"/>
  <c r="H28" i="110" a="1"/>
  <c r="H28" i="110" s="1"/>
  <c r="G28" i="110" a="1"/>
  <c r="G28" i="110" s="1"/>
  <c r="F28" i="110" a="1"/>
  <c r="F28" i="110" s="1"/>
  <c r="E28" i="110" a="1"/>
  <c r="E28" i="110" s="1"/>
  <c r="D28" i="110" a="1"/>
  <c r="D28" i="110" s="1"/>
  <c r="L27" i="110" a="1"/>
  <c r="L27" i="110" s="1"/>
  <c r="K27" i="110" a="1"/>
  <c r="K27" i="110" s="1"/>
  <c r="J27" i="110" a="1"/>
  <c r="J27" i="110" s="1"/>
  <c r="I27" i="110" a="1"/>
  <c r="I27" i="110" s="1"/>
  <c r="H27" i="110" a="1"/>
  <c r="H27" i="110" s="1"/>
  <c r="G27" i="110" a="1"/>
  <c r="G27" i="110" s="1"/>
  <c r="F27" i="110" a="1"/>
  <c r="F27" i="110" s="1"/>
  <c r="E27" i="110" a="1"/>
  <c r="E27" i="110" s="1"/>
  <c r="D27" i="110" a="1"/>
  <c r="D27" i="110" s="1"/>
  <c r="L26" i="110" a="1"/>
  <c r="L26" i="110" s="1"/>
  <c r="K26" i="110" a="1"/>
  <c r="K26" i="110" s="1"/>
  <c r="J26" i="110" a="1"/>
  <c r="J26" i="110" s="1"/>
  <c r="I26" i="110" a="1"/>
  <c r="I26" i="110" s="1"/>
  <c r="H26" i="110" a="1"/>
  <c r="H26" i="110" s="1"/>
  <c r="G26" i="110" a="1"/>
  <c r="G26" i="110" s="1"/>
  <c r="F26" i="110" a="1"/>
  <c r="F26" i="110" s="1"/>
  <c r="E26" i="110" a="1"/>
  <c r="E26" i="110" s="1"/>
  <c r="D26" i="110" a="1"/>
  <c r="D26" i="110" s="1"/>
  <c r="L25" i="110" a="1"/>
  <c r="L25" i="110" s="1"/>
  <c r="K25" i="110" a="1"/>
  <c r="K25" i="110" s="1"/>
  <c r="J25" i="110" a="1"/>
  <c r="J25" i="110" s="1"/>
  <c r="I25" i="110" a="1"/>
  <c r="I25" i="110" s="1"/>
  <c r="H25" i="110" a="1"/>
  <c r="H25" i="110" s="1"/>
  <c r="G25" i="110" a="1"/>
  <c r="G25" i="110" s="1"/>
  <c r="F25" i="110" a="1"/>
  <c r="F25" i="110" s="1"/>
  <c r="E25" i="110" a="1"/>
  <c r="E25" i="110" s="1"/>
  <c r="D25" i="110" a="1"/>
  <c r="D25" i="110" s="1"/>
  <c r="L24" i="110" a="1"/>
  <c r="L24" i="110" s="1"/>
  <c r="K24" i="110" a="1"/>
  <c r="K24" i="110" s="1"/>
  <c r="J24" i="110" a="1"/>
  <c r="J24" i="110" s="1"/>
  <c r="I24" i="110" a="1"/>
  <c r="I24" i="110" s="1"/>
  <c r="H24" i="110" a="1"/>
  <c r="H24" i="110" s="1"/>
  <c r="G24" i="110" a="1"/>
  <c r="G24" i="110" s="1"/>
  <c r="F24" i="110" a="1"/>
  <c r="F24" i="110" s="1"/>
  <c r="E24" i="110" a="1"/>
  <c r="E24" i="110" s="1"/>
  <c r="D24" i="110" a="1"/>
  <c r="D24" i="110" s="1"/>
  <c r="L23" i="110" a="1"/>
  <c r="L23" i="110" s="1"/>
  <c r="K23" i="110" a="1"/>
  <c r="K23" i="110" s="1"/>
  <c r="J23" i="110" a="1"/>
  <c r="J23" i="110" s="1"/>
  <c r="I23" i="110" a="1"/>
  <c r="I23" i="110" s="1"/>
  <c r="H23" i="110" a="1"/>
  <c r="H23" i="110" s="1"/>
  <c r="G23" i="110" a="1"/>
  <c r="G23" i="110" s="1"/>
  <c r="F23" i="110" a="1"/>
  <c r="F23" i="110" s="1"/>
  <c r="E23" i="110" a="1"/>
  <c r="E23" i="110" s="1"/>
  <c r="D23" i="110" a="1"/>
  <c r="D23" i="110" s="1"/>
  <c r="L22" i="110" a="1"/>
  <c r="L22" i="110" s="1"/>
  <c r="K22" i="110" a="1"/>
  <c r="K22" i="110" s="1"/>
  <c r="J22" i="110" a="1"/>
  <c r="J22" i="110" s="1"/>
  <c r="I22" i="110" a="1"/>
  <c r="I22" i="110" s="1"/>
  <c r="H22" i="110" a="1"/>
  <c r="H22" i="110" s="1"/>
  <c r="G22" i="110" a="1"/>
  <c r="G22" i="110" s="1"/>
  <c r="F22" i="110" a="1"/>
  <c r="F22" i="110" s="1"/>
  <c r="E22" i="110" a="1"/>
  <c r="E22" i="110" s="1"/>
  <c r="D22" i="110" a="1"/>
  <c r="D22" i="110" s="1"/>
  <c r="L21" i="110" a="1"/>
  <c r="L21" i="110" s="1"/>
  <c r="K21" i="110" a="1"/>
  <c r="K21" i="110" s="1"/>
  <c r="J21" i="110" a="1"/>
  <c r="J21" i="110" s="1"/>
  <c r="I21" i="110" a="1"/>
  <c r="I21" i="110" s="1"/>
  <c r="H21" i="110" a="1"/>
  <c r="H21" i="110" s="1"/>
  <c r="G21" i="110" a="1"/>
  <c r="G21" i="110" s="1"/>
  <c r="F21" i="110" a="1"/>
  <c r="F21" i="110" s="1"/>
  <c r="E21" i="110" a="1"/>
  <c r="E21" i="110" s="1"/>
  <c r="D21" i="110" a="1"/>
  <c r="D21" i="110" s="1"/>
  <c r="L20" i="110" a="1"/>
  <c r="L20" i="110" s="1"/>
  <c r="K20" i="110" a="1"/>
  <c r="K20" i="110" s="1"/>
  <c r="J20" i="110" a="1"/>
  <c r="J20" i="110" s="1"/>
  <c r="I20" i="110" a="1"/>
  <c r="I20" i="110" s="1"/>
  <c r="H20" i="110" a="1"/>
  <c r="H20" i="110" s="1"/>
  <c r="G20" i="110" a="1"/>
  <c r="G20" i="110" s="1"/>
  <c r="F20" i="110" a="1"/>
  <c r="F20" i="110" s="1"/>
  <c r="E20" i="110" a="1"/>
  <c r="E20" i="110" s="1"/>
  <c r="D20" i="110" a="1"/>
  <c r="D20" i="110" s="1"/>
  <c r="E18" i="70" s="1"/>
  <c r="E19" i="70" s="1"/>
  <c r="D17" i="110" a="1"/>
  <c r="D17" i="110" s="1"/>
  <c r="D16" i="110" a="1"/>
  <c r="D16" i="110" s="1"/>
  <c r="D15" i="110" a="1"/>
  <c r="D15" i="110" s="1"/>
  <c r="D26" i="74" a="1"/>
  <c r="D26" i="74" s="1"/>
  <c r="H13" i="113" a="1"/>
  <c r="H13" i="113" s="1"/>
  <c r="H36" i="113" a="1"/>
  <c r="H36" i="113" s="1"/>
  <c r="D36" i="113" a="1"/>
  <c r="D36" i="113" s="1"/>
  <c r="D13" i="113" a="1"/>
  <c r="D13" i="113" s="1"/>
  <c r="E34" i="113" a="1"/>
  <c r="E34" i="113" s="1"/>
  <c r="F48" i="113" s="1"/>
  <c r="E33" i="113" a="1"/>
  <c r="E33" i="113" s="1"/>
  <c r="D29" i="113" a="1"/>
  <c r="D29" i="113" s="1"/>
  <c r="D28" i="113" a="1"/>
  <c r="D28" i="113" s="1"/>
  <c r="E11" i="113" a="1"/>
  <c r="E11" i="113" s="1"/>
  <c r="E10" i="113" a="1"/>
  <c r="E10" i="113" s="1"/>
  <c r="D6" i="113" a="1"/>
  <c r="D6" i="113" s="1"/>
  <c r="D5" i="113" a="1"/>
  <c r="D5" i="113" s="1"/>
  <c r="F53" i="113" a="1"/>
  <c r="F53" i="113" s="1"/>
  <c r="D50" i="113" a="1"/>
  <c r="D50" i="113" s="1"/>
  <c r="E7" i="113" a="1"/>
  <c r="E30" i="113" a="1"/>
  <c r="E7" i="114" a="1"/>
  <c r="I58" i="114" l="1" a="1"/>
  <c r="I58" i="114" s="1"/>
  <c r="E20" i="70"/>
  <c r="E30" i="70"/>
  <c r="P48" i="113"/>
  <c r="I57" i="114" a="1"/>
  <c r="I57" i="114" s="1"/>
  <c r="I35" i="114" a="1"/>
  <c r="I35" i="114" s="1"/>
  <c r="I15" i="114" a="1"/>
  <c r="I15" i="114" s="1"/>
  <c r="I34" i="114" a="1"/>
  <c r="I34" i="114" s="1"/>
  <c r="I17" i="114" a="1"/>
  <c r="I17" i="114" s="1"/>
  <c r="I16" i="114" a="1"/>
  <c r="I16" i="114" s="1"/>
  <c r="E7" i="114"/>
  <c r="E30" i="113"/>
  <c r="E7" i="113"/>
  <c r="E40" i="70" l="1"/>
  <c r="E36" i="70"/>
  <c r="E35" i="70" s="1"/>
  <c r="P45" i="74" a="1"/>
  <c r="P45" i="74" s="1"/>
  <c r="N42" i="74" a="1"/>
  <c r="N42" i="74" s="1"/>
  <c r="P40" i="74" a="1"/>
  <c r="P40" i="74" s="1"/>
  <c r="R33" i="74" a="1"/>
  <c r="R33" i="74" s="1"/>
  <c r="N33" i="74" a="1"/>
  <c r="N33" i="74" s="1"/>
  <c r="O31" i="74" a="1"/>
  <c r="O31" i="74" s="1"/>
  <c r="O30" i="74" a="1"/>
  <c r="O30" i="74" s="1"/>
  <c r="N26" i="74" a="1"/>
  <c r="N26" i="74" s="1"/>
  <c r="N25" i="74" a="1"/>
  <c r="N25" i="74" s="1"/>
  <c r="R13" i="74" a="1"/>
  <c r="R13" i="74" s="1"/>
  <c r="N13" i="74" a="1"/>
  <c r="N13" i="74" s="1"/>
  <c r="P21" i="74" a="1"/>
  <c r="P21" i="74" s="1"/>
  <c r="H33" i="74" a="1"/>
  <c r="H33" i="74" s="1"/>
  <c r="D33" i="74" a="1"/>
  <c r="D33" i="74" s="1"/>
  <c r="H13" i="74" a="1"/>
  <c r="H13" i="74" s="1"/>
  <c r="D13" i="74" a="1"/>
  <c r="D13" i="74" s="1"/>
  <c r="F40" i="74" a="1"/>
  <c r="F40" i="74" s="1"/>
  <c r="E31" i="74" a="1"/>
  <c r="E31" i="74" s="1"/>
  <c r="E30" i="74" a="1"/>
  <c r="E30" i="74" s="1"/>
  <c r="D25" i="74" a="1"/>
  <c r="D25" i="74" s="1"/>
  <c r="F21" i="74" a="1"/>
  <c r="F21" i="74" s="1"/>
  <c r="E11" i="74" a="1"/>
  <c r="E11" i="74" s="1"/>
  <c r="E10" i="74" a="1"/>
  <c r="E10" i="74" s="1"/>
  <c r="D6" i="74" a="1"/>
  <c r="D6" i="74" s="1"/>
  <c r="D5" i="74" a="1"/>
  <c r="D5" i="74" s="1"/>
  <c r="F45" i="74" a="1"/>
  <c r="F45" i="74" s="1"/>
  <c r="D42" i="74" a="1"/>
  <c r="D42" i="74" s="1"/>
  <c r="I56" i="110" a="1"/>
  <c r="I56" i="110" s="1"/>
  <c r="H56" i="110" a="1"/>
  <c r="H56" i="110" s="1"/>
  <c r="G56" i="110" a="1"/>
  <c r="G56" i="110" s="1"/>
  <c r="F56" i="110" a="1"/>
  <c r="F56" i="110" s="1"/>
  <c r="E56" i="110" a="1"/>
  <c r="E56" i="110" s="1"/>
  <c r="D56" i="110" a="1"/>
  <c r="D56" i="110" s="1"/>
  <c r="I55" i="110" a="1"/>
  <c r="I55" i="110" s="1"/>
  <c r="H55" i="110" a="1"/>
  <c r="H55" i="110" s="1"/>
  <c r="G55" i="110" a="1"/>
  <c r="G55" i="110" s="1"/>
  <c r="F55" i="110" a="1"/>
  <c r="F55" i="110" s="1"/>
  <c r="E55" i="110" a="1"/>
  <c r="E55" i="110" s="1"/>
  <c r="D55" i="110" a="1"/>
  <c r="D55" i="110" s="1"/>
  <c r="I54" i="110" a="1"/>
  <c r="I54" i="110" s="1"/>
  <c r="H54" i="110" a="1"/>
  <c r="H54" i="110" s="1"/>
  <c r="G54" i="110" a="1"/>
  <c r="G54" i="110" s="1"/>
  <c r="F54" i="110" a="1"/>
  <c r="F54" i="110" s="1"/>
  <c r="E54" i="110" a="1"/>
  <c r="E54" i="110" s="1"/>
  <c r="D54" i="110" a="1"/>
  <c r="D54" i="110" s="1"/>
  <c r="I53" i="110" a="1"/>
  <c r="I53" i="110" s="1"/>
  <c r="H53" i="110" a="1"/>
  <c r="H53" i="110" s="1"/>
  <c r="G53" i="110" a="1"/>
  <c r="G53" i="110" s="1"/>
  <c r="F53" i="110" a="1"/>
  <c r="F53" i="110" s="1"/>
  <c r="E53" i="110" a="1"/>
  <c r="E53" i="110" s="1"/>
  <c r="D53" i="110" a="1"/>
  <c r="D53" i="110" s="1"/>
  <c r="I52" i="110" a="1"/>
  <c r="I52" i="110" s="1"/>
  <c r="H52" i="110" a="1"/>
  <c r="H52" i="110" s="1"/>
  <c r="G52" i="110" a="1"/>
  <c r="G52" i="110" s="1"/>
  <c r="F52" i="110" a="1"/>
  <c r="F52" i="110" s="1"/>
  <c r="E52" i="110" a="1"/>
  <c r="E52" i="110" s="1"/>
  <c r="D52" i="110" a="1"/>
  <c r="D52" i="110" s="1"/>
  <c r="D49" i="110" a="1"/>
  <c r="D49" i="110" s="1"/>
  <c r="D48" i="110" a="1"/>
  <c r="D48" i="110" s="1"/>
  <c r="P32" i="69" a="1"/>
  <c r="P32" i="69" s="1"/>
  <c r="M32" i="69" a="1"/>
  <c r="M32" i="69" s="1"/>
  <c r="O66" i="69" a="1"/>
  <c r="O66" i="69" s="1"/>
  <c r="M63" i="69" a="1"/>
  <c r="M63" i="69" s="1"/>
  <c r="P55" i="69" a="1"/>
  <c r="P55" i="69" s="1"/>
  <c r="M55" i="69" a="1"/>
  <c r="M55" i="69" s="1"/>
  <c r="N53" i="69" a="1"/>
  <c r="N53" i="69" s="1"/>
  <c r="N52" i="69" a="1"/>
  <c r="N52" i="69" s="1"/>
  <c r="M48" i="69" a="1"/>
  <c r="M48" i="69" s="1"/>
  <c r="M47" i="69" a="1"/>
  <c r="M47" i="69" s="1"/>
  <c r="N30" i="69" a="1"/>
  <c r="N30" i="69" s="1"/>
  <c r="N29" i="69" a="1"/>
  <c r="N29" i="69" s="1"/>
  <c r="M25" i="69" a="1"/>
  <c r="M25" i="69" s="1"/>
  <c r="M24" i="69" a="1"/>
  <c r="M24" i="69" s="1"/>
  <c r="E45" i="110" a="1"/>
  <c r="E45" i="110" s="1"/>
  <c r="D45" i="110" a="1"/>
  <c r="D45" i="110" s="1"/>
  <c r="E44" i="110" a="1"/>
  <c r="E44" i="110" s="1"/>
  <c r="D44" i="110" a="1"/>
  <c r="D44" i="110" s="1"/>
  <c r="D41" i="110" a="1"/>
  <c r="D41" i="110" s="1"/>
  <c r="D40" i="110" a="1"/>
  <c r="D40" i="110" s="1"/>
  <c r="G36" i="69" a="1"/>
  <c r="G36" i="69" s="1"/>
  <c r="G13" i="69" a="1"/>
  <c r="G13" i="69" s="1"/>
  <c r="O14" i="69" a="1"/>
  <c r="O14" i="69" s="1"/>
  <c r="M14" i="69" a="1"/>
  <c r="M14" i="69" s="1"/>
  <c r="D36" i="69" a="1"/>
  <c r="D36" i="69" s="1"/>
  <c r="D13" i="69" a="1"/>
  <c r="D13" i="69" s="1"/>
  <c r="E34" i="69" a="1"/>
  <c r="E34" i="69" s="1"/>
  <c r="F42" i="69" s="1"/>
  <c r="E33" i="69" a="1"/>
  <c r="E33" i="69" s="1"/>
  <c r="D29" i="69" a="1"/>
  <c r="D29" i="69" s="1"/>
  <c r="D28" i="69" a="1"/>
  <c r="D28" i="69" s="1"/>
  <c r="N12" i="69" a="1"/>
  <c r="N12" i="69" s="1"/>
  <c r="N11" i="69" a="1"/>
  <c r="N11" i="69" s="1"/>
  <c r="E11" i="69" a="1"/>
  <c r="E11" i="69" s="1"/>
  <c r="F24" i="69" s="1"/>
  <c r="E10" i="69" a="1"/>
  <c r="E10" i="69" s="1"/>
  <c r="M6" i="69" a="1"/>
  <c r="M6" i="69" s="1"/>
  <c r="D6" i="69" a="1"/>
  <c r="D6" i="69" s="1"/>
  <c r="M5" i="69" a="1"/>
  <c r="M5" i="69" s="1"/>
  <c r="D5" i="69" a="1"/>
  <c r="D5" i="69" s="1"/>
  <c r="I15" i="69" a="1"/>
  <c r="I15" i="69" s="1"/>
  <c r="F47" i="69" a="1"/>
  <c r="F47" i="69" s="1"/>
  <c r="D44" i="69" a="1"/>
  <c r="D44" i="69" s="1"/>
  <c r="E7" i="74" a="1"/>
  <c r="E19" i="120" l="1"/>
  <c r="E20" i="120" s="1"/>
  <c r="E42" i="70"/>
  <c r="J16" i="74" a="1"/>
  <c r="J16" i="74" s="1"/>
  <c r="J17" i="74" a="1"/>
  <c r="J17" i="74" s="1"/>
  <c r="J18" i="74" a="1"/>
  <c r="J18" i="74" s="1"/>
  <c r="J14" i="74" a="1"/>
  <c r="J14" i="74" s="1"/>
  <c r="J15" i="74" a="1"/>
  <c r="J15" i="74" s="1"/>
  <c r="E7" i="74"/>
  <c r="O61" i="69"/>
  <c r="O43" i="69"/>
  <c r="I19" i="69" a="1"/>
  <c r="I19" i="69" s="1"/>
  <c r="I18" i="69" a="1"/>
  <c r="I18" i="69" s="1"/>
  <c r="I20" i="69" a="1"/>
  <c r="I20" i="69" s="1"/>
  <c r="T14" i="74" l="1"/>
  <c r="O21" i="74" s="1" a="1"/>
  <c r="O21" i="74" s="1"/>
  <c r="E21" i="114" a="1"/>
  <c r="E21" i="114" s="1"/>
  <c r="E21" i="74" a="1"/>
  <c r="E21" i="74" s="1"/>
  <c r="D46" i="123" s="1"/>
  <c r="Q17" i="69"/>
  <c r="O25" i="122" l="1"/>
  <c r="S25" i="122" s="1" a="1"/>
  <c r="S25" i="122" s="1"/>
  <c r="N46" i="122" s="1"/>
  <c r="O46" i="122" s="1" a="1"/>
  <c r="O46" i="122" s="1"/>
  <c r="N46" i="123"/>
  <c r="E25" i="113"/>
  <c r="E25" i="122"/>
  <c r="I25" i="122" s="1" a="1"/>
  <c r="I25" i="122" s="1"/>
  <c r="D46" i="122" s="1"/>
  <c r="E46" i="122" s="1" a="1"/>
  <c r="E46" i="122" s="1"/>
  <c r="T33" i="74"/>
  <c r="O25" i="113"/>
  <c r="I33" i="114"/>
  <c r="I56" i="114"/>
  <c r="J33" i="74"/>
  <c r="Q14" i="69" l="1"/>
  <c r="N20" i="69" s="1" a="1"/>
  <c r="N20" i="69" s="1"/>
  <c r="R36" i="69" l="1"/>
  <c r="N43" i="69" s="1" a="1"/>
  <c r="N43" i="69" s="1"/>
  <c r="N45" i="122"/>
  <c r="O48" i="122" s="1"/>
  <c r="R55" i="69" l="1"/>
  <c r="O24" i="123"/>
  <c r="S24" i="123" s="1" a="1"/>
  <c r="S24" i="123" s="1"/>
  <c r="N45" i="123" s="1"/>
  <c r="O45" i="123" s="1" a="1"/>
  <c r="O45" i="123" s="1"/>
  <c r="O48" i="123" s="1"/>
  <c r="Q50" i="123" s="1"/>
  <c r="O53" i="123" s="1" a="1"/>
  <c r="O53" i="123" s="1"/>
  <c r="O24" i="113"/>
  <c r="S24" i="113" a="1"/>
  <c r="S24" i="113" s="1"/>
  <c r="N45" i="113" s="1"/>
  <c r="Q50" i="122"/>
  <c r="O53" i="122" s="1" a="1"/>
  <c r="O53" i="122" s="1"/>
  <c r="I17" i="69" a="1"/>
  <c r="I17" i="69" s="1"/>
  <c r="E24" i="69" s="1" a="1"/>
  <c r="E24" i="69" s="1"/>
  <c r="E62" i="114" a="1"/>
  <c r="E62" i="114" s="1"/>
  <c r="E24" i="123" l="1"/>
  <c r="I24" i="123" s="1" a="1"/>
  <c r="I24" i="123" s="1"/>
  <c r="D45" i="123" s="1"/>
  <c r="E45" i="123" s="1" a="1"/>
  <c r="E45" i="123" s="1"/>
  <c r="E48" i="123" s="1"/>
  <c r="G50" i="123" s="1"/>
  <c r="E53" i="123" s="1" a="1"/>
  <c r="E53" i="123" s="1"/>
  <c r="E24" i="113"/>
  <c r="I36" i="69"/>
  <c r="E13" i="13"/>
  <c r="F13" i="13" s="1"/>
  <c r="H64" i="114"/>
  <c r="E67" i="114" s="1" a="1"/>
  <c r="E67" i="114" s="1"/>
  <c r="H13" i="13" s="1"/>
  <c r="I13" i="13" s="1"/>
  <c r="I24" i="113" a="1"/>
  <c r="I24" i="113" s="1"/>
  <c r="D45" i="113" s="1"/>
  <c r="D45" i="122"/>
  <c r="E48" i="122" s="1"/>
  <c r="E39" i="114" a="1"/>
  <c r="E39" i="114" s="1"/>
  <c r="I25" i="113" a="1"/>
  <c r="I25" i="113" s="1"/>
  <c r="D46" i="113" s="1"/>
  <c r="S25" i="113" a="1"/>
  <c r="S25" i="113" s="1"/>
  <c r="N46" i="113" s="1"/>
  <c r="E12" i="13" l="1"/>
  <c r="F12" i="13" s="1"/>
  <c r="H41" i="114"/>
  <c r="E44" i="114" s="1" a="1"/>
  <c r="E44" i="114" s="1"/>
  <c r="H12" i="13" s="1"/>
  <c r="I12" i="13" s="1"/>
  <c r="G50" i="122"/>
  <c r="E53" i="122" s="1" a="1"/>
  <c r="E53" i="122" s="1"/>
  <c r="E45" i="113" a="1"/>
  <c r="E45" i="113" s="1"/>
  <c r="O46" i="113" a="1"/>
  <c r="O46" i="113" s="1"/>
  <c r="O45" i="113" a="1"/>
  <c r="O45" i="113" s="1"/>
  <c r="E46" i="113" a="1"/>
  <c r="E46" i="113" s="1"/>
  <c r="J34" i="74" a="1"/>
  <c r="J34" i="74" s="1"/>
  <c r="O48" i="113" l="1"/>
  <c r="Q50" i="113" s="1"/>
  <c r="E48" i="113"/>
  <c r="O40" i="74" a="1"/>
  <c r="O40" i="74" s="1"/>
  <c r="E40" i="74" a="1"/>
  <c r="E40" i="74" s="1"/>
  <c r="I37" i="69" a="1"/>
  <c r="I37" i="69" s="1"/>
  <c r="E42" i="69" s="1" a="1"/>
  <c r="E42" i="69" s="1"/>
  <c r="R56" i="69" a="1"/>
  <c r="R56" i="69" s="1"/>
  <c r="N61" i="69" s="1" a="1"/>
  <c r="N61" i="69" s="1"/>
  <c r="E10" i="13" l="1"/>
  <c r="G42" i="74"/>
  <c r="E45" i="74" s="1" a="1"/>
  <c r="E45" i="74" s="1"/>
  <c r="H10" i="13" s="1"/>
  <c r="F10" i="13"/>
  <c r="Q42" i="74"/>
  <c r="O45" i="74" s="1" a="1"/>
  <c r="O45" i="74" s="1"/>
  <c r="I10" i="13" s="1"/>
  <c r="E9" i="13"/>
  <c r="G44" i="69"/>
  <c r="E47" i="69" s="1" a="1"/>
  <c r="E47" i="69" s="1"/>
  <c r="H9" i="13" s="1"/>
  <c r="F9" i="13"/>
  <c r="P63" i="69"/>
  <c r="N66" i="69" s="1" a="1"/>
  <c r="N66" i="69" s="1"/>
  <c r="I9" i="13" s="1"/>
  <c r="E11" i="13"/>
  <c r="G50" i="113"/>
  <c r="E53" i="113" s="1" a="1"/>
  <c r="E53" i="113" s="1"/>
  <c r="H11" i="13" s="1"/>
  <c r="O53" i="113" a="1"/>
  <c r="O53" i="113" s="1"/>
  <c r="I11" i="13" s="1"/>
  <c r="F11" i="13"/>
  <c r="I14" i="13" l="1"/>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<sst xmlns="http://schemas.openxmlformats.org/spreadsheetml/2006/main" count="540" uniqueCount="283">
  <si>
    <t>INPUTS</t>
  </si>
  <si>
    <t>APPENDICES</t>
  </si>
  <si>
    <t>Emissions breakdown</t>
  </si>
  <si>
    <t>Test Farms</t>
  </si>
  <si>
    <t>Farm name</t>
  </si>
  <si>
    <t>State</t>
  </si>
  <si>
    <t>Leaching zone</t>
  </si>
  <si>
    <t>Climate zone</t>
  </si>
  <si>
    <r>
      <rPr>
        <sz val="10"/>
        <color theme="1" tint="0.34998626667073579"/>
        <rFont val="Arial"/>
        <family val="1"/>
      </rPr>
      <t xml:space="preserve">← </t>
    </r>
    <r>
      <rPr>
        <i/>
        <sz val="10"/>
        <color theme="1" tint="0.34998626667073579"/>
        <rFont val="Arial"/>
        <family val="1"/>
      </rPr>
      <t>Please select</t>
    </r>
  </si>
  <si>
    <t>Degrees celsius</t>
  </si>
  <si>
    <t>Millimetres</t>
  </si>
  <si>
    <t>Location and climate</t>
  </si>
  <si>
    <t>Your business</t>
  </si>
  <si>
    <t>Location information is used to reference some region and climate-specific emission factors</t>
  </si>
  <si>
    <r>
      <rPr>
        <sz val="10"/>
        <color theme="1" tint="0.34998626667073579"/>
        <rFont val="Arial"/>
        <family val="1"/>
      </rPr>
      <t xml:space="preserve">← </t>
    </r>
    <r>
      <rPr>
        <i/>
        <sz val="10"/>
        <color theme="1" tint="0.34998626667073579"/>
        <rFont val="Arial"/>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</si>
  <si>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</si>
  <si>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</si>
  <si>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</si>
  <si>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</si>
  <si>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</si>
  <si>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</si>
  <si>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</si>
  <si>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</si>
  <si>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</si>
  <si>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</si>
  <si>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</si>
  <si>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</si>
  <si>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</si>
  <si>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</si>
  <si>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</si>
  <si>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</si>
  <si>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</si>
  <si>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</si>
  <si>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</si>
  <si>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</si>
  <si>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</si>
  <si>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</si>
  <si>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</si>
  <si>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</si>
  <si>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</si>
  <si>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</si>
  <si>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</si>
  <si>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</si>
  <si>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</si>
  <si>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</si>
  <si>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</si>
  <si>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</si>
  <si>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</si>
  <si>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</si>
  <si>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</si>
  <si>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</si>
  <si>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</si>
  <si>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</si>
  <si>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</si>
  <si>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</si>
  <si>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</si>
  <si>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</si>
  <si>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</si>
  <si>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</si>
  <si>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</si>
  <si>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</si>
  <si>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</si>
  <si>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</si>
  <si>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</si>
  <si>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0"/>
        <color theme="1" tint="0.34998626667073579"/>
        <rFont val="Arial"/>
        <family val="1"/>
      </rPr>
      <t xml:space="preserve">← </t>
    </r>
    <r>
      <rPr>
        <i/>
        <sz val="10"/>
        <color theme="1" tint="0.34998626667073579"/>
        <rFont val="Arial"/>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</si>
  <si>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</si>
  <si>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</si>
  <si>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</si>
  <si>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</si>
  <si>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</si>
  <si>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</si>
  <si>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</si>
  <si>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</si>
  <si>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</si>
  <si>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</si>
  <si>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</si>
  <si>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</si>
  <si>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</si>
  <si>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0"/>
        <color theme="1" tint="0.24994659260841701"/>
        <rFont val="Arial"/>
        <family val="1"/>
      </rPr>
      <t>CO2e</t>
    </r>
  </si>
  <si>
    <t>Method 1</t>
  </si>
  <si>
    <t>Method 2</t>
  </si>
  <si>
    <t>Scope 1 source</t>
  </si>
  <si>
    <t>Production system j</t>
  </si>
  <si>
    <t>EFN2O</t>
  </si>
  <si>
    <t>Production system only</t>
  </si>
  <si>
    <t>Irrigation method</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</si>
  <si>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</si>
  <si>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</si>
  <si>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</si>
  <si>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</si>
  <si>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</si>
  <si>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</si>
  <si>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</si>
  <si>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</si>
  <si>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</si>
  <si>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</si>
  <si>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</si>
  <si>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</si>
  <si>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</si>
  <si>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</si>
  <si>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</si>
  <si>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</si>
  <si>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</si>
  <si>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</si>
  <si>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</si>
  <si>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</si>
  <si>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</si>
  <si>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Sprinkler irrigation</t>
  </si>
  <si>
    <r>
      <t>E</t>
    </r>
    <r>
      <rPr>
        <b/>
        <vertAlign val="subscript"/>
        <sz val="14"/>
        <color theme="1" tint="0.24994659260841701"/>
        <rFont val="Arial"/>
        <family val="1"/>
      </rPr>
      <t>N2O</t>
    </r>
  </si>
  <si>
    <t>Crop type</t>
  </si>
  <si>
    <t>Area under cropping</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</si>
  <si>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</si>
  <si>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</si>
  <si>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</si>
  <si>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</si>
  <si>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</si>
  <si>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</si>
  <si>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</si>
  <si>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</si>
  <si>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</si>
  <si>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</si>
  <si>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</si>
  <si>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</si>
  <si>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</si>
  <si>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</si>
  <si>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</si>
  <si>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6: Agricultural Residue Management: Overview</t>
  </si>
  <si>
    <t>6: Agricultural Residue Management: Results</t>
  </si>
  <si>
    <t>6.1.1.1-2 Crop residue N2O emissions</t>
  </si>
  <si>
    <t>Input - Crop</t>
  </si>
  <si>
    <t>Area</t>
  </si>
  <si>
    <t>If multiple paddocks were managed in the same way at the same time, you can enter information for them all together.</t>
  </si>
  <si>
    <t>Wheat</t>
  </si>
  <si>
    <r>
      <rPr>
        <sz val="10"/>
        <color theme="1" tint="0.34998626667073579"/>
        <rFont val="Arial"/>
        <family val="1"/>
      </rPr>
      <t>←</t>
    </r>
    <r>
      <rPr>
        <i/>
        <sz val="10"/>
        <color theme="1" tint="0.34998626667073579"/>
        <rFont val="Arial"/>
        <family val="1"/>
      </rPr>
      <t xml:space="preserve"> Please select</t>
    </r>
  </si>
  <si>
    <t>Crop purpose</t>
  </si>
  <si>
    <t>Hectares</t>
  </si>
  <si>
    <t>Yield</t>
  </si>
  <si>
    <t>Whole plant above ground biomass</t>
  </si>
  <si>
    <t>Tonnes per hectare</t>
  </si>
  <si>
    <t>Crop residue biomass</t>
  </si>
  <si>
    <t>Residue management</t>
  </si>
  <si>
    <t>Tonnes</t>
  </si>
  <si>
    <t>Baled residue</t>
  </si>
  <si>
    <t>Percentage of residue that was baled</t>
  </si>
  <si>
    <t>Percent</t>
  </si>
  <si>
    <t>Average weight per bale</t>
  </si>
  <si>
    <t>Kilograms</t>
  </si>
  <si>
    <t>Number of bales</t>
  </si>
  <si>
    <t>Bales</t>
  </si>
  <si>
    <t>Total residue baled</t>
  </si>
  <si>
    <t>Burned residue</t>
  </si>
  <si>
    <t>Percentage of residue that was burned</t>
  </si>
  <si>
    <t>Total residue burned</t>
  </si>
  <si>
    <t>Residue retained on paddocks</t>
  </si>
  <si>
    <t>Constants - Agricultural residue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</si>
  <si>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</si>
  <si>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</si>
  <si>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</si>
  <si>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</si>
  <si>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</si>
  <si>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</si>
  <si>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</si>
  <si>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</si>
  <si>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Crop type c</t>
  </si>
  <si>
    <t>Fraction removed</t>
  </si>
  <si>
    <t>Purpose</t>
  </si>
  <si>
    <t>Per hectare unit</t>
  </si>
  <si>
    <t>harvest term</t>
  </si>
  <si>
    <t>harvest endpoint</t>
  </si>
  <si>
    <t>Harvest uit</t>
  </si>
  <si>
    <t>Cash grain crop</t>
  </si>
  <si>
    <r>
      <t>FFOD</t>
    </r>
    <r>
      <rPr>
        <b/>
        <vertAlign val="subscript"/>
        <sz val="10"/>
        <color theme="1" tint="0.24994659260841701"/>
        <rFont val="Arial"/>
        <family val="1"/>
      </rPr>
      <t>c</t>
    </r>
  </si>
  <si>
    <r>
      <t>M</t>
    </r>
    <r>
      <rPr>
        <b/>
        <vertAlign val="subscript"/>
        <sz val="10"/>
        <color theme="1" tint="0.24994659260841701"/>
        <rFont val="Arial"/>
        <family val="1"/>
      </rPr>
      <t>c</t>
    </r>
  </si>
  <si>
    <t>Climate zone type i</t>
  </si>
  <si>
    <t>EF i N2O</t>
  </si>
  <si>
    <t>6.2.1.1-2 Return of pasture residue to soils</t>
  </si>
  <si>
    <t>Pasture type</t>
  </si>
  <si>
    <t>Average Yield (t DM ha) Yp</t>
  </si>
  <si>
    <t>Below-ground: above-ground residue ratio RBGp</t>
  </si>
  <si>
    <t>N content Above-ground NCAGp</t>
  </si>
  <si>
    <t>N content Below-ground NCBGp</t>
  </si>
  <si>
    <t>Fraction of pasture yield that is removed FFODp</t>
  </si>
  <si>
    <r>
      <t>M</t>
    </r>
    <r>
      <rPr>
        <b/>
        <vertAlign val="subscript"/>
        <sz val="10"/>
        <color theme="1" tint="0.24994659260841701"/>
        <rFont val="Arial"/>
        <family val="1"/>
      </rPr>
      <t>p</t>
    </r>
  </si>
  <si>
    <r>
      <t>E</t>
    </r>
    <r>
      <rPr>
        <vertAlign val="subscript"/>
        <sz val="10"/>
        <color theme="1" tint="0.24994659260841701"/>
        <rFont val="Arial"/>
        <family val="1"/>
      </rPr>
      <t>N2O</t>
    </r>
    <r>
      <rPr>
        <sz val="10"/>
        <color theme="1" tint="0.24994659260841701"/>
        <rFont val="Arial"/>
        <family val="1"/>
      </rPr>
      <t xml:space="preserve"> GWP</t>
    </r>
  </si>
  <si>
    <t>Area under pasture</t>
  </si>
  <si>
    <t>💡 'Pasture yield' is the average amount of dry matter that is grazed.</t>
  </si>
  <si>
    <t xml:space="preserve">       A default value is provided based on pasture type. You can edit this if known.</t>
  </si>
  <si>
    <t>Pasture yield</t>
  </si>
  <si>
    <t>Tonnes dry matter / hectare</t>
  </si>
  <si>
    <t>Total pasture yield</t>
  </si>
  <si>
    <t>Area of pasture renewed or removed</t>
  </si>
  <si>
    <t>← Please select</t>
  </si>
  <si>
    <t>Input - Pasture</t>
  </si>
  <si>
    <t>6.3.1.1-2 Leaching and run-off from crop and pasture residues</t>
  </si>
  <si>
    <r>
      <t>E</t>
    </r>
    <r>
      <rPr>
        <b/>
        <vertAlign val="subscript"/>
        <sz val="14"/>
        <color theme="1"/>
        <rFont val="Arial"/>
        <family val="1"/>
      </rPr>
      <t>N2O</t>
    </r>
  </si>
  <si>
    <t>Crop</t>
  </si>
  <si>
    <t>Pasture</t>
  </si>
  <si>
    <t>Crop or pasture</t>
  </si>
  <si>
    <t>FracWET_j</t>
  </si>
  <si>
    <t>M_cp</t>
  </si>
  <si>
    <t>M_leachcp</t>
  </si>
  <si>
    <t>Irrigation</t>
  </si>
  <si>
    <t>E_N2O</t>
  </si>
  <si>
    <t>M1_Table_M_leach_cp</t>
  </si>
  <si>
    <t>Mass of nitrogen lost through leaching and runoff (Method 1)</t>
  </si>
  <si>
    <t>M1_Table_E_N2O</t>
  </si>
  <si>
    <t>Nitrous oxide leaching and runoff emissions (Method 1)</t>
  </si>
  <si>
    <t>6.4.1.1-2 Field burning of crop residues</t>
  </si>
  <si>
    <r>
      <rPr>
        <b/>
        <sz val="10"/>
        <color theme="1" tint="0.24994659260841701"/>
        <rFont val="Arial"/>
        <family val="1"/>
      </rPr>
      <t>M</t>
    </r>
    <r>
      <rPr>
        <b/>
        <vertAlign val="subscript"/>
        <sz val="10"/>
        <color theme="1" tint="0.24994659260841701"/>
        <rFont val="Arial"/>
        <family val="1"/>
      </rPr>
      <t>burn,c</t>
    </r>
  </si>
  <si>
    <t>Gas species</t>
  </si>
  <si>
    <t>Emission factor EFg (Gg element in species/ Gg element in fuel burnt)</t>
  </si>
  <si>
    <t>Elemental to molecular mass conversion factor (Cg)</t>
  </si>
  <si>
    <t>6.1.1.1-2 Crop residue N2O</t>
  </si>
  <si>
    <t>6.2.1.1-2 Pasture residue N2O</t>
  </si>
  <si>
    <t>6.3.1.1-2 Leaching and runoff</t>
  </si>
  <si>
    <t>6.4.1.1-2 Residue burning</t>
  </si>
  <si>
    <t>t CH4</t>
  </si>
  <si>
    <t>Grass clover mixture</t>
  </si>
  <si>
    <t>Irrigation methods</t>
  </si>
  <si>
    <t>Not irrigated</t>
  </si>
  <si>
    <t>Drip irrigation</t>
  </si>
  <si>
    <t>Surface irrigation</t>
  </si>
  <si>
    <t>Other irrigation</t>
  </si>
  <si>
    <t>Yield note</t>
  </si>
  <si>
    <t>Residue crop ratio note</t>
  </si>
  <si>
    <t>Total production note</t>
  </si>
  <si>
    <t>Residue:crop ratio²</t>
  </si>
  <si>
    <t>Total production of crop³</t>
  </si>
  <si>
    <t>M2_Table_M_leach_cp</t>
  </si>
  <si>
    <t>Mass of nitrogen lost through leaching and runoff (Method 2)</t>
  </si>
  <si>
    <t>6.3.1.1-2 Leaching and run-off from pasture residues only</t>
  </si>
  <si>
    <t>N/A</t>
  </si>
  <si>
    <t>6.3.1.1-2 Leaching and run-off from crop residues only</t>
  </si>
  <si>
    <r>
      <t>E</t>
    </r>
    <r>
      <rPr>
        <b/>
        <vertAlign val="subscript"/>
        <sz val="14"/>
        <color theme="1" tint="0.24994659260841701"/>
        <rFont val="Arial"/>
        <family val="1"/>
      </rPr>
      <t>CH4</t>
    </r>
  </si>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</sst>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0000000000"/>
  </numFmts>
  <fonts count="66" x14ac:knownFonts="1">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i/>
      <sz val="9"/>
      <color theme="1" tint="0.34998626667073579"/>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u/>
      <sz val="10"/>
      <color theme="10"/>
      <name val="Arial"/>
      <family val="2"/>
    </font>
    <font>
      <sz val="9"/>
      <color theme="1" tint="0.249977111117893"/>
      <name val="Arial"/>
      <family val="1"/>
    </font>
    <font>
      <sz val="9"/>
      <color rgb="FF008000"/>
      <name val="Arial"/>
      <family val="1"/>
    </font>
    <font>
      <sz val="9"/>
      <color rgb="FFCC6600"/>
      <name val="Arial"/>
      <family val="1"/>
    </font>
    <font>
      <sz val="10"/>
      <color theme="0"/>
      <name val="Arial"/>
      <family val="1"/>
    </font>
    <font>
      <sz val="8"/>
      <name val="Arial"/>
      <family val="2"/>
    </font>
    <font>
      <sz val="10"/>
      <color theme="1" tint="0.499984740745262"/>
      <name val="Arial"/>
      <family val="1"/>
    </font>
    <font>
      <sz val="10"/>
      <color theme="1"/>
      <name val="Arial"/>
      <family val="1"/>
    </font>
    <font>
      <sz val="10"/>
      <color theme="1"/>
      <name val="Arial"/>
      <family val="1"/>
    </font>
    <font>
      <b/>
      <sz val="10"/>
      <color theme="1"/>
      <name val="Arial"/>
      <family val="1"/>
    </font>
    <font>
      <b/>
      <sz val="10"/>
      <color theme="1" tint="0.249977111117893"/>
      <name val="Arial"/>
      <family val="1"/>
    </font>
    <font>
      <sz val="10"/>
      <color theme="1" tint="0.249977111117893"/>
      <name val="Arial"/>
      <family val="1"/>
    </font>
    <font>
      <b/>
      <sz val="10"/>
      <color theme="1" tint="0.249977111117893"/>
      <name val="Arial"/>
      <family val="1"/>
    </font>
    <font>
      <b/>
      <sz val="10"/>
      <color theme="1"/>
      <name val="Arial"/>
      <family val="1"/>
    </font>
    <font>
      <b/>
      <sz val="12"/>
      <color theme="1"/>
      <name val="Arial"/>
      <family val="1"/>
    </font>
    <font>
      <sz val="10"/>
      <color rgb="FF242424"/>
      <name val="Consolas"/>
      <family val="3"/>
    </font>
    <font>
      <sz val="10"/>
      <color theme="0" tint="-4.9989318521683403E-2"/>
      <name val="Arial"/>
      <family val="1"/>
    </font>
    <font>
      <sz val="9"/>
      <color theme="1" tint="0.34998626667073579"/>
      <name val="Arial"/>
      <family val="1"/>
    </font>
    <font>
      <sz val="9"/>
      <name val="Arial"/>
      <family val="2"/>
    </font>
    <font>
      <sz val="16"/>
      <color theme="1" tint="0.14996795556505021"/>
      <name val="Arial"/>
      <family val="1"/>
    </font>
    <font>
      <sz val="9"/>
      <color theme="1" tint="0.34998626667073579"/>
      <name val="Arial"/>
      <family val="2"/>
    </font>
    <font>
      <sz val="10"/>
      <color theme="1" tint="0.24994659260841701"/>
      <name val="Arial"/>
      <family val="1"/>
    </font>
    <font>
      <b/>
      <sz val="10"/>
      <color theme="1" tint="0.24994659260841701"/>
      <name val="Arial"/>
      <family val="1"/>
    </font>
    <font>
      <sz val="10"/>
      <color rgb="FFC44340"/>
      <name val="Arial"/>
      <family val="1"/>
    </font>
    <font>
      <sz val="10"/>
      <color rgb="FF008000"/>
      <name val="Arial"/>
      <family val="1"/>
    </font>
    <font>
      <sz val="10"/>
      <color rgb="FF0070C0"/>
      <name val="Arial"/>
      <family val="1"/>
    </font>
    <font>
      <b/>
      <sz val="10"/>
      <color rgb="FF0070C0"/>
      <name val="Arial"/>
      <family val="1"/>
    </font>
    <font>
      <b/>
      <sz val="10"/>
      <color theme="0"/>
      <name val="Arial"/>
      <family val="1"/>
    </font>
    <font>
      <b/>
      <sz val="10"/>
      <color theme="0" tint="-0.499984740745262"/>
      <name val="Arial"/>
      <family val="1"/>
    </font>
    <font>
      <sz val="9"/>
      <color theme="0" tint="-0.499984740745262"/>
      <name val="Arial"/>
      <family val="1"/>
    </font>
    <font>
      <b/>
      <sz val="14"/>
      <color theme="1" tint="0.24994659260841701"/>
      <name val="Arial"/>
      <family val="1"/>
    </font>
    <font>
      <sz val="14"/>
      <color theme="1" tint="0.24994659260841701"/>
      <name val="Arial"/>
      <family val="1"/>
    </font>
    <font>
      <i/>
      <sz val="14"/>
      <color theme="1" tint="0.34998626667073579"/>
      <name val="Arial"/>
      <family val="1"/>
    </font>
    <font>
      <vertAlign val="subscript"/>
      <sz val="10"/>
      <color theme="1" tint="0.24994659260841701"/>
      <name val="Arial"/>
      <family val="1"/>
    </font>
    <font>
      <sz val="12"/>
      <color theme="1" tint="0.34998626667073579"/>
      <name val="Arial"/>
      <family val="1"/>
    </font>
    <font>
      <b/>
      <sz val="10"/>
      <color rgb="FFCC6600"/>
      <name val="Arial"/>
      <family val="1"/>
    </font>
    <font>
      <b/>
      <vertAlign val="subscript"/>
      <sz val="14"/>
      <color theme="1" tint="0.24994659260841701"/>
      <name val="Arial"/>
      <family val="1"/>
    </font>
    <font>
      <sz val="10"/>
      <color rgb="FFCC6600"/>
      <name val="Arial"/>
      <family val="1"/>
    </font>
    <font>
      <i/>
      <sz val="9"/>
      <color theme="6" tint="-0.499984740745262"/>
      <name val="Arial"/>
      <family val="1"/>
    </font>
    <font>
      <i/>
      <sz val="9"/>
      <color theme="5" tint="-0.499984740745262"/>
      <name val="Arial"/>
      <family val="1"/>
    </font>
    <font>
      <u/>
      <sz val="9"/>
      <color theme="1" tint="0.34998626667073579"/>
      <name val="Arial"/>
      <family val="1"/>
    </font>
    <font>
      <b/>
      <vertAlign val="subscript"/>
      <sz val="10"/>
      <color theme="1" tint="0.24994659260841701"/>
      <name val="Arial"/>
      <family val="1"/>
    </font>
    <font>
      <i/>
      <sz val="9"/>
      <color theme="1" tint="0.14999847407452621"/>
      <name val="Arial"/>
      <family val="1"/>
    </font>
    <font>
      <b/>
      <sz val="18"/>
      <color theme="3" tint="9.9978637043366805E-2"/>
      <name val="Arial"/>
      <family val="1"/>
    </font>
    <font>
      <b/>
      <sz val="14"/>
      <color theme="1"/>
      <name val="Arial"/>
      <family val="1"/>
    </font>
    <font>
      <b/>
      <vertAlign val="subscript"/>
      <sz val="14"/>
      <color theme="1"/>
      <name val="Arial"/>
      <family val="1"/>
    </font>
    <font>
      <sz val="14"/>
      <color theme="1"/>
      <name val="Arial"/>
      <family val="1"/>
    </font>
    <font>
      <sz val="9"/>
      <color rgb="FF404040"/>
      <name val="Arial"/>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2"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2"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1"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6" fillId="15" borderId="2">
      <alignment horizontal="center" vertical="center"/>
    </xf>
    <xf numFmtId="0" fontId="58" fillId="4" borderId="2">
      <alignment horizontal="left" vertical="center"/>
    </xf>
    <xf numFmtId="0" fontId="35" fillId="4" borderId="2">
      <alignment horizontal="left" vertical="center"/>
    </xf>
    <xf numFmtId="0" fontId="60" fillId="0" borderId="0"/>
  </cellStyleXfs>
  <cellXfs count="143">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2"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3"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7" fillId="0" borderId="0" xfId="5" applyFill="1">
      <alignment horizontal="left" vertical="center"/>
    </xf>
    <xf numFmtId="0" fontId="42"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4" fontId="26" fillId="0" borderId="0" xfId="18" applyFont="1" applyBorder="1">
      <alignment horizontal="center" vertical="center"/>
    </xf>
    <xf numFmtId="0" fontId="52"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0" fillId="4" borderId="0" xfId="8" applyFont="1">
      <alignment horizontal="left" vertical="center"/>
    </xf>
    <xf numFmtId="0" fontId="6" fillId="4" borderId="0" xfId="56">
      <alignment horizontal="left" vertical="center"/>
    </xf>
    <xf numFmtId="0" fontId="41"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3" fillId="13" borderId="10" xfId="41" applyBorder="1">
      <alignment horizontal="left" vertical="center"/>
    </xf>
    <xf numFmtId="0" fontId="43" fillId="13" borderId="12" xfId="41" applyBorder="1">
      <alignment horizontal="left" vertical="center"/>
    </xf>
    <xf numFmtId="0" fontId="43" fillId="13" borderId="14" xfId="41" applyBorder="1">
      <alignment horizontal="left" vertical="center"/>
    </xf>
    <xf numFmtId="0" fontId="43" fillId="13" borderId="13" xfId="41" applyBorder="1">
      <alignment horizontal="left" vertical="center"/>
    </xf>
    <xf numFmtId="0" fontId="43" fillId="13" borderId="15" xfId="41" applyBorder="1">
      <alignment horizontal="left" vertical="center"/>
    </xf>
    <xf numFmtId="0" fontId="43" fillId="13" borderId="17" xfId="41" applyBorder="1">
      <alignment horizontal="left" vertical="center"/>
    </xf>
    <xf numFmtId="0" fontId="43" fillId="13" borderId="11" xfId="41" applyBorder="1">
      <alignment horizontal="left" vertical="center"/>
    </xf>
    <xf numFmtId="0" fontId="43" fillId="13" borderId="16" xfId="41" applyBorder="1">
      <alignment horizontal="left" vertical="center"/>
    </xf>
    <xf numFmtId="0" fontId="43" fillId="13" borderId="18" xfId="41" applyBorder="1">
      <alignment horizontal="left" vertical="center"/>
    </xf>
    <xf numFmtId="0" fontId="44" fillId="13" borderId="9" xfId="41" applyFont="1" applyBorder="1">
      <alignment horizontal="left" vertical="center"/>
    </xf>
    <xf numFmtId="0" fontId="47" fillId="4" borderId="0" xfId="61">
      <alignment horizontal="left" vertical="center"/>
    </xf>
    <xf numFmtId="0" fontId="46" fillId="4" borderId="0" xfId="60">
      <alignment horizontal="left"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3" fillId="4" borderId="0" xfId="62">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5" fillId="11" borderId="0" xfId="63">
      <alignment horizontal="center" vertical="center"/>
    </xf>
    <xf numFmtId="0" fontId="39" fillId="4" borderId="0" xfId="8" applyAlignment="1">
      <alignment horizontal="center" vertical="center"/>
    </xf>
    <xf numFmtId="0" fontId="43" fillId="13" borderId="9" xfId="41" applyBorder="1">
      <alignment horizontal="left" vertical="center"/>
    </xf>
    <xf numFmtId="0" fontId="55"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0" fillId="0" borderId="0" xfId="0" applyAlignment="1">
      <alignment vertical="center"/>
    </xf>
    <xf numFmtId="0" fontId="13" fillId="6" borderId="0" xfId="30">
      <alignment horizontal="center" vertical="center"/>
      <protection locked="0"/>
    </xf>
    <xf numFmtId="0" fontId="56" fillId="15" borderId="2" xfId="66">
      <alignment horizontal="center" vertical="center"/>
    </xf>
    <xf numFmtId="0" fontId="57" fillId="14" borderId="2" xfId="65">
      <alignment horizontal="center" vertical="center"/>
    </xf>
    <xf numFmtId="0" fontId="39" fillId="4" borderId="0" xfId="8" applyAlignment="1">
      <alignment horizontal="left" vertical="center" wrapText="1"/>
    </xf>
    <xf numFmtId="0" fontId="0" fillId="0" borderId="0" xfId="0" applyAlignment="1">
      <alignment wrapText="1"/>
    </xf>
    <xf numFmtId="0" fontId="2" fillId="0" borderId="2" xfId="59">
      <alignment horizontal="center" vertical="center"/>
    </xf>
    <xf numFmtId="0" fontId="58" fillId="4" borderId="2" xfId="67">
      <alignment horizontal="left" vertical="center"/>
    </xf>
    <xf numFmtId="0" fontId="35" fillId="4" borderId="2" xfId="68">
      <alignment horizontal="left" vertical="center"/>
    </xf>
    <xf numFmtId="0" fontId="40" fillId="4" borderId="1" xfId="8" applyFont="1" applyBorder="1">
      <alignment horizontal="left" vertical="center"/>
    </xf>
    <xf numFmtId="0" fontId="6" fillId="4" borderId="1" xfId="12" applyBorder="1">
      <alignment horizontal="left" vertical="center" indent="1"/>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9" fontId="2" fillId="0" borderId="2" xfId="17">
      <alignment horizontal="center" vertical="center"/>
    </xf>
    <xf numFmtId="170" fontId="8" fillId="4" borderId="0" xfId="10" applyNumberFormat="1">
      <alignment horizontal="center" vertical="center"/>
    </xf>
    <xf numFmtId="0" fontId="61" fillId="9" borderId="0" xfId="33" applyFont="1" applyFill="1"/>
    <xf numFmtId="0" fontId="39" fillId="9" borderId="0" xfId="8" applyFill="1">
      <alignment horizontal="left" vertical="center"/>
    </xf>
    <xf numFmtId="0" fontId="0" fillId="9" borderId="0" xfId="0" applyFill="1"/>
    <xf numFmtId="0" fontId="17" fillId="11" borderId="0" xfId="32" applyFill="1">
      <alignment vertical="center"/>
    </xf>
    <xf numFmtId="0" fontId="44"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4" fontId="2" fillId="0" borderId="2" xfId="18">
      <alignment horizontal="center" vertical="center"/>
    </xf>
    <xf numFmtId="0" fontId="43" fillId="13" borderId="9" xfId="41" quotePrefix="1" applyBorder="1">
      <alignment horizontal="left" vertical="center"/>
    </xf>
    <xf numFmtId="3" fontId="35" fillId="4" borderId="2" xfId="43">
      <alignment horizontal="center" vertical="center"/>
    </xf>
    <xf numFmtId="0" fontId="31" fillId="0" borderId="0" xfId="0" applyFont="1"/>
    <xf numFmtId="0" fontId="0" fillId="4" borderId="1" xfId="0" applyFill="1" applyBorder="1"/>
    <xf numFmtId="0" fontId="0" fillId="4" borderId="1" xfId="0" applyFill="1" applyBorder="1" applyAlignment="1">
      <alignment vertical="center"/>
    </xf>
    <xf numFmtId="3" fontId="35" fillId="4" borderId="2" xfId="68" applyNumberFormat="1">
      <alignment horizontal="left" vertical="center"/>
    </xf>
    <xf numFmtId="0" fontId="35" fillId="4" borderId="6" xfId="55" applyBorder="1">
      <alignment horizontal="center" vertical="center"/>
    </xf>
    <xf numFmtId="0" fontId="0" fillId="4" borderId="0" xfId="0" quotePrefix="1" applyFill="1"/>
    <xf numFmtId="0" fontId="62" fillId="4" borderId="1" xfId="0" applyFont="1" applyFill="1" applyBorder="1"/>
    <xf numFmtId="0" fontId="64" fillId="4" borderId="1" xfId="0" applyFont="1" applyFill="1" applyBorder="1"/>
    <xf numFmtId="171" fontId="8" fillId="4" borderId="0" xfId="10" applyNumberFormat="1">
      <alignment horizontal="center" vertical="center"/>
    </xf>
    <xf numFmtId="0" fontId="65" fillId="9" borderId="5" xfId="36" applyFont="1">
      <alignment horizontal="left" vertical="center" indent="1"/>
    </xf>
    <xf numFmtId="0" fontId="18" fillId="0" borderId="0" xfId="34"/>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79">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i val="0"/>
        <strike val="0"/>
        <condense val="0"/>
        <extend val="0"/>
        <outline val="0"/>
        <shadow val="0"/>
        <u val="none"/>
        <vertAlign val="baseline"/>
        <sz val="10"/>
        <color theme="1"/>
        <name val="Arial"/>
        <family val="1"/>
      </font>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8"/>
      <tableStyleElement type="headerRow" dxfId="77"/>
      <tableStyleElement type="totalRow" dxfId="76"/>
      <tableStyleElement type="firstColumn" dxfId="75"/>
      <tableStyleElement type="firstRowStripe" dxfId="74"/>
      <tableStyleElement type="secondRowStripe" dxfId="73"/>
    </tableStyle>
    <tableStyle name="Equation table" pivot="0" count="6" xr9:uid="{B247698E-E41D-4CCD-AA0A-C14817E9DE65}">
      <tableStyleElement type="wholeTable" dxfId="72"/>
      <tableStyleElement type="headerRow" dxfId="71"/>
      <tableStyleElement type="totalRow" dxfId="70"/>
      <tableStyleElement type="firstColumn" dxfId="69"/>
      <tableStyleElement type="firstRowStripe" dxfId="68"/>
      <tableStyleElement type="secondRowStripe" dxfId="67"/>
    </tableStyle>
    <tableStyle name="Table Style 1" pivot="0" count="0" xr9:uid="{97B370DB-5463-4A31-9160-5A96BD6A559D}"/>
  </tableStyles>
  <colors>
    <mruColors>
      <color rgb="FF0C769E"/>
      <color rgb="FF008000"/>
      <color rgb="FFC44340"/>
      <color rgb="FFFFCCCC"/>
      <color rgb="FFCC660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6.3.1.1-2 Leaching and runoff'!D28"/><Relationship Id="rId3" Type="http://schemas.openxmlformats.org/officeDocument/2006/relationships/hyperlink" Target="#'6.1.1.1-2 Crop residue N2O'!M5"/><Relationship Id="rId7" Type="http://schemas.openxmlformats.org/officeDocument/2006/relationships/hyperlink" Target="#'6.3.1.1-2 Leaching and runoff'!D5"/><Relationship Id="rId2" Type="http://schemas.openxmlformats.org/officeDocument/2006/relationships/hyperlink" Target="#'6.1.1.1-2 Crop residue N2O'!D28"/><Relationship Id="rId1" Type="http://schemas.openxmlformats.org/officeDocument/2006/relationships/hyperlink" Target="#'6.1.1.1-2 Crop residue N2O'!D5"/><Relationship Id="rId6" Type="http://schemas.openxmlformats.org/officeDocument/2006/relationships/hyperlink" Target="#'6.2.1.1-2 Pasture residue N2O'!D25"/><Relationship Id="rId11" Type="http://schemas.openxmlformats.org/officeDocument/2006/relationships/hyperlink" Target="#'6.4.1.1-2 Residue burning'!D48"/><Relationship Id="rId5" Type="http://schemas.openxmlformats.org/officeDocument/2006/relationships/hyperlink" Target="#'6.2.1.1-2 Pasture residue N2O'!D5"/><Relationship Id="rId10" Type="http://schemas.openxmlformats.org/officeDocument/2006/relationships/hyperlink" Target="#'6.4.1.1-2 Residue burning'!D25"/><Relationship Id="rId4" Type="http://schemas.openxmlformats.org/officeDocument/2006/relationships/hyperlink" Target="#'6.1.1.1-2 Crop residue N2O'!M24"/><Relationship Id="rId9" Type="http://schemas.openxmlformats.org/officeDocument/2006/relationships/hyperlink" Target="#'6.4.1.1-2 Residue burning'!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rgbClr val="0C769E"/>
              </a:solidFill>
            </a:rPr>
            <a:t>6.1.1.1-2 </a:t>
          </a:r>
          <a:br>
            <a:rPr lang="en-AU" sz="1200" b="0">
              <a:solidFill>
                <a:srgbClr val="0C769E"/>
              </a:solidFill>
            </a:rPr>
          </a:br>
          <a:r>
            <a:rPr lang="en-AU" sz="1200" b="0">
              <a:solidFill>
                <a:srgbClr val="0C769E"/>
              </a:solidFill>
            </a:rPr>
            <a:t>Crop residue N2O</a:t>
          </a:r>
        </a:p>
      </xdr:txBody>
    </xdr:sp>
    <xdr:clientData/>
  </xdr:oneCellAnchor>
  <xdr:twoCellAnchor>
    <xdr:from>
      <xdr:col>3</xdr:col>
      <xdr:colOff>110835</xdr:colOff>
      <xdr:row>18</xdr:row>
      <xdr:rowOff>13855</xdr:rowOff>
    </xdr:from>
    <xdr:to>
      <xdr:col>5</xdr:col>
      <xdr:colOff>403635</xdr:colOff>
      <xdr:row>20</xdr:row>
      <xdr:rowOff>238555</xdr:rowOff>
    </xdr:to>
    <xdr:sp macro="" textlink="'6.1.1.1-2 Crop residue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46049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8F877F-2135-416A-A46F-CAABBC04AD48}" type="TxLink">
            <a:rPr lang="en-US" sz="900" b="0" i="0" u="none" strike="noStrike">
              <a:solidFill>
                <a:srgbClr val="0C769E"/>
              </a:solidFill>
              <a:latin typeface="Arial"/>
              <a:cs typeface="Arial"/>
            </a:rPr>
            <a:pPr algn="ctr"/>
            <a:t>Mass of nitrogen in crop residues returned to the soil</a:t>
          </a:fld>
          <a:endParaRPr lang="en-AU" sz="900">
            <a:solidFill>
              <a:srgbClr val="0C769E"/>
            </a:solidFill>
          </a:endParaRPr>
        </a:p>
      </xdr:txBody>
    </xdr:sp>
    <xdr:clientData/>
  </xdr:twoCellAnchor>
  <xdr:twoCellAnchor>
    <xdr:from>
      <xdr:col>3</xdr:col>
      <xdr:colOff>110835</xdr:colOff>
      <xdr:row>28</xdr:row>
      <xdr:rowOff>7421</xdr:rowOff>
    </xdr:from>
    <xdr:to>
      <xdr:col>5</xdr:col>
      <xdr:colOff>403635</xdr:colOff>
      <xdr:row>32</xdr:row>
      <xdr:rowOff>96821</xdr:rowOff>
    </xdr:to>
    <xdr:sp macro="" textlink="'6.1.1.1-2 Crop residue N2O'!D28">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0749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A8866F-96CC-4485-B727-458D801885D1}" type="TxLink">
            <a:rPr lang="en-US" sz="900" b="1" i="0" u="none" strike="noStrike">
              <a:solidFill>
                <a:srgbClr val="0C769E"/>
              </a:solidFill>
              <a:latin typeface="Arial"/>
              <a:cs typeface="Arial"/>
            </a:rPr>
            <a:pPr algn="ctr"/>
            <a:t>Nitrous oxide emissions from the return of crop residues across all crops c to the soil</a:t>
          </a:fld>
          <a:endParaRPr lang="en-AU" sz="900" b="1">
            <a:solidFill>
              <a:srgbClr val="0C769E"/>
            </a:solidFill>
          </a:endParaRPr>
        </a:p>
      </xdr:txBody>
    </xdr:sp>
    <xdr:clientData/>
  </xdr:twoCellAnchor>
  <xdr:twoCellAnchor>
    <xdr:from>
      <xdr:col>5</xdr:col>
      <xdr:colOff>212519</xdr:colOff>
      <xdr:row>10</xdr:row>
      <xdr:rowOff>242454</xdr:rowOff>
    </xdr:from>
    <xdr:to>
      <xdr:col>7</xdr:col>
      <xdr:colOff>505319</xdr:colOff>
      <xdr:row>13</xdr:row>
      <xdr:rowOff>94600</xdr:rowOff>
    </xdr:to>
    <xdr:sp macro="" textlink="'6.1.1.1-2 Crop residue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08244" y="2852304"/>
          <a:ext cx="1512000" cy="595096"/>
        </a:xfrm>
        <a:prstGeom prst="rect">
          <a:avLst/>
        </a:prstGeom>
        <a:solidFill>
          <a:schemeClr val="lt1"/>
        </a:solidFill>
        <a:ln w="9525" cmpd="sng">
          <a:solidFill>
            <a:srgbClr val="0C769E"/>
          </a:solidFill>
          <a:prstDash val="dash"/>
          <a:extLst>
            <a:ext uri="{C807C97D-BFC1-408E-A445-0C87EB9F89A2}">
              <ask:lineSketchStyleProps xmlns:ask="http://schemas.microsoft.com/office/drawing/2018/sketchyshapes" sd="981765707">
                <a:custGeom>
                  <a:avLst/>
                  <a:gdLst>
                    <a:gd name="csX0" fmla="*/ 0 w 1512000"/>
                    <a:gd name="csY0" fmla="*/ 0 h 595096"/>
                    <a:gd name="csX1" fmla="*/ 1512000 w 1512000"/>
                    <a:gd name="csY1" fmla="*/ 0 h 595096"/>
                    <a:gd name="csX2" fmla="*/ 1512000 w 1512000"/>
                    <a:gd name="csY2" fmla="*/ 595096 h 595096"/>
                    <a:gd name="csX3" fmla="*/ 0 w 1512000"/>
                    <a:gd name="csY3" fmla="*/ 595096 h 595096"/>
                    <a:gd name="csX4" fmla="*/ 0 w 1512000"/>
                    <a:gd name="csY4" fmla="*/ 0 h 595096"/>
                  </a:gdLst>
                  <a:ahLst/>
                  <a:cxnLst>
                    <a:cxn ang="0">
                      <a:pos x="csX0" y="csY0"/>
                    </a:cxn>
                    <a:cxn ang="0">
                      <a:pos x="csX1" y="csY1"/>
                    </a:cxn>
                    <a:cxn ang="0">
                      <a:pos x="csX2" y="csY2"/>
                    </a:cxn>
                    <a:cxn ang="0">
                      <a:pos x="csX3" y="csY3"/>
                    </a:cxn>
                    <a:cxn ang="0">
                      <a:pos x="csX4" y="csY4"/>
                    </a:cxn>
                  </a:cxnLst>
                  <a:rect l="l" t="t" r="r" b="b"/>
                  <a:pathLst>
                    <a:path w="1512000" h="595096" fill="none" extrusionOk="0">
                      <a:moveTo>
                        <a:pt x="0" y="0"/>
                      </a:moveTo>
                      <a:cubicBezTo>
                        <a:pt x="351985" y="-88655"/>
                        <a:pt x="1321200" y="53433"/>
                        <a:pt x="1512000" y="0"/>
                      </a:cubicBezTo>
                      <a:cubicBezTo>
                        <a:pt x="1475347" y="147579"/>
                        <a:pt x="1504401" y="300380"/>
                        <a:pt x="1512000" y="595096"/>
                      </a:cubicBezTo>
                      <a:cubicBezTo>
                        <a:pt x="952601" y="693766"/>
                        <a:pt x="586528" y="489720"/>
                        <a:pt x="0" y="595096"/>
                      </a:cubicBezTo>
                      <a:cubicBezTo>
                        <a:pt x="16543" y="485270"/>
                        <a:pt x="26644" y="72834"/>
                        <a:pt x="0" y="0"/>
                      </a:cubicBezTo>
                      <a:close/>
                    </a:path>
                    <a:path w="1512000" h="595096" stroke="0" extrusionOk="0">
                      <a:moveTo>
                        <a:pt x="0" y="0"/>
                      </a:moveTo>
                      <a:cubicBezTo>
                        <a:pt x="741294" y="-103087"/>
                        <a:pt x="941791" y="40558"/>
                        <a:pt x="1512000" y="0"/>
                      </a:cubicBezTo>
                      <a:cubicBezTo>
                        <a:pt x="1502451" y="119951"/>
                        <a:pt x="1497496" y="405644"/>
                        <a:pt x="1512000" y="595096"/>
                      </a:cubicBezTo>
                      <a:cubicBezTo>
                        <a:pt x="919860" y="655721"/>
                        <a:pt x="526565" y="539527"/>
                        <a:pt x="0" y="595096"/>
                      </a:cubicBezTo>
                      <a:cubicBezTo>
                        <a:pt x="28147" y="429756"/>
                        <a:pt x="17071" y="295334"/>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AB987F-AD2C-407E-808B-9D3DB3AFA73C}" type="TxLink">
            <a:rPr lang="en-US" sz="900" b="0" i="0" u="none" strike="noStrike">
              <a:solidFill>
                <a:srgbClr val="0C769E"/>
              </a:solidFill>
              <a:latin typeface="Arial"/>
              <a:cs typeface="Arial"/>
            </a:rPr>
            <a:pPr algn="ctr"/>
            <a:t>Fraction of crop residue that is removed for crop c, calculated where residues are baled</a:t>
          </a:fld>
          <a:endParaRPr lang="en-AU" sz="900">
            <a:solidFill>
              <a:srgbClr val="0C769E"/>
            </a:solidFill>
          </a:endParaRPr>
        </a:p>
      </xdr:txBody>
    </xdr:sp>
    <xdr:clientData/>
  </xdr:twoCellAnchor>
  <xdr:twoCellAnchor>
    <xdr:from>
      <xdr:col>5</xdr:col>
      <xdr:colOff>212519</xdr:colOff>
      <xdr:row>14</xdr:row>
      <xdr:rowOff>18104</xdr:rowOff>
    </xdr:from>
    <xdr:to>
      <xdr:col>7</xdr:col>
      <xdr:colOff>505319</xdr:colOff>
      <xdr:row>16</xdr:row>
      <xdr:rowOff>183124</xdr:rowOff>
    </xdr:to>
    <xdr:sp macro="" textlink="'6.1.1.1-2 Crop residue N2O'!#REF!">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08244" y="3618554"/>
          <a:ext cx="1512000" cy="660320"/>
        </a:xfrm>
        <a:prstGeom prst="rect">
          <a:avLst/>
        </a:prstGeom>
        <a:solidFill>
          <a:schemeClr val="lt1"/>
        </a:solidFill>
        <a:ln w="9525" cmpd="sng">
          <a:solidFill>
            <a:srgbClr val="0C769E"/>
          </a:solidFill>
          <a:prstDash val="dash"/>
          <a:extLst>
            <a:ext uri="{C807C97D-BFC1-408E-A445-0C87EB9F89A2}">
              <ask:lineSketchStyleProps xmlns:ask="http://schemas.microsoft.com/office/drawing/2018/sketchyshapes" sd="1219033472">
                <a:custGeom>
                  <a:avLst/>
                  <a:gdLst>
                    <a:gd name="csX0" fmla="*/ 0 w 1512000"/>
                    <a:gd name="csY0" fmla="*/ 0 h 660320"/>
                    <a:gd name="csX1" fmla="*/ 1512000 w 1512000"/>
                    <a:gd name="csY1" fmla="*/ 0 h 660320"/>
                    <a:gd name="csX2" fmla="*/ 1512000 w 1512000"/>
                    <a:gd name="csY2" fmla="*/ 660320 h 660320"/>
                    <a:gd name="csX3" fmla="*/ 0 w 1512000"/>
                    <a:gd name="csY3" fmla="*/ 660320 h 660320"/>
                    <a:gd name="csX4" fmla="*/ 0 w 1512000"/>
                    <a:gd name="csY4" fmla="*/ 0 h 660320"/>
                  </a:gdLst>
                  <a:ahLst/>
                  <a:cxnLst>
                    <a:cxn ang="0">
                      <a:pos x="csX0" y="csY0"/>
                    </a:cxn>
                    <a:cxn ang="0">
                      <a:pos x="csX1" y="csY1"/>
                    </a:cxn>
                    <a:cxn ang="0">
                      <a:pos x="csX2" y="csY2"/>
                    </a:cxn>
                    <a:cxn ang="0">
                      <a:pos x="csX3" y="csY3"/>
                    </a:cxn>
                    <a:cxn ang="0">
                      <a:pos x="csX4" y="csY4"/>
                    </a:cxn>
                  </a:cxnLst>
                  <a:rect l="l" t="t" r="r" b="b"/>
                  <a:pathLst>
                    <a:path w="1512000" h="660320" fill="none" extrusionOk="0">
                      <a:moveTo>
                        <a:pt x="0" y="0"/>
                      </a:moveTo>
                      <a:cubicBezTo>
                        <a:pt x="735012" y="-48253"/>
                        <a:pt x="915414" y="66151"/>
                        <a:pt x="1512000" y="0"/>
                      </a:cubicBezTo>
                      <a:cubicBezTo>
                        <a:pt x="1455180" y="212826"/>
                        <a:pt x="1478967" y="480100"/>
                        <a:pt x="1512000" y="660320"/>
                      </a:cubicBezTo>
                      <a:cubicBezTo>
                        <a:pt x="1082717" y="531929"/>
                        <a:pt x="551777" y="600135"/>
                        <a:pt x="0" y="660320"/>
                      </a:cubicBezTo>
                      <a:cubicBezTo>
                        <a:pt x="40189" y="566168"/>
                        <a:pt x="-7720" y="246070"/>
                        <a:pt x="0" y="0"/>
                      </a:cubicBezTo>
                      <a:close/>
                    </a:path>
                    <a:path w="1512000" h="660320" stroke="0" extrusionOk="0">
                      <a:moveTo>
                        <a:pt x="0" y="0"/>
                      </a:moveTo>
                      <a:cubicBezTo>
                        <a:pt x="179393" y="31125"/>
                        <a:pt x="886742" y="-53428"/>
                        <a:pt x="1512000" y="0"/>
                      </a:cubicBezTo>
                      <a:cubicBezTo>
                        <a:pt x="1489907" y="293155"/>
                        <a:pt x="1455842" y="478481"/>
                        <a:pt x="1512000" y="660320"/>
                      </a:cubicBezTo>
                      <a:cubicBezTo>
                        <a:pt x="926750" y="708840"/>
                        <a:pt x="543592" y="643764"/>
                        <a:pt x="0" y="660320"/>
                      </a:cubicBezTo>
                      <a:cubicBezTo>
                        <a:pt x="52058" y="452402"/>
                        <a:pt x="-25266" y="212204"/>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898658-55FF-4CEA-BA46-AFAB02210E5A}" type="TxLink">
            <a:rPr lang="en-US" sz="900" b="0" i="0" u="none" strike="noStrike">
              <a:solidFill>
                <a:srgbClr val="0C769E"/>
              </a:solidFill>
              <a:latin typeface="Arial"/>
              <a:cs typeface="Arial"/>
            </a:rPr>
            <a:pPr algn="ctr"/>
            <a:t> </a:t>
          </a:fld>
          <a:endParaRPr lang="en-AU" sz="900">
            <a:solidFill>
              <a:srgbClr val="0C769E"/>
            </a:solidFill>
          </a:endParaRPr>
        </a:p>
      </xdr:txBody>
    </xdr:sp>
    <xdr:clientData/>
  </xdr:twoCellAnchor>
  <xdr:oneCellAnchor>
    <xdr:from>
      <xdr:col>5</xdr:col>
      <xdr:colOff>404388</xdr:colOff>
      <xdr:row>9</xdr:row>
      <xdr:rowOff>139552</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300113" y="2501752"/>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rgbClr val="0C769E"/>
              </a:solidFill>
            </a:rPr>
            <a:t>Method 2</a:t>
          </a:r>
        </a:p>
      </xdr:txBody>
    </xdr:sp>
    <xdr:clientData/>
  </xdr:oneCellAnchor>
  <xdr:oneCellAnchor>
    <xdr:from>
      <xdr:col>8</xdr:col>
      <xdr:colOff>425587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61501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chemeClr val="accent5">
                  <a:lumMod val="75000"/>
                </a:schemeClr>
              </a:solidFill>
            </a:rPr>
            <a:t>6.2.1.1-2 </a:t>
          </a:r>
          <a:br>
            <a:rPr lang="en-AU" sz="1200" b="0">
              <a:solidFill>
                <a:schemeClr val="accent5">
                  <a:lumMod val="75000"/>
                </a:schemeClr>
              </a:solidFill>
            </a:rPr>
          </a:br>
          <a:r>
            <a:rPr lang="en-AU" sz="1200" b="0">
              <a:solidFill>
                <a:schemeClr val="accent5">
                  <a:lumMod val="75000"/>
                </a:schemeClr>
              </a:solidFill>
            </a:rPr>
            <a:t>Pasture</a:t>
          </a:r>
          <a:r>
            <a:rPr lang="en-AU" sz="1200" b="0" baseline="0">
              <a:solidFill>
                <a:schemeClr val="accent5">
                  <a:lumMod val="75000"/>
                </a:schemeClr>
              </a:solidFill>
            </a:rPr>
            <a:t> residue N2O</a:t>
          </a:r>
          <a:endParaRPr lang="en-AU" sz="1200" b="0">
            <a:solidFill>
              <a:schemeClr val="accent5">
                <a:lumMod val="75000"/>
              </a:schemeClr>
            </a:solidFill>
          </a:endParaRPr>
        </a:p>
      </xdr:txBody>
    </xdr:sp>
    <xdr:clientData/>
  </xdr:oneCellAnchor>
  <xdr:twoCellAnchor>
    <xdr:from>
      <xdr:col>8</xdr:col>
      <xdr:colOff>604405</xdr:colOff>
      <xdr:row>9</xdr:row>
      <xdr:rowOff>113433</xdr:rowOff>
    </xdr:from>
    <xdr:to>
      <xdr:col>11</xdr:col>
      <xdr:colOff>287605</xdr:colOff>
      <xdr:row>12</xdr:row>
      <xdr:rowOff>90483</xdr:rowOff>
    </xdr:to>
    <xdr:sp macro="" textlink="'6.2.1.1-2 Pasture residue N2O'!D5">
      <xdr:nvSpPr>
        <xdr:cNvPr id="21" name="TextBox 20">
          <a:hlinkClick xmlns:r="http://schemas.openxmlformats.org/officeDocument/2006/relationships" r:id="rId5"/>
          <a:extLst>
            <a:ext uri="{FF2B5EF4-FFF2-40B4-BE49-F238E27FC236}">
              <a16:creationId xmlns:a16="http://schemas.microsoft.com/office/drawing/2014/main" id="{8C71CDED-7203-4C08-A42F-C497846ACCAF}"/>
            </a:ext>
          </a:extLst>
        </xdr:cNvPr>
        <xdr:cNvSpPr txBox="1"/>
      </xdr:nvSpPr>
      <xdr:spPr>
        <a:xfrm>
          <a:off x="63289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8D72C6-034D-43A6-BC4D-ED6DBD8D8AD9}" type="TxLink">
            <a:rPr lang="en-US" sz="900" b="0" i="0" u="none" strike="noStrike">
              <a:solidFill>
                <a:schemeClr val="accent5">
                  <a:lumMod val="75000"/>
                </a:schemeClr>
              </a:solidFill>
              <a:latin typeface="Arial"/>
              <a:cs typeface="Arial"/>
            </a:rPr>
            <a:pPr algn="ctr"/>
            <a:t>Mass of nitrogen in pasture residues returned to the soil</a:t>
          </a:fld>
          <a:endParaRPr lang="en-AU" sz="900">
            <a:solidFill>
              <a:schemeClr val="accent5">
                <a:lumMod val="75000"/>
              </a:schemeClr>
            </a:solidFill>
          </a:endParaRPr>
        </a:p>
      </xdr:txBody>
    </xdr:sp>
    <xdr:clientData/>
  </xdr:twoCellAnchor>
  <xdr:twoCellAnchor>
    <xdr:from>
      <xdr:col>8</xdr:col>
      <xdr:colOff>604405</xdr:colOff>
      <xdr:row>27</xdr:row>
      <xdr:rowOff>245546</xdr:rowOff>
    </xdr:from>
    <xdr:to>
      <xdr:col>11</xdr:col>
      <xdr:colOff>287605</xdr:colOff>
      <xdr:row>32</xdr:row>
      <xdr:rowOff>87296</xdr:rowOff>
    </xdr:to>
    <xdr:sp macro="" textlink="'6.2.1.1-2 Pasture residue N2O'!D25">
      <xdr:nvSpPr>
        <xdr:cNvPr id="22" name="TextBox 21">
          <a:hlinkClick xmlns:r="http://schemas.openxmlformats.org/officeDocument/2006/relationships" r:id="rId6"/>
          <a:extLst>
            <a:ext uri="{FF2B5EF4-FFF2-40B4-BE49-F238E27FC236}">
              <a16:creationId xmlns:a16="http://schemas.microsoft.com/office/drawing/2014/main" id="{7F32EBC4-93BF-46D3-9370-FCED2B7ACD11}"/>
            </a:ext>
          </a:extLst>
        </xdr:cNvPr>
        <xdr:cNvSpPr txBox="1"/>
      </xdr:nvSpPr>
      <xdr:spPr>
        <a:xfrm>
          <a:off x="6328930" y="70654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37A85A-DCD3-4A55-B19B-4B30DFFCEFEC}" type="TxLink">
            <a:rPr lang="en-US" sz="900" b="1" i="0" u="none" strike="noStrike">
              <a:solidFill>
                <a:schemeClr val="accent5">
                  <a:lumMod val="75000"/>
                </a:schemeClr>
              </a:solidFill>
              <a:latin typeface="Arial"/>
              <a:cs typeface="Arial"/>
            </a:rPr>
            <a:pPr algn="ctr"/>
            <a:t>Nitrous oxide emissions from the return of pasture residues from all pasture types to the soil</a:t>
          </a:fld>
          <a:endParaRPr lang="en-AU" sz="900" b="1">
            <a:solidFill>
              <a:schemeClr val="accent5">
                <a:lumMod val="75000"/>
              </a:schemeClr>
            </a:solidFill>
          </a:endParaRPr>
        </a:p>
      </xdr:txBody>
    </xdr:sp>
    <xdr:clientData/>
  </xdr:twoCellAnchor>
  <xdr:twoCellAnchor>
    <xdr:from>
      <xdr:col>10</xdr:col>
      <xdr:colOff>134856</xdr:colOff>
      <xdr:row>12</xdr:row>
      <xdr:rowOff>96832</xdr:rowOff>
    </xdr:from>
    <xdr:to>
      <xdr:col>10</xdr:col>
      <xdr:colOff>147556</xdr:colOff>
      <xdr:row>28</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5150024" y="5130539"/>
          <a:ext cx="38698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12</xdr:col>
      <xdr:colOff>504825</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8667750"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rgbClr val="7030A0"/>
              </a:solidFill>
            </a:rPr>
            <a:t>6.3.1.1-2 </a:t>
          </a:r>
          <a:br>
            <a:rPr lang="en-AU" sz="1200" b="0">
              <a:solidFill>
                <a:srgbClr val="7030A0"/>
              </a:solidFill>
            </a:rPr>
          </a:br>
          <a:r>
            <a:rPr lang="en-AU" sz="1200" b="0">
              <a:solidFill>
                <a:srgbClr val="7030A0"/>
              </a:solidFill>
            </a:rPr>
            <a:t>Leaching and runoff</a:t>
          </a:r>
        </a:p>
      </xdr:txBody>
    </xdr:sp>
    <xdr:clientData/>
  </xdr:oneCellAnchor>
  <xdr:twoCellAnchor>
    <xdr:from>
      <xdr:col>13</xdr:col>
      <xdr:colOff>71004</xdr:colOff>
      <xdr:row>23</xdr:row>
      <xdr:rowOff>122958</xdr:rowOff>
    </xdr:from>
    <xdr:to>
      <xdr:col>15</xdr:col>
      <xdr:colOff>363804</xdr:colOff>
      <xdr:row>26</xdr:row>
      <xdr:rowOff>100008</xdr:rowOff>
    </xdr:to>
    <xdr:sp macro="" textlink="'6.3.1.1-2 Leaching and runoff'!D5">
      <xdr:nvSpPr>
        <xdr:cNvPr id="26" name="TextBox 25">
          <a:hlinkClick xmlns:r="http://schemas.openxmlformats.org/officeDocument/2006/relationships" r:id="rId7"/>
          <a:extLst>
            <a:ext uri="{FF2B5EF4-FFF2-40B4-BE49-F238E27FC236}">
              <a16:creationId xmlns:a16="http://schemas.microsoft.com/office/drawing/2014/main" id="{DBEED495-A986-4806-A242-51BB4242F564}"/>
            </a:ext>
          </a:extLst>
        </xdr:cNvPr>
        <xdr:cNvSpPr txBox="1"/>
      </xdr:nvSpPr>
      <xdr:spPr>
        <a:xfrm>
          <a:off x="8843529" y="59522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DD3B76-7745-47A2-8A6A-9C455BAAC583}" type="TxLink">
            <a:rPr lang="en-US" sz="900" b="0" i="0" u="none" strike="noStrike">
              <a:solidFill>
                <a:srgbClr val="7030A0"/>
              </a:solidFill>
              <a:latin typeface="Arial"/>
              <a:cs typeface="Arial"/>
            </a:rPr>
            <a:pPr algn="ctr"/>
            <a:t>Mass of nitrogen lost through leaching and runoff</a:t>
          </a:fld>
          <a:endParaRPr lang="en-AU" sz="900">
            <a:solidFill>
              <a:srgbClr val="7030A0"/>
            </a:solidFill>
          </a:endParaRPr>
        </a:p>
      </xdr:txBody>
    </xdr:sp>
    <xdr:clientData/>
  </xdr:twoCellAnchor>
  <xdr:twoCellAnchor>
    <xdr:from>
      <xdr:col>13</xdr:col>
      <xdr:colOff>71005</xdr:colOff>
      <xdr:row>27</xdr:row>
      <xdr:rowOff>236021</xdr:rowOff>
    </xdr:from>
    <xdr:to>
      <xdr:col>15</xdr:col>
      <xdr:colOff>363805</xdr:colOff>
      <xdr:row>32</xdr:row>
      <xdr:rowOff>77771</xdr:rowOff>
    </xdr:to>
    <xdr:sp macro="" textlink="'6.3.1.1-2 Leaching and runoff'!D28">
      <xdr:nvSpPr>
        <xdr:cNvPr id="27" name="TextBox 26">
          <a:hlinkClick xmlns:r="http://schemas.openxmlformats.org/officeDocument/2006/relationships" r:id="rId8"/>
          <a:extLst>
            <a:ext uri="{FF2B5EF4-FFF2-40B4-BE49-F238E27FC236}">
              <a16:creationId xmlns:a16="http://schemas.microsoft.com/office/drawing/2014/main" id="{8CEAD9A6-E131-42B7-B4B1-243C02C15E43}"/>
            </a:ext>
          </a:extLst>
        </xdr:cNvPr>
        <xdr:cNvSpPr txBox="1"/>
      </xdr:nvSpPr>
      <xdr:spPr>
        <a:xfrm>
          <a:off x="8843530" y="70559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22ECB4-5552-4D48-9A15-1E47087F67BD}" type="TxLink">
            <a:rPr lang="en-US" sz="900" b="1" i="0" u="none" strike="noStrike">
              <a:solidFill>
                <a:srgbClr val="7030A0"/>
              </a:solidFill>
              <a:latin typeface="Arial"/>
              <a:cs typeface="Arial"/>
            </a:rPr>
            <a:pPr algn="ctr"/>
            <a:t>Nitrous oxide leaching and runoff emissions from crop and pasture residues returned to the soil</a:t>
          </a:fld>
          <a:endParaRPr lang="en-AU" sz="900" b="1">
            <a:solidFill>
              <a:srgbClr val="7030A0"/>
            </a:solidFill>
          </a:endParaRPr>
        </a:p>
      </xdr:txBody>
    </xdr:sp>
    <xdr:clientData/>
  </xdr:twoCellAnchor>
  <xdr:twoCellAnchor>
    <xdr:from>
      <xdr:col>14</xdr:col>
      <xdr:colOff>217404</xdr:colOff>
      <xdr:row>26</xdr:row>
      <xdr:rowOff>100007</xdr:rowOff>
    </xdr:from>
    <xdr:to>
      <xdr:col>14</xdr:col>
      <xdr:colOff>217405</xdr:colOff>
      <xdr:row>27</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9407698" y="6864088"/>
          <a:ext cx="3836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17</xdr:col>
      <xdr:colOff>390526</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11601451"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rgbClr val="C44340"/>
              </a:solidFill>
            </a:rPr>
            <a:t>6.4.1.1-2 </a:t>
          </a:r>
          <a:br>
            <a:rPr lang="en-AU" sz="1200" b="0">
              <a:solidFill>
                <a:srgbClr val="C44340"/>
              </a:solidFill>
            </a:rPr>
          </a:br>
          <a:r>
            <a:rPr lang="en-AU" sz="1200" b="0">
              <a:solidFill>
                <a:srgbClr val="C44340"/>
              </a:solidFill>
            </a:rPr>
            <a:t>Residue burning</a:t>
          </a:r>
        </a:p>
      </xdr:txBody>
    </xdr:sp>
    <xdr:clientData/>
  </xdr:oneCellAnchor>
  <xdr:twoCellAnchor>
    <xdr:from>
      <xdr:col>17</xdr:col>
      <xdr:colOff>424792</xdr:colOff>
      <xdr:row>9</xdr:row>
      <xdr:rowOff>94383</xdr:rowOff>
    </xdr:from>
    <xdr:to>
      <xdr:col>20</xdr:col>
      <xdr:colOff>107992</xdr:colOff>
      <xdr:row>12</xdr:row>
      <xdr:rowOff>71433</xdr:rowOff>
    </xdr:to>
    <xdr:sp macro="" textlink="'6.4.1.1-2 Residue burning'!D5">
      <xdr:nvSpPr>
        <xdr:cNvPr id="31" name="TextBox 30">
          <a:hlinkClick xmlns:r="http://schemas.openxmlformats.org/officeDocument/2006/relationships" r:id="rId9"/>
          <a:extLst>
            <a:ext uri="{FF2B5EF4-FFF2-40B4-BE49-F238E27FC236}">
              <a16:creationId xmlns:a16="http://schemas.microsoft.com/office/drawing/2014/main" id="{B5CF1D1D-0430-4BEE-94E5-D4D9B7088BE2}"/>
            </a:ext>
          </a:extLst>
        </xdr:cNvPr>
        <xdr:cNvSpPr txBox="1"/>
      </xdr:nvSpPr>
      <xdr:spPr>
        <a:xfrm>
          <a:off x="11635717"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42A1A8-2A3C-4DBD-AD3F-9F5B046B1CD5}" type="TxLink">
            <a:rPr lang="en-US" sz="900" b="0" i="0" u="none" strike="noStrike">
              <a:solidFill>
                <a:srgbClr val="C00000"/>
              </a:solidFill>
              <a:latin typeface="Arial"/>
              <a:cs typeface="Arial"/>
            </a:rPr>
            <a:pPr algn="ctr"/>
            <a:t>Mass of residue of crop c burnt</a:t>
          </a:fld>
          <a:endParaRPr lang="en-AU" sz="900" b="1">
            <a:solidFill>
              <a:srgbClr val="C00000"/>
            </a:solidFill>
          </a:endParaRPr>
        </a:p>
      </xdr:txBody>
    </xdr:sp>
    <xdr:clientData/>
  </xdr:twoCellAnchor>
  <xdr:twoCellAnchor>
    <xdr:from>
      <xdr:col>16</xdr:col>
      <xdr:colOff>423430</xdr:colOff>
      <xdr:row>27</xdr:row>
      <xdr:rowOff>236021</xdr:rowOff>
    </xdr:from>
    <xdr:to>
      <xdr:col>19</xdr:col>
      <xdr:colOff>106630</xdr:colOff>
      <xdr:row>32</xdr:row>
      <xdr:rowOff>77771</xdr:rowOff>
    </xdr:to>
    <xdr:sp macro="" textlink="'6.4.1.1-2 Residue burning'!D25">
      <xdr:nvSpPr>
        <xdr:cNvPr id="9" name="TextBox 8">
          <a:hlinkClick xmlns:r="http://schemas.openxmlformats.org/officeDocument/2006/relationships" r:id="rId10"/>
          <a:extLst>
            <a:ext uri="{FF2B5EF4-FFF2-40B4-BE49-F238E27FC236}">
              <a16:creationId xmlns:a16="http://schemas.microsoft.com/office/drawing/2014/main" id="{E2D7A35D-5983-462E-9E84-1DD45E71FD24}"/>
            </a:ext>
          </a:extLst>
        </xdr:cNvPr>
        <xdr:cNvSpPr txBox="1"/>
      </xdr:nvSpPr>
      <xdr:spPr>
        <a:xfrm>
          <a:off x="11024755" y="7055921"/>
          <a:ext cx="1512000" cy="1080000"/>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1EFC4B-FCD2-47CD-B816-D94744160E77}" type="TxLink">
            <a:rPr lang="en-US" sz="900" b="1" i="0" u="none" strike="noStrike">
              <a:solidFill>
                <a:srgbClr val="C00000"/>
              </a:solidFill>
              <a:latin typeface="Arial"/>
              <a:cs typeface="Arial"/>
            </a:rPr>
            <a:pPr algn="ctr"/>
            <a:t>Nitrous oxide emissions from the burning of crop residues</a:t>
          </a:fld>
          <a:endParaRPr lang="en-AU" sz="900" b="1">
            <a:solidFill>
              <a:srgbClr val="C00000"/>
            </a:solidFill>
          </a:endParaRPr>
        </a:p>
      </xdr:txBody>
    </xdr:sp>
    <xdr:clientData/>
  </xdr:twoCellAnchor>
  <xdr:twoCellAnchor>
    <xdr:from>
      <xdr:col>19</xdr:col>
      <xdr:colOff>271030</xdr:colOff>
      <xdr:row>27</xdr:row>
      <xdr:rowOff>236021</xdr:rowOff>
    </xdr:from>
    <xdr:to>
      <xdr:col>21</xdr:col>
      <xdr:colOff>563830</xdr:colOff>
      <xdr:row>32</xdr:row>
      <xdr:rowOff>77771</xdr:rowOff>
    </xdr:to>
    <xdr:sp macro="" textlink="'6.4.1.1-2 Residue burning'!D48">
      <xdr:nvSpPr>
        <xdr:cNvPr id="11" name="TextBox 10">
          <a:hlinkClick xmlns:r="http://schemas.openxmlformats.org/officeDocument/2006/relationships" r:id="rId11"/>
          <a:extLst>
            <a:ext uri="{FF2B5EF4-FFF2-40B4-BE49-F238E27FC236}">
              <a16:creationId xmlns:a16="http://schemas.microsoft.com/office/drawing/2014/main" id="{E67335F8-C5A7-4B82-B51E-9764E59BA89A}"/>
            </a:ext>
          </a:extLst>
        </xdr:cNvPr>
        <xdr:cNvSpPr txBox="1"/>
      </xdr:nvSpPr>
      <xdr:spPr>
        <a:xfrm>
          <a:off x="12701155" y="7055921"/>
          <a:ext cx="1512000" cy="1080000"/>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6AD2B7-57B9-4EB1-9726-F2BB398BB068}" type="TxLink">
            <a:rPr lang="en-US" sz="900" b="1" i="0" u="none" strike="noStrike">
              <a:solidFill>
                <a:srgbClr val="C00000"/>
              </a:solidFill>
              <a:latin typeface="Arial"/>
              <a:cs typeface="Arial"/>
            </a:rPr>
            <a:pPr algn="ctr"/>
            <a:t>Methane emissions from the burning of crop residues</a:t>
          </a:fld>
          <a:endParaRPr lang="en-AU" sz="900" b="1">
            <a:solidFill>
              <a:srgbClr val="C00000"/>
            </a:solidFill>
          </a:endParaRPr>
        </a:p>
      </xdr:txBody>
    </xdr:sp>
    <xdr:clientData/>
  </xdr:twoCellAnchor>
  <xdr:twoCellAnchor>
    <xdr:from>
      <xdr:col>6</xdr:col>
      <xdr:colOff>352569</xdr:colOff>
      <xdr:row>13</xdr:row>
      <xdr:rowOff>100950</xdr:rowOff>
    </xdr:from>
    <xdr:to>
      <xdr:col>6</xdr:col>
      <xdr:colOff>365269</xdr:colOff>
      <xdr:row>14</xdr:row>
      <xdr:rowOff>24454</xdr:rowOff>
    </xdr:to>
    <xdr:cxnSp macro="">
      <xdr:nvCxnSpPr>
        <xdr:cNvPr id="15" name="Connector: Curved 14">
          <a:extLst>
            <a:ext uri="{FF2B5EF4-FFF2-40B4-BE49-F238E27FC236}">
              <a16:creationId xmlns:a16="http://schemas.microsoft.com/office/drawing/2014/main" id="{A1AB2F3D-3B64-8201-90B1-43DD7D3A21D9}"/>
            </a:ext>
          </a:extLst>
        </xdr:cNvPr>
        <xdr:cNvCxnSpPr>
          <a:stCxn id="10" idx="2"/>
          <a:endCxn id="12" idx="0"/>
        </xdr:cNvCxnSpPr>
      </xdr:nvCxnSpPr>
      <xdr:spPr>
        <a:xfrm rot="5400000">
          <a:off x="4778667" y="3532977"/>
          <a:ext cx="171154"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16</xdr:row>
      <xdr:rowOff>183123</xdr:rowOff>
    </xdr:from>
    <xdr:to>
      <xdr:col>6</xdr:col>
      <xdr:colOff>358920</xdr:colOff>
      <xdr:row>18</xdr:row>
      <xdr:rowOff>13854</xdr:rowOff>
    </xdr:to>
    <xdr:cxnSp macro="">
      <xdr:nvCxnSpPr>
        <xdr:cNvPr id="23" name="Connector: Curved 22">
          <a:extLst>
            <a:ext uri="{FF2B5EF4-FFF2-40B4-BE49-F238E27FC236}">
              <a16:creationId xmlns:a16="http://schemas.microsoft.com/office/drawing/2014/main" id="{4E5A1D22-7D48-3A65-7E21-61760AB44463}"/>
            </a:ext>
          </a:extLst>
        </xdr:cNvPr>
        <xdr:cNvCxnSpPr>
          <a:stCxn id="12" idx="2"/>
          <a:endCxn id="5" idx="0"/>
        </xdr:cNvCxnSpPr>
      </xdr:nvCxnSpPr>
      <xdr:spPr>
        <a:xfrm rot="5400000">
          <a:off x="4040787" y="3781447"/>
          <a:ext cx="326031" cy="132088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250885</xdr:colOff>
      <xdr:row>20</xdr:row>
      <xdr:rowOff>244905</xdr:rowOff>
    </xdr:from>
    <xdr:to>
      <xdr:col>4</xdr:col>
      <xdr:colOff>263585</xdr:colOff>
      <xdr:row>28</xdr:row>
      <xdr:rowOff>13771</xdr:rowOff>
    </xdr:to>
    <xdr:cxnSp macro="">
      <xdr:nvCxnSpPr>
        <xdr:cNvPr id="34" name="Connector: Curved 33">
          <a:extLst>
            <a:ext uri="{FF2B5EF4-FFF2-40B4-BE49-F238E27FC236}">
              <a16:creationId xmlns:a16="http://schemas.microsoft.com/office/drawing/2014/main" id="{DC594EE4-C581-961D-8C60-672FC7C9C76E}"/>
            </a:ext>
          </a:extLst>
        </xdr:cNvPr>
        <xdr:cNvCxnSpPr>
          <a:stCxn id="5" idx="2"/>
          <a:endCxn id="6" idx="0"/>
        </xdr:cNvCxnSpPr>
      </xdr:nvCxnSpPr>
      <xdr:spPr>
        <a:xfrm rot="5400000">
          <a:off x="2668327" y="6199938"/>
          <a:ext cx="17500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257235</xdr:colOff>
      <xdr:row>20</xdr:row>
      <xdr:rowOff>238554</xdr:rowOff>
    </xdr:from>
    <xdr:to>
      <xdr:col>14</xdr:col>
      <xdr:colOff>217404</xdr:colOff>
      <xdr:row>23</xdr:row>
      <xdr:rowOff>122957</xdr:rowOff>
    </xdr:to>
    <xdr:cxnSp macro="">
      <xdr:nvCxnSpPr>
        <xdr:cNvPr id="38" name="Connector: Curved 37">
          <a:extLst>
            <a:ext uri="{FF2B5EF4-FFF2-40B4-BE49-F238E27FC236}">
              <a16:creationId xmlns:a16="http://schemas.microsoft.com/office/drawing/2014/main" id="{5EA60C04-25B3-630C-14E4-3BFF4C1F8F59}"/>
            </a:ext>
          </a:extLst>
        </xdr:cNvPr>
        <xdr:cNvCxnSpPr>
          <a:stCxn id="5" idx="2"/>
          <a:endCxn id="26" idx="0"/>
        </xdr:cNvCxnSpPr>
      </xdr:nvCxnSpPr>
      <xdr:spPr>
        <a:xfrm rot="16200000" flipH="1">
          <a:off x="6257768" y="2610496"/>
          <a:ext cx="627353" cy="605616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141205</xdr:colOff>
      <xdr:row>12</xdr:row>
      <xdr:rowOff>90482</xdr:rowOff>
    </xdr:from>
    <xdr:to>
      <xdr:col>14</xdr:col>
      <xdr:colOff>217404</xdr:colOff>
      <xdr:row>23</xdr:row>
      <xdr:rowOff>122957</xdr:rowOff>
    </xdr:to>
    <xdr:cxnSp macro="">
      <xdr:nvCxnSpPr>
        <xdr:cNvPr id="51" name="Connector: Curved 50">
          <a:extLst>
            <a:ext uri="{FF2B5EF4-FFF2-40B4-BE49-F238E27FC236}">
              <a16:creationId xmlns:a16="http://schemas.microsoft.com/office/drawing/2014/main" id="{29656220-1623-68CD-E3AC-28B599DD10A5}"/>
            </a:ext>
          </a:extLst>
        </xdr:cNvPr>
        <xdr:cNvCxnSpPr>
          <a:stCxn id="21" idx="2"/>
          <a:endCxn id="26" idx="0"/>
        </xdr:cNvCxnSpPr>
      </xdr:nvCxnSpPr>
      <xdr:spPr>
        <a:xfrm rot="16200000" flipH="1">
          <a:off x="6963917" y="3316645"/>
          <a:ext cx="2756625" cy="25145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569830</xdr:colOff>
      <xdr:row>12</xdr:row>
      <xdr:rowOff>71433</xdr:rowOff>
    </xdr:from>
    <xdr:to>
      <xdr:col>18</xdr:col>
      <xdr:colOff>571192</xdr:colOff>
      <xdr:row>27</xdr:row>
      <xdr:rowOff>236021</xdr:rowOff>
    </xdr:to>
    <xdr:cxnSp macro="">
      <xdr:nvCxnSpPr>
        <xdr:cNvPr id="60" name="Connector: Curved 59">
          <a:extLst>
            <a:ext uri="{FF2B5EF4-FFF2-40B4-BE49-F238E27FC236}">
              <a16:creationId xmlns:a16="http://schemas.microsoft.com/office/drawing/2014/main" id="{02E48B0B-1811-62DF-A16A-AF6EEE8BCBC7}"/>
            </a:ext>
          </a:extLst>
        </xdr:cNvPr>
        <xdr:cNvCxnSpPr>
          <a:stCxn id="31" idx="2"/>
          <a:endCxn id="9" idx="0"/>
        </xdr:cNvCxnSpPr>
      </xdr:nvCxnSpPr>
      <xdr:spPr>
        <a:xfrm rot="5400000">
          <a:off x="10146567" y="4810771"/>
          <a:ext cx="3879338" cy="610962"/>
        </a:xfrm>
        <a:prstGeom prst="curvedConnector3">
          <a:avLst/>
        </a:prstGeom>
        <a:ln>
          <a:solidFill>
            <a:srgbClr val="C4434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571192</xdr:colOff>
      <xdr:row>12</xdr:row>
      <xdr:rowOff>71433</xdr:rowOff>
    </xdr:from>
    <xdr:to>
      <xdr:col>20</xdr:col>
      <xdr:colOff>417430</xdr:colOff>
      <xdr:row>27</xdr:row>
      <xdr:rowOff>236021</xdr:rowOff>
    </xdr:to>
    <xdr:cxnSp macro="">
      <xdr:nvCxnSpPr>
        <xdr:cNvPr id="62" name="Connector: Curved 61">
          <a:extLst>
            <a:ext uri="{FF2B5EF4-FFF2-40B4-BE49-F238E27FC236}">
              <a16:creationId xmlns:a16="http://schemas.microsoft.com/office/drawing/2014/main" id="{30B7DB86-05BE-4A2F-7008-A1FB09FE1B91}"/>
            </a:ext>
          </a:extLst>
        </xdr:cNvPr>
        <xdr:cNvCxnSpPr>
          <a:stCxn id="31" idx="2"/>
          <a:endCxn id="11" idx="0"/>
        </xdr:cNvCxnSpPr>
      </xdr:nvCxnSpPr>
      <xdr:spPr>
        <a:xfrm rot="16200000" flipH="1">
          <a:off x="10984767" y="4583533"/>
          <a:ext cx="3879338" cy="1065438"/>
        </a:xfrm>
        <a:prstGeom prst="curvedConnector3">
          <a:avLst/>
        </a:prstGeom>
        <a:ln>
          <a:solidFill>
            <a:srgbClr val="C4434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𝐸_𝐶𝐻4=∑8_𝑗▒∑8_𝑘▒∑8_𝑚▒∑8_𝑇▒(𝐷_𝑗𝑘×𝑀_𝑗𝑘𝑚𝑇×𝑁_𝑗𝑘 ) ×10^(−3)</a:t>
              </a:r>
              <a:endParaRPr lang="en-AU" sz="1000"/>
            </a:p>
          </xdr:txBody>
        </xdr:sp>
      </mc:Fallback>
    </mc:AlternateContent>
    <xdr:clientData/>
  </xdr:oneCellAnchor>
  <xdr:oneCellAnchor>
    <xdr:from>
      <xdr:col>12</xdr:col>
      <xdr:colOff>28575</xdr:colOff>
      <xdr:row>7</xdr:row>
      <xdr:rowOff>71437</xdr:rowOff>
    </xdr:from>
    <xdr:ext cx="1604735" cy="35843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85D1849-53C9-4184-8A25-27A0186CA50B}"/>
                </a:ext>
              </a:extLst>
            </xdr:cNvPr>
            <xdr:cNvSpPr txBox="1"/>
          </xdr:nvSpPr>
          <xdr:spPr>
            <a:xfrm>
              <a:off x="4752975" y="218598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𝐹𝐹𝑂</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𝑐</m:t>
                        </m:r>
                        <m:r>
                          <a:rPr lang="en-AU" sz="1000" b="0" i="1">
                            <a:latin typeface="Cambria Math" panose="02040503050406030204" pitchFamily="18" charset="0"/>
                          </a:rPr>
                          <m:t>,</m:t>
                        </m:r>
                        <m:r>
                          <m:rPr>
                            <m:sty m:val="p"/>
                          </m:rPr>
                          <a:rPr lang="en-AU" sz="1000" b="0" i="1">
                            <a:latin typeface="Cambria Math" panose="02040503050406030204" pitchFamily="18" charset="0"/>
                          </a:rPr>
                          <m:t>baled</m:t>
                        </m:r>
                      </m:sub>
                    </m:sSub>
                    <m:r>
                      <a:rPr lang="en-AU" sz="1000" i="1">
                        <a:latin typeface="Cambria Math" panose="02040503050406030204" pitchFamily="18" charset="0"/>
                      </a:rPr>
                      <m:t>=</m:t>
                    </m:r>
                    <m:f>
                      <m:fPr>
                        <m:ctrlPr>
                          <a:rPr lang="en-AU" sz="1000" i="1">
                            <a:latin typeface="Cambria Math" panose="02040503050406030204" pitchFamily="18" charset="0"/>
                          </a:rPr>
                        </m:ctrlPr>
                      </m:fPr>
                      <m:num>
                        <m:r>
                          <a:rPr lang="en-AU" sz="1000" i="1">
                            <a:latin typeface="Cambria Math" panose="02040503050406030204" pitchFamily="18" charset="0"/>
                          </a:rPr>
                          <m:t>𝐵</m:t>
                        </m:r>
                        <m:r>
                          <a:rPr lang="en-AU" sz="1000" i="1">
                            <a:latin typeface="Cambria Math" panose="02040503050406030204" pitchFamily="18" charset="0"/>
                          </a:rPr>
                          <m:t>× </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𝐵</m:t>
                            </m:r>
                          </m:sub>
                        </m:sSub>
                      </m:num>
                      <m:den>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𝑐</m:t>
                            </m:r>
                          </m:sub>
                        </m:sSub>
                        <m:r>
                          <a:rPr lang="en-AU" sz="1000" i="1">
                            <a:latin typeface="Cambria Math" panose="02040503050406030204" pitchFamily="18" charset="0"/>
                          </a:rPr>
                          <m:t>× </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𝐴𝐺</m:t>
                            </m:r>
                            <m:r>
                              <a:rPr lang="en-AU" sz="1000" i="1">
                                <a:latin typeface="Cambria Math" panose="02040503050406030204" pitchFamily="18" charset="0"/>
                              </a:rPr>
                              <m:t>,</m:t>
                            </m:r>
                            <m:r>
                              <a:rPr lang="en-AU" sz="1000" i="1">
                                <a:latin typeface="Cambria Math" panose="02040503050406030204" pitchFamily="18" charset="0"/>
                              </a:rPr>
                              <m:t>𝑐</m:t>
                            </m:r>
                          </m:sub>
                        </m:sSub>
                      </m:den>
                    </m:f>
                    <m:r>
                      <a:rPr lang="en-AU" sz="1000" i="1">
                        <a:latin typeface="Cambria Math" panose="02040503050406030204" pitchFamily="18" charset="0"/>
                      </a:rPr>
                      <m:t> </m:t>
                    </m:r>
                  </m:oMath>
                </m:oMathPara>
              </a14:m>
              <a:endParaRPr lang="en-AU" sz="1000"/>
            </a:p>
          </xdr:txBody>
        </xdr:sp>
      </mc:Choice>
      <mc:Fallback xmlns="">
        <xdr:sp macro="" textlink="">
          <xdr:nvSpPr>
            <xdr:cNvPr id="5" name="TextBox 4">
              <a:extLst>
                <a:ext uri="{FF2B5EF4-FFF2-40B4-BE49-F238E27FC236}">
                  <a16:creationId xmlns:a16="http://schemas.microsoft.com/office/drawing/2014/main" id="{685D1849-53C9-4184-8A25-27A0186CA50B}"/>
                </a:ext>
              </a:extLst>
            </xdr:cNvPr>
            <xdr:cNvSpPr txBox="1"/>
          </xdr:nvSpPr>
          <xdr:spPr>
            <a:xfrm>
              <a:off x="4752975" y="218598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𝐹𝐹𝑂𝐷_(𝑐</a:t>
              </a:r>
              <a:r>
                <a:rPr lang="en-AU" sz="1000" b="0" i="0">
                  <a:latin typeface="Cambria Math" panose="02040503050406030204" pitchFamily="18" charset="0"/>
                </a:rPr>
                <a:t>,baled)</a:t>
              </a:r>
              <a:r>
                <a:rPr lang="en-AU" sz="1000" i="0">
                  <a:latin typeface="Cambria Math" panose="02040503050406030204" pitchFamily="18" charset="0"/>
                </a:rPr>
                <a:t>=(𝐵× 𝑀_𝐵)/(𝑃_𝑐× 𝑅_(𝐴𝐺,𝑐) ) </a:t>
              </a:r>
              <a:endParaRPr lang="en-AU" sz="1000"/>
            </a:p>
          </xdr:txBody>
        </xdr:sp>
      </mc:Fallback>
    </mc:AlternateContent>
    <xdr:clientData/>
  </xdr:oneCellAnchor>
  <xdr:oneCellAnchor>
    <xdr:from>
      <xdr:col>2</xdr:col>
      <xdr:colOff>295275</xdr:colOff>
      <xdr:row>7</xdr:row>
      <xdr:rowOff>147637</xdr:rowOff>
    </xdr:from>
    <xdr:ext cx="5559406" cy="16536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𝐴𝐺𝑐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𝐹𝐹𝑂</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𝑐</m:t>
                                </m:r>
                              </m:sub>
                            </m:sSub>
                          </m:e>
                        </m:d>
                        <m:r>
                          <a:rPr lang="en-AU" sz="1000" i="1">
                            <a:latin typeface="Cambria Math" panose="02040503050406030204" pitchFamily="18" charset="0"/>
                          </a:rPr>
                          <m:t>×</m:t>
                        </m:r>
                        <m:r>
                          <a:rPr lang="en-AU" sz="1000" i="1">
                            <a:latin typeface="Cambria Math" panose="02040503050406030204" pitchFamily="18" charset="0"/>
                          </a:rPr>
                          <m:t>𝐷</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𝐴𝐺𝑐</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𝐴𝐺𝑐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𝐵𝐺𝑐</m:t>
                            </m:r>
                          </m:sub>
                        </m:sSub>
                        <m:r>
                          <a:rPr lang="en-AU" sz="1000" i="1">
                            <a:latin typeface="Cambria Math" panose="02040503050406030204" pitchFamily="18" charset="0"/>
                          </a:rPr>
                          <m:t>×</m:t>
                        </m:r>
                        <m:r>
                          <a:rPr lang="en-AU" sz="1000" i="1">
                            <a:latin typeface="Cambria Math" panose="02040503050406030204" pitchFamily="18" charset="0"/>
                          </a:rPr>
                          <m:t>𝐷</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𝐵𝐺𝑐</m:t>
                            </m:r>
                          </m:sub>
                        </m:sSub>
                      </m:e>
                    </m:d>
                  </m:oMath>
                </m:oMathPara>
              </a14:m>
              <a:endParaRPr lang="en-AU" sz="1000"/>
            </a:p>
          </xdr:txBody>
        </xdr:sp>
      </mc:Choice>
      <mc:Fallback xmlns="">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000"/>
            </a:p>
          </xdr:txBody>
        </xdr:sp>
      </mc:Fallback>
    </mc:AlternateContent>
    <xdr:clientData/>
  </xdr:oneCellAnchor>
  <xdr:oneCellAnchor>
    <xdr:from>
      <xdr:col>3</xdr:col>
      <xdr:colOff>19050</xdr:colOff>
      <xdr:row>30</xdr:row>
      <xdr:rowOff>28575</xdr:rowOff>
    </xdr:from>
    <xdr:ext cx="2260682" cy="312906"/>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8148D317-F4F6-4497-B5E3-463A180290EB}"/>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sub>
                            </m:sSub>
                          </m:e>
                        </m:d>
                      </m:e>
                    </m:nary>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𝑔</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9" name="TextBox 8">
              <a:extLst>
                <a:ext uri="{FF2B5EF4-FFF2-40B4-BE49-F238E27FC236}">
                  <a16:creationId xmlns:a16="http://schemas.microsoft.com/office/drawing/2014/main" id="{8148D317-F4F6-4497-B5E3-463A180290EB}"/>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𝐸=∑10_𝑐▒(𝑀_𝑐×𝐸𝐹_𝑁 ) ×𝐶_(𝑔,𝑁2𝑂)×10^(−3)</a:t>
              </a:r>
              <a:endParaRPr lang="en-AU" sz="1000"/>
            </a:p>
          </xdr:txBody>
        </xdr:sp>
      </mc:Fallback>
    </mc:AlternateContent>
    <xdr:clientData/>
  </xdr:oneCellAnchor>
  <xdr:oneCellAnchor>
    <xdr:from>
      <xdr:col>11</xdr:col>
      <xdr:colOff>295275</xdr:colOff>
      <xdr:row>26</xdr:row>
      <xdr:rowOff>147637</xdr:rowOff>
    </xdr:from>
    <xdr:ext cx="5559406" cy="165366"/>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7244AF32-384C-4E03-A9DD-02ABB8EF5C7D}"/>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𝐴𝐺𝑐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𝐹𝐹𝑂</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𝑐</m:t>
                                </m:r>
                              </m:sub>
                            </m:sSub>
                          </m:e>
                        </m:d>
                        <m:r>
                          <a:rPr lang="en-AU" sz="1000" i="1">
                            <a:latin typeface="Cambria Math" panose="02040503050406030204" pitchFamily="18" charset="0"/>
                          </a:rPr>
                          <m:t>×</m:t>
                        </m:r>
                        <m:r>
                          <a:rPr lang="en-AU" sz="1000" i="1">
                            <a:latin typeface="Cambria Math" panose="02040503050406030204" pitchFamily="18" charset="0"/>
                          </a:rPr>
                          <m:t>𝐷</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𝐴𝐺𝑐</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𝐴𝐺𝑐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𝐵𝐺𝑐</m:t>
                            </m:r>
                          </m:sub>
                        </m:sSub>
                        <m:r>
                          <a:rPr lang="en-AU" sz="1000" i="1">
                            <a:latin typeface="Cambria Math" panose="02040503050406030204" pitchFamily="18" charset="0"/>
                          </a:rPr>
                          <m:t>×</m:t>
                        </m:r>
                        <m:r>
                          <a:rPr lang="en-AU" sz="1000" i="1">
                            <a:latin typeface="Cambria Math" panose="02040503050406030204" pitchFamily="18" charset="0"/>
                          </a:rPr>
                          <m:t>𝐷</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𝐵𝐺𝑐</m:t>
                            </m:r>
                          </m:sub>
                        </m:sSub>
                      </m:e>
                    </m:d>
                  </m:oMath>
                </m:oMathPara>
              </a14:m>
              <a:endParaRPr lang="en-AU" sz="1000"/>
            </a:p>
          </xdr:txBody>
        </xdr:sp>
      </mc:Choice>
      <mc:Fallback xmlns="">
        <xdr:sp macro="" textlink="">
          <xdr:nvSpPr>
            <xdr:cNvPr id="12" name="TextBox 11">
              <a:extLst>
                <a:ext uri="{FF2B5EF4-FFF2-40B4-BE49-F238E27FC236}">
                  <a16:creationId xmlns:a16="http://schemas.microsoft.com/office/drawing/2014/main" id="{7244AF32-384C-4E03-A9DD-02ABB8EF5C7D}"/>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000"/>
            </a:p>
          </xdr:txBody>
        </xdr:sp>
      </mc:Fallback>
    </mc:AlternateContent>
    <xdr:clientData/>
  </xdr:oneCellAnchor>
  <xdr:oneCellAnchor>
    <xdr:from>
      <xdr:col>12</xdr:col>
      <xdr:colOff>19050</xdr:colOff>
      <xdr:row>49</xdr:row>
      <xdr:rowOff>28575</xdr:rowOff>
    </xdr:from>
    <xdr:ext cx="2111860" cy="410753"/>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A21E8323-D262-4FF3-A521-E7179D5C755B}"/>
                </a:ext>
              </a:extLst>
            </xdr:cNvPr>
            <xdr:cNvSpPr txBox="1"/>
          </xdr:nvSpPr>
          <xdr:spPr>
            <a:xfrm>
              <a:off x="2695575" y="759142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𝑔</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nary>
                  </m:oMath>
                </m:oMathPara>
              </a14:m>
              <a:endParaRPr lang="en-AU" sz="1000"/>
            </a:p>
          </xdr:txBody>
        </xdr:sp>
      </mc:Choice>
      <mc:Fallback xmlns="">
        <xdr:sp macro="" textlink="">
          <xdr:nvSpPr>
            <xdr:cNvPr id="13" name="TextBox 12">
              <a:extLst>
                <a:ext uri="{FF2B5EF4-FFF2-40B4-BE49-F238E27FC236}">
                  <a16:creationId xmlns:a16="http://schemas.microsoft.com/office/drawing/2014/main" id="{A21E8323-D262-4FF3-A521-E7179D5C755B}"/>
                </a:ext>
              </a:extLst>
            </xdr:cNvPr>
            <xdr:cNvSpPr txBox="1"/>
          </xdr:nvSpPr>
          <xdr:spPr>
            <a:xfrm>
              <a:off x="2695575" y="759142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𝐸=∑_𝑐▒〖𝑀_𝑐×𝐸𝐹_𝑁×𝐶_(𝑔,𝑁2𝑂)×10^(−3) 〗</a:t>
              </a:r>
              <a:endParaRPr lang="en-AU" sz="10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238125</xdr:colOff>
      <xdr:row>27</xdr:row>
      <xdr:rowOff>9525</xdr:rowOff>
    </xdr:from>
    <xdr:ext cx="2609850" cy="33111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CAF87B3-701F-4DE6-B7EF-7B18C084416E}"/>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b>
                      <m:sSubPr>
                        <m:ctrlPr>
                          <a:rPr lang="en-AU" sz="1000" b="0" i="1">
                            <a:latin typeface="Cambria Math" panose="02040503050406030204" pitchFamily="18" charset="0"/>
                          </a:rPr>
                        </m:ctrlPr>
                      </m:sSubPr>
                      <m:e>
                        <m:r>
                          <a:rPr lang="en-AU" sz="1000" b="0" i="1">
                            <a:latin typeface="Cambria Math" panose="02040503050406030204" pitchFamily="18" charset="0"/>
                          </a:rPr>
                          <m:t>𝐸</m:t>
                        </m:r>
                      </m:e>
                      <m:sub>
                        <m:r>
                          <a:rPr lang="en-AU" sz="1000" b="0" i="1">
                            <a:latin typeface="Cambria Math" panose="02040503050406030204" pitchFamily="18" charset="0"/>
                          </a:rPr>
                          <m:t>𝑁</m:t>
                        </m:r>
                        <m:r>
                          <a:rPr lang="en-AU" sz="1000" b="0" i="1">
                            <a:latin typeface="Cambria Math" panose="02040503050406030204" pitchFamily="18" charset="0"/>
                          </a:rPr>
                          <m:t>2</m:t>
                        </m:r>
                        <m:r>
                          <a:rPr lang="en-AU" sz="1000" b="0" i="1">
                            <a:latin typeface="Cambria Math" panose="02040503050406030204" pitchFamily="18" charset="0"/>
                          </a:rPr>
                          <m:t>𝑂</m:t>
                        </m:r>
                      </m:sub>
                    </m:sSub>
                    <m:r>
                      <a:rPr lang="en-AU" sz="1000" b="0" i="1">
                        <a:latin typeface="Cambria Math" panose="02040503050406030204" pitchFamily="18" charset="0"/>
                      </a:rPr>
                      <m:t>=</m:t>
                    </m:r>
                    <m:nary>
                      <m:naryPr>
                        <m:chr m:val="∑"/>
                        <m:limLoc m:val="subSup"/>
                        <m:supHide m:val="on"/>
                        <m:ctrlPr>
                          <a:rPr lang="en-AU" sz="1000" b="0" i="1">
                            <a:latin typeface="Cambria Math" panose="02040503050406030204" pitchFamily="18" charset="0"/>
                          </a:rPr>
                        </m:ctrlPr>
                      </m:naryPr>
                      <m:sub>
                        <m:r>
                          <a:rPr lang="en-AU" sz="1000" b="0" i="1">
                            <a:latin typeface="Cambria Math" panose="02040503050406030204" pitchFamily="18" charset="0"/>
                          </a:rPr>
                          <m:t>𝑝</m:t>
                        </m:r>
                      </m:sub>
                      <m:sup/>
                      <m:e>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𝑀</m:t>
                                </m:r>
                              </m:e>
                              <m:sub>
                                <m:r>
                                  <a:rPr lang="en-AU" sz="1000" b="0" i="1">
                                    <a:latin typeface="Cambria Math" panose="02040503050406030204" pitchFamily="18" charset="0"/>
                                  </a:rPr>
                                  <m:t>𝑝</m:t>
                                </m:r>
                              </m:sub>
                            </m:sSub>
                            <m:r>
                              <a:rPr lang="en-AU" sz="1000" b="0" i="1">
                                <a:latin typeface="Cambria Math" panose="02040503050406030204" pitchFamily="18" charset="0"/>
                              </a:rPr>
                              <m:t>×</m:t>
                            </m:r>
                            <m:r>
                              <a:rPr lang="en-AU" sz="1000" b="0" i="1">
                                <a:latin typeface="Cambria Math" panose="02040503050406030204" pitchFamily="18" charset="0"/>
                              </a:rPr>
                              <m:t>𝐸</m:t>
                            </m:r>
                            <m:sSub>
                              <m:sSubPr>
                                <m:ctrlPr>
                                  <a:rPr lang="en-AU" sz="1000" b="0" i="1">
                                    <a:latin typeface="Cambria Math" panose="02040503050406030204" pitchFamily="18" charset="0"/>
                                  </a:rPr>
                                </m:ctrlPr>
                              </m:sSubPr>
                              <m:e>
                                <m:r>
                                  <a:rPr lang="en-AU" sz="1000" b="0" i="1">
                                    <a:latin typeface="Cambria Math" panose="02040503050406030204" pitchFamily="18" charset="0"/>
                                  </a:rPr>
                                  <m:t>𝐹</m:t>
                                </m:r>
                              </m:e>
                              <m:sub>
                                <m:r>
                                  <a:rPr lang="en-AU" sz="1000" b="0" i="1">
                                    <a:latin typeface="Cambria Math" panose="02040503050406030204" pitchFamily="18" charset="0"/>
                                  </a:rPr>
                                  <m:t>𝑁𝑖</m:t>
                                </m:r>
                              </m:sub>
                            </m:sSub>
                          </m:e>
                        </m:d>
                      </m:e>
                    </m:nary>
                    <m:r>
                      <a:rPr lang="en-AU" sz="1000" b="0" i="1">
                        <a:latin typeface="Cambria Math" panose="02040503050406030204" pitchFamily="18" charset="0"/>
                      </a:rPr>
                      <m:t>×</m:t>
                    </m:r>
                    <m:sSub>
                      <m:sSubPr>
                        <m:ctrlPr>
                          <a:rPr lang="en-AU" sz="1000" b="0" i="1">
                            <a:latin typeface="Cambria Math" panose="02040503050406030204" pitchFamily="18" charset="0"/>
                          </a:rPr>
                        </m:ctrlPr>
                      </m:sSubPr>
                      <m:e>
                        <m:r>
                          <a:rPr lang="en-AU" sz="1000" b="0" i="1">
                            <a:latin typeface="Cambria Math" panose="02040503050406030204" pitchFamily="18" charset="0"/>
                          </a:rPr>
                          <m:t>𝐶</m:t>
                        </m:r>
                      </m:e>
                      <m:sub>
                        <m:r>
                          <a:rPr lang="en-AU" sz="1000" b="0" i="1">
                            <a:latin typeface="Cambria Math" panose="02040503050406030204" pitchFamily="18" charset="0"/>
                          </a:rPr>
                          <m:t>𝑁</m:t>
                        </m:r>
                        <m:r>
                          <a:rPr lang="en-AU" sz="1000" b="0" i="1">
                            <a:latin typeface="Cambria Math" panose="02040503050406030204" pitchFamily="18" charset="0"/>
                          </a:rPr>
                          <m:t>2</m:t>
                        </m:r>
                        <m:r>
                          <a:rPr lang="en-AU" sz="1000" b="0" i="1">
                            <a:latin typeface="Cambria Math" panose="02040503050406030204" pitchFamily="18" charset="0"/>
                          </a:rPr>
                          <m:t>𝑂</m:t>
                        </m:r>
                      </m:sub>
                    </m:sSub>
                    <m:r>
                      <a:rPr lang="en-AU" sz="1000" b="0" i="1">
                        <a:latin typeface="Cambria Math" panose="02040503050406030204" pitchFamily="18" charset="0"/>
                      </a:rPr>
                      <m:t>×</m:t>
                    </m:r>
                    <m:sSup>
                      <m:sSupPr>
                        <m:ctrlPr>
                          <a:rPr lang="en-AU" sz="1000" b="0" i="1">
                            <a:latin typeface="Cambria Math" panose="02040503050406030204" pitchFamily="18" charset="0"/>
                          </a:rPr>
                        </m:ctrlPr>
                      </m:sSupPr>
                      <m:e>
                        <m:r>
                          <a:rPr lang="en-AU" sz="1000" b="0" i="1">
                            <a:latin typeface="Cambria Math" panose="02040503050406030204" pitchFamily="18" charset="0"/>
                          </a:rPr>
                          <m:t>10</m:t>
                        </m:r>
                      </m:e>
                      <m:sup>
                        <m:r>
                          <a:rPr lang="en-AU" sz="1000" b="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5CAF87B3-701F-4DE6-B7EF-7B18C084416E}"/>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000" b="0" i="0">
                  <a:latin typeface="Cambria Math" panose="02040503050406030204" pitchFamily="18" charset="0"/>
                </a:rPr>
                <a:t>𝐸_𝑁2𝑂=∑10_𝑝▒(𝑀_𝑝×𝐸𝐹_𝑁𝑖 ) ×𝐶_𝑁2𝑂×10^(−3)</a:t>
              </a:r>
              <a:endParaRPr lang="en-AU" sz="1000"/>
            </a:p>
          </xdr:txBody>
        </xdr:sp>
      </mc:Fallback>
    </mc:AlternateContent>
    <xdr:clientData/>
  </xdr:oneCellAnchor>
  <xdr:oneCellAnchor>
    <xdr:from>
      <xdr:col>3</xdr:col>
      <xdr:colOff>19050</xdr:colOff>
      <xdr:row>7</xdr:row>
      <xdr:rowOff>104775</xdr:rowOff>
    </xdr:from>
    <xdr:ext cx="5445786" cy="194412"/>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2EA7C64-AD79-4CE0-B83A-35BC2360A266}"/>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0" i="1">
                            <a:latin typeface="Cambria Math" panose="02040503050406030204" pitchFamily="18" charset="0"/>
                          </a:rPr>
                        </m:ctrlPr>
                      </m:sSubPr>
                      <m:e>
                        <m:r>
                          <a:rPr lang="en-AU" sz="1000" b="0" i="1">
                            <a:latin typeface="Cambria Math" panose="02040503050406030204" pitchFamily="18" charset="0"/>
                          </a:rPr>
                          <m:t>𝑀</m:t>
                        </m:r>
                      </m:e>
                      <m:sub>
                        <m:r>
                          <a:rPr lang="en-AU" sz="1000" b="0" i="1">
                            <a:latin typeface="Cambria Math" panose="02040503050406030204" pitchFamily="18" charset="0"/>
                          </a:rPr>
                          <m:t>𝑝</m:t>
                        </m:r>
                      </m:sub>
                    </m:sSub>
                    <m:r>
                      <a:rPr lang="en-AU" sz="1000" b="0" i="1">
                        <a:latin typeface="Cambria Math" panose="02040503050406030204" pitchFamily="18" charset="0"/>
                      </a:rPr>
                      <m:t>=</m:t>
                    </m:r>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𝐴</m:t>
                            </m:r>
                          </m:e>
                          <m:sub>
                            <m:r>
                              <a:rPr lang="en-AU" sz="1000" b="0" i="1">
                                <a:latin typeface="Cambria Math" panose="02040503050406030204" pitchFamily="18" charset="0"/>
                              </a:rPr>
                              <m:t>𝑝</m:t>
                            </m:r>
                          </m:sub>
                        </m:sSub>
                        <m:r>
                          <a:rPr lang="en-AU" sz="1000" b="0" i="1">
                            <a:latin typeface="Cambria Math" panose="02040503050406030204" pitchFamily="18" charset="0"/>
                          </a:rPr>
                          <m:t>×</m:t>
                        </m:r>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𝑌</m:t>
                                </m:r>
                              </m:e>
                              <m:sub>
                                <m:r>
                                  <a:rPr lang="en-AU" sz="1000" b="0" i="1">
                                    <a:latin typeface="Cambria Math" panose="02040503050406030204" pitchFamily="18" charset="0"/>
                                  </a:rPr>
                                  <m:t>𝑝</m:t>
                                </m:r>
                              </m:sub>
                            </m:sSub>
                            <m:r>
                              <a:rPr lang="en-AU" sz="1000" b="0" i="1">
                                <a:latin typeface="Cambria Math" panose="02040503050406030204" pitchFamily="18" charset="0"/>
                              </a:rPr>
                              <m:t>×</m:t>
                            </m:r>
                            <m:sSup>
                              <m:sSupPr>
                                <m:ctrlPr>
                                  <a:rPr lang="en-AU" sz="1000" b="0" i="1">
                                    <a:latin typeface="Cambria Math" panose="02040503050406030204" pitchFamily="18" charset="0"/>
                                  </a:rPr>
                                </m:ctrlPr>
                              </m:sSupPr>
                              <m:e>
                                <m:r>
                                  <a:rPr lang="en-AU" sz="1000" b="0" i="1">
                                    <a:latin typeface="Cambria Math" panose="02040503050406030204" pitchFamily="18" charset="0"/>
                                  </a:rPr>
                                  <m:t>10</m:t>
                                </m:r>
                              </m:e>
                              <m:sup>
                                <m:r>
                                  <a:rPr lang="en-AU" sz="1000" b="0" i="1">
                                    <a:latin typeface="Cambria Math" panose="02040503050406030204" pitchFamily="18" charset="0"/>
                                  </a:rPr>
                                  <m:t>−3</m:t>
                                </m:r>
                              </m:sup>
                            </m:sSup>
                          </m:e>
                        </m:d>
                        <m:r>
                          <a:rPr lang="en-AU" sz="1000" b="0" i="1">
                            <a:latin typeface="Cambria Math" panose="02040503050406030204" pitchFamily="18" charset="0"/>
                          </a:rPr>
                          <m:t>×</m:t>
                        </m:r>
                        <m:d>
                          <m:dPr>
                            <m:ctrlPr>
                              <a:rPr lang="en-AU" sz="1000" b="0" i="1">
                                <a:latin typeface="Cambria Math" panose="02040503050406030204" pitchFamily="18" charset="0"/>
                              </a:rPr>
                            </m:ctrlPr>
                          </m:dPr>
                          <m:e>
                            <m:r>
                              <a:rPr lang="en-AU" sz="1000" b="0" i="1">
                                <a:latin typeface="Cambria Math" panose="02040503050406030204" pitchFamily="18" charset="0"/>
                              </a:rPr>
                              <m:t>1−</m:t>
                            </m:r>
                            <m:r>
                              <a:rPr lang="en-AU" sz="1000" b="0" i="1">
                                <a:latin typeface="Cambria Math" panose="02040503050406030204" pitchFamily="18" charset="0"/>
                              </a:rPr>
                              <m:t>𝐹𝐹𝑂</m:t>
                            </m:r>
                            <m:sSub>
                              <m:sSubPr>
                                <m:ctrlPr>
                                  <a:rPr lang="en-AU" sz="1000" b="0" i="1">
                                    <a:latin typeface="Cambria Math" panose="02040503050406030204" pitchFamily="18" charset="0"/>
                                  </a:rPr>
                                </m:ctrlPr>
                              </m:sSubPr>
                              <m:e>
                                <m:r>
                                  <a:rPr lang="en-AU" sz="1000" b="0" i="1">
                                    <a:latin typeface="Cambria Math" panose="02040503050406030204" pitchFamily="18" charset="0"/>
                                  </a:rPr>
                                  <m:t>𝐷</m:t>
                                </m:r>
                              </m:e>
                              <m:sub>
                                <m:r>
                                  <a:rPr lang="en-AU" sz="1000" b="0" i="1">
                                    <a:latin typeface="Cambria Math" panose="02040503050406030204" pitchFamily="18" charset="0"/>
                                  </a:rPr>
                                  <m:t>𝑝</m:t>
                                </m:r>
                              </m:sub>
                            </m:sSub>
                          </m:e>
                        </m:d>
                        <m:r>
                          <a:rPr lang="en-AU" sz="1000" b="0" i="1">
                            <a:latin typeface="Cambria Math" panose="02040503050406030204" pitchFamily="18" charset="0"/>
                          </a:rPr>
                          <m:t>×</m:t>
                        </m:r>
                        <m:r>
                          <a:rPr lang="en-AU" sz="1000" b="0" i="1">
                            <a:latin typeface="Cambria Math" panose="02040503050406030204" pitchFamily="18" charset="0"/>
                          </a:rPr>
                          <m:t>𝑁</m:t>
                        </m:r>
                        <m:sSub>
                          <m:sSubPr>
                            <m:ctrlPr>
                              <a:rPr lang="en-AU" sz="1000" b="0" i="1">
                                <a:latin typeface="Cambria Math" panose="02040503050406030204" pitchFamily="18" charset="0"/>
                              </a:rPr>
                            </m:ctrlPr>
                          </m:sSubPr>
                          <m:e>
                            <m:r>
                              <a:rPr lang="en-AU" sz="1000" b="0" i="1">
                                <a:latin typeface="Cambria Math" panose="02040503050406030204" pitchFamily="18" charset="0"/>
                              </a:rPr>
                              <m:t>𝐶</m:t>
                            </m:r>
                          </m:e>
                          <m:sub>
                            <m:r>
                              <a:rPr lang="en-AU" sz="1000" b="0" i="1">
                                <a:latin typeface="Cambria Math" panose="02040503050406030204" pitchFamily="18" charset="0"/>
                              </a:rPr>
                              <m:t>𝐴𝐺𝑝</m:t>
                            </m:r>
                          </m:sub>
                        </m:sSub>
                      </m:e>
                    </m:d>
                    <m:r>
                      <a:rPr lang="en-AU" sz="1000" b="0" i="1">
                        <a:latin typeface="Cambria Math" panose="02040503050406030204" pitchFamily="18" charset="0"/>
                      </a:rPr>
                      <m:t>+</m:t>
                    </m:r>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𝐴</m:t>
                            </m:r>
                          </m:e>
                          <m:sub>
                            <m:r>
                              <a:rPr lang="en-AU" sz="1000" b="0" i="1">
                                <a:latin typeface="Cambria Math" panose="02040503050406030204" pitchFamily="18" charset="0"/>
                              </a:rPr>
                              <m:t>𝑝</m:t>
                            </m:r>
                          </m:sub>
                        </m:sSub>
                        <m:r>
                          <a:rPr lang="en-AU" sz="1000" b="0" i="1">
                            <a:latin typeface="Cambria Math" panose="02040503050406030204" pitchFamily="18" charset="0"/>
                          </a:rPr>
                          <m:t>×</m:t>
                        </m:r>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𝑌</m:t>
                                </m:r>
                              </m:e>
                              <m:sub>
                                <m:r>
                                  <a:rPr lang="en-AU" sz="1000" b="0" i="1">
                                    <a:latin typeface="Cambria Math" panose="02040503050406030204" pitchFamily="18" charset="0"/>
                                  </a:rPr>
                                  <m:t>𝑝</m:t>
                                </m:r>
                              </m:sub>
                            </m:sSub>
                            <m:r>
                              <a:rPr lang="en-AU" sz="1000" b="0" i="1">
                                <a:latin typeface="Cambria Math" panose="02040503050406030204" pitchFamily="18" charset="0"/>
                              </a:rPr>
                              <m:t>×</m:t>
                            </m:r>
                            <m:sSup>
                              <m:sSupPr>
                                <m:ctrlPr>
                                  <a:rPr lang="en-AU" sz="1000" b="0" i="1">
                                    <a:latin typeface="Cambria Math" panose="02040503050406030204" pitchFamily="18" charset="0"/>
                                  </a:rPr>
                                </m:ctrlPr>
                              </m:sSupPr>
                              <m:e>
                                <m:r>
                                  <a:rPr lang="en-AU" sz="1000" b="0" i="1">
                                    <a:latin typeface="Cambria Math" panose="02040503050406030204" pitchFamily="18" charset="0"/>
                                  </a:rPr>
                                  <m:t>10</m:t>
                                </m:r>
                              </m:e>
                              <m:sup>
                                <m:r>
                                  <a:rPr lang="en-AU" sz="1000" b="0" i="1">
                                    <a:latin typeface="Cambria Math" panose="02040503050406030204" pitchFamily="18" charset="0"/>
                                  </a:rPr>
                                  <m:t>−3</m:t>
                                </m:r>
                              </m:sup>
                            </m:sSup>
                          </m:e>
                        </m:d>
                        <m:r>
                          <a:rPr lang="en-AU" sz="1000" b="0" i="1">
                            <a:latin typeface="Cambria Math" panose="02040503050406030204" pitchFamily="18" charset="0"/>
                          </a:rPr>
                          <m:t>×</m:t>
                        </m:r>
                        <m:sSub>
                          <m:sSubPr>
                            <m:ctrlPr>
                              <a:rPr lang="en-AU" sz="1000" b="0" i="1">
                                <a:latin typeface="Cambria Math" panose="02040503050406030204" pitchFamily="18" charset="0"/>
                              </a:rPr>
                            </m:ctrlPr>
                          </m:sSubPr>
                          <m:e>
                            <m:r>
                              <a:rPr lang="en-AU" sz="1000" b="0" i="1">
                                <a:latin typeface="Cambria Math" panose="02040503050406030204" pitchFamily="18" charset="0"/>
                              </a:rPr>
                              <m:t>𝑅</m:t>
                            </m:r>
                          </m:e>
                          <m:sub>
                            <m:r>
                              <a:rPr lang="en-AU" sz="1000" b="0" i="1">
                                <a:latin typeface="Cambria Math" panose="02040503050406030204" pitchFamily="18" charset="0"/>
                              </a:rPr>
                              <m:t>𝐵𝐺𝑝</m:t>
                            </m:r>
                          </m:sub>
                        </m:sSub>
                        <m:r>
                          <a:rPr lang="en-AU" sz="1000" b="0" i="1">
                            <a:latin typeface="Cambria Math" panose="02040503050406030204" pitchFamily="18" charset="0"/>
                          </a:rPr>
                          <m:t>×</m:t>
                        </m:r>
                        <m:r>
                          <a:rPr lang="en-AU" sz="1000" b="0" i="1">
                            <a:latin typeface="Cambria Math" panose="02040503050406030204" pitchFamily="18" charset="0"/>
                          </a:rPr>
                          <m:t>𝑁</m:t>
                        </m:r>
                        <m:sSub>
                          <m:sSubPr>
                            <m:ctrlPr>
                              <a:rPr lang="en-AU" sz="1000" b="0" i="1">
                                <a:latin typeface="Cambria Math" panose="02040503050406030204" pitchFamily="18" charset="0"/>
                              </a:rPr>
                            </m:ctrlPr>
                          </m:sSubPr>
                          <m:e>
                            <m:r>
                              <a:rPr lang="en-AU" sz="1000" b="0" i="1">
                                <a:latin typeface="Cambria Math" panose="02040503050406030204" pitchFamily="18" charset="0"/>
                              </a:rPr>
                              <m:t>𝐶</m:t>
                            </m:r>
                          </m:e>
                          <m:sub>
                            <m:r>
                              <a:rPr lang="en-AU" sz="1000" b="0" i="1">
                                <a:latin typeface="Cambria Math" panose="02040503050406030204" pitchFamily="18" charset="0"/>
                              </a:rPr>
                              <m:t>𝐵𝐺𝑝</m:t>
                            </m:r>
                          </m:sub>
                        </m:sSub>
                      </m:e>
                    </m:d>
                  </m:oMath>
                </m:oMathPara>
              </a14:m>
              <a:endParaRPr lang="en-AU" sz="1000"/>
            </a:p>
          </xdr:txBody>
        </xdr:sp>
      </mc:Choice>
      <mc:Fallback xmlns="">
        <xdr:sp macro="" textlink="">
          <xdr:nvSpPr>
            <xdr:cNvPr id="5" name="TextBox 4">
              <a:extLst>
                <a:ext uri="{FF2B5EF4-FFF2-40B4-BE49-F238E27FC236}">
                  <a16:creationId xmlns:a16="http://schemas.microsoft.com/office/drawing/2014/main" id="{52EA7C64-AD79-4CE0-B83A-35BC2360A266}"/>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latin typeface="Cambria Math" panose="02040503050406030204" pitchFamily="18" charset="0"/>
                </a:rPr>
                <a:t>𝑀_𝑝=(𝐴_𝑝×(𝑌_𝑝×10^(−3) )×(1−𝐹𝐹𝑂𝐷_𝑝 )×𝑁𝐶_𝐴𝐺𝑝 )+(𝐴_𝑝×(𝑌_𝑝×10^(−3) )×𝑅_𝐵𝐺𝑝×𝑁𝐶_𝐵𝐺𝑝 )</a:t>
              </a:r>
              <a:endParaRPr lang="en-AU" sz="1000"/>
            </a:p>
          </xdr:txBody>
        </xdr:sp>
      </mc:Fallback>
    </mc:AlternateContent>
    <xdr:clientData/>
  </xdr:oneCellAnchor>
  <xdr:oneCellAnchor>
    <xdr:from>
      <xdr:col>12</xdr:col>
      <xdr:colOff>238125</xdr:colOff>
      <xdr:row>27</xdr:row>
      <xdr:rowOff>9525</xdr:rowOff>
    </xdr:from>
    <xdr:ext cx="2609850" cy="429348"/>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79595E21-FF86-43A2-9573-647953AF1605}"/>
                </a:ext>
              </a:extLst>
            </xdr:cNvPr>
            <xdr:cNvSpPr txBox="1"/>
          </xdr:nvSpPr>
          <xdr:spPr>
            <a:xfrm>
              <a:off x="26003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b>
                      <m:sSubPr>
                        <m:ctrlPr>
                          <a:rPr lang="en-AU" sz="1000" b="0" i="1">
                            <a:latin typeface="Cambria Math" panose="02040503050406030204" pitchFamily="18" charset="0"/>
                          </a:rPr>
                        </m:ctrlPr>
                      </m:sSubPr>
                      <m:e>
                        <m:r>
                          <a:rPr lang="en-AU" sz="1000" b="0" i="1">
                            <a:latin typeface="Cambria Math" panose="02040503050406030204" pitchFamily="18" charset="0"/>
                          </a:rPr>
                          <m:t>𝐸</m:t>
                        </m:r>
                      </m:e>
                      <m:sub>
                        <m:r>
                          <a:rPr lang="en-AU" sz="1000" b="0" i="1">
                            <a:latin typeface="Cambria Math" panose="02040503050406030204" pitchFamily="18" charset="0"/>
                          </a:rPr>
                          <m:t>𝑁</m:t>
                        </m:r>
                        <m:r>
                          <a:rPr lang="en-AU" sz="1000" b="0" i="1">
                            <a:latin typeface="Cambria Math" panose="02040503050406030204" pitchFamily="18" charset="0"/>
                          </a:rPr>
                          <m:t>2</m:t>
                        </m:r>
                        <m:r>
                          <m:rPr>
                            <m:sty m:val="p"/>
                          </m:rPr>
                          <a:rPr lang="en-AU" sz="1000" b="0" i="1">
                            <a:latin typeface="Cambria Math" panose="02040503050406030204" pitchFamily="18" charset="0"/>
                          </a:rPr>
                          <m:t>O</m:t>
                        </m:r>
                      </m:sub>
                    </m:sSub>
                    <m:r>
                      <a:rPr lang="en-AU" sz="1000" b="0" i="1">
                        <a:latin typeface="Cambria Math" panose="02040503050406030204" pitchFamily="18" charset="0"/>
                      </a:rPr>
                      <m:t>=</m:t>
                    </m:r>
                    <m:nary>
                      <m:naryPr>
                        <m:chr m:val="∑"/>
                        <m:supHide m:val="on"/>
                        <m:ctrlPr>
                          <a:rPr lang="en-AU" sz="1000" b="0" i="1">
                            <a:latin typeface="Cambria Math" panose="02040503050406030204" pitchFamily="18" charset="0"/>
                          </a:rPr>
                        </m:ctrlPr>
                      </m:naryPr>
                      <m:sub>
                        <m:r>
                          <a:rPr lang="en-AU" sz="1000" b="0" i="1">
                            <a:latin typeface="Cambria Math" panose="02040503050406030204" pitchFamily="18" charset="0"/>
                          </a:rPr>
                          <m:t>𝑝</m:t>
                        </m:r>
                      </m:sub>
                      <m:sup/>
                      <m:e>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𝑀</m:t>
                                </m:r>
                              </m:e>
                              <m:sub>
                                <m:r>
                                  <a:rPr lang="en-AU" sz="1000" b="0" i="1">
                                    <a:latin typeface="Cambria Math" panose="02040503050406030204" pitchFamily="18" charset="0"/>
                                  </a:rPr>
                                  <m:t>𝑝</m:t>
                                </m:r>
                              </m:sub>
                            </m:sSub>
                            <m:r>
                              <a:rPr lang="en-AU" sz="1000" b="0" i="1">
                                <a:latin typeface="Cambria Math" panose="02040503050406030204" pitchFamily="18" charset="0"/>
                              </a:rPr>
                              <m:t>×</m:t>
                            </m:r>
                            <m:r>
                              <a:rPr lang="en-AU" sz="1000" b="0" i="1">
                                <a:latin typeface="Cambria Math" panose="02040503050406030204" pitchFamily="18" charset="0"/>
                              </a:rPr>
                              <m:t>𝐸</m:t>
                            </m:r>
                            <m:sSub>
                              <m:sSubPr>
                                <m:ctrlPr>
                                  <a:rPr lang="en-AU" sz="1000" b="0" i="1">
                                    <a:latin typeface="Cambria Math" panose="02040503050406030204" pitchFamily="18" charset="0"/>
                                  </a:rPr>
                                </m:ctrlPr>
                              </m:sSubPr>
                              <m:e>
                                <m:r>
                                  <a:rPr lang="en-AU" sz="1000" b="0" i="1">
                                    <a:latin typeface="Cambria Math" panose="02040503050406030204" pitchFamily="18" charset="0"/>
                                  </a:rPr>
                                  <m:t>𝐹</m:t>
                                </m:r>
                              </m:e>
                              <m:sub>
                                <m:r>
                                  <a:rPr lang="en-AU" sz="1000" b="0" i="1">
                                    <a:latin typeface="Cambria Math" panose="02040503050406030204" pitchFamily="18" charset="0"/>
                                  </a:rPr>
                                  <m:t>𝑁𝑖</m:t>
                                </m:r>
                              </m:sub>
                            </m:sSub>
                            <m:r>
                              <a:rPr lang="en-AU" sz="1000" b="0" i="1">
                                <a:latin typeface="Cambria Math" panose="02040503050406030204" pitchFamily="18" charset="0"/>
                              </a:rPr>
                              <m:t>×</m:t>
                            </m:r>
                            <m:sSub>
                              <m:sSubPr>
                                <m:ctrlPr>
                                  <a:rPr lang="en-AU" sz="1000" b="0" i="1">
                                    <a:latin typeface="Cambria Math" panose="02040503050406030204" pitchFamily="18" charset="0"/>
                                  </a:rPr>
                                </m:ctrlPr>
                              </m:sSubPr>
                              <m:e>
                                <m:r>
                                  <a:rPr lang="en-AU" sz="1000" b="0" i="1">
                                    <a:latin typeface="Cambria Math" panose="02040503050406030204" pitchFamily="18" charset="0"/>
                                  </a:rPr>
                                  <m:t>𝐶</m:t>
                                </m:r>
                              </m:e>
                              <m:sub>
                                <m:r>
                                  <a:rPr lang="en-AU" sz="1000" b="0" i="1">
                                    <a:latin typeface="Cambria Math" panose="02040503050406030204" pitchFamily="18" charset="0"/>
                                  </a:rPr>
                                  <m:t>𝑁</m:t>
                                </m:r>
                                <m:r>
                                  <a:rPr lang="en-AU" sz="1000" b="0" i="1">
                                    <a:latin typeface="Cambria Math" panose="02040503050406030204" pitchFamily="18" charset="0"/>
                                  </a:rPr>
                                  <m:t>2</m:t>
                                </m:r>
                                <m:r>
                                  <a:rPr lang="en-AU" sz="1000" b="0" i="1">
                                    <a:latin typeface="Cambria Math" panose="02040503050406030204" pitchFamily="18" charset="0"/>
                                  </a:rPr>
                                  <m:t>𝑂</m:t>
                                </m:r>
                              </m:sub>
                            </m:sSub>
                            <m:r>
                              <a:rPr lang="en-AU" sz="1000" b="0" i="1">
                                <a:latin typeface="Cambria Math" panose="02040503050406030204" pitchFamily="18" charset="0"/>
                              </a:rPr>
                              <m:t>×</m:t>
                            </m:r>
                            <m:sSup>
                              <m:sSupPr>
                                <m:ctrlPr>
                                  <a:rPr lang="en-AU" sz="1000" b="0" i="1">
                                    <a:latin typeface="Cambria Math" panose="02040503050406030204" pitchFamily="18" charset="0"/>
                                  </a:rPr>
                                </m:ctrlPr>
                              </m:sSupPr>
                              <m:e>
                                <m:r>
                                  <a:rPr lang="en-AU" sz="1000" b="0" i="1">
                                    <a:latin typeface="Cambria Math" panose="02040503050406030204" pitchFamily="18" charset="0"/>
                                  </a:rPr>
                                  <m:t>10</m:t>
                                </m:r>
                              </m:e>
                              <m:sup>
                                <m:r>
                                  <a:rPr lang="en-AU" sz="1000" b="0" i="1">
                                    <a:latin typeface="Cambria Math" panose="02040503050406030204" pitchFamily="18" charset="0"/>
                                  </a:rPr>
                                  <m:t>−3</m:t>
                                </m:r>
                              </m:sup>
                            </m:sSup>
                          </m:e>
                        </m:d>
                      </m:e>
                    </m:nary>
                  </m:oMath>
                </m:oMathPara>
              </a14:m>
              <a:endParaRPr lang="en-AU" sz="1000"/>
            </a:p>
          </xdr:txBody>
        </xdr:sp>
      </mc:Choice>
      <mc:Fallback xmlns="">
        <xdr:sp macro="" textlink="">
          <xdr:nvSpPr>
            <xdr:cNvPr id="9" name="TextBox 8">
              <a:extLst>
                <a:ext uri="{FF2B5EF4-FFF2-40B4-BE49-F238E27FC236}">
                  <a16:creationId xmlns:a16="http://schemas.microsoft.com/office/drawing/2014/main" id="{79595E21-FF86-43A2-9573-647953AF1605}"/>
                </a:ext>
              </a:extLst>
            </xdr:cNvPr>
            <xdr:cNvSpPr txBox="1"/>
          </xdr:nvSpPr>
          <xdr:spPr>
            <a:xfrm>
              <a:off x="26003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000" b="0" i="0">
                  <a:latin typeface="Cambria Math" panose="02040503050406030204" pitchFamily="18" charset="0"/>
                </a:rPr>
                <a:t>𝐸_𝑁2O=∑_𝑝▒(𝑀_𝑝×𝐸𝐹_𝑁𝑖×𝐶_𝑁2𝑂×10^(−3) ) </a:t>
              </a:r>
              <a:endParaRPr lang="en-AU" sz="10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968D220-90DE-48A9-90C2-1DAB676B920B}"/>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0" i="1" u="none" strike="noStrike">
                            <a:solidFill>
                              <a:schemeClr val="tx1"/>
                            </a:solidFill>
                            <a:effectLst/>
                            <a:latin typeface="Cambria Math" panose="02040503050406030204" pitchFamily="18" charset="0"/>
                            <a:ea typeface="+mn-ea"/>
                            <a:cs typeface="+mn-cs"/>
                          </a:rPr>
                        </m:ctrlPr>
                      </m:sSubPr>
                      <m:e>
                        <m:r>
                          <a:rPr lang="en-AU" sz="1000" b="0" i="1" u="none" strike="noStrike">
                            <a:solidFill>
                              <a:schemeClr val="tx1"/>
                            </a:solidFill>
                            <a:effectLst/>
                            <a:latin typeface="Cambria Math" panose="02040503050406030204" pitchFamily="18" charset="0"/>
                            <a:ea typeface="+mn-ea"/>
                            <a:cs typeface="+mn-cs"/>
                          </a:rPr>
                          <m:t>𝑀</m:t>
                        </m:r>
                      </m:e>
                      <m:sub>
                        <m:r>
                          <a:rPr lang="en-AU" sz="1000" b="0" i="1" u="none" strike="noStrike">
                            <a:solidFill>
                              <a:schemeClr val="tx1"/>
                            </a:solidFill>
                            <a:effectLst/>
                            <a:latin typeface="Cambria Math" panose="02040503050406030204" pitchFamily="18" charset="0"/>
                            <a:ea typeface="+mn-ea"/>
                            <a:cs typeface="+mn-cs"/>
                          </a:rPr>
                          <m:t>𝑙𝑒𝑎𝑐ℎ</m:t>
                        </m:r>
                        <m:r>
                          <a:rPr lang="en-AU" sz="1000" b="0" i="1" u="none" strike="noStrike">
                            <a:solidFill>
                              <a:schemeClr val="tx1"/>
                            </a:solidFill>
                            <a:effectLst/>
                            <a:latin typeface="Cambria Math" panose="02040503050406030204" pitchFamily="18" charset="0"/>
                            <a:ea typeface="+mn-ea"/>
                            <a:cs typeface="+mn-cs"/>
                          </a:rPr>
                          <m:t>,</m:t>
                        </m:r>
                        <m:r>
                          <a:rPr lang="en-AU" sz="1000" b="0" i="1" u="none" strike="noStrike">
                            <a:solidFill>
                              <a:schemeClr val="tx1"/>
                            </a:solidFill>
                            <a:effectLst/>
                            <a:latin typeface="Cambria Math" panose="02040503050406030204" pitchFamily="18" charset="0"/>
                            <a:ea typeface="+mn-ea"/>
                            <a:cs typeface="+mn-cs"/>
                          </a:rPr>
                          <m:t>𝑐𝑝</m:t>
                        </m:r>
                      </m:sub>
                    </m:sSub>
                    <m:r>
                      <a:rPr lang="en-AU" sz="1000" b="0" i="1" u="none" strike="noStrike">
                        <a:solidFill>
                          <a:schemeClr val="tx1"/>
                        </a:solidFill>
                        <a:effectLst/>
                        <a:latin typeface="Cambria Math" panose="02040503050406030204" pitchFamily="18" charset="0"/>
                        <a:ea typeface="+mn-ea"/>
                        <a:cs typeface="+mn-cs"/>
                      </a:rPr>
                      <m:t>=</m:t>
                    </m:r>
                    <m:sSub>
                      <m:sSubPr>
                        <m:ctrlPr>
                          <a:rPr lang="en-AU" sz="1000" b="0" i="1" u="none" strike="noStrike">
                            <a:solidFill>
                              <a:schemeClr val="tx1"/>
                            </a:solidFill>
                            <a:effectLst/>
                            <a:latin typeface="Cambria Math" panose="02040503050406030204" pitchFamily="18" charset="0"/>
                            <a:ea typeface="+mn-ea"/>
                            <a:cs typeface="+mn-cs"/>
                          </a:rPr>
                        </m:ctrlPr>
                      </m:sSubPr>
                      <m:e>
                        <m:r>
                          <a:rPr lang="en-AU" sz="1000" b="0" i="1" u="none" strike="noStrike">
                            <a:solidFill>
                              <a:schemeClr val="tx1"/>
                            </a:solidFill>
                            <a:effectLst/>
                            <a:latin typeface="Cambria Math" panose="02040503050406030204" pitchFamily="18" charset="0"/>
                            <a:ea typeface="+mn-ea"/>
                            <a:cs typeface="+mn-cs"/>
                          </a:rPr>
                          <m:t>𝑀</m:t>
                        </m:r>
                      </m:e>
                      <m:sub>
                        <m:r>
                          <a:rPr lang="en-AU" sz="1000" b="0" i="1" u="none" strike="noStrike">
                            <a:solidFill>
                              <a:schemeClr val="tx1"/>
                            </a:solidFill>
                            <a:effectLst/>
                            <a:latin typeface="Cambria Math" panose="02040503050406030204" pitchFamily="18" charset="0"/>
                            <a:ea typeface="+mn-ea"/>
                            <a:cs typeface="+mn-cs"/>
                          </a:rPr>
                          <m:t>𝑐𝑝</m:t>
                        </m:r>
                      </m:sub>
                    </m:sSub>
                    <m:r>
                      <a:rPr lang="en-AU" sz="1000" b="0" i="1" u="none" strike="noStrike">
                        <a:solidFill>
                          <a:schemeClr val="tx1"/>
                        </a:solidFill>
                        <a:effectLst/>
                        <a:latin typeface="Cambria Math" panose="02040503050406030204" pitchFamily="18" charset="0"/>
                        <a:ea typeface="+mn-ea"/>
                        <a:cs typeface="+mn-cs"/>
                      </a:rPr>
                      <m:t>×</m:t>
                    </m:r>
                    <m:r>
                      <a:rPr lang="en-AU" sz="1000" b="0" i="1" u="none" strike="noStrike">
                        <a:solidFill>
                          <a:schemeClr val="tx1"/>
                        </a:solidFill>
                        <a:effectLst/>
                        <a:latin typeface="Cambria Math" panose="02040503050406030204" pitchFamily="18" charset="0"/>
                        <a:ea typeface="+mn-ea"/>
                        <a:cs typeface="+mn-cs"/>
                      </a:rPr>
                      <m:t>𝐹𝑟𝑎𝑐𝑊𝐸</m:t>
                    </m:r>
                    <m:sSub>
                      <m:sSubPr>
                        <m:ctrlPr>
                          <a:rPr lang="en-AU" sz="1000" b="0" i="1" u="none" strike="noStrike">
                            <a:solidFill>
                              <a:schemeClr val="tx1"/>
                            </a:solidFill>
                            <a:effectLst/>
                            <a:latin typeface="Cambria Math" panose="02040503050406030204" pitchFamily="18" charset="0"/>
                            <a:ea typeface="+mn-ea"/>
                            <a:cs typeface="+mn-cs"/>
                          </a:rPr>
                        </m:ctrlPr>
                      </m:sSubPr>
                      <m:e>
                        <m:r>
                          <a:rPr lang="en-AU" sz="1000" b="0" i="1" u="none" strike="noStrike">
                            <a:solidFill>
                              <a:schemeClr val="tx1"/>
                            </a:solidFill>
                            <a:effectLst/>
                            <a:latin typeface="Cambria Math" panose="02040503050406030204" pitchFamily="18" charset="0"/>
                            <a:ea typeface="+mn-ea"/>
                            <a:cs typeface="+mn-cs"/>
                          </a:rPr>
                          <m:t>𝑇</m:t>
                        </m:r>
                      </m:e>
                      <m:sub>
                        <m:r>
                          <a:rPr lang="en-AU" sz="1000" b="0" i="1" u="none" strike="noStrike">
                            <a:solidFill>
                              <a:schemeClr val="tx1"/>
                            </a:solidFill>
                            <a:effectLst/>
                            <a:latin typeface="Cambria Math" panose="02040503050406030204" pitchFamily="18" charset="0"/>
                            <a:ea typeface="+mn-ea"/>
                            <a:cs typeface="+mn-cs"/>
                          </a:rPr>
                          <m:t>𝑗</m:t>
                        </m:r>
                      </m:sub>
                    </m:sSub>
                    <m:r>
                      <a:rPr lang="en-AU" sz="1000" b="0" i="1" u="none" strike="noStrike">
                        <a:solidFill>
                          <a:schemeClr val="tx1"/>
                        </a:solidFill>
                        <a:effectLst/>
                        <a:latin typeface="Cambria Math" panose="02040503050406030204" pitchFamily="18" charset="0"/>
                        <a:ea typeface="+mn-ea"/>
                        <a:cs typeface="+mn-cs"/>
                      </a:rPr>
                      <m:t>×</m:t>
                    </m:r>
                    <m:r>
                      <a:rPr lang="en-AU" sz="10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000"/>
            </a:p>
          </xdr:txBody>
        </xdr:sp>
      </mc:Choice>
      <mc:Fallback xmlns="">
        <xdr:sp macro="" textlink="">
          <xdr:nvSpPr>
            <xdr:cNvPr id="2" name="TextBox 1">
              <a:extLst>
                <a:ext uri="{FF2B5EF4-FFF2-40B4-BE49-F238E27FC236}">
                  <a16:creationId xmlns:a16="http://schemas.microsoft.com/office/drawing/2014/main" id="{1968D220-90DE-48A9-90C2-1DAB676B920B}"/>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0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246DCD0-83A0-4E05-A131-CEF316CE933C}"/>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𝑐𝑝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5246DCD0-83A0-4E05-A131-CEF316CE933C}"/>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𝐸_𝑁2𝑂=∑10_𝑐▒∑10_𝑝▒(𝑀_(𝑙𝑒𝑎𝑐ℎ,𝑐𝑝)×𝐸𝐹_𝑙𝑒𝑎𝑐ℎ×𝐶_𝑁2𝑂×10^(−3) ) </a:t>
              </a:r>
              <a:endParaRPr lang="en-AU" sz="10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7BC0C9D-B2A1-45ED-BCF8-A636C21DC4E1}"/>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0" i="1" u="none" strike="noStrike">
                            <a:solidFill>
                              <a:schemeClr val="tx1"/>
                            </a:solidFill>
                            <a:effectLst/>
                            <a:latin typeface="Cambria Math" panose="02040503050406030204" pitchFamily="18" charset="0"/>
                            <a:ea typeface="+mn-ea"/>
                            <a:cs typeface="+mn-cs"/>
                          </a:rPr>
                        </m:ctrlPr>
                      </m:sSubPr>
                      <m:e>
                        <m:r>
                          <a:rPr lang="en-AU" sz="1000" b="0" i="1" u="none" strike="noStrike">
                            <a:solidFill>
                              <a:schemeClr val="tx1"/>
                            </a:solidFill>
                            <a:effectLst/>
                            <a:latin typeface="Cambria Math" panose="02040503050406030204" pitchFamily="18" charset="0"/>
                            <a:ea typeface="+mn-ea"/>
                            <a:cs typeface="+mn-cs"/>
                          </a:rPr>
                          <m:t>𝑀</m:t>
                        </m:r>
                      </m:e>
                      <m:sub>
                        <m:r>
                          <a:rPr lang="en-AU" sz="1000" b="0" i="1" u="none" strike="noStrike">
                            <a:solidFill>
                              <a:schemeClr val="tx1"/>
                            </a:solidFill>
                            <a:effectLst/>
                            <a:latin typeface="Cambria Math" panose="02040503050406030204" pitchFamily="18" charset="0"/>
                            <a:ea typeface="+mn-ea"/>
                            <a:cs typeface="+mn-cs"/>
                          </a:rPr>
                          <m:t>𝑙𝑒𝑎𝑐ℎ</m:t>
                        </m:r>
                        <m:r>
                          <a:rPr lang="en-AU" sz="1000" b="0" i="1" u="none" strike="noStrike">
                            <a:solidFill>
                              <a:schemeClr val="tx1"/>
                            </a:solidFill>
                            <a:effectLst/>
                            <a:latin typeface="Cambria Math" panose="02040503050406030204" pitchFamily="18" charset="0"/>
                            <a:ea typeface="+mn-ea"/>
                            <a:cs typeface="+mn-cs"/>
                          </a:rPr>
                          <m:t>,</m:t>
                        </m:r>
                        <m:r>
                          <a:rPr lang="en-AU" sz="1000" b="0" i="1" u="none" strike="noStrike">
                            <a:solidFill>
                              <a:schemeClr val="tx1"/>
                            </a:solidFill>
                            <a:effectLst/>
                            <a:latin typeface="Cambria Math" panose="02040503050406030204" pitchFamily="18" charset="0"/>
                            <a:ea typeface="+mn-ea"/>
                            <a:cs typeface="+mn-cs"/>
                          </a:rPr>
                          <m:t>𝑐𝑝</m:t>
                        </m:r>
                      </m:sub>
                    </m:sSub>
                    <m:r>
                      <a:rPr lang="en-AU" sz="1000" b="0" i="1" u="none" strike="noStrike">
                        <a:solidFill>
                          <a:schemeClr val="tx1"/>
                        </a:solidFill>
                        <a:effectLst/>
                        <a:latin typeface="Cambria Math" panose="02040503050406030204" pitchFamily="18" charset="0"/>
                        <a:ea typeface="+mn-ea"/>
                        <a:cs typeface="+mn-cs"/>
                      </a:rPr>
                      <m:t>=</m:t>
                    </m:r>
                    <m:sSub>
                      <m:sSubPr>
                        <m:ctrlPr>
                          <a:rPr lang="en-AU" sz="1000" b="0" i="1" u="none" strike="noStrike">
                            <a:solidFill>
                              <a:schemeClr val="tx1"/>
                            </a:solidFill>
                            <a:effectLst/>
                            <a:latin typeface="Cambria Math" panose="02040503050406030204" pitchFamily="18" charset="0"/>
                            <a:ea typeface="+mn-ea"/>
                            <a:cs typeface="+mn-cs"/>
                          </a:rPr>
                        </m:ctrlPr>
                      </m:sSubPr>
                      <m:e>
                        <m:r>
                          <a:rPr lang="en-AU" sz="1000" b="0" i="1" u="none" strike="noStrike">
                            <a:solidFill>
                              <a:schemeClr val="tx1"/>
                            </a:solidFill>
                            <a:effectLst/>
                            <a:latin typeface="Cambria Math" panose="02040503050406030204" pitchFamily="18" charset="0"/>
                            <a:ea typeface="+mn-ea"/>
                            <a:cs typeface="+mn-cs"/>
                          </a:rPr>
                          <m:t>𝑀</m:t>
                        </m:r>
                      </m:e>
                      <m:sub>
                        <m:r>
                          <a:rPr lang="en-AU" sz="1000" b="0" i="1" u="none" strike="noStrike">
                            <a:solidFill>
                              <a:schemeClr val="tx1"/>
                            </a:solidFill>
                            <a:effectLst/>
                            <a:latin typeface="Cambria Math" panose="02040503050406030204" pitchFamily="18" charset="0"/>
                            <a:ea typeface="+mn-ea"/>
                            <a:cs typeface="+mn-cs"/>
                          </a:rPr>
                          <m:t>𝑐𝑝</m:t>
                        </m:r>
                      </m:sub>
                    </m:sSub>
                    <m:r>
                      <a:rPr lang="en-AU" sz="1000" b="0" i="1" u="none" strike="noStrike">
                        <a:solidFill>
                          <a:schemeClr val="tx1"/>
                        </a:solidFill>
                        <a:effectLst/>
                        <a:latin typeface="Cambria Math" panose="02040503050406030204" pitchFamily="18" charset="0"/>
                        <a:ea typeface="+mn-ea"/>
                        <a:cs typeface="+mn-cs"/>
                      </a:rPr>
                      <m:t>×</m:t>
                    </m:r>
                    <m:r>
                      <a:rPr lang="en-AU" sz="1000" b="0" i="1" u="none" strike="noStrike">
                        <a:solidFill>
                          <a:schemeClr val="tx1"/>
                        </a:solidFill>
                        <a:effectLst/>
                        <a:latin typeface="Cambria Math" panose="02040503050406030204" pitchFamily="18" charset="0"/>
                        <a:ea typeface="+mn-ea"/>
                        <a:cs typeface="+mn-cs"/>
                      </a:rPr>
                      <m:t>𝐹𝑟𝑎𝑐𝑊𝐸</m:t>
                    </m:r>
                    <m:sSub>
                      <m:sSubPr>
                        <m:ctrlPr>
                          <a:rPr lang="en-AU" sz="1000" b="0" i="1" u="none" strike="noStrike">
                            <a:solidFill>
                              <a:schemeClr val="tx1"/>
                            </a:solidFill>
                            <a:effectLst/>
                            <a:latin typeface="Cambria Math" panose="02040503050406030204" pitchFamily="18" charset="0"/>
                            <a:ea typeface="+mn-ea"/>
                            <a:cs typeface="+mn-cs"/>
                          </a:rPr>
                        </m:ctrlPr>
                      </m:sSubPr>
                      <m:e>
                        <m:r>
                          <a:rPr lang="en-AU" sz="1000" b="0" i="1" u="none" strike="noStrike">
                            <a:solidFill>
                              <a:schemeClr val="tx1"/>
                            </a:solidFill>
                            <a:effectLst/>
                            <a:latin typeface="Cambria Math" panose="02040503050406030204" pitchFamily="18" charset="0"/>
                            <a:ea typeface="+mn-ea"/>
                            <a:cs typeface="+mn-cs"/>
                          </a:rPr>
                          <m:t>𝑇</m:t>
                        </m:r>
                      </m:e>
                      <m:sub>
                        <m:r>
                          <a:rPr lang="en-AU" sz="1000" b="0" i="1" u="none" strike="noStrike">
                            <a:solidFill>
                              <a:schemeClr val="tx1"/>
                            </a:solidFill>
                            <a:effectLst/>
                            <a:latin typeface="Cambria Math" panose="02040503050406030204" pitchFamily="18" charset="0"/>
                            <a:ea typeface="+mn-ea"/>
                            <a:cs typeface="+mn-cs"/>
                          </a:rPr>
                          <m:t>𝑗</m:t>
                        </m:r>
                      </m:sub>
                    </m:sSub>
                    <m:r>
                      <a:rPr lang="en-AU" sz="1000" b="0" i="1" u="none" strike="noStrike">
                        <a:solidFill>
                          <a:schemeClr val="tx1"/>
                        </a:solidFill>
                        <a:effectLst/>
                        <a:latin typeface="Cambria Math" panose="02040503050406030204" pitchFamily="18" charset="0"/>
                        <a:ea typeface="+mn-ea"/>
                        <a:cs typeface="+mn-cs"/>
                      </a:rPr>
                      <m:t>×</m:t>
                    </m:r>
                    <m:r>
                      <a:rPr lang="en-AU" sz="10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000"/>
            </a:p>
          </xdr:txBody>
        </xdr:sp>
      </mc:Choice>
      <mc:Fallback xmlns="">
        <xdr:sp macro="" textlink="">
          <xdr:nvSpPr>
            <xdr:cNvPr id="2" name="TextBox 1">
              <a:extLst>
                <a:ext uri="{FF2B5EF4-FFF2-40B4-BE49-F238E27FC236}">
                  <a16:creationId xmlns:a16="http://schemas.microsoft.com/office/drawing/2014/main" id="{E7BC0C9D-B2A1-45ED-BCF8-A636C21DC4E1}"/>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0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0B38EF1-0963-419D-B2D7-A466CBA289EE}"/>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𝑐𝑝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F0B38EF1-0963-419D-B2D7-A466CBA289EE}"/>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𝐸_𝑁2𝑂=∑2_𝑐▒∑2_𝑝▒(𝑀_(𝑙𝑒𝑎𝑐ℎ,𝑐𝑝)×𝐸𝐹_𝑙𝑒𝑎𝑐ℎ×𝐶_𝑁2𝑂×10^(−3) ) </a:t>
              </a:r>
              <a:endParaRPr lang="en-AU" sz="10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4CA73E8-3080-4A75-8326-054126D0B35E}"/>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0" i="1" u="none" strike="noStrike">
                            <a:solidFill>
                              <a:schemeClr val="tx1"/>
                            </a:solidFill>
                            <a:effectLst/>
                            <a:latin typeface="Cambria Math" panose="02040503050406030204" pitchFamily="18" charset="0"/>
                            <a:ea typeface="+mn-ea"/>
                            <a:cs typeface="+mn-cs"/>
                          </a:rPr>
                        </m:ctrlPr>
                      </m:sSubPr>
                      <m:e>
                        <m:r>
                          <a:rPr lang="en-AU" sz="1000" b="0" i="1" u="none" strike="noStrike">
                            <a:solidFill>
                              <a:schemeClr val="tx1"/>
                            </a:solidFill>
                            <a:effectLst/>
                            <a:latin typeface="Cambria Math" panose="02040503050406030204" pitchFamily="18" charset="0"/>
                            <a:ea typeface="+mn-ea"/>
                            <a:cs typeface="+mn-cs"/>
                          </a:rPr>
                          <m:t>𝑀</m:t>
                        </m:r>
                      </m:e>
                      <m:sub>
                        <m:r>
                          <a:rPr lang="en-AU" sz="1000" b="0" i="1" u="none" strike="noStrike">
                            <a:solidFill>
                              <a:schemeClr val="tx1"/>
                            </a:solidFill>
                            <a:effectLst/>
                            <a:latin typeface="Cambria Math" panose="02040503050406030204" pitchFamily="18" charset="0"/>
                            <a:ea typeface="+mn-ea"/>
                            <a:cs typeface="+mn-cs"/>
                          </a:rPr>
                          <m:t>𝑙𝑒𝑎𝑐ℎ</m:t>
                        </m:r>
                        <m:r>
                          <a:rPr lang="en-AU" sz="1000" b="0" i="1" u="none" strike="noStrike">
                            <a:solidFill>
                              <a:schemeClr val="tx1"/>
                            </a:solidFill>
                            <a:effectLst/>
                            <a:latin typeface="Cambria Math" panose="02040503050406030204" pitchFamily="18" charset="0"/>
                            <a:ea typeface="+mn-ea"/>
                            <a:cs typeface="+mn-cs"/>
                          </a:rPr>
                          <m:t>,</m:t>
                        </m:r>
                        <m:r>
                          <a:rPr lang="en-AU" sz="1000" b="0" i="1" u="none" strike="noStrike">
                            <a:solidFill>
                              <a:schemeClr val="tx1"/>
                            </a:solidFill>
                            <a:effectLst/>
                            <a:latin typeface="Cambria Math" panose="02040503050406030204" pitchFamily="18" charset="0"/>
                            <a:ea typeface="+mn-ea"/>
                            <a:cs typeface="+mn-cs"/>
                          </a:rPr>
                          <m:t>𝑐𝑝</m:t>
                        </m:r>
                      </m:sub>
                    </m:sSub>
                    <m:r>
                      <a:rPr lang="en-AU" sz="1000" b="0" i="1" u="none" strike="noStrike">
                        <a:solidFill>
                          <a:schemeClr val="tx1"/>
                        </a:solidFill>
                        <a:effectLst/>
                        <a:latin typeface="Cambria Math" panose="02040503050406030204" pitchFamily="18" charset="0"/>
                        <a:ea typeface="+mn-ea"/>
                        <a:cs typeface="+mn-cs"/>
                      </a:rPr>
                      <m:t>=</m:t>
                    </m:r>
                    <m:sSub>
                      <m:sSubPr>
                        <m:ctrlPr>
                          <a:rPr lang="en-AU" sz="1000" b="0" i="1" u="none" strike="noStrike">
                            <a:solidFill>
                              <a:schemeClr val="tx1"/>
                            </a:solidFill>
                            <a:effectLst/>
                            <a:latin typeface="Cambria Math" panose="02040503050406030204" pitchFamily="18" charset="0"/>
                            <a:ea typeface="+mn-ea"/>
                            <a:cs typeface="+mn-cs"/>
                          </a:rPr>
                        </m:ctrlPr>
                      </m:sSubPr>
                      <m:e>
                        <m:r>
                          <a:rPr lang="en-AU" sz="1000" b="0" i="1" u="none" strike="noStrike">
                            <a:solidFill>
                              <a:schemeClr val="tx1"/>
                            </a:solidFill>
                            <a:effectLst/>
                            <a:latin typeface="Cambria Math" panose="02040503050406030204" pitchFamily="18" charset="0"/>
                            <a:ea typeface="+mn-ea"/>
                            <a:cs typeface="+mn-cs"/>
                          </a:rPr>
                          <m:t>𝑀</m:t>
                        </m:r>
                      </m:e>
                      <m:sub>
                        <m:r>
                          <a:rPr lang="en-AU" sz="1000" b="0" i="1" u="none" strike="noStrike">
                            <a:solidFill>
                              <a:schemeClr val="tx1"/>
                            </a:solidFill>
                            <a:effectLst/>
                            <a:latin typeface="Cambria Math" panose="02040503050406030204" pitchFamily="18" charset="0"/>
                            <a:ea typeface="+mn-ea"/>
                            <a:cs typeface="+mn-cs"/>
                          </a:rPr>
                          <m:t>𝑐𝑝</m:t>
                        </m:r>
                      </m:sub>
                    </m:sSub>
                    <m:r>
                      <a:rPr lang="en-AU" sz="1000" b="0" i="1" u="none" strike="noStrike">
                        <a:solidFill>
                          <a:schemeClr val="tx1"/>
                        </a:solidFill>
                        <a:effectLst/>
                        <a:latin typeface="Cambria Math" panose="02040503050406030204" pitchFamily="18" charset="0"/>
                        <a:ea typeface="+mn-ea"/>
                        <a:cs typeface="+mn-cs"/>
                      </a:rPr>
                      <m:t>×</m:t>
                    </m:r>
                    <m:r>
                      <a:rPr lang="en-AU" sz="1000" b="0" i="1" u="none" strike="noStrike">
                        <a:solidFill>
                          <a:schemeClr val="tx1"/>
                        </a:solidFill>
                        <a:effectLst/>
                        <a:latin typeface="Cambria Math" panose="02040503050406030204" pitchFamily="18" charset="0"/>
                        <a:ea typeface="+mn-ea"/>
                        <a:cs typeface="+mn-cs"/>
                      </a:rPr>
                      <m:t>𝐹𝑟𝑎𝑐𝑊𝐸</m:t>
                    </m:r>
                    <m:sSub>
                      <m:sSubPr>
                        <m:ctrlPr>
                          <a:rPr lang="en-AU" sz="1000" b="0" i="1" u="none" strike="noStrike">
                            <a:solidFill>
                              <a:schemeClr val="tx1"/>
                            </a:solidFill>
                            <a:effectLst/>
                            <a:latin typeface="Cambria Math" panose="02040503050406030204" pitchFamily="18" charset="0"/>
                            <a:ea typeface="+mn-ea"/>
                            <a:cs typeface="+mn-cs"/>
                          </a:rPr>
                        </m:ctrlPr>
                      </m:sSubPr>
                      <m:e>
                        <m:r>
                          <a:rPr lang="en-AU" sz="1000" b="0" i="1" u="none" strike="noStrike">
                            <a:solidFill>
                              <a:schemeClr val="tx1"/>
                            </a:solidFill>
                            <a:effectLst/>
                            <a:latin typeface="Cambria Math" panose="02040503050406030204" pitchFamily="18" charset="0"/>
                            <a:ea typeface="+mn-ea"/>
                            <a:cs typeface="+mn-cs"/>
                          </a:rPr>
                          <m:t>𝑇</m:t>
                        </m:r>
                      </m:e>
                      <m:sub>
                        <m:r>
                          <a:rPr lang="en-AU" sz="1000" b="0" i="1" u="none" strike="noStrike">
                            <a:solidFill>
                              <a:schemeClr val="tx1"/>
                            </a:solidFill>
                            <a:effectLst/>
                            <a:latin typeface="Cambria Math" panose="02040503050406030204" pitchFamily="18" charset="0"/>
                            <a:ea typeface="+mn-ea"/>
                            <a:cs typeface="+mn-cs"/>
                          </a:rPr>
                          <m:t>𝑗</m:t>
                        </m:r>
                      </m:sub>
                    </m:sSub>
                    <m:r>
                      <a:rPr lang="en-AU" sz="1000" b="0" i="1" u="none" strike="noStrike">
                        <a:solidFill>
                          <a:schemeClr val="tx1"/>
                        </a:solidFill>
                        <a:effectLst/>
                        <a:latin typeface="Cambria Math" panose="02040503050406030204" pitchFamily="18" charset="0"/>
                        <a:ea typeface="+mn-ea"/>
                        <a:cs typeface="+mn-cs"/>
                      </a:rPr>
                      <m:t>×</m:t>
                    </m:r>
                    <m:r>
                      <a:rPr lang="en-AU" sz="10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000"/>
            </a:p>
          </xdr:txBody>
        </xdr:sp>
      </mc:Choice>
      <mc:Fallback xmlns="">
        <xdr:sp macro="" textlink="">
          <xdr:nvSpPr>
            <xdr:cNvPr id="2" name="TextBox 1">
              <a:extLst>
                <a:ext uri="{FF2B5EF4-FFF2-40B4-BE49-F238E27FC236}">
                  <a16:creationId xmlns:a16="http://schemas.microsoft.com/office/drawing/2014/main" id="{04CA73E8-3080-4A75-8326-054126D0B35E}"/>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0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3150799-7504-42BF-9B20-CA0C359EA61A}"/>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𝑐𝑝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73150799-7504-42BF-9B20-CA0C359EA61A}"/>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𝐸_𝑁2𝑂=∑2_𝑐▒∑2_𝑝▒(𝑀_(𝑙𝑒𝑎𝑐ℎ,𝑐𝑝)×𝐸𝐹_𝑙𝑒𝑎𝑐ℎ×𝐶_𝑁2𝑂×10^(−3) ) </a:t>
              </a:r>
              <a:endParaRPr lang="en-AU" sz="10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9525</xdr:colOff>
      <xdr:row>7</xdr:row>
      <xdr:rowOff>114300</xdr:rowOff>
    </xdr:from>
    <xdr:ext cx="2544606" cy="17665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5DE2AA7-4C7B-4657-AD41-E51AF8ABBD98}"/>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𝑏𝑢𝑟𝑛</m:t>
                        </m:r>
                        <m:r>
                          <a:rPr lang="en-AU" sz="1000" i="1">
                            <a:latin typeface="Cambria Math" panose="02040503050406030204" pitchFamily="18" charset="0"/>
                          </a:rPr>
                          <m:t>,</m:t>
                        </m:r>
                        <m:r>
                          <a:rPr lang="en-AU" sz="1000" i="1">
                            <a:latin typeface="Cambria Math" panose="02040503050406030204" pitchFamily="18" charset="0"/>
                          </a:rPr>
                          <m:t>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𝐴𝐺𝑐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𝐷</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𝑍</m:t>
                        </m:r>
                      </m:e>
                      <m:sub>
                        <m:r>
                          <a:rPr lang="en-AU" sz="1000" i="1">
                            <a:latin typeface="Cambria Math" panose="02040503050406030204" pitchFamily="18" charset="0"/>
                          </a:rPr>
                          <m:t>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75DE2AA7-4C7B-4657-AD41-E51AF8ABBD98}"/>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𝑀_(𝑏𝑢𝑟𝑛,𝑐)=𝑃_𝑐×𝑅_𝐴𝐺𝑐×𝑆_𝑐×𝐷𝑀_𝑐×𝑍_𝑐×𝐹_𝑐</a:t>
              </a:r>
              <a:endParaRPr lang="en-AU" sz="1000"/>
            </a:p>
          </xdr:txBody>
        </xdr:sp>
      </mc:Fallback>
    </mc:AlternateContent>
    <xdr:clientData/>
  </xdr:oneCellAnchor>
  <xdr:oneCellAnchor>
    <xdr:from>
      <xdr:col>2</xdr:col>
      <xdr:colOff>300037</xdr:colOff>
      <xdr:row>27</xdr:row>
      <xdr:rowOff>28575</xdr:rowOff>
    </xdr:from>
    <xdr:ext cx="3330079"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B935B8C-49BA-4FE1-908F-9B84A7830754}"/>
                </a:ext>
              </a:extLst>
            </xdr:cNvPr>
            <xdr:cNvSpPr txBox="1"/>
          </xdr:nvSpPr>
          <xdr:spPr>
            <a:xfrm>
              <a:off x="2662237" y="6848475"/>
              <a:ext cx="3330079"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𝑏𝑢𝑟𝑛</m:t>
                                </m:r>
                                <m:r>
                                  <a:rPr lang="en-AU" sz="1000" i="1">
                                    <a:latin typeface="Cambria Math" panose="02040503050406030204" pitchFamily="18" charset="0"/>
                                  </a:rPr>
                                  <m:t>,</m:t>
                                </m:r>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𝐴𝐺𝑐</m:t>
                                </m:r>
                              </m:sub>
                            </m:sSub>
                          </m:e>
                        </m:d>
                      </m:e>
                    </m:nary>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BB935B8C-49BA-4FE1-908F-9B84A7830754}"/>
                </a:ext>
              </a:extLst>
            </xdr:cNvPr>
            <xdr:cNvSpPr txBox="1"/>
          </xdr:nvSpPr>
          <xdr:spPr>
            <a:xfrm>
              <a:off x="2662237" y="6848475"/>
              <a:ext cx="3330079"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𝐸_𝑁2𝑂=∑10_𝑐▒(𝑀_(𝑏𝑢𝑟𝑛,𝑐)×𝑁𝐶_𝐴𝐺𝑐 ) ×𝐸𝐹_𝑁2𝑂×𝐶_𝑁2𝑂×10^(−3)</a:t>
              </a:r>
              <a:endParaRPr lang="en-AU" sz="1000"/>
            </a:p>
          </xdr:txBody>
        </xdr:sp>
      </mc:Fallback>
    </mc:AlternateContent>
    <xdr:clientData/>
  </xdr:oneCellAnchor>
  <xdr:oneCellAnchor>
    <xdr:from>
      <xdr:col>2</xdr:col>
      <xdr:colOff>300037</xdr:colOff>
      <xdr:row>50</xdr:row>
      <xdr:rowOff>28575</xdr:rowOff>
    </xdr:from>
    <xdr:ext cx="3148105" cy="31290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1536FF2F-7E95-4B3D-B650-98D67BFF5193}"/>
                </a:ext>
              </a:extLst>
            </xdr:cNvPr>
            <xdr:cNvSpPr txBox="1"/>
          </xdr:nvSpPr>
          <xdr:spPr>
            <a:xfrm>
              <a:off x="2662237" y="12544425"/>
              <a:ext cx="3148105"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𝑏𝑢𝑟𝑛</m:t>
                                </m:r>
                                <m:r>
                                  <a:rPr lang="en-AU" sz="1000" i="1">
                                    <a:latin typeface="Cambria Math" panose="02040503050406030204" pitchFamily="18" charset="0"/>
                                  </a:rPr>
                                  <m:t>,</m:t>
                                </m:r>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𝐶</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𝑐</m:t>
                                </m:r>
                              </m:sub>
                            </m:sSub>
                          </m:e>
                        </m:d>
                      </m:e>
                    </m:nary>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1536FF2F-7E95-4B3D-B650-98D67BFF5193}"/>
                </a:ext>
              </a:extLst>
            </xdr:cNvPr>
            <xdr:cNvSpPr txBox="1"/>
          </xdr:nvSpPr>
          <xdr:spPr>
            <a:xfrm>
              <a:off x="2662237" y="12544425"/>
              <a:ext cx="3148105"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𝐸_𝐶𝐻4=∑10_𝑐▒(𝑀_(𝑏𝑢𝑟𝑛,𝑐)×𝐶𝐶_𝑐 ) ×𝐸𝐹_𝐶𝐻4×𝐶_𝐶𝐻4×10^(−3)</a:t>
              </a:r>
              <a:endParaRPr lang="en-AU" sz="10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F7211C-A71E-4F6D-A358-4E6EB133956B}"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1EC8425C-19BD-4F2B-BE37-5A6C190FA54F}" name="Crop type">
      <calculatedColumnFormula array="1">Common_InputFunctions.Utility_DisplayArrayInTable(Agresidue_SourceData.CropAttributes_Data(),Table_SourceData_CropAttributes[[#Headers],[Crop type]], -1)</calculatedColumnFormula>
    </tableColumn>
    <tableColumn id="2" xr3:uid="{CBEF375B-D817-45D6-849F-65178CB10FFE}" name="Residue: Crop ratio">
      <calculatedColumnFormula array="1">Common_InputFunctions.Utility_DisplayArrayInTable(Agresidue_SourceData.CropAttributes_Data(),Table_SourceData_CropAttributes[[#Headers],[Crop type]], -1)</calculatedColumnFormula>
    </tableColumn>
    <tableColumn id="3" xr3:uid="{B65386B8-01B5-4086-9D4F-090882108C07}" name="Below-ground: above-ground residue ratio">
      <calculatedColumnFormula array="1">Common_InputFunctions.Utility_DisplayArrayInTable(Agresidue_SourceData.CropAttributes_Data(),Table_SourceData_CropAttributes[[#Headers],[Crop type]], -1)</calculatedColumnFormula>
    </tableColumn>
    <tableColumn id="4" xr3:uid="{C9DB41EE-18C0-487A-B25B-E90C0A14F2C3}" name="Dry matter content">
      <calculatedColumnFormula array="1">Common_InputFunctions.Utility_DisplayArrayInTable(Agresidue_SourceData.CropAttributes_Data(),Table_SourceData_CropAttributes[[#Headers],[Crop type]], -1)</calculatedColumnFormula>
    </tableColumn>
    <tableColumn id="5" xr3:uid="{18C569B1-AAF4-4080-8509-D4AC5E59D253}" name="Carbon fraction in dry matter">
      <calculatedColumnFormula array="1">Common_InputFunctions.Utility_DisplayArrayInTable(Agresidue_SourceData.CropAttributes_Data(),Table_SourceData_CropAttributes[[#Headers],[Crop type]], -1)</calculatedColumnFormula>
    </tableColumn>
    <tableColumn id="6" xr3:uid="{29C03DA2-AA0C-4396-A223-37D62FD0A77C}" name="N content above-ground">
      <calculatedColumnFormula array="1">Common_InputFunctions.Utility_DisplayArrayInTable(Agresidue_SourceData.CropAttributes_Data(),Table_SourceData_CropAttributes[[#Headers],[Crop type]], -1)</calculatedColumnFormula>
    </tableColumn>
    <tableColumn id="7" xr3:uid="{E04BBA94-5C0E-4F1C-A813-456293B55F71}" name="N content below-ground">
      <calculatedColumnFormula array="1">Common_InputFunctions.Utility_DisplayArrayInTable(Agresidue_SourceData.CropAttributes_Data(),Table_SourceData_CropAttributes[[#Headers],[Crop type]], -1)</calculatedColumnFormula>
    </tableColumn>
    <tableColumn id="8" xr3:uid="{4455E2B9-7BA4-478A-8050-879C5AEF8411}"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40821647-085A-4F22-8E0F-4CAA40A363E6}"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D0B032-9881-4EF1-81E3-483C7C16D9D0}" name="Table76" displayName="Table76" ref="D73:F89" totalsRowShown="0">
  <autoFilter ref="D73:F89" xr:uid="{7CD0B032-9881-4EF1-81E3-483C7C16D9D0}">
    <filterColumn colId="0" hiddenButton="1"/>
    <filterColumn colId="1" hiddenButton="1"/>
    <filterColumn colId="2" hiddenButton="1"/>
  </autoFilter>
  <tableColumns count="3">
    <tableColumn id="1" xr3:uid="{6FD2CE65-BF9A-4E21-A9CE-80870270DECD}" name="Crop type c">
      <calculatedColumnFormula array="1">Common_InputFunctions.Utility_DisplayArrayInTable(Agresidue_SourceData.CropFractionRemoved_Data(), Table76[[#Headers],[Crop type c]], 0)</calculatedColumnFormula>
    </tableColumn>
    <tableColumn id="2" xr3:uid="{3CAAA707-49F5-4EAC-B48E-E8DC1B8205E1}" name="State" dataDxfId="66">
      <calculatedColumnFormula array="1">Common_InputFunctions.Utility_DisplayArrayInTable(Agresidue_SourceData.CropFractionRemoved_Data(), Table76[[#Headers],[Crop type c]], 0)</calculatedColumnFormula>
    </tableColumn>
    <tableColumn id="3" xr3:uid="{BB1819D3-B175-4610-A8F6-4C85437820E5}" name="Fraction removed" dataDxfId="65">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A7CC86-1C1E-41FA-9AA1-AAD48AA2EEF0}" name="Table77" displayName="Table77" ref="D92:F235" totalsRowShown="0">
  <autoFilter ref="D92:F235" xr:uid="{1FA7CC86-1C1E-41FA-9AA1-AAD48AA2EEF0}">
    <filterColumn colId="0" hiddenButton="1"/>
    <filterColumn colId="1" hiddenButton="1"/>
    <filterColumn colId="2" hiddenButton="1"/>
  </autoFilter>
  <tableColumns count="3">
    <tableColumn id="1" xr3:uid="{049E50B7-80D0-4C4A-AACF-92CF67DE19B6}" name="Crop type c">
      <calculatedColumnFormula array="1">Common_InputFunctions.Utility_DisplayArrayInTable(Agresidue_SourceData.CropFractionRemoved_CustomisedData(), Table77[[#Headers],[Crop type c]], 0)</calculatedColumnFormula>
    </tableColumn>
    <tableColumn id="2" xr3:uid="{8664DFEF-27FD-41CC-8EAA-DB47D755C823}" name="State" dataDxfId="64">
      <calculatedColumnFormula array="1">Common_InputFunctions.Utility_DisplayArrayInTable(Agresidue_SourceData.CropFractionRemoved_CustomisedData(), Table77[[#Headers],[Crop type c]], 0)</calculatedColumnFormula>
    </tableColumn>
    <tableColumn id="3" xr3:uid="{D6D9A758-CEA4-4B65-BD5F-735FB1C52F87}" name="Fraction removed" dataDxfId="63">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70AB6D-D03A-4D71-95C0-00BA6BB02732}" name="Table_SourceData_N2OEFOrganicFert" displayName="Table_SourceData_N2OEFOrganicFert" ref="D43:E45" totalsRowShown="0" dataDxfId="62" dataCellStyle="Content bold">
  <autoFilter ref="D43:E45" xr:uid="{2270AB6D-D03A-4D71-95C0-00BA6BB02732}">
    <filterColumn colId="0" hiddenButton="1"/>
    <filterColumn colId="1" hiddenButton="1"/>
  </autoFilter>
  <tableColumns count="2">
    <tableColumn id="1" xr3:uid="{C1F5DE5C-442A-47C8-B53B-A669D141AC48}" name="Climate zone type i" dataDxfId="61" dataCellStyle="Content bold">
      <calculatedColumnFormula array="1">Common_InputFunctions.Utility_DisplayArrayInTable(Agresidue_SourceData.N2OEFOrganicFertiliser_Data(), Table_SourceData_N2OEFOrganicFert[[#Headers],[Climate zone type i]], 0)</calculatedColumnFormula>
    </tableColumn>
    <tableColumn id="2" xr3:uid="{0B992E9C-FEE4-422E-9A8F-E4AA59791F47}" name="EF i N2O" dataDxfId="60"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AE5C0F-BD48-43B0-80A1-E554D23A8F67}" name="Table_SourceData_PastureAttributes" displayName="Table_SourceData_PastureAttributes" ref="D51:I56" totalsRowShown="0" dataDxfId="59"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1838B418-F6EE-47A1-B9FC-0647B6C84134}" name="Pasture type" dataDxfId="58" dataCellStyle="Content normal">
      <calculatedColumnFormula array="1">Common_InputFunctions.Utility_DisplayArrayInTable(Agresidue_SourceData.PastureAttributes_Data(), Table_SourceData_PastureAttributes[[#Headers],[Pasture type]], 0)</calculatedColumnFormula>
    </tableColumn>
    <tableColumn id="2" xr3:uid="{873E13DA-944F-4361-8ECD-8EA6A285C43B}" name="Average Yield (t DM ha) Yp" dataDxfId="57" dataCellStyle="Content normal">
      <calculatedColumnFormula array="1">Common_InputFunctions.Utility_DisplayArrayInTable(Agresidue_SourceData.PastureAttributes_Data(), Table_SourceData_PastureAttributes[[#Headers],[Pasture type]], 0)</calculatedColumnFormula>
    </tableColumn>
    <tableColumn id="3" xr3:uid="{02527ED8-93BF-4F3A-8866-8E901E417C28}" name="Below-ground: above-ground residue ratio RBGp" dataDxfId="56" dataCellStyle="Content normal">
      <calculatedColumnFormula array="1">Common_InputFunctions.Utility_DisplayArrayInTable(Agresidue_SourceData.PastureAttributes_Data(), Table_SourceData_PastureAttributes[[#Headers],[Pasture type]], 0)</calculatedColumnFormula>
    </tableColumn>
    <tableColumn id="4" xr3:uid="{E0539BAE-485C-4C9E-A978-EF37B49B7CA0}" name="N content Above-ground NCAGp" dataDxfId="55" dataCellStyle="Content normal">
      <calculatedColumnFormula array="1">Common_InputFunctions.Utility_DisplayArrayInTable(Agresidue_SourceData.PastureAttributes_Data(), Table_SourceData_PastureAttributes[[#Headers],[Pasture type]], 0)</calculatedColumnFormula>
    </tableColumn>
    <tableColumn id="5" xr3:uid="{6B8DA215-9C35-4A18-9209-8BA7D350605B}" name="N content Below-ground NCBGp" dataDxfId="54" dataCellStyle="Content normal">
      <calculatedColumnFormula array="1">Common_InputFunctions.Utility_DisplayArrayInTable(Agresidue_SourceData.PastureAttributes_Data(), Table_SourceData_PastureAttributes[[#Headers],[Pasture type]], 0)</calculatedColumnFormula>
    </tableColumn>
    <tableColumn id="6" xr3:uid="{96E943F4-C0CA-4C28-8B72-47D33522B954}" name="Fraction of pasture yield that is removed FFODp" dataDxfId="53"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F5439AB-496D-443A-987D-2B47D1EC32A7}"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AA486717-CEAE-4ABC-8844-B1C3E6D1678A}" name="Gas species">
      <calculatedColumnFormula array="1">Common_InputFunctions.Utility_DisplayArrayInTable(AgResidues_SourceData.BurningOfAgriculturalResiduesEFs_Data(), Table_SourceData_BurningResidueEFs[[#Headers],[Gas species]], 0)</calculatedColumnFormula>
    </tableColumn>
    <tableColumn id="2" xr3:uid="{79796003-A994-46BF-ACB6-AECF4F1CD710}" name="Emission factor EFg (Gg element in species/ Gg element in fuel burnt)" dataDxfId="52" dataCellStyle="Content normal">
      <calculatedColumnFormula array="1">Common_InputFunctions.Utility_DisplayArrayInTable(AgResidues_SourceData.BurningOfAgriculturalResiduesEFs_Data(), Table_SourceData_BurningResidueEFs[[#Headers],[Gas species]], 0)</calculatedColumnFormula>
    </tableColumn>
    <tableColumn id="3" xr3:uid="{981D8431-0BB9-4F9D-BDD4-ED5B545ADC76}" name="Elemental to molecular mass conversion factor (Cg)" dataDxfId="51"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2BEDD81-DD4E-48EE-9D36-B81EDA1F3FAE}" name="Table_SourceData_CropPurposeAndYields" displayName="Table_SourceData_CropPurposeAndYields" ref="D7:K10" totalsRowShown="0" headerRowDxfId="50">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C9DD535A-77F7-423C-8CFD-670236F0115D}" name="Purpose">
      <calculatedColumnFormula array="1">Common_InputFunctions.Utility_DisplayArrayInTable(Agresidue_SourceData.CropPurposeAndYield_Data(), Table_SourceData_CropPurposeAndYields[[#Headers],[Purpose]], 0)</calculatedColumnFormula>
    </tableColumn>
    <tableColumn id="2" xr3:uid="{6A0A741A-D7B1-4817-B9F8-958D74C38EDF}" name="Per hectare unit">
      <calculatedColumnFormula array="1">Common_InputFunctions.Utility_DisplayArrayInTable(Agresidue_SourceData.CropPurposeAndYield_Data(), Table_SourceData_CropPurposeAndYields[[#Headers],[Purpose]], 0)</calculatedColumnFormula>
    </tableColumn>
    <tableColumn id="3" xr3:uid="{E5AB5C25-7560-4000-AD35-65ACF06C7737}" name="harvest term">
      <calculatedColumnFormula array="1">Common_InputFunctions.Utility_DisplayArrayInTable(Agresidue_SourceData.CropPurposeAndYield_Data(), Table_SourceData_CropPurposeAndYields[[#Headers],[Purpose]], 0)</calculatedColumnFormula>
    </tableColumn>
    <tableColumn id="4" xr3:uid="{88D6F5F4-EF2C-41D4-9046-1BDB27F66663}" name="harvest endpoint">
      <calculatedColumnFormula array="1">Common_InputFunctions.Utility_DisplayArrayInTable(Agresidue_SourceData.CropPurposeAndYield_Data(), Table_SourceData_CropPurposeAndYields[[#Headers],[Purpose]], 0)</calculatedColumnFormula>
    </tableColumn>
    <tableColumn id="5" xr3:uid="{A2A11291-D805-49EA-9025-EB73C0E860E5}" name="Harvest uit">
      <calculatedColumnFormula array="1">Common_InputFunctions.Utility_DisplayArrayInTable(Agresidue_SourceData.CropPurposeAndYield_Data(), Table_SourceData_CropPurposeAndYields[[#Headers],[Purpose]], 0)</calculatedColumnFormula>
    </tableColumn>
    <tableColumn id="6" xr3:uid="{A41EC583-4AE6-4929-8E67-62D2AE655F60}" name="Yield note">
      <calculatedColumnFormula array="1">Common_InputFunctions.Utility_DisplayArrayInTable(Agresidue_SourceData.CropPurposeAndYield_Data(), Table_SourceData_CropPurposeAndYields[[#Headers],[Purpose]], 0)</calculatedColumnFormula>
    </tableColumn>
    <tableColumn id="8" xr3:uid="{8BE31AE8-A08C-4333-A86E-37C71E1829E3}" name="Residue crop ratio note">
      <calculatedColumnFormula array="1">Common_InputFunctions.Utility_DisplayArrayInTable(Agresidue_SourceData.CropPurposeAndYield_Data(), Table_SourceData_CropPurposeAndYields[[#Headers],[Purpose]], 0)</calculatedColumnFormula>
    </tableColumn>
    <tableColumn id="9" xr3:uid="{796A7FB8-5F67-4075-92BE-CF6B0CB24E24}"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AC5909E-E06C-4A79-81E9-C25A0B6D9E90}" name="Table_SourceData_Fertiliser_IrrigationMethods" displayName="Table_SourceData_Fertiliser_IrrigationMethods" ref="N21:N26" totalsRowShown="0">
  <autoFilter ref="N21:N26" xr:uid="{1AC5909E-E06C-4A79-81E9-C25A0B6D9E90}">
    <filterColumn colId="0" hiddenButton="1"/>
  </autoFilter>
  <tableColumns count="1">
    <tableColumn id="1" xr3:uid="{58E65523-E496-4D4A-BAFA-CE90F5141B0D}" name="Irrigation method"/>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5242E4-94BB-4388-8FCD-8FBF5FDB1F2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D85285F7-0197-4419-8454-314D0043F797}" name="State/Territory">
      <calculatedColumnFormula array="1">Common_InputFunctions.Utility_DisplayArrayInTable(Common_SourceData.Common_SourceData_AustralianStatesTerritories_Data(),Table_AustralianStates[[#Headers],[State/Territory]],0)</calculatedColumnFormula>
    </tableColumn>
    <tableColumn id="2" xr3:uid="{0E7C3FC1-C79D-4AD5-9C64-49871634B187}" name="Common Name">
      <calculatedColumnFormula array="1">Common_InputFunctions.Utility_DisplayArrayInTable(Common_SourceData.Common_SourceData_AustralianStatesTerritories_Data(),Table_AustralianStates[[#Headers],[State/Territory]],0)</calculatedColumnFormula>
    </tableColumn>
    <tableColumn id="3" xr3:uid="{45626805-9E17-4BD1-B702-9656ECB5D39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ECFFD67-DE8D-40A6-9376-20869391F69E}" name="Table_WASA4Areas" displayName="Table_WASA4Areas" ref="D20:D30" totalsRowShown="0">
  <autoFilter ref="D20:D30" xr:uid="{5FA81339-C6C8-4D36-BEEA-6C4AEDD9E676}">
    <filterColumn colId="0" hiddenButton="1"/>
  </autoFilter>
  <tableColumns count="1">
    <tableColumn id="1" xr3:uid="{E3476D7B-012A-46A1-9E4E-C1B7E2E97C5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81A38FF3-B452-4864-A7B2-18BE6D0E8C18}" name="Table_GWPData" displayName="Table_GWPData" ref="D36:E43" totalsRowShown="0">
  <autoFilter ref="D36:E43" xr:uid="{B8E87A66-3E41-4AD3-925D-01EE21B43D7A}">
    <filterColumn colId="0" hiddenButton="1"/>
    <filterColumn colId="1" hiddenButton="1"/>
  </autoFilter>
  <tableColumns count="2">
    <tableColumn id="1" xr3:uid="{F5143C51-DE74-4AD3-BE14-E303C5E3B360}" name="Gas">
      <calculatedColumnFormula array="1">Common_InputFunctions.Utility_DisplayArrayInTable(Common_SourceData.Common_SourceData_GWP_Data(), Table_GWPData[[#Headers],[Gas]], 0)</calculatedColumnFormula>
    </tableColumn>
    <tableColumn id="2" xr3:uid="{52ED7FB2-F1F2-44E2-9676-45825BF02B8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CD9E27E-6713-4809-B302-5C566B83F76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26EE6686-FDCF-490C-A905-6D25DF95806D}" name="Gas">
      <calculatedColumnFormula array="1">Common_InputFunctions.Utility_DisplayArrayInTable(Common_SourceData.Common_SourceData_ConvertGasElementalToMolecular_Data(),Table_GasToMolecularConversionFactor[[#Headers],[Gas]], 0)</calculatedColumnFormula>
    </tableColumn>
    <tableColumn id="5" xr3:uid="{768C0AB2-C8E1-433B-B144-79259594899E}" name="Conversion factor">
      <calculatedColumnFormula array="1">Common_InputFunctions.Utility_DisplayArrayInTable(Common_SourceData.Common_SourceData_ConvertGasElementalToMolecular_Data(),Table_GasToMolecularConversionFactor[[#Headers],[Gas]], 0)</calculatedColumnFormula>
    </tableColumn>
    <tableColumn id="2" xr3:uid="{DE7D9EC6-BDD9-43FB-8CD6-A93FA0CDE74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6757A869-0205-4059-A5C5-4D79BF07882E}"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A125E95-25BE-405C-BA7E-A98785A7F5AE}"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61AFC621-F2D0-4222-A5B9-9791FDB5BFAE}"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4B71CB2-DF62-44CE-A955-5FA230170E4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E80A9DE-F0C3-497F-82CA-21EBFFAF9992}" name="MAT"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3" xr3:uid="{6E8E9504-3C6F-4C0D-98DA-9BAEDAC99D11}" name="MAP"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4" xr3:uid="{443D671D-B455-4AE8-9F51-412B14BD786E}" name="Frost days per year"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5" xr3:uid="{EAC94197-2D40-4D0C-AC82-ABEEBBE1C8A7}" name="Elevation"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6" xr3:uid="{07178A7C-1F41-4A0B-874B-5620D5CA93CD}" name="MAP:PET"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7" xr3:uid="{F51BFF1E-ADA8-4084-98B2-B0EE1F29C8D9}" name="Min temp"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8" xr3:uid="{55ECB238-7918-410F-A288-1944115D64F9}" name="Max temp"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9" xr3:uid="{93BB3183-03B5-4DD3-813A-57039CD49026}" name="Min rainfall"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0" xr3:uid="{36F6A66F-87C9-41B8-92D3-CC8F9F943A43}" name="Max rainfall"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1" xr3:uid="{180FDA2C-2826-4C34-AF47-04D8B1A3BA7C}" name="Min frost days"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5" xr3:uid="{0BCE5116-BD89-4504-91C7-AB4A7DAB92E1}" name="Max frost days"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2" xr3:uid="{EE0BC106-DAB3-44B5-9F7C-CE6BBBED0312}" name="Min elevation"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6" xr3:uid="{2A2170A7-DB10-4096-BF15-E647A37DAB1B}" name="Max elevation"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3" xr3:uid="{3942B39A-5E69-49A3-9A83-56E41A6BD8BD}" name="Min MAP:PET"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7" xr3:uid="{DAABE527-C1BE-4ECC-9D29-FEBBF749ED1D}" name="Max MAP:PET" totalsRowDxfId="3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B61AC17-82AF-4EB2-B3DE-05D70689643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75140128-22CE-45C3-9B25-FAA7D0157E1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F6EBD49D-F86A-4042-B65D-6811E1971B24}" name="Wet or Dry Zone" totalsRowDxfId="3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D8D96B28-3376-409A-8150-B96A99979D1C}"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B658A21F-0221-43DE-91EF-6307F0D1F566}" name="Temperature Zone">
      <calculatedColumnFormula array="1">Common_InputFunctions.Utility_DisplayArrayInTable(Common_SourceData.Common_SourceData_TemperatureZones_Data(),Table_SourceData_TemperatureZones[[#Headers],[Temperature Zone]],0)</calculatedColumnFormula>
    </tableColumn>
    <tableColumn id="2" xr3:uid="{F9F35E82-2A45-40E1-9B15-9226D39F6AA5}" name="MAT">
      <calculatedColumnFormula array="1">Common_InputFunctions.Utility_DisplayArrayInTable(Common_SourceData.Common_SourceData_TemperatureZones_Data(),Table_SourceData_TemperatureZones[[#Headers],[Temperature Zone]],0)</calculatedColumnFormula>
    </tableColumn>
    <tableColumn id="3" xr3:uid="{089ED630-BB0B-4097-9236-695599632C3C}" name="Min MAT">
      <calculatedColumnFormula array="1">Common_InputFunctions.Utility_DisplayArrayInTable(Common_SourceData.Common_SourceData_TemperatureZones_Data(),Table_SourceData_TemperatureZones[[#Headers],[Temperature Zone]],0)</calculatedColumnFormula>
    </tableColumn>
    <tableColumn id="4" xr3:uid="{28988991-4D48-4149-AA82-3078C02F3B2D}"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A9A40AE-2261-4EEE-BE9E-C8892C7D5606}"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8E6FFE83-6518-4111-B816-89F79A4D2F34}" name="Rainfall Zone">
      <calculatedColumnFormula array="1">Common_InputFunctions.Utility_DisplayArrayInTable(Common_SourceData.Common_SourceData_RainfallZones_Data(),Table_SourceData_RainfallZones[[#Headers],[Rainfall Zone]],0)</calculatedColumnFormula>
    </tableColumn>
    <tableColumn id="2" xr3:uid="{E6ABD893-B837-4937-946C-DF23BA09E5A0}" name="Annual rainfall">
      <calculatedColumnFormula array="1">Common_InputFunctions.Utility_DisplayArrayInTable(Common_SourceData.Common_SourceData_RainfallZones_Data(),Table_SourceData_RainfallZones[[#Headers],[Rainfall Zone]],0)</calculatedColumnFormula>
    </tableColumn>
    <tableColumn id="3" xr3:uid="{CB918A9C-F25D-46AC-8CAF-520CBAC4E313}" name="Min rainfall">
      <calculatedColumnFormula array="1">Common_InputFunctions.Utility_DisplayArrayInTable(Common_SourceData.Common_SourceData_RainfallZones_Data(),Table_SourceData_RainfallZones[[#Headers],[Rainfall Zone]],0)</calculatedColumnFormula>
    </tableColumn>
    <tableColumn id="4" xr3:uid="{66547D2F-72D2-45C9-A52C-3C7319D5EC75}"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3AC2AEF-E3B7-4B4C-B8A8-0110EDDF89E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D6434C9-BA54-47CB-A5E3-359EC5113C6C}" name="Leaching Zone">
      <calculatedColumnFormula array="1">Common_InputFunctions.Utility_DisplayArrayInTable(Common_SourceData.Common_SourceData_LeachingZones_Data(), Table_SourceData_LeachingZones[[#Headers],[Leaching Zone]], 0)</calculatedColumnFormula>
    </tableColumn>
    <tableColumn id="2" xr3:uid="{AD2C4179-AC75-4F20-A90D-0EA27A87067F}"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9C8CA9C-7C20-4ED4-ADE4-1C63057CE17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8716E96E-C1B7-4147-8F11-9A5A92A00A0C}" name="Data source">
      <calculatedColumnFormula array="1">Common_InputFunctions.Utility_DisplayArrayInTable(Common_SourceData.Common_SourceData_DataScores_Scope3_Data(), Table_SourceData_DataScores_Scope3[[#Headers],[Data source]], 0)</calculatedColumnFormula>
    </tableColumn>
    <tableColumn id="2" xr3:uid="{B194167F-E43E-4C15-BA3F-938B624A823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1FC472F-62F5-4495-B319-BDEE5A7B088D}" name="Table_SourceData_FracWET" displayName="Table_SourceData_FracWET" ref="D134:E136" totalsRowShown="0">
  <autoFilter ref="D134:E136" xr:uid="{308E99BE-FE1F-47A4-B2CA-97217277C4E9}">
    <filterColumn colId="0" hiddenButton="1"/>
    <filterColumn colId="1" hiddenButton="1"/>
  </autoFilter>
  <tableColumns count="2">
    <tableColumn id="1" xr3:uid="{E3354658-ACC4-40B7-9868-13B3E3C4DD1D}" name="Is in leaching zone">
      <calculatedColumnFormula array="1">Common_InputFunctions.Utility_DisplayArrayInTable(Common_SourceData.Common_SourceData_FracWET_Data(),Table_SourceData_FracWET[[#Headers],[Is in leaching zone]],0)</calculatedColumnFormula>
    </tableColumn>
    <tableColumn id="2" xr3:uid="{94AC354C-3E9B-4746-B8AD-8BC6A999841A}" name="FracWET" dataDxfId="3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FBB57CC-6040-44DD-9FAF-FC0428C19E55}"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0ECCAAA-9924-4DE1-84BC-8D9064B8CC44}" name="Production system j">
      <calculatedColumnFormula array="1">Common_InputFunctions.Utility_DisplayArrayInTable(Common_SourceData.Common_SourceData_EFN2O_Data(), Table_SourceData_Common_EFN2O[[#Headers],[Production system j]], 0)</calculatedColumnFormula>
    </tableColumn>
    <tableColumn id="2" xr3:uid="{28169AB7-EF43-4719-A504-B75DC00584E5}" name="EFN2O">
      <calculatedColumnFormula array="1">Common_InputFunctions.Utility_DisplayArrayInTable(Common_SourceData.Common_SourceData_EFN2O_Data(), Table_SourceData_Common_EFN2O[[#Headers],[Production system j]], 0)</calculatedColumnFormula>
    </tableColumn>
    <tableColumn id="3" xr3:uid="{60EBD679-081F-49DE-9E4E-4FCBED4D1579}" name="Production system only">
      <calculatedColumnFormula array="1">Common_InputFunctions.Utility_DisplayArrayInTable(Common_SourceData.Common_SourceData_EFN2O_Data(), Table_SourceData_Common_EFN2O[[#Headers],[Production system j]], 0)</calculatedColumnFormula>
    </tableColumn>
    <tableColumn id="4" xr3:uid="{57F1AEB9-FCFF-4AF9-8452-1C16412130AE}" name="Irrigation method">
      <calculatedColumnFormula array="1">Common_InputFunctions.Utility_DisplayArrayInTable(Common_SourceData.Common_SourceData_EFN2O_Data(), Table_SourceData_Common_EFN2O[[#Headers],[Production system j]], 0)</calculatedColumnFormula>
    </tableColumn>
    <tableColumn id="5" xr3:uid="{9EAA6F39-6BD3-4724-918E-5FB79857E7D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938A556-70C0-4BBB-A679-8D263374449E}"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6161CCCD-DBF3-4EF3-A319-57D1F9E09857}" name="Irrigation type i">
      <calculatedColumnFormula array="1">Common_InputFunctions.Utility_DisplayArrayInTable(Common_SourceData.Common_SourceData_FracWETIrrigation_Data(), Table_SourceData_FracWETIrrigation[[#Headers],[Irrigation type i]], 0)</calculatedColumnFormula>
    </tableColumn>
    <tableColumn id="2" xr3:uid="{257859AA-EF19-4073-B64C-997501B2752D}" name="FracWET" dataDxfId="3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546BCAA-B087-4919-9415-2F922035646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7E218CA-3B12-4310-8241-F55FBC60C4F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1C29A251-6F34-47FF-AB49-EC46CCBCB5A6}" name="EFPRP" dataDxfId="3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65586725-89B6-4E9E-B92B-F79798131D37}"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E7608570-5D01-4AC4-9CF0-B64FD200818D}" name="Month">
      <calculatedColumnFormula array="1">Common_InputFunctions.Utility_DisplayArrayInTable(Common_SourceData.Common_SourceData_MonthsToSeasons_Data(), Table_SourceData_Common_MonthToSeason[[#Headers],[Month]], 0)</calculatedColumnFormula>
    </tableColumn>
    <tableColumn id="2" xr3:uid="{FE6E9157-D06E-4A49-A4E8-12BBACEA9D68}" name="Season" dataDxfId="3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A0C4928D-9491-4DAE-8E41-940E8B0641A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A9864C8-A9A9-4116-BFA9-8AE4C33B2038}"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D020718-B126-4E1E-B7A2-E4799CE84F90}" name="MAT (ºC)"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7DF30795-81CA-4753-8DC6-BE82EB56ED08}" name="Anaerobic lagoon"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624071FF-B9F3-4701-8161-C219AA038402}" name="Digester / covered lagoons"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4F25A1E-BD1A-4A32-B3B9-3FE66F06A7C4}" name="Liquid systems"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AE88BFF6-4788-4CD7-9D86-76D3ED21E32D}" name="Daily spread"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A3B68D19-308D-4A97-8EAC-DFD2DA03D834}" name="Composting (passive windrow)"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2FA9499-2E9B-4059-8073-E3F174038738}" name="Solid storage"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C9DEFC96-F03D-4B17-801A-22BB9A5F0C13}" name="Pit storage"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593D4FF2-E7DF-4153-AC57-DF4C8497FA91}" name="Deep litter"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7E5C229F-E953-48BE-B9EC-00F01E583582}" name="Poultry manure with bedding"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C6D5C57F-CF70-4D00-8627-B307B61DBA91}" name="Poultry manure without bedding"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715FB04B-C98F-40ED-BD0B-F3C991004B61}" name="Direct process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D6CD9218-60CE-4633-86A8-A4C085F547BC}" name="Direct application"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962A4390-490F-4133-991C-A562D6FB1048}" name="Pasture range and paddock"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14931689-F00B-49B7-BFE8-DDEC799D500F}" name="MAT raw"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A9B72A60-B7F4-47F3-99DF-63A1E0AFD7B4}"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F713A0F3-8298-4022-BC27-83A9CF7BD322}"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BC71DBEE-43BC-4913-A5B0-D331A36FD792}" name="EFNi &amp; EFN2Oi" dataDxfId="1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3DB59068-0BAB-4E3F-8845-54FF464CA2F7}"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DCC4F15D-FB39-4B3E-8DC8-B2A7FAD84DB1}" name="Description" dataDxfId="13" dataCellStyle="Content normal"/>
    <tableColumn id="1" xr3:uid="{F9FA899D-1E1B-4193-8267-8FE4F843DBA5}" name="ID"/>
    <tableColumn id="3" xr3:uid="{6E45CED9-9F11-4902-983D-7D1EC6ECB644}" name="Score"/>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A9877CA-4402-4924-B096-59CBB4702102}"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51B8440E-D98F-4798-BA82-2F440729C7F0}" name="Description"/>
    <tableColumn id="2" xr3:uid="{CD946835-BD8C-447B-9052-7CCF880EE0D7}" name="ID"/>
    <tableColumn id="3" xr3:uid="{10653BBF-D21A-4397-81AD-63AD94D6DDC6}" name="Score"/>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A68C1BD0-7202-409D-937C-63B91EC8812F}"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8E6A0250-5756-4FCF-A49F-8EB618CC8DF0}" name="Description"/>
    <tableColumn id="2" xr3:uid="{EE7C1207-AFC1-4E18-8EEB-3F87D593C77F}" name="ID"/>
    <tableColumn id="3" xr3:uid="{2B90D16D-7E8B-4915-8BC8-1EA14FDB00F5}" name="Score"/>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973C2B07-C279-4209-B1C8-205615980A6C}"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36A8F045-E54F-47A5-AA1C-7708BD93EC09}" name="Description"/>
    <tableColumn id="2" xr3:uid="{95BAF0B4-F148-4313-A2AF-D663916B48B9}" name="ID"/>
    <tableColumn id="3" xr3:uid="{F56A140B-AA34-4EB4-B697-563581A00C12}"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59"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9.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9"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21" Type="http://schemas.openxmlformats.org/officeDocument/2006/relationships/table" Target="../tables/table28.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20" Type="http://schemas.openxmlformats.org/officeDocument/2006/relationships/table" Target="../tables/table27.xml"/><Relationship Id="rId1" Type="http://schemas.openxmlformats.org/officeDocument/2006/relationships/printerSettings" Target="../printerSettings/printerSettings10.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19" Type="http://schemas.openxmlformats.org/officeDocument/2006/relationships/table" Target="../tables/table26.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 Id="rId22"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8"/>
  <sheetViews>
    <sheetView zoomScaleNormal="100" workbookViewId="0">
      <selection activeCell="A25" sqref="A25"/>
    </sheetView>
  </sheetViews>
  <sheetFormatPr defaultRowHeight="20.100000000000001" customHeight="1" x14ac:dyDescent="0.2"/>
  <sheetData>
    <row r="1" spans="1:1" ht="30" customHeight="1" x14ac:dyDescent="0.2">
      <c r="A1" t="s">
        <v>234</v>
      </c>
    </row>
    <row r="3" spans="1:1" ht="20.100000000000001" customHeight="1" x14ac:dyDescent="0.2">
      <c r="A3" s="142" t="str">
        <f>HYPERLINK("#'Home'!A1", "Home")</f>
        <v>Home</v>
      </c>
    </row>
    <row r="6" spans="1:1" ht="20.100000000000001" customHeight="1" x14ac:dyDescent="0.2">
      <c r="A6" s="141" t="s">
        <v>1</v>
      </c>
    </row>
    <row r="7" spans="1:1" ht="20.100000000000001" customHeight="1" x14ac:dyDescent="0.2">
      <c r="A7" s="17" t="str">
        <f>HYPERLINK("#'Constants - Common'!A1", "Constants - Common")</f>
        <v>Constants - Common</v>
      </c>
    </row>
    <row r="8" spans="1:1" ht="20.100000000000001" customHeight="1" x14ac:dyDescent="0.2">
      <c r="A8"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sheetPr>
    <tabColor rgb="FF0C769E"/>
  </sheetPr>
  <dimension ref="A1:AV45"/>
  <sheetViews>
    <sheetView showGridLines="0" zoomScaleNormal="100" workbookViewId="0">
      <selection activeCell="A25" sqref="A25"/>
    </sheetView>
  </sheetViews>
  <sheetFormatPr defaultRowHeight="20.100000000000001" customHeight="1" x14ac:dyDescent="0.2"/>
  <cols>
    <col min="1" max="1" width="30.7109375" customWidth="1"/>
    <col min="2" max="2" width="4.7109375" customWidth="1"/>
    <col min="3" max="3" width="4.7109375" style="1" customWidth="1"/>
    <col min="4" max="41" width="9.140625" style="1"/>
  </cols>
  <sheetData>
    <row r="1" spans="1:42" ht="30" customHeight="1" x14ac:dyDescent="0.35">
      <c r="A1" s="60" t="e" vm="1">
        <v>#VALUE!</v>
      </c>
      <c r="C1" s="122" t="s">
        <v>126</v>
      </c>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row>
    <row r="2" spans="1:42" ht="20.100000000000001" customHeight="1" x14ac:dyDescent="0.2">
      <c r="C2" s="123"/>
      <c r="D2" s="123"/>
      <c r="E2" s="123"/>
      <c r="F2" s="123"/>
      <c r="G2" s="123"/>
      <c r="H2" s="123"/>
      <c r="I2" s="123"/>
      <c r="J2" s="123"/>
      <c r="K2" s="123"/>
      <c r="L2" s="123"/>
      <c r="M2" s="123"/>
      <c r="N2" s="123"/>
      <c r="O2" s="123"/>
      <c r="P2" s="123"/>
      <c r="Q2" s="123"/>
      <c r="R2" s="123"/>
      <c r="S2" s="123"/>
      <c r="T2" s="123"/>
      <c r="U2" s="123"/>
      <c r="V2" s="123"/>
      <c r="W2" s="123"/>
      <c r="X2" s="123"/>
      <c r="Y2" s="123"/>
      <c r="Z2" s="123"/>
      <c r="AA2" s="123"/>
      <c r="AB2" s="123"/>
      <c r="AC2" s="123"/>
      <c r="AD2" s="123"/>
      <c r="AE2" s="123"/>
      <c r="AF2" s="123"/>
      <c r="AG2" s="123"/>
      <c r="AH2" s="123"/>
      <c r="AI2" s="123"/>
      <c r="AJ2" s="123"/>
      <c r="AK2" s="123"/>
      <c r="AL2" s="123"/>
      <c r="AM2" s="123"/>
      <c r="AN2" s="123"/>
      <c r="AO2" s="123"/>
      <c r="AP2" s="124"/>
    </row>
    <row r="3" spans="1:42" ht="20.100000000000001" customHeight="1" x14ac:dyDescent="0.2">
      <c r="A3" s="17" t="str">
        <f>HYPERLINK("#'Home'!A1", "Home")</f>
        <v>Home</v>
      </c>
      <c r="C3" s="125"/>
      <c r="D3" s="125"/>
      <c r="E3" s="125"/>
      <c r="F3" s="125"/>
      <c r="G3" s="125"/>
      <c r="H3" s="125"/>
      <c r="I3" s="125"/>
      <c r="J3" s="125"/>
      <c r="K3" s="125"/>
      <c r="L3" s="125"/>
      <c r="M3" s="125"/>
      <c r="N3" s="125"/>
      <c r="O3" s="125"/>
      <c r="P3" s="125"/>
      <c r="Q3" s="125"/>
      <c r="R3" s="125"/>
      <c r="S3" s="125"/>
      <c r="T3" s="125"/>
      <c r="U3" s="125"/>
      <c r="V3" s="125"/>
      <c r="W3" s="125"/>
      <c r="X3" s="125"/>
      <c r="Y3" s="125"/>
      <c r="Z3" s="125"/>
      <c r="AA3" s="125"/>
      <c r="AB3" s="125"/>
      <c r="AC3" s="125"/>
      <c r="AD3" s="125"/>
      <c r="AE3" s="125"/>
      <c r="AF3" s="125"/>
      <c r="AG3" s="125"/>
      <c r="AH3" s="125"/>
      <c r="AI3" s="125"/>
      <c r="AJ3" s="125"/>
      <c r="AK3" s="125"/>
      <c r="AL3" s="125"/>
      <c r="AM3" s="125"/>
      <c r="AN3" s="125"/>
      <c r="AO3" s="125"/>
    </row>
    <row r="4" spans="1:42" ht="20.100000000000001" customHeight="1" x14ac:dyDescent="0.2">
      <c r="A4" s="105" t="str">
        <f>HYPERLINK("#'Overview'!A1", "Overview")</f>
        <v>Overview</v>
      </c>
    </row>
    <row r="5" spans="1:42" ht="20.100000000000001" customHeight="1" x14ac:dyDescent="0.2">
      <c r="A5" s="17" t="str">
        <f>HYPERLINK("#'Results'!A1", "Results")</f>
        <v>Results</v>
      </c>
      <c r="D5" s="102" t="s">
        <v>124</v>
      </c>
      <c r="E5" s="83"/>
      <c r="F5" s="83"/>
      <c r="G5" s="83"/>
      <c r="H5" s="83"/>
      <c r="I5" s="83"/>
      <c r="J5" s="83"/>
      <c r="K5" s="83"/>
      <c r="L5" s="83"/>
      <c r="M5" s="83"/>
      <c r="N5" s="83"/>
      <c r="O5" s="79"/>
    </row>
    <row r="6" spans="1:42" ht="20.100000000000001" customHeight="1" x14ac:dyDescent="0.2">
      <c r="D6" s="126" t="s">
        <v>125</v>
      </c>
      <c r="E6" s="82"/>
      <c r="F6" s="82"/>
      <c r="G6" s="82"/>
      <c r="H6" s="82"/>
      <c r="I6" s="82"/>
      <c r="J6" s="82"/>
      <c r="K6" s="82"/>
      <c r="L6" s="82"/>
      <c r="M6" s="82"/>
      <c r="N6" s="82"/>
      <c r="O6" s="80"/>
    </row>
    <row r="8" spans="1:42" ht="20.100000000000001" customHeight="1" x14ac:dyDescent="0.2">
      <c r="A8" s="19" t="s">
        <v>0</v>
      </c>
    </row>
    <row r="9" spans="1:42" ht="20.100000000000001" customHeight="1" x14ac:dyDescent="0.2">
      <c r="A9" s="17" t="str">
        <f>HYPERLINK("#'Input - Site'!A1", "Site")</f>
        <v>Site</v>
      </c>
    </row>
    <row r="10" spans="1:42" ht="20.100000000000001" customHeight="1" x14ac:dyDescent="0.2">
      <c r="A10" s="17" t="str">
        <f>HYPERLINK("#'Input - Crop'!A1", "Crop")</f>
        <v>Crop</v>
      </c>
    </row>
    <row r="11" spans="1:42" ht="20.100000000000001" customHeight="1" x14ac:dyDescent="0.2">
      <c r="A11" s="17" t="str">
        <f>HYPERLINK("#'Input - Pasture'!A1", "Pasture")</f>
        <v>Pasture</v>
      </c>
    </row>
    <row r="14" spans="1:42" ht="20.100000000000001" customHeight="1" x14ac:dyDescent="0.2">
      <c r="A14" s="18" t="s">
        <v>68</v>
      </c>
    </row>
    <row r="15" spans="1:42" ht="20.100000000000001" customHeight="1" x14ac:dyDescent="0.2">
      <c r="A15" s="17" t="str">
        <f>HYPERLINK("#'6.1.1.1-2 Crop residue N2O'!A1", "6.1.1.1-2 Crop residue N2O")</f>
        <v>6.1.1.1-2 Crop residue N2O</v>
      </c>
    </row>
    <row r="16" spans="1:42" ht="20.100000000000001" customHeight="1" x14ac:dyDescent="0.2">
      <c r="A16" s="17" t="str">
        <f>HYPERLINK("#'6.2.1.1-2 Pasture residue N2O'!A1", "6.2.1.1-2 Pasture residue N2O")</f>
        <v>6.2.1.1-2 Pasture residue N2O</v>
      </c>
    </row>
    <row r="17" spans="1:1" ht="20.100000000000001" customHeight="1" x14ac:dyDescent="0.2">
      <c r="A17" s="17" t="str">
        <f>HYPERLINK("#'6.3.1.1-2 Leaching and runoff'!A1", "6.3.1.1-2 Leaching and runoff")</f>
        <v>6.3.1.1-2 Leaching and runoff</v>
      </c>
    </row>
    <row r="18" spans="1:1" ht="20.100000000000001" customHeight="1" x14ac:dyDescent="0.2">
      <c r="A18" s="17" t="str">
        <f>HYPERLINK("#'6.3.1.1-2 Leach runoff crop'!A1", "6.3.1.1-2 Leach runoff crop")</f>
        <v>6.3.1.1-2 Leach runoff crop</v>
      </c>
    </row>
    <row r="19" spans="1:1" ht="20.100000000000001" customHeight="1" x14ac:dyDescent="0.2">
      <c r="A19" s="17" t="str">
        <f>HYPERLINK("#'6.3.1.1-2 Leach runoff pasture'!A1", "6.3.1.1-2 Leach runoff pasture")</f>
        <v>6.3.1.1-2 Leach runoff pasture</v>
      </c>
    </row>
    <row r="20" spans="1:1" ht="20.100000000000001" customHeight="1" x14ac:dyDescent="0.2">
      <c r="A20" s="17" t="str">
        <f>HYPERLINK("#'6.4.1.1-2 Residue burning'!A1", "6.4.1.1-2 Residue burning")</f>
        <v>6.4.1.1-2 Residue burning</v>
      </c>
    </row>
    <row r="23" spans="1:1" ht="20.100000000000001" customHeight="1" x14ac:dyDescent="0.2">
      <c r="A23" s="141" t="s">
        <v>1</v>
      </c>
    </row>
    <row r="24" spans="1:1" ht="20.100000000000001" customHeight="1" x14ac:dyDescent="0.2">
      <c r="A24" s="17" t="str">
        <f>HYPERLINK("#'Constants - Ag Residue'!A1", "Constants - Ag Residue")</f>
        <v>Constants - Ag Residue</v>
      </c>
    </row>
    <row r="25" spans="1:1" ht="20.100000000000001" customHeight="1" x14ac:dyDescent="0.2">
      <c r="A25" s="17" t="str">
        <f>HYPERLINK("#'Constants - Common'!A1", "Constants - Common")</f>
        <v>Constants - Common</v>
      </c>
    </row>
    <row r="37" spans="12:48" ht="20.100000000000001" customHeight="1" x14ac:dyDescent="0.2">
      <c r="L37" s="1" t="s">
        <v>122</v>
      </c>
    </row>
    <row r="45" spans="12:48" ht="20.100000000000001" customHeight="1" x14ac:dyDescent="0.2">
      <c r="AV45" t="s">
        <v>123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zoomScaleNormal="100" workbookViewId="0">
      <selection activeCell="A15" sqref="A15"/>
    </sheetView>
  </sheetViews>
  <sheetFormatPr defaultRowHeight="20.100000000000001" customHeight="1" x14ac:dyDescent="0.2"/>
  <cols>
    <col min="1" max="1" width="30.7109375" customWidth="1"/>
    <col min="2" max="3" width="2.7109375" customWidth="1"/>
    <col min="4" max="4" width="60" customWidth="1"/>
    <col min="5" max="6" width="30.7109375" customWidth="1"/>
    <col min="7" max="7" width="18.5703125" customWidth="1"/>
    <col min="8" max="9" width="30.7109375" customWidth="1"/>
    <col min="10" max="10" width="20" customWidth="1"/>
    <col min="11" max="11" width="7.42578125" customWidth="1"/>
    <col min="12" max="26" width="28.7109375" customWidth="1"/>
  </cols>
  <sheetData>
    <row r="1" spans="1:11" ht="30" customHeight="1" x14ac:dyDescent="0.35">
      <c r="A1" s="60" t="e" vm="1">
        <v>#VALUE!</v>
      </c>
      <c r="C1" s="122" t="s">
        <v>127</v>
      </c>
    </row>
    <row r="2" spans="1:11" ht="20.100000000000001" customHeight="1" x14ac:dyDescent="0.2">
      <c r="C2" s="9"/>
    </row>
    <row r="3" spans="1:11" ht="20.100000000000001" customHeight="1" x14ac:dyDescent="0.2">
      <c r="A3" s="17" t="str">
        <f>HYPERLINK("#'Home'!A1", "Home")</f>
        <v>Home</v>
      </c>
      <c r="C3" s="21"/>
      <c r="D3" s="21"/>
      <c r="E3" s="21"/>
      <c r="F3" s="21"/>
      <c r="G3" s="21"/>
      <c r="H3" s="21"/>
      <c r="I3" s="21"/>
      <c r="J3" s="21"/>
      <c r="K3" s="21"/>
    </row>
    <row r="4" spans="1:11" ht="20.100000000000001" customHeight="1" x14ac:dyDescent="0.2">
      <c r="A4" s="17" t="str">
        <f>HYPERLINK("#'Overview'!A1", "Overview")</f>
        <v>Overview</v>
      </c>
      <c r="C4" s="21"/>
      <c r="D4" s="6" t="s">
        <v>2</v>
      </c>
      <c r="E4" s="23"/>
      <c r="F4" s="23"/>
      <c r="G4" s="23"/>
      <c r="H4" s="6"/>
      <c r="I4" s="6"/>
      <c r="J4" s="6"/>
      <c r="K4" s="24"/>
    </row>
    <row r="5" spans="1:11" ht="20.100000000000001" customHeight="1" x14ac:dyDescent="0.25">
      <c r="A5" s="105" t="str">
        <f>HYPERLINK("#'Results'!A1", "Results")</f>
        <v>Results</v>
      </c>
      <c r="C5" s="21"/>
      <c r="D5" s="25"/>
      <c r="E5" s="26"/>
      <c r="F5" s="26"/>
      <c r="G5" s="26"/>
      <c r="H5" s="23"/>
      <c r="I5" s="21"/>
      <c r="J5" s="21"/>
      <c r="K5" s="21"/>
    </row>
    <row r="6" spans="1:11" ht="20.100000000000001" customHeight="1" x14ac:dyDescent="0.2">
      <c r="C6" s="21"/>
      <c r="D6" s="86" t="s">
        <v>121</v>
      </c>
      <c r="E6" s="81"/>
      <c r="F6" s="21"/>
      <c r="G6" s="21"/>
      <c r="H6" s="21"/>
      <c r="I6" s="21"/>
      <c r="J6" s="21"/>
      <c r="K6" s="21"/>
    </row>
    <row r="7" spans="1:11" ht="20.100000000000001" customHeight="1" x14ac:dyDescent="0.2">
      <c r="C7" s="21"/>
      <c r="D7" s="21"/>
      <c r="E7" s="21"/>
      <c r="F7" s="21"/>
      <c r="G7" s="21"/>
      <c r="H7" s="21"/>
      <c r="I7" s="21"/>
      <c r="J7" s="21"/>
      <c r="K7" s="21"/>
    </row>
    <row r="8" spans="1:11" ht="20.100000000000001" customHeight="1" x14ac:dyDescent="0.2">
      <c r="A8" s="19" t="s">
        <v>0</v>
      </c>
      <c r="C8" s="21"/>
      <c r="D8" s="100" t="s">
        <v>81</v>
      </c>
      <c r="E8" s="100" t="s">
        <v>93</v>
      </c>
      <c r="F8" s="100" t="s">
        <v>94</v>
      </c>
      <c r="G8" s="100" t="s">
        <v>87</v>
      </c>
      <c r="H8" s="100" t="s">
        <v>95</v>
      </c>
      <c r="I8" s="100" t="s">
        <v>96</v>
      </c>
      <c r="J8" s="100" t="s">
        <v>88</v>
      </c>
      <c r="K8" s="21"/>
    </row>
    <row r="9" spans="1:11" ht="20.100000000000001" customHeight="1" x14ac:dyDescent="0.2">
      <c r="A9" s="17" t="str">
        <f>HYPERLINK("#'Input - Site'!A1", "Site")</f>
        <v>Site</v>
      </c>
      <c r="C9" s="21"/>
      <c r="D9" s="1" t="s">
        <v>212</v>
      </c>
      <c r="E9" s="121">
        <f>VEERG_6_1_1_1__1__NitrousOxideEmissionsFromCropResidues_Result_Method1</f>
        <v>0.66792000000000007</v>
      </c>
      <c r="F9" s="121">
        <f>VEERG_6_1_1_1__1__NitrousOxideEmissionsFromCropResidues_Result_Method2</f>
        <v>0.66792000000000007</v>
      </c>
      <c r="G9" s="51" t="s">
        <v>99</v>
      </c>
      <c r="H9" s="98">
        <f>'6.1.1.1-2 Crop residue N2O'!E47</f>
        <v>176.99880000000002</v>
      </c>
      <c r="I9" s="98">
        <f>'6.1.1.1-2 Crop residue N2O'!N66</f>
        <v>176.99880000000002</v>
      </c>
      <c r="J9" s="51" t="s">
        <v>91</v>
      </c>
      <c r="K9" s="21"/>
    </row>
    <row r="10" spans="1:11" ht="20.100000000000001" customHeight="1" x14ac:dyDescent="0.2">
      <c r="A10" s="17" t="str">
        <f>HYPERLINK("#'Input - Crop'!A1", "Crop")</f>
        <v>Crop</v>
      </c>
      <c r="C10" s="21"/>
      <c r="D10" s="1" t="s">
        <v>213</v>
      </c>
      <c r="E10" s="140">
        <f>VEERG_6_2_1_1__1__NitrousOxideEmissionsFromPastureResidues_Result_Method1</f>
        <v>5.8320428571428569E-7</v>
      </c>
      <c r="F10" s="140">
        <f>VEERG_6_2_1_1__1__NitrousOxideEmissionsFromPastureResidues_Result_Method2</f>
        <v>5.8320428571428569E-7</v>
      </c>
      <c r="G10" s="51" t="s">
        <v>99</v>
      </c>
      <c r="H10" s="98">
        <f>'6.2.1.1-2 Pasture residue N2O'!E45</f>
        <v>1.545491357142857E-4</v>
      </c>
      <c r="I10" s="98">
        <f>'6.2.1.1-2 Pasture residue N2O'!O45</f>
        <v>1.545491357142857E-4</v>
      </c>
      <c r="J10" s="51" t="s">
        <v>91</v>
      </c>
      <c r="K10" s="21"/>
    </row>
    <row r="11" spans="1:11" ht="20.100000000000001" customHeight="1" x14ac:dyDescent="0.2">
      <c r="A11" s="17" t="str">
        <f>HYPERLINK("#'Input - Pasture'!A1", "Pasture")</f>
        <v>Pasture</v>
      </c>
      <c r="C11" s="21"/>
      <c r="D11" s="1" t="s">
        <v>214</v>
      </c>
      <c r="E11" s="121">
        <f>VEERG_6_3_1_1__1__LeachingAndRunoffEmissionsCropAndPastureResidue_Result_Method1</f>
        <v>0.35266206793186283</v>
      </c>
      <c r="F11" s="121">
        <f>VEERG_6_3_1_1__1__LeachingAndRunoffEmissionsCropAndPastureResidue_Result_Method2</f>
        <v>0.35266206793186283</v>
      </c>
      <c r="G11" s="51" t="s">
        <v>99</v>
      </c>
      <c r="H11" s="98">
        <f>'6.3.1.1-2 Leaching and runoff'!E53</f>
        <v>93.455448001943651</v>
      </c>
      <c r="I11" s="98">
        <f>'6.3.1.1-2 Leaching and runoff'!O53</f>
        <v>93.455448001943651</v>
      </c>
      <c r="J11" s="51" t="s">
        <v>91</v>
      </c>
      <c r="K11" s="21"/>
    </row>
    <row r="12" spans="1:11" ht="20.100000000000001" customHeight="1" x14ac:dyDescent="0.2">
      <c r="C12" s="21"/>
      <c r="D12" s="1" t="s">
        <v>215</v>
      </c>
      <c r="E12" s="121">
        <f>VEERG_6_4_1_1__2__NitrousOxideEmissionsFromBurningOfCropResidues_Result_Method1</f>
        <v>0.12769302857142856</v>
      </c>
      <c r="F12" s="121">
        <f>E12</f>
        <v>0.12769302857142856</v>
      </c>
      <c r="G12" s="51" t="s">
        <v>99</v>
      </c>
      <c r="H12" s="98">
        <f>'6.4.1.1-2 Residue burning'!E44</f>
        <v>33.838652571428568</v>
      </c>
      <c r="I12" s="98">
        <f>H12</f>
        <v>33.838652571428568</v>
      </c>
      <c r="J12" s="51" t="s">
        <v>91</v>
      </c>
      <c r="K12" s="21"/>
    </row>
    <row r="13" spans="1:11" ht="20.100000000000001" customHeight="1" x14ac:dyDescent="0.2">
      <c r="C13" s="21"/>
      <c r="D13" s="1" t="s">
        <v>215</v>
      </c>
      <c r="E13" s="121">
        <f>VEERG_6_4_1_1__1__MethaneEmissionsFromBurningOfCropResidues_Result_Method1</f>
        <v>3.3264</v>
      </c>
      <c r="F13" s="121">
        <f>E13</f>
        <v>3.3264</v>
      </c>
      <c r="G13" s="51" t="s">
        <v>216</v>
      </c>
      <c r="H13" s="98">
        <f>'6.4.1.1-2 Residue burning'!E67</f>
        <v>93.139200000000002</v>
      </c>
      <c r="I13" s="98">
        <f>H13</f>
        <v>93.139200000000002</v>
      </c>
      <c r="J13" s="51" t="s">
        <v>91</v>
      </c>
      <c r="K13" s="21"/>
    </row>
    <row r="14" spans="1:11" ht="20.100000000000001" customHeight="1" x14ac:dyDescent="0.25">
      <c r="A14" s="18" t="s">
        <v>68</v>
      </c>
      <c r="C14" s="21"/>
      <c r="D14" s="28" t="s">
        <v>86</v>
      </c>
      <c r="E14" s="22"/>
      <c r="F14" s="22"/>
      <c r="G14" s="28"/>
      <c r="H14" s="99">
        <f>SUM(H9:H13)</f>
        <v>397.43225512250797</v>
      </c>
      <c r="I14" s="99">
        <f>SUM(I9:I13)</f>
        <v>397.43225512250797</v>
      </c>
      <c r="J14" s="95" t="s">
        <v>91</v>
      </c>
      <c r="K14" s="21"/>
    </row>
    <row r="15" spans="1:11" ht="20.100000000000001" customHeight="1" x14ac:dyDescent="0.2">
      <c r="A15" s="17" t="str">
        <f>HYPERLINK("#'6.1.1.1-2 Crop residue N2O'!A1", "6.1.1.1-2 Crop residue N2O")</f>
        <v>6.1.1.1-2 Crop residue N2O</v>
      </c>
      <c r="C15" s="21"/>
      <c r="D15" s="1"/>
      <c r="E15" s="1"/>
      <c r="F15" s="1"/>
      <c r="G15" s="1"/>
      <c r="H15" s="1"/>
      <c r="I15" s="1"/>
      <c r="J15" s="1"/>
      <c r="K15" s="21"/>
    </row>
    <row r="16" spans="1:11" ht="20.100000000000001" customHeight="1" x14ac:dyDescent="0.2">
      <c r="A16" s="17" t="str">
        <f>HYPERLINK("#'6.2.1.1-2 Pasture residue N2O'!A1", "6.2.1.1-2 Pasture residue N2O")</f>
        <v>6.2.1.1-2 Pasture residue N2O</v>
      </c>
      <c r="C16" s="21"/>
      <c r="D16" s="96"/>
      <c r="E16" s="96"/>
      <c r="F16" s="96"/>
      <c r="G16" s="96"/>
      <c r="H16" s="96"/>
      <c r="I16" s="96"/>
      <c r="J16" s="96"/>
      <c r="K16" s="21"/>
    </row>
    <row r="17" spans="1:11" ht="20.100000000000001" customHeight="1" x14ac:dyDescent="0.2">
      <c r="A17" s="17" t="str">
        <f>HYPERLINK("#'6.3.1.1-2 Leaching and runoff'!A1", "6.3.1.1-2 Leaching and runoff")</f>
        <v>6.3.1.1-2 Leaching and runoff</v>
      </c>
      <c r="C17" s="21"/>
      <c r="D17" s="96"/>
      <c r="E17" s="1"/>
      <c r="F17" s="1"/>
      <c r="G17" s="1"/>
      <c r="H17" s="1"/>
      <c r="I17" s="1"/>
      <c r="J17" s="21"/>
      <c r="K17" s="21"/>
    </row>
    <row r="18" spans="1:11" ht="20.100000000000001" customHeight="1" x14ac:dyDescent="0.2">
      <c r="A18" s="17" t="str">
        <f>HYPERLINK("#'6.3.1.1-2 Leach runoff crop'!A1", "6.3.1.1-2 Leach runoff crop")</f>
        <v>6.3.1.1-2 Leach runoff crop</v>
      </c>
      <c r="C18" s="21"/>
      <c r="D18" s="103"/>
      <c r="E18" s="1"/>
      <c r="F18" s="1"/>
      <c r="G18" s="1"/>
      <c r="H18" s="1"/>
      <c r="I18" s="1"/>
      <c r="J18" s="21"/>
      <c r="K18" s="21"/>
    </row>
    <row r="19" spans="1:11" ht="20.100000000000001" customHeight="1" x14ac:dyDescent="0.2">
      <c r="A19" s="17" t="str">
        <f>HYPERLINK("#'6.3.1.1-2 Leach runoff pasture'!A1", "6.3.1.1-2 Leach runoff pasture")</f>
        <v>6.3.1.1-2 Leach runoff pasture</v>
      </c>
      <c r="C19" s="21"/>
      <c r="D19" s="1"/>
      <c r="E19" s="1"/>
      <c r="F19" s="1"/>
      <c r="G19" s="1"/>
      <c r="H19" s="1"/>
      <c r="I19" s="1"/>
      <c r="J19" s="21"/>
      <c r="K19" s="21"/>
    </row>
    <row r="20" spans="1:11" ht="20.100000000000001" customHeight="1" x14ac:dyDescent="0.2">
      <c r="A20" s="17" t="str">
        <f>HYPERLINK("#'6.4.1.1-2 Residue burning'!A1", "6.4.1.1-2 Residue burning")</f>
        <v>6.4.1.1-2 Residue burning</v>
      </c>
      <c r="C20" s="21"/>
      <c r="D20" s="1"/>
      <c r="E20" s="1"/>
      <c r="F20" s="1"/>
      <c r="G20" s="1"/>
      <c r="H20" s="1"/>
      <c r="I20" s="1"/>
      <c r="J20" s="21"/>
      <c r="K20" s="21"/>
    </row>
    <row r="21" spans="1:11" ht="20.100000000000001" customHeight="1" x14ac:dyDescent="0.2">
      <c r="C21" s="21"/>
      <c r="D21" s="1"/>
      <c r="E21" s="101"/>
      <c r="F21" s="51"/>
      <c r="G21" s="1"/>
      <c r="H21" s="1"/>
      <c r="I21" s="21"/>
      <c r="J21" s="21"/>
      <c r="K21" s="21"/>
    </row>
    <row r="22" spans="1:11" ht="20.100000000000001" customHeight="1" x14ac:dyDescent="0.2">
      <c r="C22" s="21"/>
      <c r="D22" s="1"/>
      <c r="E22" s="101"/>
      <c r="F22" s="51"/>
      <c r="G22" s="1"/>
      <c r="H22" s="1"/>
      <c r="I22" s="21"/>
      <c r="J22" s="21"/>
      <c r="K22" s="21"/>
    </row>
    <row r="23" spans="1:11" ht="20.100000000000001" customHeight="1" x14ac:dyDescent="0.25">
      <c r="A23" s="141" t="s">
        <v>1</v>
      </c>
      <c r="C23" s="21"/>
      <c r="D23" s="1"/>
      <c r="E23" s="1"/>
      <c r="F23" s="1"/>
      <c r="G23" s="1"/>
      <c r="H23" s="26"/>
      <c r="I23" s="21"/>
      <c r="J23" s="21"/>
      <c r="K23" s="21"/>
    </row>
    <row r="24" spans="1:11" ht="20.100000000000001" customHeight="1" x14ac:dyDescent="0.25">
      <c r="A24" s="17" t="str">
        <f>HYPERLINK("#'Constants - Ag Residue'!A1", "Constants - Ag Residue")</f>
        <v>Constants - Ag Residue</v>
      </c>
      <c r="C24" s="21"/>
      <c r="D24" s="1"/>
      <c r="E24" s="1"/>
      <c r="F24" s="1"/>
      <c r="G24" s="1"/>
      <c r="H24" s="26"/>
      <c r="I24" s="21"/>
      <c r="J24" s="21"/>
      <c r="K24" s="21"/>
    </row>
    <row r="25" spans="1:11" ht="20.100000000000001" customHeight="1" x14ac:dyDescent="0.25">
      <c r="A25" s="17" t="str">
        <f>HYPERLINK("#'Constants - Common'!A1", "Constants - Common")</f>
        <v>Constants - Common</v>
      </c>
      <c r="C25" s="21"/>
      <c r="D25" s="1"/>
      <c r="E25" s="1"/>
      <c r="F25" s="1"/>
      <c r="G25" s="1"/>
      <c r="H25" s="26"/>
      <c r="I25" s="21"/>
      <c r="J25" s="21"/>
      <c r="K25" s="21"/>
    </row>
    <row r="26" spans="1:11" ht="20.100000000000001" customHeight="1" x14ac:dyDescent="0.25">
      <c r="C26" s="21"/>
      <c r="D26" s="1"/>
      <c r="E26" s="1"/>
      <c r="F26" s="1"/>
      <c r="G26" s="1"/>
      <c r="H26" s="26"/>
      <c r="I26" s="21"/>
      <c r="J26" s="21"/>
      <c r="K26" s="21"/>
    </row>
    <row r="27" spans="1:11" ht="20.100000000000001" customHeight="1" x14ac:dyDescent="0.2">
      <c r="C27" s="21"/>
      <c r="D27" s="1"/>
      <c r="E27" s="1"/>
      <c r="F27" s="1"/>
      <c r="G27" s="1"/>
      <c r="H27" s="1"/>
      <c r="I27" s="1"/>
      <c r="J27" s="21"/>
      <c r="K27" s="21"/>
    </row>
    <row r="28" spans="1:11" ht="20.100000000000001" customHeight="1" x14ac:dyDescent="0.2">
      <c r="C28" s="21"/>
      <c r="D28" s="1"/>
      <c r="E28" s="1"/>
      <c r="F28" s="1"/>
      <c r="G28" s="1"/>
      <c r="H28" s="1"/>
      <c r="I28" s="1"/>
      <c r="J28" s="21"/>
      <c r="K28" s="21"/>
    </row>
    <row r="29" spans="1:11" ht="20.100000000000001" customHeight="1" x14ac:dyDescent="0.2">
      <c r="C29" s="21"/>
      <c r="D29" s="1"/>
      <c r="E29" s="1"/>
      <c r="F29" s="1"/>
      <c r="G29" s="1"/>
      <c r="H29" s="1"/>
      <c r="I29" s="1"/>
      <c r="J29" s="21"/>
      <c r="K29" s="21"/>
    </row>
    <row r="30" spans="1:11" ht="20.100000000000001" customHeight="1" x14ac:dyDescent="0.2">
      <c r="C30" s="21"/>
      <c r="D30" s="1"/>
      <c r="E30" s="1"/>
      <c r="F30" s="1"/>
      <c r="G30" s="1"/>
      <c r="H30" s="1"/>
      <c r="I30" s="1"/>
      <c r="J30" s="21"/>
      <c r="K30" s="21"/>
    </row>
    <row r="31" spans="1:11" ht="20.100000000000001" customHeight="1" x14ac:dyDescent="0.2">
      <c r="C31" s="21"/>
      <c r="D31" s="1"/>
      <c r="E31" s="1"/>
      <c r="F31" s="1"/>
      <c r="G31" s="1"/>
      <c r="H31" s="1"/>
      <c r="I31" s="1"/>
      <c r="J31" s="21"/>
      <c r="K31" s="21"/>
    </row>
    <row r="32" spans="1:11" ht="20.100000000000001" customHeight="1" x14ac:dyDescent="0.2">
      <c r="C32" s="21"/>
      <c r="D32" s="1"/>
      <c r="E32" s="1"/>
      <c r="F32" s="1"/>
      <c r="G32" s="1"/>
      <c r="H32" s="1"/>
      <c r="I32" s="1"/>
      <c r="J32" s="21"/>
      <c r="K32" s="21"/>
    </row>
    <row r="33" spans="3:11" ht="20.100000000000001" customHeight="1" x14ac:dyDescent="0.2">
      <c r="C33" s="21"/>
      <c r="D33" s="1"/>
      <c r="E33" s="1"/>
      <c r="F33" s="1"/>
      <c r="G33" s="1"/>
      <c r="H33" s="1"/>
      <c r="I33" s="1"/>
      <c r="J33" s="21"/>
      <c r="K33" s="21"/>
    </row>
    <row r="34" spans="3:11" ht="20.100000000000001" customHeight="1" x14ac:dyDescent="0.2">
      <c r="C34" s="21"/>
      <c r="D34" s="1"/>
      <c r="E34" s="1"/>
      <c r="F34" s="1"/>
      <c r="G34" s="1"/>
      <c r="H34" s="1"/>
      <c r="I34" s="21"/>
      <c r="J34" s="21"/>
      <c r="K34" s="21"/>
    </row>
    <row r="35" spans="3:11" ht="20.100000000000001" customHeight="1" x14ac:dyDescent="0.2">
      <c r="C35" s="21"/>
      <c r="D35" s="1"/>
      <c r="E35" s="1"/>
      <c r="F35" s="1"/>
      <c r="G35" s="1"/>
      <c r="H35" s="1"/>
      <c r="I35" s="21"/>
      <c r="J35" s="21"/>
      <c r="K35" s="21"/>
    </row>
    <row r="36" spans="3:11" ht="20.100000000000001" customHeight="1" x14ac:dyDescent="0.2">
      <c r="C36" s="21"/>
      <c r="D36" s="1"/>
      <c r="E36" s="1"/>
      <c r="F36" s="1"/>
      <c r="G36" s="1"/>
      <c r="H36" s="1"/>
      <c r="I36" s="21"/>
      <c r="J36" s="21"/>
      <c r="K36" s="21"/>
    </row>
    <row r="37" spans="3:11" ht="20.100000000000001" customHeight="1" x14ac:dyDescent="0.2">
      <c r="C37" s="21"/>
      <c r="D37" s="1"/>
      <c r="E37" s="1"/>
      <c r="F37" s="1"/>
      <c r="G37" s="1"/>
      <c r="H37" s="1"/>
      <c r="I37" s="21"/>
      <c r="J37" s="21"/>
      <c r="K37" s="21"/>
    </row>
    <row r="38" spans="3:11" ht="20.100000000000001" customHeight="1" x14ac:dyDescent="0.2">
      <c r="C38" s="21"/>
      <c r="D38" s="1"/>
      <c r="E38" s="1"/>
      <c r="F38" s="1"/>
      <c r="G38" s="1"/>
      <c r="H38" s="1"/>
      <c r="I38" s="97"/>
      <c r="J38" s="97"/>
      <c r="K38" s="21"/>
    </row>
    <row r="39" spans="3:11" ht="20.100000000000001" customHeight="1" x14ac:dyDescent="0.2">
      <c r="C39" s="21"/>
      <c r="D39" s="1"/>
      <c r="E39" s="1"/>
      <c r="F39" s="1"/>
      <c r="G39" s="1"/>
      <c r="H39" s="1"/>
      <c r="I39" s="97"/>
      <c r="J39" s="97"/>
      <c r="K39" s="21"/>
    </row>
    <row r="40" spans="3:11" ht="20.100000000000001" customHeight="1" x14ac:dyDescent="0.2">
      <c r="C40" s="21"/>
      <c r="D40" s="1"/>
      <c r="E40" s="1"/>
      <c r="F40" s="1"/>
      <c r="G40" s="1"/>
      <c r="H40" s="1"/>
      <c r="I40" s="97"/>
      <c r="J40" s="97"/>
      <c r="K40" s="21"/>
    </row>
    <row r="41" spans="3:11" ht="20.100000000000001" customHeight="1" x14ac:dyDescent="0.2">
      <c r="C41" s="21"/>
      <c r="D41" s="1"/>
      <c r="E41" s="1"/>
      <c r="F41" s="1"/>
      <c r="G41" s="1"/>
      <c r="H41" s="1"/>
      <c r="I41" s="97"/>
      <c r="J41" s="97"/>
      <c r="K41" s="21"/>
    </row>
    <row r="42" spans="3:11" ht="20.100000000000001" customHeight="1" x14ac:dyDescent="0.2">
      <c r="C42" s="21"/>
      <c r="D42" s="1"/>
      <c r="E42" s="1"/>
      <c r="F42" s="1"/>
      <c r="G42" s="1"/>
      <c r="H42" s="1"/>
      <c r="I42" s="97"/>
      <c r="J42" s="97"/>
      <c r="K42" s="21"/>
    </row>
    <row r="43" spans="3:11" ht="20.100000000000001" customHeight="1" x14ac:dyDescent="0.2">
      <c r="C43" s="21"/>
      <c r="D43" s="1"/>
      <c r="E43" s="1"/>
      <c r="F43" s="1"/>
      <c r="G43" s="1"/>
      <c r="H43" s="1"/>
      <c r="I43" s="97"/>
      <c r="J43" s="97"/>
      <c r="K43" s="21"/>
    </row>
    <row r="44" spans="3:11" ht="20.100000000000001" customHeight="1" x14ac:dyDescent="0.2">
      <c r="C44" s="21"/>
      <c r="D44" s="1"/>
      <c r="E44" s="1"/>
      <c r="F44" s="1"/>
      <c r="G44" s="1"/>
      <c r="H44" s="1"/>
      <c r="I44" s="97"/>
      <c r="J44" s="97"/>
      <c r="K44" s="21"/>
    </row>
    <row r="45" spans="3:11" ht="20.100000000000001" customHeight="1" x14ac:dyDescent="0.2">
      <c r="C45" s="21"/>
      <c r="D45" s="1"/>
      <c r="E45" s="1"/>
      <c r="F45" s="1"/>
      <c r="G45" s="1"/>
      <c r="H45" s="1"/>
      <c r="I45" s="97"/>
      <c r="J45" s="97"/>
      <c r="K45" s="21"/>
    </row>
    <row r="46" spans="3:11" ht="20.100000000000001" customHeight="1" x14ac:dyDescent="0.2">
      <c r="C46" s="21"/>
      <c r="D46" s="1"/>
      <c r="E46" s="1"/>
      <c r="F46" s="1"/>
      <c r="G46" s="1"/>
      <c r="H46" s="1"/>
      <c r="I46" s="97"/>
      <c r="J46" s="97"/>
      <c r="K46" s="21"/>
    </row>
    <row r="47" spans="3:11" ht="20.100000000000001" customHeight="1" x14ac:dyDescent="0.2">
      <c r="C47" s="21"/>
      <c r="D47" s="1"/>
      <c r="E47" s="1"/>
      <c r="F47" s="1"/>
      <c r="G47" s="1"/>
      <c r="H47" s="1"/>
      <c r="I47" s="97"/>
      <c r="J47" s="97"/>
      <c r="K47" s="21"/>
    </row>
    <row r="48" spans="3:11" ht="20.100000000000001" customHeight="1" x14ac:dyDescent="0.2">
      <c r="C48" s="21"/>
      <c r="D48" s="1"/>
      <c r="E48" s="1"/>
      <c r="F48" s="1"/>
      <c r="G48" s="1"/>
      <c r="H48" s="1"/>
      <c r="I48" s="97"/>
      <c r="J48" s="97"/>
      <c r="K48" s="21"/>
    </row>
    <row r="49" spans="3:11" ht="20.100000000000001" customHeight="1" x14ac:dyDescent="0.2">
      <c r="C49" s="21"/>
      <c r="D49" s="1"/>
      <c r="E49" s="1"/>
      <c r="F49" s="1"/>
      <c r="G49" s="1"/>
      <c r="H49" s="97"/>
      <c r="I49" s="97"/>
      <c r="J49" s="97"/>
      <c r="K49" s="21"/>
    </row>
    <row r="50" spans="3:11" ht="20.100000000000001" customHeight="1" x14ac:dyDescent="0.2">
      <c r="C50" s="21"/>
      <c r="D50" s="1"/>
      <c r="E50" s="1"/>
      <c r="F50" s="1"/>
      <c r="G50" s="1"/>
      <c r="H50" s="97"/>
      <c r="I50" s="97"/>
      <c r="J50" s="97"/>
      <c r="K50" s="21"/>
    </row>
    <row r="51" spans="3:11" ht="20.100000000000001" customHeight="1" x14ac:dyDescent="0.2">
      <c r="C51" s="21"/>
      <c r="D51" s="1"/>
      <c r="E51" s="1"/>
      <c r="F51" s="1"/>
      <c r="G51" s="1"/>
      <c r="H51" s="97"/>
      <c r="I51" s="97"/>
      <c r="J51" s="97"/>
      <c r="K51" s="21"/>
    </row>
    <row r="52" spans="3:11" ht="20.100000000000001" customHeight="1" x14ac:dyDescent="0.2">
      <c r="C52" s="21"/>
      <c r="D52" s="1"/>
      <c r="E52" s="1"/>
      <c r="F52" s="1"/>
      <c r="G52" s="1"/>
      <c r="H52" s="97"/>
      <c r="I52" s="97"/>
      <c r="J52" s="97"/>
      <c r="K52" s="21"/>
    </row>
    <row r="53" spans="3:11" ht="20.100000000000001" customHeight="1" x14ac:dyDescent="0.2">
      <c r="C53" s="21"/>
      <c r="D53" s="1"/>
      <c r="E53" s="1"/>
      <c r="F53" s="1"/>
      <c r="G53" s="1"/>
      <c r="H53" s="97"/>
      <c r="I53" s="97"/>
      <c r="J53" s="97"/>
      <c r="K53" s="21"/>
    </row>
    <row r="54" spans="3:11" ht="20.100000000000001" customHeight="1" x14ac:dyDescent="0.2">
      <c r="C54" s="21"/>
      <c r="D54" s="1"/>
      <c r="E54" s="1"/>
      <c r="F54" s="1"/>
      <c r="G54" s="1"/>
      <c r="H54" s="21"/>
      <c r="I54" s="21"/>
      <c r="J54" s="21"/>
      <c r="K54" s="21"/>
    </row>
    <row r="55" spans="3:11" ht="20.100000000000001" customHeight="1" x14ac:dyDescent="0.2">
      <c r="C55" s="21"/>
      <c r="D55" s="1"/>
      <c r="E55" s="1"/>
      <c r="F55" s="1"/>
      <c r="G55" s="1"/>
      <c r="H55" s="21"/>
      <c r="I55" s="21"/>
      <c r="J55" s="21"/>
      <c r="K55" s="21"/>
    </row>
    <row r="56" spans="3:11" ht="20.100000000000001" customHeight="1" x14ac:dyDescent="0.2">
      <c r="C56" s="21"/>
      <c r="D56" s="1"/>
      <c r="E56" s="1"/>
      <c r="F56" s="1"/>
      <c r="G56" s="1"/>
      <c r="H56" s="21"/>
      <c r="I56" s="21"/>
      <c r="J56" s="21"/>
      <c r="K56" s="21"/>
    </row>
    <row r="57" spans="3:11" ht="20.100000000000001" customHeight="1" x14ac:dyDescent="0.2">
      <c r="C57" s="21"/>
      <c r="D57" s="1"/>
      <c r="E57" s="1"/>
      <c r="F57" s="1"/>
      <c r="G57" s="1"/>
      <c r="H57" s="21"/>
      <c r="I57" s="21"/>
      <c r="J57" s="21"/>
      <c r="K57" s="21"/>
    </row>
    <row r="58" spans="3:11" ht="20.100000000000001" customHeight="1" x14ac:dyDescent="0.2">
      <c r="C58" s="21"/>
      <c r="D58" s="1"/>
      <c r="E58" s="29"/>
      <c r="F58" s="27"/>
      <c r="G58" s="21"/>
      <c r="H58" s="21"/>
      <c r="I58" s="21"/>
      <c r="J58" s="21"/>
      <c r="K58" s="21"/>
    </row>
    <row r="59" spans="3:11" ht="20.100000000000001" customHeight="1" x14ac:dyDescent="0.2">
      <c r="C59" s="21"/>
      <c r="D59" s="1"/>
      <c r="E59" s="1"/>
      <c r="F59" s="1"/>
      <c r="G59" s="1"/>
      <c r="H59" s="1"/>
      <c r="I59" s="1"/>
      <c r="J59" s="1"/>
      <c r="K59" s="21"/>
    </row>
    <row r="60" spans="3:11" ht="20.100000000000001" customHeight="1" x14ac:dyDescent="0.2">
      <c r="C60" s="21"/>
      <c r="D60" s="1"/>
      <c r="E60" s="1"/>
      <c r="F60" s="1"/>
      <c r="G60" s="1"/>
      <c r="H60" s="1"/>
      <c r="I60" s="1"/>
      <c r="J60" s="1"/>
      <c r="K60" s="21"/>
    </row>
    <row r="61" spans="3:11" ht="20.100000000000001" customHeight="1" x14ac:dyDescent="0.2">
      <c r="C61" s="21"/>
      <c r="D61" s="1"/>
      <c r="E61" s="1"/>
      <c r="F61" s="1"/>
      <c r="G61" s="1"/>
      <c r="H61" s="1"/>
      <c r="I61" s="1"/>
      <c r="J61" s="1"/>
      <c r="K61" s="21"/>
    </row>
    <row r="62" spans="3:11" ht="20.100000000000001" customHeight="1" x14ac:dyDescent="0.2">
      <c r="C62" s="21"/>
      <c r="D62" s="1"/>
      <c r="E62" s="1"/>
      <c r="F62" s="1"/>
      <c r="G62" s="1"/>
      <c r="H62" s="1"/>
      <c r="I62" s="1"/>
      <c r="J62" s="1"/>
      <c r="K62" s="21"/>
    </row>
    <row r="63" spans="3:11" ht="20.100000000000001" customHeight="1" x14ac:dyDescent="0.2">
      <c r="C63" s="21"/>
      <c r="D63" s="1"/>
      <c r="E63" s="1"/>
      <c r="F63" s="1"/>
      <c r="G63" s="1"/>
      <c r="H63" s="1"/>
      <c r="I63" s="1"/>
      <c r="J63" s="1"/>
      <c r="K63" s="21"/>
    </row>
    <row r="64" spans="3:11" ht="20.100000000000001" customHeight="1" x14ac:dyDescent="0.2">
      <c r="C64" s="21"/>
      <c r="D64" s="1"/>
      <c r="E64" s="1"/>
      <c r="F64" s="1"/>
      <c r="G64" s="1"/>
      <c r="H64" s="1"/>
      <c r="I64" s="1"/>
      <c r="J64" s="1"/>
      <c r="K64" s="21"/>
    </row>
    <row r="65" spans="3:11" ht="20.100000000000001" customHeight="1" x14ac:dyDescent="0.2">
      <c r="C65" s="21"/>
      <c r="D65" s="1"/>
      <c r="E65" s="1"/>
      <c r="F65" s="1"/>
      <c r="G65" s="1"/>
      <c r="H65" s="1"/>
      <c r="I65" s="1"/>
      <c r="J65" s="1"/>
      <c r="K65" s="21"/>
    </row>
    <row r="66" spans="3:11" ht="20.100000000000001" customHeight="1" x14ac:dyDescent="0.2">
      <c r="C66" s="21"/>
      <c r="D66" s="1"/>
      <c r="E66" s="1"/>
      <c r="F66" s="1"/>
      <c r="G66" s="1"/>
      <c r="H66" s="1"/>
      <c r="I66" s="1"/>
      <c r="J66" s="1"/>
      <c r="K66" s="21"/>
    </row>
    <row r="67" spans="3:11" ht="20.100000000000001" customHeight="1" x14ac:dyDescent="0.2">
      <c r="C67" s="21"/>
      <c r="D67" s="1"/>
      <c r="E67" s="1"/>
      <c r="F67" s="1"/>
      <c r="G67" s="1"/>
      <c r="H67" s="1"/>
      <c r="I67" s="1"/>
      <c r="J67" s="1"/>
      <c r="K67" s="21"/>
    </row>
    <row r="68" spans="3:11" ht="20.100000000000001" customHeight="1" x14ac:dyDescent="0.2">
      <c r="C68" s="21"/>
      <c r="D68" s="1"/>
      <c r="E68" s="1"/>
      <c r="F68" s="1"/>
      <c r="G68" s="1"/>
      <c r="H68" s="1"/>
      <c r="I68" s="1"/>
      <c r="J68" s="1"/>
      <c r="K68" s="21"/>
    </row>
    <row r="69" spans="3:11" ht="20.100000000000001" customHeight="1" x14ac:dyDescent="0.2">
      <c r="C69" s="21"/>
      <c r="D69" s="1"/>
      <c r="E69" s="1"/>
      <c r="F69" s="1"/>
      <c r="G69" s="1"/>
      <c r="H69" s="1"/>
      <c r="I69" s="1"/>
      <c r="J69" s="1"/>
      <c r="K69" s="21"/>
    </row>
    <row r="70" spans="3:11" ht="20.100000000000001" customHeight="1" x14ac:dyDescent="0.2">
      <c r="C70" s="21"/>
      <c r="D70" s="1"/>
      <c r="E70" s="1"/>
      <c r="F70" s="1"/>
      <c r="G70" s="1"/>
      <c r="H70" s="1"/>
      <c r="I70" s="1"/>
      <c r="J70" s="1"/>
      <c r="K70" s="21"/>
    </row>
    <row r="71" spans="3:11" ht="20.100000000000001" customHeight="1" x14ac:dyDescent="0.2">
      <c r="C71" s="21"/>
      <c r="D71" s="1"/>
      <c r="E71" s="1"/>
      <c r="F71" s="1"/>
      <c r="G71" s="1"/>
      <c r="H71" s="1"/>
      <c r="I71" s="1"/>
      <c r="J71" s="1"/>
      <c r="K71" s="21"/>
    </row>
    <row r="72" spans="3:11" ht="20.100000000000001" customHeight="1" x14ac:dyDescent="0.2">
      <c r="C72" s="21"/>
      <c r="D72" s="1"/>
      <c r="E72" s="1"/>
      <c r="F72" s="1"/>
      <c r="G72" s="1"/>
      <c r="H72" s="1"/>
      <c r="I72" s="1"/>
      <c r="J72" s="1"/>
      <c r="K72" s="21"/>
    </row>
    <row r="73" spans="3:11" ht="20.100000000000001" customHeight="1" x14ac:dyDescent="0.2">
      <c r="C73" s="21"/>
      <c r="D73" s="1"/>
      <c r="E73" s="1"/>
      <c r="F73" s="1"/>
      <c r="G73" s="1"/>
      <c r="H73" s="1"/>
      <c r="I73" s="1"/>
      <c r="J73" s="1"/>
      <c r="K73" s="21"/>
    </row>
    <row r="74" spans="3:11" ht="20.100000000000001" customHeight="1" x14ac:dyDescent="0.2">
      <c r="C74" s="21"/>
      <c r="D74" s="1"/>
      <c r="E74" s="1"/>
      <c r="F74" s="1"/>
      <c r="G74" s="1"/>
      <c r="H74" s="1"/>
      <c r="I74" s="1"/>
      <c r="J74" s="1"/>
      <c r="K74" s="21"/>
    </row>
    <row r="75" spans="3:11" ht="20.100000000000001" customHeight="1" x14ac:dyDescent="0.2">
      <c r="C75" s="21"/>
      <c r="D75" s="1"/>
      <c r="E75" s="1"/>
      <c r="F75" s="1"/>
      <c r="G75" s="1"/>
      <c r="H75" s="1"/>
      <c r="I75" s="1"/>
      <c r="J75" s="1"/>
      <c r="K75" s="21"/>
    </row>
    <row r="76" spans="3:11" ht="20.100000000000001" customHeight="1" x14ac:dyDescent="0.2">
      <c r="C76" s="21"/>
      <c r="D76" s="1"/>
      <c r="E76" s="1"/>
      <c r="F76" s="1"/>
      <c r="G76" s="1"/>
      <c r="H76" s="1"/>
      <c r="I76" s="1"/>
      <c r="J76" s="1"/>
      <c r="K76" s="21"/>
    </row>
    <row r="77" spans="3:11" ht="20.100000000000001" customHeight="1" x14ac:dyDescent="0.2">
      <c r="C77" s="21"/>
      <c r="D77" s="1"/>
      <c r="E77" s="1"/>
      <c r="F77" s="1"/>
      <c r="G77" s="1"/>
      <c r="H77" s="1"/>
      <c r="I77" s="1"/>
      <c r="J77" s="1"/>
      <c r="K77" s="21"/>
    </row>
    <row r="78" spans="3:11" ht="20.100000000000001" customHeight="1" x14ac:dyDescent="0.2">
      <c r="C78" s="21"/>
      <c r="D78" s="1"/>
      <c r="E78" s="1"/>
      <c r="F78" s="1"/>
      <c r="G78" s="1"/>
      <c r="H78" s="1"/>
      <c r="I78" s="1"/>
      <c r="J78" s="1"/>
      <c r="K78" s="21"/>
    </row>
    <row r="79" spans="3:11" ht="20.100000000000001" customHeight="1" x14ac:dyDescent="0.2">
      <c r="C79" s="21"/>
      <c r="D79" s="1"/>
      <c r="E79" s="1"/>
      <c r="F79" s="1"/>
      <c r="G79" s="1"/>
      <c r="H79" s="1"/>
      <c r="I79" s="1"/>
      <c r="J79" s="1"/>
      <c r="K79" s="21"/>
    </row>
    <row r="80" spans="3:11" ht="20.100000000000001" customHeight="1" x14ac:dyDescent="0.2">
      <c r="C80" s="21"/>
      <c r="D80" s="1"/>
      <c r="E80" s="1"/>
      <c r="F80" s="1"/>
      <c r="G80" s="1"/>
      <c r="H80" s="1"/>
      <c r="I80" s="1"/>
      <c r="J80" s="1"/>
      <c r="K80" s="21"/>
    </row>
    <row r="81" spans="3:11" ht="20.100000000000001" customHeight="1" x14ac:dyDescent="0.2">
      <c r="C81" s="21"/>
      <c r="D81" s="1"/>
      <c r="E81" s="1"/>
      <c r="F81" s="1"/>
      <c r="G81" s="1"/>
      <c r="H81" s="1"/>
      <c r="I81" s="1"/>
      <c r="J81" s="1"/>
      <c r="K81" s="21"/>
    </row>
    <row r="82" spans="3:11" ht="20.100000000000001" customHeight="1" x14ac:dyDescent="0.2">
      <c r="C82" s="21"/>
      <c r="D82" s="1"/>
      <c r="E82" s="1"/>
      <c r="F82" s="1"/>
      <c r="G82" s="1"/>
      <c r="H82" s="1"/>
      <c r="I82" s="1"/>
      <c r="J82" s="1"/>
      <c r="K82" s="21"/>
    </row>
    <row r="83" spans="3:11" ht="20.100000000000001" customHeight="1" x14ac:dyDescent="0.2">
      <c r="C83" s="21"/>
      <c r="D83" s="1"/>
      <c r="E83" s="1"/>
      <c r="F83" s="1"/>
      <c r="G83" s="1"/>
      <c r="H83" s="1"/>
      <c r="I83" s="1"/>
      <c r="J83" s="1"/>
      <c r="K83" s="21"/>
    </row>
    <row r="84" spans="3:11" ht="20.100000000000001" customHeight="1" x14ac:dyDescent="0.2">
      <c r="C84" s="21"/>
      <c r="D84" s="1"/>
      <c r="E84" s="1"/>
      <c r="F84" s="1"/>
      <c r="G84" s="1"/>
      <c r="H84" s="1"/>
      <c r="I84" s="1"/>
      <c r="J84" s="1"/>
      <c r="K84" s="21"/>
    </row>
    <row r="85" spans="3:11" ht="20.100000000000001" customHeight="1" x14ac:dyDescent="0.2">
      <c r="C85" s="21"/>
      <c r="D85" s="1"/>
      <c r="E85" s="1"/>
      <c r="F85" s="1"/>
      <c r="G85" s="1"/>
      <c r="H85" s="1"/>
      <c r="I85" s="1"/>
      <c r="J85" s="1"/>
      <c r="K85" s="21"/>
    </row>
    <row r="86" spans="3:11" ht="20.100000000000001" customHeight="1" x14ac:dyDescent="0.2">
      <c r="C86" s="21"/>
      <c r="D86" s="21"/>
      <c r="E86" s="21"/>
      <c r="F86" s="21"/>
      <c r="G86" s="21"/>
      <c r="H86" s="21"/>
      <c r="I86" s="21"/>
      <c r="J86" s="21"/>
      <c r="K86" s="21"/>
    </row>
    <row r="87" spans="3:11" ht="20.100000000000001" customHeight="1" x14ac:dyDescent="0.2">
      <c r="C87" s="21"/>
      <c r="D87" s="21"/>
      <c r="E87" s="21"/>
      <c r="F87" s="21"/>
      <c r="G87" s="21"/>
      <c r="H87" s="21"/>
      <c r="I87" s="21"/>
      <c r="J87" s="21"/>
      <c r="K87" s="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tabColor theme="5" tint="-0.249977111117893"/>
    <pageSetUpPr autoPageBreaks="0"/>
  </sheetPr>
  <dimension ref="A1:AA160"/>
  <sheetViews>
    <sheetView showGridLines="0" zoomScaleNormal="100" workbookViewId="0">
      <selection activeCell="A10" sqref="A10"/>
    </sheetView>
  </sheetViews>
  <sheetFormatPr defaultColWidth="9.140625" defaultRowHeight="20.100000000000001" customHeight="1" x14ac:dyDescent="0.2"/>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0" t="e" vm="1">
        <v>#VALUE!</v>
      </c>
      <c r="C1" s="12" t="s">
        <v>71</v>
      </c>
    </row>
    <row r="2" spans="1:24" s="7" customFormat="1" ht="20.100000000000001" customHeight="1" x14ac:dyDescent="0.2">
      <c r="A2"/>
      <c r="C2" s="9"/>
      <c r="D2" s="9"/>
      <c r="E2" s="9"/>
      <c r="F2" s="9"/>
      <c r="G2" s="9"/>
      <c r="H2" s="9"/>
      <c r="I2" s="9"/>
      <c r="J2" s="9"/>
    </row>
    <row r="3" spans="1:24" ht="20.100000000000001" customHeight="1" x14ac:dyDescent="0.2">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
      <c r="A4" s="17" t="str">
        <f>HYPERLINK("#'Overview'!A1", "Overview")</f>
        <v>Overview</v>
      </c>
      <c r="C4" s="61"/>
      <c r="D4" s="61"/>
      <c r="E4" s="61"/>
      <c r="F4" s="61"/>
      <c r="G4" s="61"/>
      <c r="H4" s="61"/>
      <c r="I4" s="61"/>
      <c r="J4" s="61"/>
      <c r="K4" s="61"/>
    </row>
    <row r="5" spans="1:24" ht="20.100000000000001" customHeight="1" x14ac:dyDescent="0.2">
      <c r="A5" s="17" t="str">
        <f>HYPERLINK("#'Results'!A1", "Results")</f>
        <v>Results</v>
      </c>
      <c r="D5" s="6" t="s">
        <v>12</v>
      </c>
      <c r="N5" s="39"/>
    </row>
    <row r="6" spans="1:24" ht="20.100000000000001" customHeight="1" x14ac:dyDescent="0.2">
      <c r="A6"/>
      <c r="D6" s="14"/>
      <c r="N6" s="40"/>
    </row>
    <row r="7" spans="1:24" ht="20.100000000000001" customHeight="1" x14ac:dyDescent="0.2">
      <c r="A7"/>
      <c r="D7" s="1" t="s">
        <v>4</v>
      </c>
      <c r="E7" s="32" t="s">
        <v>3</v>
      </c>
      <c r="F7" s="2"/>
    </row>
    <row r="8" spans="1:24" ht="20.100000000000001" customHeight="1" x14ac:dyDescent="0.2">
      <c r="A8" s="19" t="s">
        <v>0</v>
      </c>
      <c r="D8" s="10" t="s">
        <v>66</v>
      </c>
      <c r="E8" s="32" t="s">
        <v>67</v>
      </c>
    </row>
    <row r="9" spans="1:24" ht="20.100000000000001" customHeight="1" x14ac:dyDescent="0.2">
      <c r="A9" s="104" t="str">
        <f>HYPERLINK("#'Input - Site'!A1", "Site")</f>
        <v>Site</v>
      </c>
      <c r="N9" s="41"/>
    </row>
    <row r="10" spans="1:24" ht="20.100000000000001" customHeight="1" x14ac:dyDescent="0.2">
      <c r="A10" s="17" t="str">
        <f>HYPERLINK("#'Input - Crop'!A1", "Crop")</f>
        <v>Crop</v>
      </c>
      <c r="D10" s="86" t="s">
        <v>70</v>
      </c>
      <c r="E10" s="84"/>
      <c r="F10" s="87"/>
      <c r="G10" s="81"/>
      <c r="N10" s="41"/>
    </row>
    <row r="11" spans="1:24" ht="20.100000000000001" customHeight="1" x14ac:dyDescent="0.2">
      <c r="A11" s="17" t="str">
        <f>HYPERLINK("#'Input - Pasture'!A1", "Pasture")</f>
        <v>Pasture</v>
      </c>
      <c r="N11" s="42"/>
    </row>
    <row r="12" spans="1:24" ht="20.100000000000001" customHeight="1" x14ac:dyDescent="0.2">
      <c r="A12"/>
      <c r="D12" s="10" t="s">
        <v>76</v>
      </c>
      <c r="E12" s="59">
        <v>45292</v>
      </c>
      <c r="F12" s="2" t="s">
        <v>64</v>
      </c>
    </row>
    <row r="13" spans="1:24" ht="20.100000000000001" customHeight="1" x14ac:dyDescent="0.2">
      <c r="A13"/>
      <c r="D13" s="10" t="s">
        <v>77</v>
      </c>
      <c r="E13" s="62">
        <f>DATE(YEAR(X_Cell_Site_StartDate)+1,MONTH(X_Cell_Site_StartDate),DAY(X_Cell_Site_StartDate))-1</f>
        <v>45657</v>
      </c>
      <c r="F13" s="2" t="s">
        <v>14</v>
      </c>
      <c r="N13" s="37"/>
      <c r="O13" s="37"/>
    </row>
    <row r="14" spans="1:24" ht="20.100000000000001" customHeight="1" x14ac:dyDescent="0.2">
      <c r="A14" s="18" t="s">
        <v>68</v>
      </c>
      <c r="N14" s="37"/>
      <c r="O14" s="37"/>
    </row>
    <row r="15" spans="1:24" ht="20.100000000000001" customHeight="1" x14ac:dyDescent="0.2">
      <c r="A15" s="17" t="str">
        <f>HYPERLINK("#'6.1.1.1-2 Crop residue N2O'!A1", "6.1.1.1-2 Crop residue N2O")</f>
        <v>6.1.1.1-2 Crop residue N2O</v>
      </c>
      <c r="N15" s="37"/>
      <c r="O15" s="37"/>
    </row>
    <row r="16" spans="1:24" ht="20.100000000000001" customHeight="1" x14ac:dyDescent="0.2">
      <c r="A16" s="17" t="str">
        <f>HYPERLINK("#'6.2.1.1-2 Pasture residue N2O'!A1", "6.2.1.1-2 Pasture residue N2O")</f>
        <v>6.2.1.1-2 Pasture residue N2O</v>
      </c>
      <c r="D16" s="6" t="s">
        <v>11</v>
      </c>
      <c r="N16" s="37"/>
      <c r="O16" s="37"/>
    </row>
    <row r="17" spans="1:25" ht="20.100000000000001" customHeight="1" x14ac:dyDescent="0.2">
      <c r="A17" s="17" t="str">
        <f>HYPERLINK("#'6.3.1.1-2 Leaching and runoff'!A1", "6.3.1.1-2 Leaching and runoff")</f>
        <v>6.3.1.1-2 Leaching and runoff</v>
      </c>
    </row>
    <row r="18" spans="1:25" ht="20.100000000000001" customHeight="1" x14ac:dyDescent="0.2">
      <c r="A18" s="17" t="str">
        <f>HYPERLINK("#'6.3.1.1-2 Leach runoff crop'!A1", "6.3.1.1-2 Leach runoff crop")</f>
        <v>6.3.1.1-2 Leach runoff crop</v>
      </c>
      <c r="D18" s="88" t="s">
        <v>13</v>
      </c>
      <c r="E18" s="83"/>
      <c r="F18" s="83"/>
      <c r="G18" s="79"/>
    </row>
    <row r="19" spans="1:25" ht="20.100000000000001" customHeight="1" x14ac:dyDescent="0.2">
      <c r="A19" s="17" t="str">
        <f>HYPERLINK("#'6.3.1.1-2 Leach runoff pasture'!A1", "6.3.1.1-2 Leach runoff pasture")</f>
        <v>6.3.1.1-2 Leach runoff pasture</v>
      </c>
      <c r="D19" s="85" t="s">
        <v>65</v>
      </c>
      <c r="E19" s="82"/>
      <c r="F19" s="82"/>
      <c r="G19" s="80"/>
      <c r="N19" s="39"/>
    </row>
    <row r="20" spans="1:25" ht="20.100000000000001" customHeight="1" x14ac:dyDescent="0.2">
      <c r="A20" s="17" t="str">
        <f>HYPERLINK("#'6.4.1.1-2 Residue burning'!A1", "6.4.1.1-2 Residue burning")</f>
        <v>6.4.1.1-2 Residue burning</v>
      </c>
      <c r="D20" s="1"/>
      <c r="E20" s="30"/>
      <c r="F20" s="2"/>
      <c r="N20" s="40"/>
    </row>
    <row r="21" spans="1:25" ht="20.100000000000001" customHeight="1" x14ac:dyDescent="0.2">
      <c r="A21"/>
      <c r="D21" s="1" t="s">
        <v>5</v>
      </c>
      <c r="E21" s="38" t="s">
        <v>98</v>
      </c>
      <c r="F21" s="2" t="s">
        <v>8</v>
      </c>
    </row>
    <row r="22" spans="1:25" ht="20.100000000000001" customHeight="1" x14ac:dyDescent="0.2">
      <c r="A22"/>
      <c r="D22" s="1" t="s">
        <v>20</v>
      </c>
      <c r="E22" s="38" t="s">
        <v>29</v>
      </c>
      <c r="F22" s="2" t="s">
        <v>8</v>
      </c>
      <c r="G22" s="1"/>
    </row>
    <row r="23" spans="1:25" ht="20.100000000000001" customHeight="1" x14ac:dyDescent="0.2">
      <c r="A23" s="141" t="s">
        <v>1</v>
      </c>
      <c r="D23" s="1" t="s">
        <v>6</v>
      </c>
      <c r="E23" s="38" t="s">
        <v>75</v>
      </c>
      <c r="F23" s="2" t="s">
        <v>8</v>
      </c>
    </row>
    <row r="24" spans="1:25" ht="20.100000000000001" customHeight="1" x14ac:dyDescent="0.2">
      <c r="A24" s="17" t="str">
        <f>HYPERLINK("#'Constants - Ag Residue'!A1", "Constants - Ag Residue")</f>
        <v>Constants - Ag Residue</v>
      </c>
      <c r="D24" s="1" t="s">
        <v>34</v>
      </c>
      <c r="E24" s="32">
        <v>307.7</v>
      </c>
      <c r="F24" s="2" t="s">
        <v>48</v>
      </c>
    </row>
    <row r="25" spans="1:25" ht="20.100000000000001" customHeight="1" x14ac:dyDescent="0.2">
      <c r="A25" s="17" t="str">
        <f>HYPERLINK("#'Constants - Common'!A1", "Constants - Common")</f>
        <v>Constants - Common</v>
      </c>
      <c r="D25" s="1" t="s">
        <v>56</v>
      </c>
      <c r="E25" s="32">
        <v>18</v>
      </c>
      <c r="F25" s="2" t="s">
        <v>9</v>
      </c>
      <c r="N25" s="40"/>
    </row>
    <row r="26" spans="1:25" ht="20.100000000000001" customHeight="1" x14ac:dyDescent="0.2">
      <c r="A26"/>
      <c r="D26" s="1" t="s">
        <v>57</v>
      </c>
      <c r="E26" s="32">
        <v>601</v>
      </c>
      <c r="F26" s="2" t="s">
        <v>10</v>
      </c>
    </row>
    <row r="27" spans="1:25" ht="20.100000000000001" customHeight="1" x14ac:dyDescent="0.2">
      <c r="A27"/>
      <c r="D27" s="10" t="s">
        <v>58</v>
      </c>
      <c r="E27" s="32">
        <v>1326</v>
      </c>
      <c r="F27" s="2" t="s">
        <v>10</v>
      </c>
    </row>
    <row r="28" spans="1:25" ht="20.100000000000001" customHeight="1" x14ac:dyDescent="0.2">
      <c r="A28"/>
      <c r="D28" s="1" t="s">
        <v>59</v>
      </c>
      <c r="E28" s="32">
        <v>7</v>
      </c>
      <c r="F28" s="2" t="s">
        <v>49</v>
      </c>
    </row>
    <row r="29" spans="1:25" ht="20.100000000000001" customHeight="1" x14ac:dyDescent="0.2">
      <c r="A29"/>
      <c r="D29" s="10" t="s">
        <v>55</v>
      </c>
      <c r="E29" s="49">
        <f>X_Cell_Site_TotalRainfall/X_Cell_Site_PotentialEvapotranspiration</f>
        <v>0.45324283559577677</v>
      </c>
      <c r="F29" s="2"/>
    </row>
    <row r="30" spans="1:25" ht="20.100000000000001" customHeight="1" x14ac:dyDescent="0.2">
      <c r="A30"/>
      <c r="D30" s="10" t="s">
        <v>30</v>
      </c>
      <c r="E30" s="49" t="str">
        <f>Common_InputFunctions.Utility_LookupItemFromMinMax(X_Cell_Site_TotalRainfall,Table_SourceData_RainfallZones[Min rainfall],Table_SourceData_RainfallZones[Max rainfall],Table_SourceData_RainfallZones[Rainfall Zone])</f>
        <v>High rainfall</v>
      </c>
      <c r="G30" s="31"/>
      <c r="L30" s="46"/>
      <c r="M30" s="46"/>
      <c r="N30" s="46"/>
      <c r="O30" s="46"/>
      <c r="P30" s="46"/>
      <c r="Q30" s="46"/>
      <c r="R30" s="46"/>
      <c r="S30" s="46"/>
      <c r="T30" s="46"/>
      <c r="U30" s="46"/>
      <c r="V30" s="46"/>
      <c r="W30" s="46"/>
      <c r="X30" s="46"/>
      <c r="Y30" s="46"/>
    </row>
    <row r="31" spans="1:25" ht="20.100000000000001" customHeight="1" x14ac:dyDescent="0.2">
      <c r="A31"/>
      <c r="D31" s="1" t="s">
        <v>7</v>
      </c>
      <c r="E31" s="49"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0"/>
      <c r="L31" s="44"/>
      <c r="M31" s="44"/>
      <c r="N31" s="44"/>
      <c r="O31" s="44"/>
      <c r="P31" s="44"/>
      <c r="Q31" s="44"/>
      <c r="R31" s="44"/>
      <c r="S31" s="44"/>
      <c r="T31" s="44"/>
      <c r="U31" s="44"/>
      <c r="V31" s="44"/>
      <c r="W31" s="44"/>
      <c r="X31" s="44"/>
      <c r="Y31" s="44"/>
    </row>
    <row r="32" spans="1:25" ht="20.100000000000001" customHeight="1" x14ac:dyDescent="0.2">
      <c r="A32"/>
      <c r="D32" s="1" t="s">
        <v>72</v>
      </c>
      <c r="E32" s="49" t="str">
        <f>Common_InputFunctions.Utility_LookupValueInTable(X_Cell_Site_ClimateZone,Table_SourceData_WetDryZones[Climate zone],Table_SourceData_WetDryZones[Wet or Dry Zone])</f>
        <v>Dry climate zone</v>
      </c>
      <c r="F32" s="1"/>
      <c r="G32" s="30"/>
      <c r="L32" s="44"/>
      <c r="M32" s="44"/>
      <c r="N32" s="44"/>
      <c r="O32" s="44"/>
      <c r="P32" s="44"/>
      <c r="Q32" s="44"/>
      <c r="R32" s="44"/>
      <c r="S32" s="44"/>
      <c r="T32" s="44"/>
      <c r="U32" s="44"/>
      <c r="V32" s="44"/>
      <c r="W32" s="44"/>
      <c r="X32" s="44"/>
      <c r="Y32" s="44"/>
    </row>
    <row r="33" spans="1:25" ht="20.100000000000001" customHeight="1" x14ac:dyDescent="0.2">
      <c r="A33"/>
      <c r="D33" s="1" t="s">
        <v>47</v>
      </c>
      <c r="E33" s="49" t="str">
        <f>Common_InputFunctions.Utility_LookupItemFromMinMax(X_Cell_Site_AverageTemperature,Table_SourceData_TemperatureZones[Min MAT],Table_SourceData_TemperatureZones[Max MAT],Table_SourceData_TemperatureZones[Temperature Zone])</f>
        <v>Temperate</v>
      </c>
      <c r="G33" s="63"/>
      <c r="L33" s="44"/>
      <c r="M33" s="44"/>
      <c r="N33" s="44"/>
      <c r="O33" s="44"/>
      <c r="P33" s="44"/>
      <c r="Q33" s="44"/>
      <c r="R33" s="44"/>
      <c r="S33" s="44"/>
      <c r="T33" s="44"/>
      <c r="U33" s="44"/>
      <c r="V33" s="44"/>
      <c r="W33" s="44"/>
      <c r="X33" s="44"/>
      <c r="Y33" s="44"/>
    </row>
    <row r="34" spans="1:25" ht="20.100000000000001" customHeight="1" x14ac:dyDescent="0.2">
      <c r="A34"/>
      <c r="J34" s="57"/>
      <c r="K34" s="66"/>
      <c r="L34" s="44"/>
      <c r="M34" s="44"/>
      <c r="N34" s="44"/>
      <c r="O34" s="44"/>
      <c r="P34" s="44"/>
      <c r="Q34" s="44"/>
      <c r="R34" s="44"/>
      <c r="S34" s="44"/>
      <c r="T34" s="44"/>
      <c r="U34" s="44"/>
      <c r="V34" s="44"/>
      <c r="W34" s="44"/>
      <c r="X34" s="44"/>
      <c r="Y34" s="44"/>
    </row>
    <row r="35" spans="1:25" ht="20.100000000000001" customHeight="1" x14ac:dyDescent="0.2">
      <c r="A35"/>
      <c r="J35" s="57"/>
      <c r="K35" s="66"/>
      <c r="L35" s="44"/>
      <c r="M35" s="44"/>
      <c r="N35" s="44"/>
      <c r="O35" s="44"/>
      <c r="P35" s="44"/>
      <c r="Q35" s="44"/>
      <c r="R35" s="44"/>
      <c r="S35" s="44"/>
      <c r="T35" s="44"/>
      <c r="U35" s="44"/>
      <c r="V35" s="44"/>
      <c r="W35" s="44"/>
      <c r="X35" s="44"/>
      <c r="Y35" s="44"/>
    </row>
    <row r="36" spans="1:25" ht="20.100000000000001" customHeight="1" x14ac:dyDescent="0.2">
      <c r="A36"/>
      <c r="D36" s="64"/>
      <c r="E36" s="64"/>
      <c r="F36" s="65"/>
      <c r="G36" s="57"/>
      <c r="H36" s="57"/>
      <c r="I36" s="58"/>
      <c r="J36" s="57"/>
      <c r="K36" s="66"/>
      <c r="L36" s="44"/>
      <c r="M36" s="44"/>
      <c r="N36" s="44"/>
      <c r="O36" s="44"/>
      <c r="P36" s="44"/>
      <c r="Q36" s="44"/>
      <c r="R36" s="44"/>
      <c r="S36" s="44"/>
      <c r="T36" s="44"/>
      <c r="U36" s="44"/>
      <c r="V36" s="44"/>
      <c r="W36" s="44"/>
      <c r="X36" s="44"/>
      <c r="Y36" s="44"/>
    </row>
    <row r="37" spans="1:25" ht="20.100000000000001" customHeight="1" x14ac:dyDescent="0.2">
      <c r="A37"/>
      <c r="D37" s="64"/>
      <c r="E37" s="64"/>
      <c r="F37" s="65"/>
      <c r="G37" s="57"/>
      <c r="H37" s="57"/>
      <c r="I37" s="58"/>
      <c r="J37" s="57"/>
      <c r="K37" s="66"/>
      <c r="L37" s="44"/>
      <c r="M37" s="44"/>
      <c r="N37" s="44"/>
      <c r="O37" s="44"/>
      <c r="P37" s="44"/>
      <c r="Q37" s="44"/>
      <c r="R37" s="44"/>
      <c r="S37" s="44"/>
      <c r="T37" s="44"/>
      <c r="U37" s="44"/>
      <c r="V37" s="44"/>
      <c r="W37" s="44"/>
      <c r="X37" s="44"/>
      <c r="Y37" s="44"/>
    </row>
    <row r="38" spans="1:25" ht="20.100000000000001" customHeight="1" x14ac:dyDescent="0.2">
      <c r="A38"/>
      <c r="D38" s="64"/>
      <c r="E38" s="64"/>
      <c r="F38" s="65"/>
      <c r="G38" s="57"/>
      <c r="H38" s="57"/>
      <c r="I38" s="58"/>
      <c r="J38" s="57"/>
      <c r="K38" s="66"/>
      <c r="L38" s="44"/>
      <c r="M38" s="44"/>
      <c r="N38" s="44"/>
      <c r="O38" s="44"/>
      <c r="P38" s="44"/>
      <c r="Q38" s="44"/>
      <c r="R38" s="44"/>
      <c r="S38" s="44"/>
      <c r="T38" s="44"/>
      <c r="U38" s="44"/>
      <c r="V38" s="44"/>
      <c r="W38" s="44"/>
      <c r="X38" s="44"/>
      <c r="Y38" s="44"/>
    </row>
    <row r="39" spans="1:25" ht="20.100000000000001" customHeight="1" x14ac:dyDescent="0.2">
      <c r="A39"/>
      <c r="D39" s="64"/>
      <c r="E39" s="64"/>
      <c r="F39" s="65"/>
      <c r="G39" s="57"/>
      <c r="H39" s="57"/>
      <c r="I39" s="58"/>
      <c r="J39" s="57"/>
      <c r="K39" s="66"/>
      <c r="L39" s="44"/>
      <c r="M39" s="44"/>
      <c r="N39" s="44"/>
      <c r="O39" s="44"/>
      <c r="P39" s="44"/>
      <c r="Q39" s="44"/>
      <c r="R39" s="44"/>
      <c r="S39" s="44"/>
      <c r="T39" s="44"/>
      <c r="U39" s="44"/>
      <c r="V39" s="44"/>
      <c r="W39" s="44"/>
      <c r="X39" s="44"/>
      <c r="Y39" s="44"/>
    </row>
    <row r="40" spans="1:25" ht="20.100000000000001" customHeight="1" x14ac:dyDescent="0.2">
      <c r="A40"/>
      <c r="D40" s="67"/>
      <c r="E40" s="67"/>
      <c r="F40" s="67"/>
      <c r="G40" s="68"/>
      <c r="H40" s="69"/>
      <c r="I40" s="69"/>
      <c r="J40" s="69"/>
      <c r="K40" s="69"/>
      <c r="L40" s="47"/>
      <c r="M40" s="47"/>
      <c r="N40" s="47"/>
      <c r="O40" s="47"/>
      <c r="P40" s="47"/>
      <c r="Q40" s="47"/>
      <c r="R40" s="47"/>
      <c r="S40" s="47"/>
      <c r="T40" s="47"/>
      <c r="U40" s="47"/>
      <c r="V40" s="47"/>
      <c r="W40" s="47"/>
      <c r="X40" s="47"/>
      <c r="Y40" s="47"/>
    </row>
    <row r="41" spans="1:25" ht="20.100000000000001" customHeight="1" x14ac:dyDescent="0.2">
      <c r="A41"/>
    </row>
    <row r="42" spans="1:25" ht="20.100000000000001" customHeight="1" x14ac:dyDescent="0.2">
      <c r="A42"/>
    </row>
    <row r="43" spans="1:25" ht="20.100000000000001" customHeight="1" x14ac:dyDescent="0.2">
      <c r="A43"/>
    </row>
    <row r="44" spans="1:25" ht="20.100000000000001" customHeight="1" x14ac:dyDescent="0.2">
      <c r="A44"/>
    </row>
    <row r="45" spans="1:25" ht="20.100000000000001" customHeight="1" x14ac:dyDescent="0.2">
      <c r="A45"/>
      <c r="D45" s="6"/>
    </row>
    <row r="46" spans="1:25" ht="20.100000000000001" customHeight="1" x14ac:dyDescent="0.2">
      <c r="A46"/>
      <c r="D46" s="6"/>
    </row>
    <row r="47" spans="1:25" ht="20.100000000000001" customHeight="1" x14ac:dyDescent="0.2">
      <c r="A47"/>
      <c r="D47" s="70"/>
      <c r="E47" s="70"/>
      <c r="F47" s="70"/>
      <c r="G47" s="70"/>
      <c r="H47" s="70"/>
    </row>
    <row r="48" spans="1:25" ht="20.100000000000001" customHeight="1" x14ac:dyDescent="0.2">
      <c r="A48"/>
      <c r="D48" s="33"/>
      <c r="E48" s="33"/>
      <c r="F48" s="34"/>
      <c r="G48" s="34"/>
      <c r="H48" s="33"/>
    </row>
    <row r="49" spans="1:8" ht="20.100000000000001" customHeight="1" x14ac:dyDescent="0.2">
      <c r="A49"/>
      <c r="D49" s="33"/>
      <c r="E49" s="33"/>
      <c r="F49" s="34"/>
      <c r="G49" s="34"/>
      <c r="H49" s="33"/>
    </row>
    <row r="50" spans="1:8" ht="20.100000000000001" customHeight="1" x14ac:dyDescent="0.2">
      <c r="A50"/>
      <c r="D50" s="33"/>
      <c r="E50" s="33"/>
      <c r="F50" s="34"/>
      <c r="G50" s="34"/>
      <c r="H50" s="33"/>
    </row>
    <row r="51" spans="1:8" ht="20.100000000000001" customHeight="1" x14ac:dyDescent="0.2">
      <c r="A51"/>
      <c r="D51" s="71"/>
      <c r="E51" s="72"/>
      <c r="F51" s="72"/>
      <c r="G51" s="72"/>
      <c r="H51" s="73"/>
    </row>
    <row r="52" spans="1:8" ht="20.100000000000001" customHeight="1" x14ac:dyDescent="0.2">
      <c r="A52"/>
    </row>
    <row r="53" spans="1:8" ht="20.100000000000001" customHeight="1" x14ac:dyDescent="0.2">
      <c r="A53"/>
    </row>
    <row r="54" spans="1:8" ht="20.100000000000001" customHeight="1" x14ac:dyDescent="0.2">
      <c r="A54"/>
      <c r="G54" s="74"/>
    </row>
    <row r="55" spans="1:8" ht="20.100000000000001" customHeight="1" x14ac:dyDescent="0.2">
      <c r="A55"/>
      <c r="D55" s="6"/>
    </row>
    <row r="56" spans="1:8" ht="20.100000000000001" customHeight="1" x14ac:dyDescent="0.2">
      <c r="A56"/>
    </row>
    <row r="57" spans="1:8" ht="20.100000000000001" customHeight="1" x14ac:dyDescent="0.2">
      <c r="A57"/>
      <c r="D57" s="20"/>
      <c r="F57" s="75"/>
    </row>
    <row r="58" spans="1:8" ht="20.100000000000001" customHeight="1" x14ac:dyDescent="0.2">
      <c r="A58"/>
      <c r="D58" s="1"/>
      <c r="E58" s="76"/>
    </row>
    <row r="59" spans="1:8" ht="20.100000000000001" customHeight="1" x14ac:dyDescent="0.2">
      <c r="A59"/>
      <c r="D59" s="1"/>
      <c r="E59" s="76"/>
    </row>
    <row r="60" spans="1:8" ht="20.100000000000001" customHeight="1" x14ac:dyDescent="0.2">
      <c r="A60"/>
      <c r="D60" s="1"/>
      <c r="E60" s="77"/>
    </row>
    <row r="61" spans="1:8" ht="20.100000000000001" customHeight="1" x14ac:dyDescent="0.2">
      <c r="A61"/>
      <c r="D61" s="1"/>
    </row>
    <row r="62" spans="1:8" ht="20.100000000000001" customHeight="1" x14ac:dyDescent="0.2">
      <c r="A62"/>
    </row>
    <row r="63" spans="1:8" ht="20.100000000000001" customHeight="1" x14ac:dyDescent="0.2">
      <c r="A63"/>
      <c r="D63" s="20"/>
    </row>
    <row r="64" spans="1:8" ht="20.100000000000001" customHeight="1" x14ac:dyDescent="0.2">
      <c r="A64"/>
      <c r="D64" s="1"/>
      <c r="E64" s="76"/>
    </row>
    <row r="65" spans="1:9" ht="20.100000000000001" customHeight="1" x14ac:dyDescent="0.2">
      <c r="A65"/>
      <c r="D65" s="1"/>
      <c r="E65" s="76"/>
    </row>
    <row r="66" spans="1:9" ht="20.100000000000001" customHeight="1" x14ac:dyDescent="0.2">
      <c r="A66"/>
      <c r="D66" s="1"/>
      <c r="E66" s="77"/>
    </row>
    <row r="67" spans="1:9" ht="20.100000000000001" customHeight="1" x14ac:dyDescent="0.2">
      <c r="A67"/>
    </row>
    <row r="68" spans="1:9" ht="20.100000000000001" customHeight="1" x14ac:dyDescent="0.2">
      <c r="A68"/>
    </row>
    <row r="69" spans="1:9" ht="20.100000000000001" customHeight="1" x14ac:dyDescent="0.2">
      <c r="A69"/>
      <c r="D69" s="56"/>
      <c r="E69" s="56"/>
      <c r="F69" s="56"/>
      <c r="G69" s="56"/>
      <c r="H69" s="56"/>
      <c r="I69" s="56"/>
    </row>
    <row r="70" spans="1:9" ht="20.100000000000001" customHeight="1" x14ac:dyDescent="0.2">
      <c r="A70"/>
      <c r="D70" s="56"/>
      <c r="E70" s="56"/>
      <c r="F70" s="56"/>
      <c r="G70" s="56"/>
      <c r="H70" s="56"/>
      <c r="I70" s="56"/>
    </row>
    <row r="71" spans="1:9" ht="20.100000000000001" customHeight="1" x14ac:dyDescent="0.2">
      <c r="A71"/>
      <c r="D71" s="56"/>
      <c r="E71" s="56"/>
      <c r="F71" s="56"/>
      <c r="G71" s="56"/>
      <c r="H71" s="56"/>
      <c r="I71" s="56"/>
    </row>
    <row r="72" spans="1:9" ht="20.100000000000001" customHeight="1" x14ac:dyDescent="0.2">
      <c r="A72"/>
      <c r="D72" s="56"/>
      <c r="E72" s="56"/>
      <c r="F72" s="56"/>
      <c r="G72" s="56"/>
      <c r="H72" s="56"/>
      <c r="I72" s="56"/>
    </row>
    <row r="73" spans="1:9" ht="20.100000000000001" customHeight="1" x14ac:dyDescent="0.2">
      <c r="A73"/>
    </row>
    <row r="74" spans="1:9" ht="20.100000000000001" customHeight="1" x14ac:dyDescent="0.2">
      <c r="A74"/>
    </row>
    <row r="75" spans="1:9" ht="20.100000000000001" customHeight="1" x14ac:dyDescent="0.2">
      <c r="A75"/>
    </row>
    <row r="76" spans="1:9" ht="20.100000000000001" customHeight="1" x14ac:dyDescent="0.2">
      <c r="A76"/>
    </row>
    <row r="77" spans="1:9" ht="20.100000000000001" customHeight="1" x14ac:dyDescent="0.2">
      <c r="A77"/>
    </row>
    <row r="78" spans="1:9" ht="20.100000000000001" customHeight="1" x14ac:dyDescent="0.2">
      <c r="A78"/>
      <c r="D78" s="78"/>
    </row>
    <row r="79" spans="1:9" ht="20.100000000000001" customHeight="1" x14ac:dyDescent="0.2">
      <c r="A79"/>
      <c r="D79" s="78"/>
    </row>
    <row r="80" spans="1:9" ht="20.100000000000001" customHeight="1" x14ac:dyDescent="0.2">
      <c r="A80"/>
      <c r="D80" s="78"/>
    </row>
    <row r="81" spans="1:4" ht="20.100000000000001" customHeight="1" x14ac:dyDescent="0.2">
      <c r="A81"/>
      <c r="D81" s="78"/>
    </row>
    <row r="82" spans="1:4" ht="20.100000000000001" customHeight="1" x14ac:dyDescent="0.2">
      <c r="A82"/>
      <c r="D82" s="78"/>
    </row>
    <row r="83" spans="1:4" ht="20.100000000000001" customHeight="1" x14ac:dyDescent="0.2">
      <c r="A83"/>
    </row>
    <row r="84" spans="1:4" ht="20.100000000000001" customHeight="1" x14ac:dyDescent="0.2">
      <c r="A84"/>
    </row>
    <row r="85" spans="1:4" ht="20.100000000000001" customHeight="1" x14ac:dyDescent="0.2">
      <c r="A85"/>
    </row>
    <row r="86" spans="1:4" ht="20.100000000000001" customHeight="1" x14ac:dyDescent="0.2">
      <c r="A86"/>
    </row>
    <row r="87" spans="1:4" ht="20.100000000000001" customHeight="1" x14ac:dyDescent="0.2">
      <c r="A87"/>
    </row>
    <row r="88" spans="1:4" ht="20.100000000000001" customHeight="1" x14ac:dyDescent="0.2">
      <c r="A88"/>
    </row>
    <row r="89" spans="1:4" ht="20.100000000000001" customHeight="1" x14ac:dyDescent="0.2">
      <c r="A89"/>
    </row>
    <row r="90" spans="1:4" ht="20.100000000000001" customHeight="1" x14ac:dyDescent="0.2">
      <c r="A90"/>
    </row>
    <row r="91" spans="1:4" ht="20.100000000000001" customHeight="1" x14ac:dyDescent="0.2">
      <c r="A91"/>
    </row>
    <row r="92" spans="1:4" ht="20.100000000000001" customHeight="1" x14ac:dyDescent="0.2">
      <c r="A92"/>
    </row>
    <row r="93" spans="1:4" ht="20.100000000000001" customHeight="1" x14ac:dyDescent="0.2">
      <c r="A93"/>
    </row>
    <row r="94" spans="1:4" ht="20.100000000000001" customHeight="1" x14ac:dyDescent="0.2">
      <c r="A94"/>
    </row>
    <row r="95" spans="1:4" ht="20.100000000000001" customHeight="1" x14ac:dyDescent="0.2">
      <c r="A95"/>
    </row>
    <row r="96" spans="1:4" ht="20.100000000000001" customHeight="1" x14ac:dyDescent="0.2">
      <c r="A96"/>
    </row>
    <row r="97" spans="1:1" ht="20.100000000000001" customHeight="1" x14ac:dyDescent="0.2">
      <c r="A97"/>
    </row>
    <row r="98" spans="1:1" ht="20.100000000000001" customHeight="1" x14ac:dyDescent="0.2">
      <c r="A98"/>
    </row>
    <row r="99" spans="1:1" ht="20.100000000000001" customHeight="1" x14ac:dyDescent="0.2">
      <c r="A99"/>
    </row>
    <row r="100" spans="1:1" ht="20.100000000000001" customHeight="1" x14ac:dyDescent="0.2">
      <c r="A100"/>
    </row>
    <row r="101" spans="1:1" ht="20.100000000000001" customHeight="1" x14ac:dyDescent="0.2">
      <c r="A101"/>
    </row>
    <row r="102" spans="1:1" ht="20.100000000000001" customHeight="1" x14ac:dyDescent="0.2">
      <c r="A102"/>
    </row>
    <row r="103" spans="1:1" ht="20.100000000000001" customHeight="1" x14ac:dyDescent="0.2">
      <c r="A103"/>
    </row>
    <row r="104" spans="1:1" ht="20.100000000000001" customHeight="1" x14ac:dyDescent="0.2">
      <c r="A104"/>
    </row>
    <row r="105" spans="1:1" ht="20.100000000000001" customHeight="1" x14ac:dyDescent="0.2">
      <c r="A105"/>
    </row>
    <row r="106" spans="1:1" ht="20.100000000000001" customHeight="1" x14ac:dyDescent="0.2">
      <c r="A106"/>
    </row>
    <row r="107" spans="1:1" ht="20.100000000000001" customHeight="1" x14ac:dyDescent="0.2">
      <c r="A107"/>
    </row>
    <row r="108" spans="1:1" ht="20.100000000000001" customHeight="1" x14ac:dyDescent="0.2">
      <c r="A108"/>
    </row>
    <row r="109" spans="1:1" ht="20.100000000000001" customHeight="1" x14ac:dyDescent="0.2">
      <c r="A109"/>
    </row>
    <row r="110" spans="1:1" ht="20.100000000000001" customHeight="1" x14ac:dyDescent="0.2">
      <c r="A110"/>
    </row>
    <row r="111" spans="1:1" ht="20.100000000000001" customHeight="1" x14ac:dyDescent="0.2">
      <c r="A111"/>
    </row>
    <row r="112" spans="1:1" ht="20.100000000000001" customHeight="1" x14ac:dyDescent="0.2">
      <c r="A112"/>
    </row>
    <row r="113" spans="1:1" ht="20.100000000000001" customHeight="1" x14ac:dyDescent="0.2">
      <c r="A113"/>
    </row>
    <row r="114" spans="1:1" ht="20.100000000000001" customHeight="1" x14ac:dyDescent="0.2">
      <c r="A114"/>
    </row>
    <row r="115" spans="1:1" ht="20.100000000000001" customHeight="1" x14ac:dyDescent="0.2">
      <c r="A115"/>
    </row>
    <row r="116" spans="1:1" ht="20.100000000000001" customHeight="1" x14ac:dyDescent="0.2">
      <c r="A116"/>
    </row>
    <row r="117" spans="1:1" ht="20.100000000000001" customHeight="1" x14ac:dyDescent="0.2">
      <c r="A117"/>
    </row>
    <row r="118" spans="1:1" ht="20.100000000000001" customHeight="1" x14ac:dyDescent="0.2">
      <c r="A118"/>
    </row>
    <row r="119" spans="1:1" ht="20.100000000000001" customHeight="1" x14ac:dyDescent="0.2">
      <c r="A119"/>
    </row>
    <row r="120" spans="1:1" ht="20.100000000000001" customHeight="1" x14ac:dyDescent="0.2">
      <c r="A120"/>
    </row>
    <row r="121" spans="1:1" ht="20.100000000000001" customHeight="1" x14ac:dyDescent="0.2">
      <c r="A121"/>
    </row>
    <row r="122" spans="1:1" ht="20.100000000000001" customHeight="1" x14ac:dyDescent="0.2">
      <c r="A122"/>
    </row>
    <row r="123" spans="1:1" ht="20.100000000000001" customHeight="1" x14ac:dyDescent="0.2">
      <c r="A123"/>
    </row>
    <row r="124" spans="1:1" ht="20.100000000000001" customHeight="1" x14ac:dyDescent="0.2">
      <c r="A124"/>
    </row>
    <row r="125" spans="1:1" ht="20.100000000000001" customHeight="1" x14ac:dyDescent="0.2">
      <c r="A125"/>
    </row>
    <row r="126" spans="1:1" ht="20.100000000000001" customHeight="1" x14ac:dyDescent="0.2">
      <c r="A126"/>
    </row>
    <row r="127" spans="1:1" ht="20.100000000000001" customHeight="1" x14ac:dyDescent="0.2">
      <c r="A127"/>
    </row>
    <row r="128" spans="1:1" ht="20.100000000000001" customHeight="1" x14ac:dyDescent="0.2">
      <c r="A128"/>
    </row>
    <row r="129" spans="1:1" ht="20.100000000000001" customHeight="1" x14ac:dyDescent="0.2">
      <c r="A129"/>
    </row>
    <row r="130" spans="1:1" ht="20.100000000000001" customHeight="1" x14ac:dyDescent="0.2">
      <c r="A130"/>
    </row>
    <row r="131" spans="1:1" ht="20.100000000000001" customHeight="1" x14ac:dyDescent="0.2">
      <c r="A131"/>
    </row>
    <row r="132" spans="1:1" ht="20.100000000000001" customHeight="1" x14ac:dyDescent="0.2">
      <c r="A132"/>
    </row>
    <row r="133" spans="1:1" ht="20.100000000000001" customHeight="1" x14ac:dyDescent="0.2">
      <c r="A133"/>
    </row>
    <row r="134" spans="1:1" ht="20.100000000000001" customHeight="1" x14ac:dyDescent="0.2">
      <c r="A134"/>
    </row>
    <row r="135" spans="1:1" ht="20.100000000000001" customHeight="1" x14ac:dyDescent="0.2">
      <c r="A135"/>
    </row>
    <row r="136" spans="1:1" ht="20.100000000000001" customHeight="1" x14ac:dyDescent="0.2">
      <c r="A136"/>
    </row>
    <row r="137" spans="1:1" ht="20.100000000000001" customHeight="1" x14ac:dyDescent="0.2">
      <c r="A137"/>
    </row>
    <row r="138" spans="1:1" ht="20.100000000000001" customHeight="1" x14ac:dyDescent="0.2">
      <c r="A138"/>
    </row>
    <row r="139" spans="1:1" ht="20.100000000000001" customHeight="1" x14ac:dyDescent="0.2">
      <c r="A139"/>
    </row>
    <row r="140" spans="1:1" ht="20.100000000000001" customHeight="1" x14ac:dyDescent="0.2">
      <c r="A140"/>
    </row>
    <row r="141" spans="1:1" ht="20.100000000000001" customHeight="1" x14ac:dyDescent="0.2">
      <c r="A141"/>
    </row>
    <row r="142" spans="1:1" ht="20.100000000000001" customHeight="1" x14ac:dyDescent="0.2">
      <c r="A142"/>
    </row>
    <row r="143" spans="1:1" ht="20.100000000000001" customHeight="1" x14ac:dyDescent="0.2">
      <c r="A143"/>
    </row>
    <row r="144" spans="1:1"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sheetPr>
    <tabColor theme="5" tint="-0.249977111117893"/>
  </sheetPr>
  <dimension ref="A1:H361"/>
  <sheetViews>
    <sheetView showGridLines="0" zoomScaleNormal="100" workbookViewId="0">
      <selection activeCell="E18" sqref="E18"/>
    </sheetView>
  </sheetViews>
  <sheetFormatPr defaultRowHeight="20.100000000000001" customHeight="1" x14ac:dyDescent="0.2"/>
  <cols>
    <col min="1" max="1" width="30.7109375" customWidth="1"/>
    <col min="2" max="2" width="4.7109375" customWidth="1"/>
    <col min="3" max="3" width="4.7109375" style="1" customWidth="1"/>
    <col min="4" max="4" width="52.140625" style="1" customWidth="1"/>
    <col min="5" max="7" width="30.7109375" style="1" customWidth="1"/>
    <col min="8" max="8" width="4.7109375" style="1" customWidth="1"/>
    <col min="9" max="9" width="4.7109375" customWidth="1"/>
  </cols>
  <sheetData>
    <row r="1" spans="1:8" s="60" customFormat="1" ht="30" customHeight="1" x14ac:dyDescent="0.35">
      <c r="A1" s="60" t="e" vm="1">
        <v>#VALUE!</v>
      </c>
      <c r="C1" s="60" t="s">
        <v>129</v>
      </c>
    </row>
    <row r="2" spans="1:8" s="9" customFormat="1" ht="20.100000000000001" customHeight="1" x14ac:dyDescent="0.2">
      <c r="A2"/>
    </row>
    <row r="3" spans="1:8" ht="20.100000000000001" customHeight="1" x14ac:dyDescent="0.2">
      <c r="A3" s="17" t="str">
        <f>HYPERLINK("#'Home'!A1", "Home")</f>
        <v>Home</v>
      </c>
      <c r="C3" s="15"/>
      <c r="D3" s="15"/>
      <c r="E3" s="15"/>
      <c r="F3" s="15"/>
      <c r="G3" s="15"/>
      <c r="H3" s="15"/>
    </row>
    <row r="4" spans="1:8" ht="20.100000000000001" customHeight="1" x14ac:dyDescent="0.2">
      <c r="A4" s="17" t="str">
        <f>HYPERLINK("#'Overview'!A1", "Overview")</f>
        <v>Overview</v>
      </c>
    </row>
    <row r="5" spans="1:8" ht="20.100000000000001" customHeight="1" x14ac:dyDescent="0.2">
      <c r="A5" s="17" t="str">
        <f>HYPERLINK("#'Results'!A1", "Results")</f>
        <v>Results</v>
      </c>
      <c r="D5" s="6" t="s">
        <v>130</v>
      </c>
    </row>
    <row r="7" spans="1:8" ht="20.100000000000001" customHeight="1" x14ac:dyDescent="0.2">
      <c r="D7" s="86" t="s">
        <v>131</v>
      </c>
      <c r="E7" s="87"/>
      <c r="F7" s="87"/>
      <c r="G7" s="81"/>
    </row>
    <row r="8" spans="1:8" ht="20.100000000000001" customHeight="1" x14ac:dyDescent="0.2">
      <c r="A8" s="19" t="s">
        <v>0</v>
      </c>
    </row>
    <row r="9" spans="1:8" ht="20.100000000000001" customHeight="1" x14ac:dyDescent="0.2">
      <c r="A9" s="17" t="str">
        <f>HYPERLINK("#'Input - Site'!A1", "Site")</f>
        <v>Site</v>
      </c>
      <c r="D9" s="1" t="s">
        <v>109</v>
      </c>
      <c r="E9" s="38" t="s">
        <v>132</v>
      </c>
      <c r="F9" s="2" t="s">
        <v>133</v>
      </c>
    </row>
    <row r="10" spans="1:8" ht="20.100000000000001" customHeight="1" x14ac:dyDescent="0.2">
      <c r="A10" s="104" t="str">
        <f>HYPERLINK("#'Input - Crop'!A1", "Crop")</f>
        <v>Crop</v>
      </c>
      <c r="D10" s="1" t="s">
        <v>134</v>
      </c>
      <c r="E10" s="38" t="s">
        <v>170</v>
      </c>
      <c r="F10" s="2" t="s">
        <v>133</v>
      </c>
    </row>
    <row r="11" spans="1:8" ht="20.100000000000001" customHeight="1" x14ac:dyDescent="0.2">
      <c r="A11" s="17" t="str">
        <f>HYPERLINK("#'Input - Pasture'!A1", "Pasture")</f>
        <v>Pasture</v>
      </c>
      <c r="D11" s="10" t="s">
        <v>85</v>
      </c>
      <c r="E11" s="38" t="s">
        <v>107</v>
      </c>
      <c r="F11" s="2" t="s">
        <v>133</v>
      </c>
    </row>
    <row r="13" spans="1:8" ht="20.100000000000001" customHeight="1" x14ac:dyDescent="0.2">
      <c r="D13" s="1" t="s">
        <v>110</v>
      </c>
      <c r="E13" s="129">
        <v>1000</v>
      </c>
      <c r="F13" s="2" t="s">
        <v>135</v>
      </c>
    </row>
    <row r="14" spans="1:8" ht="20.100000000000001" customHeight="1" x14ac:dyDescent="0.2">
      <c r="A14" s="18" t="s">
        <v>68</v>
      </c>
    </row>
    <row r="15" spans="1:8" ht="20.100000000000001" customHeight="1" x14ac:dyDescent="0.2">
      <c r="A15" s="17" t="str">
        <f>HYPERLINK("#'6.1.1.1-2 Crop residue N2O'!A1", "6.1.1.1-2 Crop residue N2O")</f>
        <v>6.1.1.1-2 Crop residue N2O</v>
      </c>
      <c r="D15" s="6" t="s">
        <v>136</v>
      </c>
    </row>
    <row r="16" spans="1:8" ht="20.100000000000001" customHeight="1" x14ac:dyDescent="0.2">
      <c r="A16" s="17" t="str">
        <f>HYPERLINK("#'6.2.1.1-2 Pasture residue N2O'!A1", "6.2.1.1-2 Pasture residue N2O")</f>
        <v>6.2.1.1-2 Pasture residue N2O</v>
      </c>
    </row>
    <row r="17" spans="1:6" ht="20.100000000000001" customHeight="1" x14ac:dyDescent="0.2">
      <c r="A17" s="17" t="str">
        <f>HYPERLINK("#'6.3.1.1-2 Leaching and runoff'!A1", "6.3.1.1-2 Leaching and runoff")</f>
        <v>6.3.1.1-2 Leaching and runoff</v>
      </c>
      <c r="D17" s="1" t="str">
        <f>X_Cell_Crop_CropPurpose &amp; " " &amp; _xlfn.XLOOKUP(X_Cell_Crop_CropPurpose,Table_SourceData_CropPurposeAndYields[Purpose], Table_SourceData_CropPurposeAndYields[harvest term]) &amp; " per hectare¹"</f>
        <v>Cash grain crop yield per hectare¹</v>
      </c>
      <c r="E17" s="112">
        <v>10</v>
      </c>
      <c r="F17" s="2" t="str">
        <f>"Tonnes " &amp; _xlfn.XLOOKUP(X_Cell_Crop_CropPurpose, Table_SourceData_CropPurposeAndYields[Purpose], Table_SourceData_CropPurposeAndYields[Per hectare unit], FALSE) &amp; " per hectare"</f>
        <v>Tonnes grain per hectare</v>
      </c>
    </row>
    <row r="18" spans="1:6" ht="20.100000000000001" customHeight="1" x14ac:dyDescent="0.2">
      <c r="A18" s="17" t="str">
        <f>HYPERLINK("#'6.3.1.1-2 Leach runoff crop'!A1", "6.3.1.1-2 Leach runoff crop")</f>
        <v>6.3.1.1-2 Leach runoff crop</v>
      </c>
      <c r="D18" s="1" t="s">
        <v>226</v>
      </c>
      <c r="E18" s="49">
        <f>_xlfn.IFS(X_Cell_Crop_CropPurpose="Cash grain crop", Common_InputFunctions.Utility_LookupValueInTableNumber(X_Cell_Crop_CropType, Table_SourceData_CropAttributes[Crop type],Table_SourceData_CropAttributes[Residue: Crop ratio]), X_Cell_Crop_CropPurpose="Cash crop for hay/silage", 0, X_Cell_Crop_CropPurpose="Cover crop", 1)</f>
        <v>1.5</v>
      </c>
    </row>
    <row r="19" spans="1:6" ht="20.100000000000001" customHeight="1" x14ac:dyDescent="0.2">
      <c r="A19" s="17" t="str">
        <f>HYPERLINK("#'6.3.1.1-2 Leach runoff pasture'!A1", "6.3.1.1-2 Leach runoff pasture")</f>
        <v>6.3.1.1-2 Leach runoff pasture</v>
      </c>
      <c r="D19" s="1" t="s">
        <v>139</v>
      </c>
      <c r="E19" s="49">
        <f>X_Cell_Crop_YieldPerHectare*E18</f>
        <v>15</v>
      </c>
      <c r="F19" s="2" t="s">
        <v>138</v>
      </c>
    </row>
    <row r="20" spans="1:6" ht="20.100000000000001" customHeight="1" x14ac:dyDescent="0.2">
      <c r="A20" s="17" t="str">
        <f>HYPERLINK("#'6.4.1.1-2 Residue burning'!A1", "6.4.1.1-2 Residue burning")</f>
        <v>6.4.1.1-2 Residue burning</v>
      </c>
      <c r="D20" s="1" t="s">
        <v>137</v>
      </c>
      <c r="E20" s="49">
        <f>X_Cell_Crop_YieldPerHectare+E19</f>
        <v>25</v>
      </c>
      <c r="F20" s="2" t="s">
        <v>138</v>
      </c>
    </row>
    <row r="22" spans="1:6" ht="20.100000000000001" customHeight="1" x14ac:dyDescent="0.2">
      <c r="D22" s="50" t="s">
        <v>227</v>
      </c>
      <c r="E22" s="49">
        <f>X_Cell_Crop_YieldPerHectare*X_Cell_Crop_AreaUnderCropping</f>
        <v>10000</v>
      </c>
      <c r="F22" s="2" t="str">
        <f>"Tonnes " &amp; _xlfn.XLOOKUP(X_Cell_Crop_CropPurpose, Table_SourceData_CropPurposeAndYields[Purpose], Table_SourceData_CropPurposeAndYields[Harvest uit], FALSE)</f>
        <v>Tonnes grain</v>
      </c>
    </row>
    <row r="23" spans="1:6" ht="20.100000000000001" customHeight="1" x14ac:dyDescent="0.2">
      <c r="A23" s="141" t="s">
        <v>1</v>
      </c>
    </row>
    <row r="24" spans="1:6" ht="20.100000000000001" customHeight="1" x14ac:dyDescent="0.2">
      <c r="A24" s="17" t="str">
        <f>HYPERLINK("#'Constants - Ag Residue'!A1", "Constants - Ag Residue")</f>
        <v>Constants - Ag Residue</v>
      </c>
      <c r="D24" s="96" t="str">
        <f>"¹ " &amp; _xlfn.XLOOKUP(X_Cell_Crop_CropPurpose, Table_SourceData_CropPurposeAndYields[Purpose],Table_SourceData_CropPurposeAndYields[Yield note])</f>
        <v>¹ Yield is the grain harvested from the plant</v>
      </c>
    </row>
    <row r="25" spans="1:6" ht="20.100000000000001" customHeight="1" x14ac:dyDescent="0.2">
      <c r="A25" s="17" t="str">
        <f>HYPERLINK("#'Constants - Common'!A1", "Constants - Common")</f>
        <v>Constants - Common</v>
      </c>
      <c r="D25" s="96" t="str">
        <f>"² " &amp; _xlfn.XLOOKUP(X_Cell_Crop_CropPurpose, Table_SourceData_CropPurposeAndYields[Purpose],Table_SourceData_CropPurposeAndYields[Residue crop ratio note])</f>
        <v>² Residue to crop ratio is provided from default values</v>
      </c>
    </row>
    <row r="26" spans="1:6" ht="20.100000000000001" customHeight="1" x14ac:dyDescent="0.2">
      <c r="D26" s="96" t="str">
        <f>"³ " &amp; _xlfn.XLOOKUP(X_Cell_Crop_CropPurpose,Table_SourceData_CropPurposeAndYields[Purpose],Table_SourceData_CropPurposeAndYields[Total production note])</f>
        <v>³ Total production is the total grain harvested</v>
      </c>
    </row>
    <row r="28" spans="1:6" ht="20.100000000000001" customHeight="1" x14ac:dyDescent="0.2">
      <c r="D28" s="6" t="s">
        <v>140</v>
      </c>
    </row>
    <row r="30" spans="1:6" ht="20.100000000000001" customHeight="1" x14ac:dyDescent="0.2">
      <c r="D30" s="1" t="str">
        <f>"Residue after " &amp; VLOOKUP(X_Cell_Crop_CropPurpose,'Constants - Ag Residue'!D8:G10, 4, FALSE)</f>
        <v>Residue after harvest</v>
      </c>
      <c r="E30" s="49">
        <f>E19*X_Cell_Crop_AreaUnderCropping</f>
        <v>15000</v>
      </c>
      <c r="F30" s="2" t="s">
        <v>141</v>
      </c>
    </row>
    <row r="32" spans="1:6" ht="20.100000000000001" customHeight="1" x14ac:dyDescent="0.2">
      <c r="D32" s="45" t="s">
        <v>142</v>
      </c>
    </row>
    <row r="33" spans="1:8" ht="20.100000000000001" customHeight="1" x14ac:dyDescent="0.2">
      <c r="D33" s="1" t="s">
        <v>143</v>
      </c>
      <c r="E33" s="120">
        <v>0.11</v>
      </c>
      <c r="F33" s="2" t="s">
        <v>144</v>
      </c>
    </row>
    <row r="34" spans="1:8" ht="20.100000000000001" customHeight="1" x14ac:dyDescent="0.2">
      <c r="D34" s="1" t="s">
        <v>145</v>
      </c>
      <c r="E34" s="112">
        <v>60</v>
      </c>
      <c r="F34" s="2" t="s">
        <v>146</v>
      </c>
    </row>
    <row r="35" spans="1:8" ht="20.100000000000001" customHeight="1" x14ac:dyDescent="0.2">
      <c r="D35" s="50" t="s">
        <v>147</v>
      </c>
      <c r="E35" s="131">
        <f>IFERROR((X_Cell_Crop_TotalResidueBaled*10^3)/X_Cell_Crop_AverageWeightPerBale, 0)</f>
        <v>27500</v>
      </c>
      <c r="F35" s="2" t="s">
        <v>148</v>
      </c>
    </row>
    <row r="36" spans="1:8" ht="20.100000000000001" customHeight="1" x14ac:dyDescent="0.2">
      <c r="D36" s="50" t="s">
        <v>149</v>
      </c>
      <c r="E36" s="49">
        <f>E30*X_Cell_Crop_PercentResidueBaled</f>
        <v>1650</v>
      </c>
      <c r="F36" s="2" t="s">
        <v>141</v>
      </c>
    </row>
    <row r="37" spans="1:8" ht="20.100000000000001" customHeight="1" x14ac:dyDescent="0.2">
      <c r="C37" s="110"/>
    </row>
    <row r="38" spans="1:8" ht="20.100000000000001" customHeight="1" x14ac:dyDescent="0.2">
      <c r="C38" s="110"/>
      <c r="D38" s="45" t="s">
        <v>150</v>
      </c>
    </row>
    <row r="39" spans="1:8" ht="20.100000000000001" customHeight="1" x14ac:dyDescent="0.2">
      <c r="D39" s="1" t="s">
        <v>151</v>
      </c>
      <c r="E39" s="120">
        <v>0.3</v>
      </c>
      <c r="F39" s="2" t="s">
        <v>144</v>
      </c>
    </row>
    <row r="40" spans="1:8" s="111" customFormat="1" ht="20.100000000000001" customHeight="1" x14ac:dyDescent="0.2">
      <c r="A40"/>
      <c r="C40" s="1"/>
      <c r="D40" s="1" t="s">
        <v>152</v>
      </c>
      <c r="E40" s="49">
        <f>E30*X_Cell_Crop_PercentResidueBurned</f>
        <v>4500</v>
      </c>
      <c r="F40" s="2" t="s">
        <v>141</v>
      </c>
      <c r="G40" s="1"/>
      <c r="H40" s="1"/>
    </row>
    <row r="41" spans="1:8" s="111" customFormat="1" ht="20.100000000000001" customHeight="1" x14ac:dyDescent="0.2">
      <c r="A41"/>
      <c r="C41" s="1"/>
      <c r="D41" s="1"/>
      <c r="E41" s="1"/>
      <c r="F41" s="1"/>
      <c r="G41" s="1"/>
      <c r="H41" s="1"/>
    </row>
    <row r="42" spans="1:8" ht="20.100000000000001" customHeight="1" x14ac:dyDescent="0.2">
      <c r="D42" s="1" t="s">
        <v>153</v>
      </c>
      <c r="E42" s="49">
        <f>E30-X_Cell_Crop_TotalResidueBaled-E40</f>
        <v>8850</v>
      </c>
      <c r="F42" s="2" t="s">
        <v>141</v>
      </c>
    </row>
    <row r="48" spans="1:8" ht="20.100000000000001" customHeight="1" x14ac:dyDescent="0.2">
      <c r="D48" s="6"/>
    </row>
    <row r="50" spans="4:6" ht="20.100000000000001" customHeight="1" x14ac:dyDescent="0.2">
      <c r="D50" s="10"/>
      <c r="F50" s="2"/>
    </row>
    <row r="361" spans="4:4" ht="20.100000000000001" customHeight="1" x14ac:dyDescent="0.2">
      <c r="D361" s="96"/>
    </row>
  </sheetData>
  <conditionalFormatting sqref="E210:G210">
    <cfRule type="cellIs" dxfId="12" priority="79" operator="lessThan">
      <formula>0</formula>
    </cfRule>
  </conditionalFormatting>
  <conditionalFormatting sqref="F42">
    <cfRule type="cellIs" dxfId="11" priority="62" operator="lessThan">
      <formula>0</formula>
    </cfRule>
  </conditionalFormatting>
  <conditionalFormatting sqref="F126:F127">
    <cfRule type="cellIs" dxfId="10" priority="21" operator="lessThan">
      <formula>0</formula>
    </cfRule>
  </conditionalFormatting>
  <conditionalFormatting sqref="F138:F139">
    <cfRule type="cellIs" dxfId="9" priority="20" operator="lessThan">
      <formula>0</formula>
    </cfRule>
  </conditionalFormatting>
  <conditionalFormatting sqref="F150:F151">
    <cfRule type="cellIs" dxfId="8" priority="19" operator="lessThan">
      <formula>0</formula>
    </cfRule>
  </conditionalFormatting>
  <conditionalFormatting sqref="F162:F163">
    <cfRule type="cellIs" dxfId="7" priority="18" operator="lessThan">
      <formula>0</formula>
    </cfRule>
  </conditionalFormatting>
  <conditionalFormatting sqref="F250:F251">
    <cfRule type="cellIs" dxfId="6" priority="93" operator="lessThan">
      <formula>0</formula>
    </cfRule>
  </conditionalFormatting>
  <conditionalFormatting sqref="F255:F256">
    <cfRule type="cellIs" dxfId="5" priority="92" operator="lessThan">
      <formula>0</formula>
    </cfRule>
  </conditionalFormatting>
  <conditionalFormatting sqref="F260:F261">
    <cfRule type="cellIs" dxfId="4" priority="91" operator="lessThan">
      <formula>0</formula>
    </cfRule>
  </conditionalFormatting>
  <conditionalFormatting sqref="F284:F285">
    <cfRule type="cellIs" dxfId="3" priority="85" operator="lessThan">
      <formula>0</formula>
    </cfRule>
  </conditionalFormatting>
  <conditionalFormatting sqref="F289:F290">
    <cfRule type="cellIs" dxfId="2" priority="84" operator="lessThan">
      <formula>0</formula>
    </cfRule>
  </conditionalFormatting>
  <conditionalFormatting sqref="F294:F295">
    <cfRule type="cellIs" dxfId="1" priority="83" operator="lessThan">
      <formula>0</formula>
    </cfRule>
  </conditionalFormatting>
  <dataValidations count="8">
    <dataValidation type="list" allowBlank="1" showInputMessage="1" showErrorMessage="1" sqref="D277" xr:uid="{4E913AB3-F90B-4C35-BCE1-5DBB8FC05107}">
      <formula1>INDIRECT("Table_SourceData_PoultryMMSStage1[MMS]")</formula1>
    </dataValidation>
    <dataValidation type="list" allowBlank="1" showInputMessage="1" showErrorMessage="1" sqref="E225" xr:uid="{9FB53635-991F-44AA-A123-E8ABEF9EE0A6}">
      <formula1>INDIRECT("Table_SourceData_Dairy_ProductionSystemTemplates[Area]")</formula1>
    </dataValidation>
    <dataValidation type="list" allowBlank="1" showInputMessage="1" showErrorMessage="1" sqref="E249 E254 E259 E293 E288 E283 E161 E149 E125 E137" xr:uid="{00A4EA4C-90D3-4150-979D-4D71C7F37A31}">
      <formula1>"Yes, No"</formula1>
    </dataValidation>
    <dataValidation type="list" allowBlank="1" showInputMessage="1" showErrorMessage="1" sqref="E65" xr:uid="{DBA884B0-B52E-420E-8FD2-21B082EB75E2}">
      <formula1>INDIRECT("Table_SourceData_Swine_IrrigationMethods[Irrigation method]")</formula1>
    </dataValidation>
    <dataValidation type="list" allowBlank="1" showInputMessage="1" showErrorMessage="1" sqref="E64" xr:uid="{B95E29DC-96D0-4475-A29E-3F3A3B60CEA1}">
      <formula1>INDIRECT("Table_SourceData_Swine_CropProdSystems[Production system]")</formula1>
    </dataValidation>
    <dataValidation type="list" allowBlank="1" showInputMessage="1" showErrorMessage="1" sqref="E10" xr:uid="{592DACDE-0EAE-4ADF-A3F2-183C51E20C70}">
      <formula1>INDIRECT("Table_SourceData_CropPurposeAndYields[Purpose]")</formula1>
    </dataValidation>
    <dataValidation type="list" allowBlank="1" showInputMessage="1" showErrorMessage="1" sqref="E9" xr:uid="{2C3CA787-BB6D-4639-BF2A-0185599765E7}">
      <formula1>INDIRECT("Table_SourceData_CropAttributes[Crop type]")</formula1>
    </dataValidation>
    <dataValidation type="list" allowBlank="1" showInputMessage="1" showErrorMessage="1" sqref="E11" xr:uid="{9CB8E160-F682-4FAB-8A2E-FE2008746B2B}">
      <formula1>INDIRECT("Table_SourceData_Fertiliser_IrrigationMethods[Irrigation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446E5-1B14-4357-B6E7-A941464E9D52}">
  <sheetPr>
    <tabColor theme="5" tint="-0.249977111117893"/>
  </sheetPr>
  <dimension ref="A1:G25"/>
  <sheetViews>
    <sheetView showGridLines="0" zoomScaleNormal="100" workbookViewId="0">
      <selection activeCell="A25" sqref="A25"/>
    </sheetView>
  </sheetViews>
  <sheetFormatPr defaultRowHeight="20.100000000000001" customHeight="1" x14ac:dyDescent="0.2"/>
  <cols>
    <col min="1" max="1" width="30.7109375" customWidth="1"/>
    <col min="2" max="2" width="4.7109375" customWidth="1"/>
    <col min="3" max="3" width="4.7109375" style="1" customWidth="1"/>
    <col min="4" max="4" width="50.7109375" style="1" customWidth="1"/>
    <col min="5" max="6" width="30.7109375" style="1" customWidth="1"/>
    <col min="7" max="7" width="4.7109375" style="1" customWidth="1"/>
  </cols>
  <sheetData>
    <row r="1" spans="1:7" ht="30" customHeight="1" x14ac:dyDescent="0.35">
      <c r="A1" s="60" t="e" vm="1">
        <v>#VALUE!</v>
      </c>
      <c r="C1" s="60" t="s">
        <v>192</v>
      </c>
      <c r="D1" s="60"/>
      <c r="E1" s="60"/>
      <c r="F1" s="60"/>
      <c r="G1" s="60"/>
    </row>
    <row r="2" spans="1:7" ht="20.100000000000001" customHeight="1" x14ac:dyDescent="0.2">
      <c r="C2" s="9"/>
      <c r="D2" s="9"/>
      <c r="E2" s="9"/>
      <c r="F2" s="9"/>
      <c r="G2" s="9"/>
    </row>
    <row r="3" spans="1:7" ht="20.100000000000001" customHeight="1" x14ac:dyDescent="0.2">
      <c r="A3" s="17" t="str">
        <f>HYPERLINK("#'Home'!A1", "Home")</f>
        <v>Home</v>
      </c>
      <c r="C3" s="15"/>
      <c r="D3" s="15"/>
      <c r="E3" s="15"/>
      <c r="F3" s="15"/>
      <c r="G3" s="15"/>
    </row>
    <row r="4" spans="1:7" ht="20.100000000000001" customHeight="1" x14ac:dyDescent="0.2">
      <c r="A4" s="17" t="str">
        <f>HYPERLINK("#'Overview'!A1", "Overview")</f>
        <v>Overview</v>
      </c>
    </row>
    <row r="5" spans="1:7" ht="20.100000000000001" customHeight="1" x14ac:dyDescent="0.2">
      <c r="A5" s="17" t="str">
        <f>HYPERLINK("#'Results'!A1", "Results")</f>
        <v>Results</v>
      </c>
      <c r="D5" s="6" t="s">
        <v>130</v>
      </c>
    </row>
    <row r="7" spans="1:7" ht="20.100000000000001" customHeight="1" x14ac:dyDescent="0.2">
      <c r="D7" s="20" t="s">
        <v>131</v>
      </c>
      <c r="E7" s="20"/>
      <c r="F7" s="20"/>
    </row>
    <row r="8" spans="1:7" ht="20.100000000000001" customHeight="1" x14ac:dyDescent="0.2">
      <c r="A8" s="19" t="s">
        <v>0</v>
      </c>
    </row>
    <row r="9" spans="1:7" ht="20.100000000000001" customHeight="1" x14ac:dyDescent="0.2">
      <c r="A9" s="17" t="str">
        <f>HYPERLINK("#'Input - Site'!A1", "Site")</f>
        <v>Site</v>
      </c>
      <c r="D9" s="1" t="s">
        <v>176</v>
      </c>
      <c r="E9" s="38" t="s">
        <v>217</v>
      </c>
      <c r="F9" s="2" t="s">
        <v>191</v>
      </c>
    </row>
    <row r="10" spans="1:7" ht="20.100000000000001" customHeight="1" x14ac:dyDescent="0.2">
      <c r="A10" s="17" t="str">
        <f>HYPERLINK("#'Input - Crop'!A1", "Crop")</f>
        <v>Crop</v>
      </c>
      <c r="D10" s="1" t="s">
        <v>85</v>
      </c>
      <c r="E10" s="38" t="s">
        <v>221</v>
      </c>
      <c r="F10" s="2" t="s">
        <v>191</v>
      </c>
    </row>
    <row r="11" spans="1:7" ht="20.100000000000001" customHeight="1" x14ac:dyDescent="0.2">
      <c r="A11" s="104" t="str">
        <f>HYPERLINK("#'Input - Pasture'!A1", "Pasture")</f>
        <v>Pasture</v>
      </c>
    </row>
    <row r="12" spans="1:7" ht="20.100000000000001" customHeight="1" x14ac:dyDescent="0.2">
      <c r="D12" s="1" t="s">
        <v>184</v>
      </c>
      <c r="E12" s="112">
        <v>1000</v>
      </c>
      <c r="F12" s="2" t="s">
        <v>135</v>
      </c>
    </row>
    <row r="14" spans="1:7" ht="20.100000000000001" customHeight="1" x14ac:dyDescent="0.2">
      <c r="A14" s="18" t="s">
        <v>68</v>
      </c>
      <c r="D14" s="6" t="s">
        <v>136</v>
      </c>
    </row>
    <row r="15" spans="1:7" ht="20.100000000000001" customHeight="1" x14ac:dyDescent="0.2">
      <c r="A15" s="17" t="str">
        <f>HYPERLINK("#'6.1.1.1-2 Crop residue N2O'!A1", "6.1.1.1-2 Crop residue N2O")</f>
        <v>6.1.1.1-2 Crop residue N2O</v>
      </c>
    </row>
    <row r="16" spans="1:7" ht="20.100000000000001" customHeight="1" x14ac:dyDescent="0.2">
      <c r="A16" s="17" t="str">
        <f>HYPERLINK("#'6.2.1.1-2 Pasture residue N2O'!A1", "6.2.1.1-2 Pasture residue N2O")</f>
        <v>6.2.1.1-2 Pasture residue N2O</v>
      </c>
      <c r="D16" s="130" t="s">
        <v>185</v>
      </c>
      <c r="E16" s="83"/>
      <c r="F16" s="79"/>
    </row>
    <row r="17" spans="1:6" ht="20.100000000000001" customHeight="1" x14ac:dyDescent="0.2">
      <c r="A17" s="17" t="str">
        <f>HYPERLINK("#'6.3.1.1-2 Leaching and runoff'!A1", "6.3.1.1-2 Leaching and runoff")</f>
        <v>6.3.1.1-2 Leaching and runoff</v>
      </c>
      <c r="D17" s="85" t="s">
        <v>186</v>
      </c>
      <c r="E17" s="82"/>
      <c r="F17" s="80"/>
    </row>
    <row r="18" spans="1:6" ht="20.100000000000001" customHeight="1" x14ac:dyDescent="0.2">
      <c r="A18" s="17" t="str">
        <f>HYPERLINK("#'6.3.1.1-2 Leach runoff crop'!A1", "6.3.1.1-2 Leach runoff crop")</f>
        <v>6.3.1.1-2 Leach runoff crop</v>
      </c>
    </row>
    <row r="19" spans="1:6" ht="20.100000000000001" customHeight="1" x14ac:dyDescent="0.2">
      <c r="A19" s="17" t="str">
        <f>HYPERLINK("#'6.3.1.1-2 Leach runoff pasture'!A1", "6.3.1.1-2 Leach runoff pasture")</f>
        <v>6.3.1.1-2 Leach runoff pasture</v>
      </c>
      <c r="D19" s="1" t="s">
        <v>187</v>
      </c>
      <c r="E19" s="112">
        <f>_xlfn.XLOOKUP(X_Cell_Pasture_PastureType, Table_SourceData_PastureAttributes[Pasture type],Table_SourceData_PastureAttributes[Average Yield (t DM ha) Yp])</f>
        <v>8.34</v>
      </c>
      <c r="F19" s="2" t="s">
        <v>188</v>
      </c>
    </row>
    <row r="20" spans="1:6" ht="20.100000000000001" customHeight="1" x14ac:dyDescent="0.2">
      <c r="A20" s="17" t="str">
        <f>HYPERLINK("#'6.4.1.1-2 Residue burning'!A1", "6.4.1.1-2 Residue burning")</f>
        <v>6.4.1.1-2 Residue burning</v>
      </c>
      <c r="D20" s="1" t="s">
        <v>189</v>
      </c>
      <c r="E20" s="49">
        <f>X_Cell_Pasture_AreaUnderPasture*X_Cell_Pasture_YieldPerHectare</f>
        <v>8340</v>
      </c>
      <c r="F20" s="2" t="s">
        <v>141</v>
      </c>
    </row>
    <row r="23" spans="1:6" ht="20.100000000000001" customHeight="1" x14ac:dyDescent="0.2">
      <c r="A23" s="141" t="s">
        <v>1</v>
      </c>
      <c r="D23" s="6" t="s">
        <v>140</v>
      </c>
    </row>
    <row r="24" spans="1:6" ht="20.100000000000001" customHeight="1" x14ac:dyDescent="0.2">
      <c r="A24" s="17" t="str">
        <f>HYPERLINK("#'Constants - Ag Residue'!A1", "Constants - Ag Residue")</f>
        <v>Constants - Ag Residue</v>
      </c>
    </row>
    <row r="25" spans="1:6" ht="20.100000000000001" customHeight="1" x14ac:dyDescent="0.2">
      <c r="A25" s="17" t="str">
        <f>HYPERLINK("#'Constants - Common'!A1", "Constants - Common")</f>
        <v>Constants - Common</v>
      </c>
      <c r="D25" s="1" t="s">
        <v>190</v>
      </c>
      <c r="E25" s="112">
        <v>500</v>
      </c>
      <c r="F25" s="2" t="s">
        <v>135</v>
      </c>
    </row>
  </sheetData>
  <conditionalFormatting sqref="D16:G16">
    <cfRule type="expression" dxfId="0" priority="1">
      <formula>$D$24&gt;$D$11</formula>
    </cfRule>
  </conditionalFormatting>
  <dataValidations count="2">
    <dataValidation type="list" allowBlank="1" showInputMessage="1" showErrorMessage="1" sqref="E9" xr:uid="{6A28EF6D-8A45-4725-BF96-0B0C797CE4BE}">
      <formula1>INDIRECT("Table_SourceData_PastureAttributes[Pasture type]")</formula1>
    </dataValidation>
    <dataValidation type="list" allowBlank="1" showInputMessage="1" showErrorMessage="1" sqref="E10" xr:uid="{FF0C78E2-6745-4837-B7E3-1C1338CAEED4}">
      <formula1>INDIRECT("Table_SourceData_Fertiliser_IrrigationMethods[Irrigation method]")</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sheetPr>
    <tabColor rgb="FF008000"/>
  </sheetPr>
  <dimension ref="A1:T342"/>
  <sheetViews>
    <sheetView showGridLines="0" topLeftCell="A6" zoomScaleNormal="100" workbookViewId="0">
      <selection activeCell="I14" sqref="I14"/>
    </sheetView>
  </sheetViews>
  <sheetFormatPr defaultRowHeight="20.100000000000001" customHeight="1" x14ac:dyDescent="0.2"/>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9" width="30.7109375" style="1" customWidth="1"/>
    <col min="20" max="20" width="4.7109375" style="1" customWidth="1"/>
  </cols>
  <sheetData>
    <row r="1" spans="1:20" s="8" customFormat="1" ht="30" customHeight="1" x14ac:dyDescent="0.35">
      <c r="A1" s="60" t="e" vm="1">
        <v>#VALUE!</v>
      </c>
      <c r="C1" s="8" t="s">
        <v>128</v>
      </c>
      <c r="K1"/>
    </row>
    <row r="2" spans="1:20" s="9" customFormat="1" ht="20.100000000000001" customHeight="1" x14ac:dyDescent="0.2">
      <c r="A2"/>
      <c r="K2"/>
    </row>
    <row r="3" spans="1:20" ht="20.100000000000001" customHeight="1" x14ac:dyDescent="0.2">
      <c r="A3" s="17" t="str">
        <f>HYPERLINK("#'Home'!A1", "Home")</f>
        <v>Home</v>
      </c>
      <c r="C3" s="4"/>
      <c r="D3" s="4" t="s">
        <v>79</v>
      </c>
      <c r="E3" s="4"/>
      <c r="F3" s="4"/>
      <c r="G3" s="4"/>
      <c r="H3" s="4"/>
      <c r="I3" s="4"/>
      <c r="J3" s="4"/>
      <c r="L3" s="4"/>
      <c r="M3" s="4" t="s">
        <v>80</v>
      </c>
      <c r="N3" s="4"/>
      <c r="O3" s="4"/>
      <c r="P3" s="4"/>
      <c r="Q3" s="4"/>
      <c r="R3" s="4"/>
      <c r="S3" s="4"/>
      <c r="T3" s="4"/>
    </row>
    <row r="4" spans="1:20" ht="20.100000000000001" customHeight="1" x14ac:dyDescent="0.2">
      <c r="A4" s="17" t="str">
        <f>HYPERLINK("#'Overview'!A1", "Overview")</f>
        <v>Overview</v>
      </c>
    </row>
    <row r="5" spans="1:20" ht="20.100000000000001" customHeight="1" x14ac:dyDescent="0.2">
      <c r="A5" s="17" t="str">
        <f>HYPERLINK("#'Results'!A1", "Results")</f>
        <v>Results</v>
      </c>
      <c r="D5" s="6" t="str" cm="1">
        <f t="array" ref="D5">AgResidue_Equations_CropResidue.VEERG_6_1_1_1__2__MassOfNitrogenInCropResidues_Title()</f>
        <v>Mass of nitrogen in crop residues returned to the soil</v>
      </c>
      <c r="E5" s="21"/>
      <c r="F5" s="21"/>
      <c r="G5" s="21"/>
      <c r="H5" s="21"/>
      <c r="L5" s="21"/>
      <c r="M5" s="6" t="str" cm="1">
        <f t="array" ref="M5">AgResidue_Equations_CropResidue.VEERG_6_1_1_2__1__FractionOfCropResidueRemovedBaled_Title()</f>
        <v>Fraction of crop residue that is removed for crop c, calculated where residues are baled</v>
      </c>
      <c r="N5" s="21"/>
      <c r="O5" s="21"/>
      <c r="P5" s="21"/>
      <c r="Q5" s="21"/>
    </row>
    <row r="6" spans="1:20" ht="20.100000000000001" customHeight="1" x14ac:dyDescent="0.2">
      <c r="D6" s="5" t="str" cm="1">
        <f t="array" ref="D6">AgResidue_Equations_CropResidue.VEERG_6_1_1_1__2__MassOfNitrogenInCropResidues_Source()</f>
        <v>VEERG 2026: 6.1.1.1, Equation (2)</v>
      </c>
      <c r="E6" s="21"/>
      <c r="F6" s="21"/>
      <c r="G6" s="21"/>
      <c r="H6" s="21"/>
      <c r="J6" s="21"/>
      <c r="L6" s="21"/>
      <c r="M6" s="5" t="str" cm="1">
        <f t="array" ref="M6">AgResidue_Equations_CropResidue.VEERG_6_1_1_2__1__FractionOfCropResidueRemovedBaled_Source()</f>
        <v>VEERG 2026: 6.1.1.2, Equation (1)</v>
      </c>
      <c r="N6" s="21"/>
      <c r="O6" s="21"/>
      <c r="P6" s="21"/>
      <c r="Q6" s="21"/>
    </row>
    <row r="7" spans="1:20" ht="20.100000000000001" customHeight="1" x14ac:dyDescent="0.2">
      <c r="D7" s="13" t="s">
        <v>21</v>
      </c>
      <c r="E7" s="13" t="str">
        <f ca="1">Common_InputFunctions.Utility_DisplayFunctionName(VEERG_6_1_1_1__2__MassOfNitrogenInCropResidues_Result_Method1)</f>
        <v>=AgResidue_Equations_CropResidue.VEERG_6_1_1_1__2__MassOfNitrogenInCropResidues</v>
      </c>
      <c r="F7" s="21"/>
      <c r="G7" s="21"/>
      <c r="H7" s="21"/>
      <c r="J7" s="21"/>
      <c r="L7" s="21"/>
      <c r="M7" s="13" t="s">
        <v>21</v>
      </c>
      <c r="N7" s="13" t="str">
        <f ca="1">Common_InputFunctions.Utility_DisplayFunctionName(VEERG_6_1_1_2__1__FractionOfCropResidueRemovedBaled_Result)</f>
        <v>=AgResidue_Equations_CropResidue.VEERG_6_1_1_2__1__FractionOfCropResidueRemovedBaled</v>
      </c>
      <c r="O7" s="21"/>
      <c r="P7" s="21"/>
      <c r="Q7" s="21"/>
    </row>
    <row r="8" spans="1:20" ht="20.100000000000001" customHeight="1" x14ac:dyDescent="0.2">
      <c r="A8" s="19" t="s">
        <v>0</v>
      </c>
      <c r="F8" s="21"/>
      <c r="G8" s="21"/>
      <c r="H8" s="21"/>
      <c r="J8" s="21"/>
      <c r="L8" s="21"/>
      <c r="M8" s="21"/>
      <c r="N8" s="21"/>
      <c r="O8" s="21"/>
      <c r="P8" s="21"/>
      <c r="Q8" s="21"/>
    </row>
    <row r="9" spans="1:20" ht="20.100000000000001" customHeight="1" x14ac:dyDescent="0.2">
      <c r="A9" s="17" t="str">
        <f>HYPERLINK("#'Input - Site'!A1", "Site")</f>
        <v>Site</v>
      </c>
      <c r="D9" s="21"/>
      <c r="E9" s="21"/>
      <c r="F9" s="21"/>
      <c r="G9" s="21"/>
      <c r="H9" s="21"/>
      <c r="J9" s="21"/>
      <c r="L9" s="21"/>
      <c r="M9" s="21"/>
      <c r="N9" s="21"/>
      <c r="O9" s="21"/>
      <c r="P9" s="21"/>
      <c r="Q9" s="21"/>
    </row>
    <row r="10" spans="1:20" ht="20.100000000000001" customHeight="1" x14ac:dyDescent="0.2">
      <c r="A10" s="17" t="str">
        <f>HYPERLINK("#'Input - Crop'!A1", "Crop")</f>
        <v>Crop</v>
      </c>
      <c r="D10" s="50" t="s">
        <v>24</v>
      </c>
      <c r="E10" s="1" t="str" cm="1">
        <f t="array" ref="E10">AgResidue_Equations_CropResidue.VEERG_6_1_1_1__2__MassOfNitrogenInCropResidues_Variable()</f>
        <v>M_c</v>
      </c>
      <c r="F10" s="21"/>
      <c r="G10" s="21"/>
      <c r="H10" s="21"/>
      <c r="J10" s="21"/>
      <c r="L10" s="21"/>
      <c r="M10" s="21"/>
      <c r="N10" s="21"/>
      <c r="O10" s="21"/>
      <c r="P10" s="21"/>
      <c r="Q10" s="21"/>
    </row>
    <row r="11" spans="1:20" ht="20.100000000000001" customHeight="1" x14ac:dyDescent="0.2">
      <c r="A11" s="17" t="str">
        <f>HYPERLINK("#'Input - Pasture'!A1", "Pasture")</f>
        <v>Pasture</v>
      </c>
      <c r="D11" s="50" t="s">
        <v>15</v>
      </c>
      <c r="E11" s="51" t="str" cm="1">
        <f t="array" ref="E11">AgResidue_Equations_CropResidue.VEERG_6_1_1_1__2__MassOfNitrogenInCropResidues_Unit()</f>
        <v>kg N</v>
      </c>
      <c r="F11" s="21"/>
      <c r="G11" s="21"/>
      <c r="H11" s="21"/>
      <c r="J11" s="21"/>
      <c r="L11" s="21"/>
      <c r="M11" s="50" t="s">
        <v>24</v>
      </c>
      <c r="N11" s="1" t="str" cm="1">
        <f t="array" ref="N11">AgResidue_Equations_CropResidue.VEERG_6_1_1_2__1__FractionOfCropResidueRemovedBaled_Variable()</f>
        <v>FFOD_c</v>
      </c>
      <c r="O11" s="21"/>
      <c r="P11" s="21"/>
      <c r="Q11" s="21"/>
    </row>
    <row r="12" spans="1:20" ht="20.100000000000001" customHeight="1" x14ac:dyDescent="0.2">
      <c r="D12" s="21"/>
      <c r="E12" s="21"/>
      <c r="F12" s="21"/>
      <c r="G12" s="21"/>
      <c r="J12" s="21"/>
      <c r="L12" s="21"/>
      <c r="M12" s="50" t="s">
        <v>15</v>
      </c>
      <c r="N12" s="51" t="str" cm="1">
        <f t="array" ref="N12">AgResidue_Equations_CropResidue.VEERG_6_1_1_2__1__FractionOfCropResidueRemovedBaled_Unit()</f>
        <v>fraction</v>
      </c>
      <c r="O12" s="21"/>
      <c r="P12" s="21"/>
      <c r="Q12" s="21"/>
    </row>
    <row r="13" spans="1:20" ht="20.100000000000001" customHeight="1" x14ac:dyDescent="0.2">
      <c r="D13" s="114" t="str" cm="1">
        <f t="array" ref="D13:E22">_xlfn.CHOOSECOLS(AgResidue_Equations_CropResidue.VEERG_6_1_1_1__2__MassOfNitrogenInCropResidues_Arguments(), 1, 2)</f>
        <v>P_c</v>
      </c>
      <c r="E13" s="118" t="str">
        <v>annual production of crop c</v>
      </c>
      <c r="F13" s="117"/>
      <c r="G13" s="114" t="str" cm="1">
        <f t="array" ref="G13:H22">_xlfn.CHOOSECOLS(AgResidue_Equations_CropResidue.VEERG_6_1_1_1__2__MassOfNitrogenInCropResidues_Arguments(), 3,4)</f>
        <v>kg</v>
      </c>
      <c r="H13" s="109" t="str">
        <v>Input</v>
      </c>
      <c r="I13" s="114">
        <f>X_Cell_Crop_TotalProductionOfCrop*10^3</f>
        <v>10000000</v>
      </c>
      <c r="J13" s="21"/>
      <c r="L13" s="21"/>
      <c r="M13" s="21"/>
      <c r="N13" s="21"/>
      <c r="O13" s="21"/>
      <c r="P13" s="21"/>
    </row>
    <row r="14" spans="1:20" ht="20.100000000000001" customHeight="1" x14ac:dyDescent="0.2">
      <c r="A14" s="18" t="s">
        <v>68</v>
      </c>
      <c r="D14" s="114" t="str">
        <v>R_AGc</v>
      </c>
      <c r="E14" s="118" t="str">
        <v>residue to crop ratio for crop c</v>
      </c>
      <c r="F14" s="117"/>
      <c r="G14" s="114" t="str">
        <v/>
      </c>
      <c r="H14" s="108" t="str">
        <v>Constant</v>
      </c>
      <c r="I14" s="114">
        <f>X_Cell_Crop_ResidueToCropRatio</f>
        <v>1.5</v>
      </c>
      <c r="J14" s="21"/>
      <c r="L14" s="21"/>
      <c r="M14" s="114" t="str" cm="1">
        <f t="array" ref="M14:N18">_xlfn.CHOOSECOLS(AgResidue_Equations_CropResidue.VEERG_6_1_1_2__1__FractionOfCropResidueRemovedBaled_Arguments(), 1, 2)</f>
        <v>B</v>
      </c>
      <c r="N14" s="114" t="str">
        <v>number of bales generated</v>
      </c>
      <c r="O14" s="114" t="str" cm="1">
        <f t="array" ref="O14:P18">_xlfn.CHOOSECOLS(AgResidue_Equations_CropResidue.VEERG_6_1_1_2__1__FractionOfCropResidueRemovedBaled_Arguments(), 3,4)</f>
        <v/>
      </c>
      <c r="P14" s="109" t="str">
        <v>Input</v>
      </c>
      <c r="Q14" s="135">
        <f>X_Cell_Crop_NumberOfBales</f>
        <v>27500</v>
      </c>
    </row>
    <row r="15" spans="1:20" ht="20.100000000000001" customHeight="1" x14ac:dyDescent="0.2">
      <c r="A15" s="127" t="str">
        <f>HYPERLINK("#'6.1.1.1-2 Crop residue N2O'!A1", "6.1.1.1-2 Crop residue N2O")</f>
        <v>6.1.1.1-2 Crop residue N2O</v>
      </c>
      <c r="D15" s="114" t="str">
        <v>R_BGc</v>
      </c>
      <c r="E15" s="118" t="str">
        <v>below ground-residue to above ground residue ratio for crop c</v>
      </c>
      <c r="F15" s="117"/>
      <c r="G15" s="114" t="str">
        <v/>
      </c>
      <c r="H15" s="108" t="str">
        <v>Constant</v>
      </c>
      <c r="I15" s="114" cm="1">
        <f t="array" ref="I15">Common_InputFunctions.Utility_LookupValueInTableNumber($I$21,Table_SourceData_CropAttributes[Crop type],Table_SourceData_CropAttributes[Below-ground: above-ground residue ratio])</f>
        <v>0.28999999999999998</v>
      </c>
      <c r="L15" s="21"/>
      <c r="M15" s="114" t="str">
        <v>M_B</v>
      </c>
      <c r="N15" s="114" t="str">
        <v>mass of each bale</v>
      </c>
      <c r="O15" s="114" t="str">
        <v>kg</v>
      </c>
      <c r="P15" s="109" t="str">
        <v>Input</v>
      </c>
      <c r="Q15" s="114">
        <f>X_Cell_Crop_AverageWeightPerBale</f>
        <v>60</v>
      </c>
    </row>
    <row r="16" spans="1:20" ht="20.100000000000001" customHeight="1" x14ac:dyDescent="0.2">
      <c r="A16" s="17" t="str">
        <f>HYPERLINK("#'6.2.1.1-2 Pasture residue N2O'!A1", "6.2.1.1-2 Pasture residue N2O")</f>
        <v>6.2.1.1-2 Pasture residue N2O</v>
      </c>
      <c r="D16" s="114" t="str">
        <v>F_c</v>
      </c>
      <c r="E16" s="118" t="str">
        <v>fraction of crop residue that is burnt for crop c</v>
      </c>
      <c r="F16" s="117"/>
      <c r="G16" s="114" t="str">
        <v>fraction</v>
      </c>
      <c r="H16" s="109" t="str">
        <v>Input</v>
      </c>
      <c r="I16" s="114">
        <f>X_Cell_Crop_PercentResidueBurned</f>
        <v>0.3</v>
      </c>
      <c r="L16" s="21"/>
      <c r="M16" s="114" t="str">
        <v>P_c</v>
      </c>
      <c r="N16" s="114" t="str">
        <v>annual production of crop c</v>
      </c>
      <c r="O16" s="114" t="str">
        <v>kg</v>
      </c>
      <c r="P16" s="109" t="str">
        <v>Input</v>
      </c>
      <c r="Q16" s="114">
        <f>X_Cell_Crop_TotalProductionOfCrop*10^3</f>
        <v>10000000</v>
      </c>
    </row>
    <row r="17" spans="1:20" ht="20.100000000000001" customHeight="1" x14ac:dyDescent="0.2">
      <c r="A17" s="17" t="str">
        <f>HYPERLINK("#'6.3.1.1-2 Leaching and runoff'!A1", "6.3.1.1-2 Leaching and runoff")</f>
        <v>6.3.1.1-2 Leaching and runoff</v>
      </c>
      <c r="D17" s="114" t="str">
        <v>FFOD_c</v>
      </c>
      <c r="E17" s="118" t="str">
        <v>fraction of the crop residue that is removed for crop c</v>
      </c>
      <c r="F17" s="117"/>
      <c r="G17" s="114" t="str">
        <v>fraction</v>
      </c>
      <c r="H17" s="108" t="str">
        <v>Constant</v>
      </c>
      <c r="I17" s="114" cm="1">
        <f t="array" ref="I17">IF(ISNUMBER(_xlfn.XLOOKUP(1, (Table77[Crop type c]=$I$21)*(Table77[State]=$I$22),Table77[Fraction removed])), _xlfn.XLOOKUP(1, (Table77[Crop type c]=$I$21)*(Table77[State]=$I$22),Table77[Fraction removed]), 0)</f>
        <v>0.11</v>
      </c>
      <c r="L17" s="21"/>
      <c r="M17" s="114" t="str">
        <v>R_AGc</v>
      </c>
      <c r="N17" s="114" t="str">
        <v>residue to crop ratio for crop c</v>
      </c>
      <c r="O17" s="114" t="str">
        <v/>
      </c>
      <c r="P17" s="108" t="str">
        <v>Constant</v>
      </c>
      <c r="Q17" s="114">
        <f>'Input - Crop'!$E$18</f>
        <v>1.5</v>
      </c>
    </row>
    <row r="18" spans="1:20" ht="20.100000000000001" customHeight="1" x14ac:dyDescent="0.2">
      <c r="A18" s="17" t="str">
        <f>HYPERLINK("#'6.3.1.1-2 Leach runoff crop'!A1", "6.3.1.1-2 Leach runoff crop")</f>
        <v>6.3.1.1-2 Leach runoff crop</v>
      </c>
      <c r="D18" s="114" t="str">
        <v>DM_c</v>
      </c>
      <c r="E18" s="118" t="str">
        <v>dry matter content of crop c</v>
      </c>
      <c r="F18" s="117"/>
      <c r="G18" s="114" t="str">
        <v>kg dry weight/kg crop residue</v>
      </c>
      <c r="H18" s="108" t="str">
        <v>Constant</v>
      </c>
      <c r="I18" s="114" cm="1">
        <f t="array" ref="I18">Common_InputFunctions.Utility_LookupValueInTableNumber($I$21,Table_SourceData_CropAttributes[Crop type],Table_SourceData_CropAttributes[Dry matter content])</f>
        <v>0.88</v>
      </c>
      <c r="L18" s="21"/>
      <c r="M18" s="114" t="str">
        <v>c</v>
      </c>
      <c r="N18" s="114" t="str">
        <v>Crop type</v>
      </c>
      <c r="O18" s="114" t="str">
        <v/>
      </c>
      <c r="P18" s="109" t="str">
        <v>Input</v>
      </c>
      <c r="Q18" s="114" t="str">
        <f>X_Cell_Crop_CropType</f>
        <v>Wheat</v>
      </c>
    </row>
    <row r="19" spans="1:20" ht="20.100000000000001" customHeight="1" x14ac:dyDescent="0.2">
      <c r="A19" s="17" t="str">
        <f>HYPERLINK("#'6.3.1.1-2 Leach runoff pasture'!A1", "6.3.1.1-2 Leach runoff pasture")</f>
        <v>6.3.1.1-2 Leach runoff pasture</v>
      </c>
      <c r="D19" s="114" t="str">
        <v>NC_AGc</v>
      </c>
      <c r="E19" s="118" t="str">
        <v>nitrogen content of above-ground crop residue of crop c</v>
      </c>
      <c r="F19" s="117"/>
      <c r="G19" s="114" t="str">
        <v>kg N/kg DM</v>
      </c>
      <c r="H19" s="108" t="str">
        <v>Constant</v>
      </c>
      <c r="I19" s="114" cm="1">
        <f t="array" ref="I19">Common_InputFunctions.Utility_LookupValueInTableNumber($I$21,Table_SourceData_CropAttributes[Crop type],Table_SourceData_CropAttributes[N content above-ground])</f>
        <v>6.0000000000000001E-3</v>
      </c>
      <c r="L19" s="21"/>
      <c r="M19" s="21"/>
      <c r="N19" s="21"/>
      <c r="O19" s="21"/>
      <c r="P19" s="21"/>
      <c r="Q19" s="21"/>
    </row>
    <row r="20" spans="1:20" ht="20.100000000000001" customHeight="1" x14ac:dyDescent="0.2">
      <c r="A20" s="17" t="str">
        <f>HYPERLINK("#'6.4.1.1-2 Residue burning'!A1", "6.4.1.1-2 Residue burning")</f>
        <v>6.4.1.1-2 Residue burning</v>
      </c>
      <c r="D20" s="114" t="str">
        <v>NC_BGc</v>
      </c>
      <c r="E20" s="118" t="str">
        <v>nitrogen content of below-ground crop residue of crop c</v>
      </c>
      <c r="F20" s="117"/>
      <c r="G20" s="114" t="str">
        <v>kg N/kg DM</v>
      </c>
      <c r="H20" s="108" t="str">
        <v>Constant</v>
      </c>
      <c r="I20" s="114" cm="1">
        <f t="array" ref="I20">Common_InputFunctions.Utility_LookupValueInTableNumber($I$21,Table_SourceData_CropAttributes[Crop type],Table_SourceData_CropAttributes[N content below-ground])</f>
        <v>0.01</v>
      </c>
      <c r="L20" s="21"/>
      <c r="M20" s="115" t="s">
        <v>171</v>
      </c>
      <c r="N20" s="43" cm="1">
        <f t="array" ref="N20">AgResidue_Equations_CropResidue.VEERG_6_1_1_2__1__FractionOfCropResidueRemovedBaled(Q14,Q15,Q16,Q17)</f>
        <v>0.11</v>
      </c>
    </row>
    <row r="21" spans="1:20" ht="20.100000000000001" customHeight="1" x14ac:dyDescent="0.2">
      <c r="D21" s="114" t="str">
        <v>c</v>
      </c>
      <c r="E21" s="118" t="str">
        <v>Crop type</v>
      </c>
      <c r="F21" s="117"/>
      <c r="G21" s="114" t="str">
        <v/>
      </c>
      <c r="H21" s="109" t="str">
        <v>Input</v>
      </c>
      <c r="I21" s="114" t="str">
        <f>X_Cell_Crop_CropType</f>
        <v>Wheat</v>
      </c>
      <c r="L21" s="21"/>
      <c r="M21" s="21"/>
      <c r="N21" s="21"/>
      <c r="O21" s="21"/>
      <c r="P21" s="21"/>
      <c r="Q21" s="21"/>
    </row>
    <row r="22" spans="1:20" ht="20.100000000000001" customHeight="1" x14ac:dyDescent="0.2">
      <c r="D22" s="114" t="str">
        <v>State</v>
      </c>
      <c r="E22" s="118" t="str">
        <v>State or territory</v>
      </c>
      <c r="F22" s="117"/>
      <c r="G22" s="114" t="str">
        <v/>
      </c>
      <c r="H22" s="109" t="str">
        <v>Input</v>
      </c>
      <c r="I22" s="114" t="str">
        <f>Common_InputFunctions.Utility_ConvertStateCommonNameToAbbreviation(X_Cell_Site_State,Table_AustralianStates[Common Name],Table_AustralianStates[Abbreviation])</f>
        <v>WA</v>
      </c>
      <c r="L22" s="21"/>
      <c r="M22" s="21"/>
      <c r="N22" s="21"/>
      <c r="O22" s="21"/>
      <c r="P22" s="21"/>
      <c r="Q22" s="21"/>
    </row>
    <row r="23" spans="1:20" ht="20.100000000000001" customHeight="1" x14ac:dyDescent="0.2">
      <c r="A23" s="141" t="s">
        <v>1</v>
      </c>
      <c r="D23" s="21"/>
      <c r="E23" s="21"/>
      <c r="F23" s="21"/>
      <c r="G23" s="21"/>
      <c r="H23" s="21"/>
      <c r="L23" s="43"/>
      <c r="M23" s="43"/>
      <c r="N23" s="43"/>
      <c r="O23" s="43"/>
      <c r="P23" s="43"/>
      <c r="Q23" s="43"/>
      <c r="R23" s="43"/>
      <c r="S23" s="43"/>
      <c r="T23" s="43"/>
    </row>
    <row r="24" spans="1:20" ht="20.100000000000001" customHeight="1" x14ac:dyDescent="0.2">
      <c r="A24" s="17" t="str">
        <f>HYPERLINK("#'Constants - Ag Residue'!A1", "Constants - Ag Residue")</f>
        <v>Constants - Ag Residue</v>
      </c>
      <c r="D24" s="115" t="s">
        <v>172</v>
      </c>
      <c r="E24" s="134" cm="1">
        <f t="array" ref="E24">AgResidue_Equations_CropResidue.VEERG_6_1_1_1__2__MassOfNitrogenInCropResidues(I13,I14,I16,I17,I18,I19,I15,I20)</f>
        <v>85008</v>
      </c>
      <c r="F24" s="116" t="str">
        <f>$E$11</f>
        <v>kg N</v>
      </c>
      <c r="M24" s="6" t="str" cm="1">
        <f t="array" ref="M24">AgResidue_Equations_CropResidue.VEERG_6_1_1_1__2__MassOfNitrogenInCropResidues_Title()</f>
        <v>Mass of nitrogen in crop residues returned to the soil</v>
      </c>
      <c r="N24" s="21"/>
      <c r="O24" s="21"/>
      <c r="P24" s="21"/>
      <c r="Q24" s="21"/>
    </row>
    <row r="25" spans="1:20" ht="20.100000000000001" customHeight="1" x14ac:dyDescent="0.2">
      <c r="A25" s="17" t="str">
        <f>HYPERLINK("#'Constants - Common'!A1", "Constants - Common")</f>
        <v>Constants - Common</v>
      </c>
      <c r="D25" s="50"/>
      <c r="E25" s="21"/>
      <c r="F25" s="21"/>
      <c r="G25" s="21"/>
      <c r="H25" s="21"/>
      <c r="L25" s="21"/>
      <c r="M25" s="5" t="str" cm="1">
        <f t="array" ref="M25">AgResidue_Equations_CropResidue.VEERG_6_1_1_1__2__MassOfNitrogenInCropResidues_Source()</f>
        <v>VEERG 2026: 6.1.1.1, Equation (2)</v>
      </c>
      <c r="N25" s="21"/>
      <c r="O25" s="21"/>
      <c r="P25" s="21"/>
      <c r="Q25" s="21"/>
    </row>
    <row r="26" spans="1:20" ht="20.100000000000001" customHeight="1" x14ac:dyDescent="0.2">
      <c r="D26" s="21"/>
      <c r="E26" s="21"/>
      <c r="F26" s="21"/>
      <c r="G26" s="21"/>
      <c r="H26" s="21"/>
      <c r="L26" s="21"/>
      <c r="M26" s="13" t="s">
        <v>21</v>
      </c>
      <c r="N26" s="13" t="str">
        <f ca="1">Common_InputFunctions.Utility_DisplayFunctionName(VEERG_6_1_1_1__2__MassOfNitrogenInCropResidues_Result_Method2)</f>
        <v>=AgResidue_Equations_CropResidue.VEERG_6_1_1_1__2__MassOfNitrogenInCropResidues</v>
      </c>
      <c r="O26" s="21"/>
      <c r="P26" s="21"/>
      <c r="Q26" s="21"/>
    </row>
    <row r="27" spans="1:20" ht="20.100000000000001" customHeight="1" x14ac:dyDescent="0.2">
      <c r="D27" s="133"/>
      <c r="E27" s="133"/>
      <c r="F27" s="133"/>
      <c r="G27" s="133"/>
      <c r="H27" s="133"/>
      <c r="I27" s="133"/>
      <c r="L27" s="21"/>
      <c r="O27" s="21"/>
      <c r="P27" s="21"/>
      <c r="Q27" s="21"/>
    </row>
    <row r="28" spans="1:20" ht="20.100000000000001" customHeight="1" x14ac:dyDescent="0.2">
      <c r="D28" s="6" t="str" cm="1">
        <f t="array" ref="D28">AgResidue_Equations_CropResidue.VEERG_6_1_1_1__1__NitrousOxideEmissionsFromCropResidues_Title()</f>
        <v>Nitrous oxide emissions from the return of crop residues across all crops c to the soil</v>
      </c>
      <c r="E28" s="21"/>
      <c r="F28" s="21"/>
      <c r="G28" s="21"/>
      <c r="H28" s="21"/>
      <c r="J28" s="21"/>
      <c r="L28" s="21"/>
      <c r="M28" s="21"/>
      <c r="N28" s="21"/>
      <c r="O28" s="21"/>
      <c r="P28" s="21"/>
      <c r="Q28" s="21"/>
    </row>
    <row r="29" spans="1:20" ht="20.100000000000001" customHeight="1" x14ac:dyDescent="0.2">
      <c r="D29" s="5" t="str" cm="1">
        <f t="array" ref="D29">AgResidue_Equations_CropResidue.VEERG_6_1_1_1__1__NitrousOxideEmissionsFromCropResidues_Source()</f>
        <v>VEERG 2026: 6.1.1.1, Equation (1)</v>
      </c>
      <c r="E29" s="21"/>
      <c r="F29" s="21"/>
      <c r="G29" s="21"/>
      <c r="H29" s="21"/>
      <c r="J29" s="21"/>
      <c r="L29" s="21"/>
      <c r="M29" s="50" t="s">
        <v>24</v>
      </c>
      <c r="N29" s="1" t="str" cm="1">
        <f t="array" ref="N29">AgResidue_Equations_CropResidue.VEERG_6_1_1_1__2__MassOfNitrogenInCropResidues_Variable()</f>
        <v>M_c</v>
      </c>
      <c r="O29" s="21"/>
      <c r="P29" s="21"/>
      <c r="Q29" s="21"/>
    </row>
    <row r="30" spans="1:20" ht="20.100000000000001" customHeight="1" x14ac:dyDescent="0.2">
      <c r="D30" s="13" t="s">
        <v>21</v>
      </c>
      <c r="E30" s="13" t="str">
        <f ca="1">Common_InputFunctions.Utility_DisplayFunctionName(VEERG_6_1_1_1__1__NitrousOxideEmissionsFromCropResidues_Result_Method1)</f>
        <v>=AgResidue_Equations_CropResidue.VEERG_6_1_1_1__1__NitrousOxideEmissionsFromCropResidues</v>
      </c>
      <c r="F30" s="21"/>
      <c r="G30" s="21"/>
      <c r="H30" s="21"/>
      <c r="L30" s="21"/>
      <c r="M30" s="50" t="s">
        <v>15</v>
      </c>
      <c r="N30" s="51" t="str" cm="1">
        <f t="array" ref="N30">AgResidue_Equations_CropResidue.VEERG_6_1_1_1__2__MassOfNitrogenInCropResidues_Unit()</f>
        <v>kg N</v>
      </c>
      <c r="O30" s="21"/>
      <c r="P30" s="21"/>
      <c r="Q30" s="21"/>
    </row>
    <row r="31" spans="1:20" ht="20.100000000000001" customHeight="1" x14ac:dyDescent="0.2">
      <c r="F31" s="21"/>
      <c r="G31" s="21"/>
      <c r="H31" s="21"/>
      <c r="J31" s="21"/>
      <c r="L31" s="21"/>
      <c r="M31" s="21"/>
      <c r="N31" s="21"/>
      <c r="O31" s="21"/>
      <c r="P31" s="21"/>
    </row>
    <row r="32" spans="1:20" ht="20.100000000000001" customHeight="1" x14ac:dyDescent="0.2">
      <c r="D32" s="21"/>
      <c r="E32" s="21"/>
      <c r="F32" s="21"/>
      <c r="G32" s="21"/>
      <c r="H32" s="21"/>
      <c r="J32" s="21"/>
      <c r="L32" s="21"/>
      <c r="M32" s="114" t="str" cm="1">
        <f t="array" ref="M32:N41">_xlfn.CHOOSECOLS(AgResidue_Equations_CropResidue.VEERG_6_1_1_1__2__MassOfNitrogenInCropResidues_Arguments_Method2(), 1, 2)</f>
        <v>P_c</v>
      </c>
      <c r="N32" s="118" t="str">
        <v>annual production of crop c</v>
      </c>
      <c r="O32" s="117"/>
      <c r="P32" s="114" t="str" cm="1">
        <f t="array" ref="P32:Q41">_xlfn.CHOOSECOLS(AgResidue_Equations_CropResidue.VEERG_6_1_1_1__2__MassOfNitrogenInCropResidues_Arguments_Method2(), 3,4)</f>
        <v>kg</v>
      </c>
      <c r="Q32" s="109" t="str">
        <v>Input</v>
      </c>
      <c r="R32" s="114"/>
    </row>
    <row r="33" spans="4:20" ht="20.100000000000001" customHeight="1" x14ac:dyDescent="0.2">
      <c r="D33" s="50" t="s">
        <v>24</v>
      </c>
      <c r="E33" s="1" t="str" cm="1">
        <f t="array" ref="E33">AgResidue_Equations_CropResidue.VEERG_6_1_1_1__1__NitrousOxideEmissionsFromCropResidues_Variable()</f>
        <v>E</v>
      </c>
      <c r="F33" s="21"/>
      <c r="G33" s="21"/>
      <c r="H33" s="21"/>
      <c r="J33" s="21"/>
      <c r="M33" s="114" t="str">
        <v>R_AGc</v>
      </c>
      <c r="N33" s="118" t="str">
        <v>residue to crop ratio for crop c</v>
      </c>
      <c r="O33" s="117"/>
      <c r="P33" s="114" t="str">
        <v/>
      </c>
      <c r="Q33" s="108" t="str">
        <v>Constant</v>
      </c>
      <c r="R33" s="114"/>
    </row>
    <row r="34" spans="4:20" ht="20.100000000000001" customHeight="1" x14ac:dyDescent="0.2">
      <c r="D34" s="50" t="s">
        <v>15</v>
      </c>
      <c r="E34" s="51" t="str" cm="1">
        <f t="array" ref="E34">AgResidue_Equations_CropResidue.VEERG_6_1_1_1__1__NitrousOxideEmissionsFromCropResidues_Unit()</f>
        <v>t N2O</v>
      </c>
      <c r="F34" s="21"/>
      <c r="G34" s="21"/>
      <c r="H34" s="21"/>
      <c r="J34" s="21"/>
      <c r="M34" s="114" t="str">
        <v>R_BGc</v>
      </c>
      <c r="N34" s="118" t="str">
        <v>below ground-residue to above ground residue ratio for crop c</v>
      </c>
      <c r="O34" s="117"/>
      <c r="P34" s="114" t="str">
        <v/>
      </c>
      <c r="Q34" s="108" t="str">
        <v>Constant</v>
      </c>
      <c r="R34" s="114"/>
    </row>
    <row r="35" spans="4:20" ht="20.100000000000001" customHeight="1" x14ac:dyDescent="0.2">
      <c r="D35" s="21"/>
      <c r="E35" s="21"/>
      <c r="F35" s="21"/>
      <c r="G35" s="21"/>
      <c r="H35" s="21"/>
      <c r="J35" s="21"/>
      <c r="M35" s="114" t="str">
        <v>F_c</v>
      </c>
      <c r="N35" s="118" t="str">
        <v>fraction of crop residue that is burnt for crop c</v>
      </c>
      <c r="O35" s="117"/>
      <c r="P35" s="114" t="str">
        <v>fraction</v>
      </c>
      <c r="Q35" s="109" t="str">
        <v>Input</v>
      </c>
      <c r="R35" s="114"/>
    </row>
    <row r="36" spans="4:20" ht="20.100000000000001" customHeight="1" x14ac:dyDescent="0.2">
      <c r="D36" s="114" t="str" cm="1">
        <f t="array" ref="D36:E40">_xlfn.CHOOSECOLS(AgResidue_Equations_CropResidue.VEERG_6_1_1_1__1__NitrousOxideEmissionsFromCropResidues_Arguments(), 1, 2)</f>
        <v>M_c</v>
      </c>
      <c r="E36" s="118" t="str">
        <v>mass of nitrogen in crop c residues returned to the soil</v>
      </c>
      <c r="F36" s="117"/>
      <c r="G36" s="114" t="str" cm="1">
        <f t="array" ref="G36:H40">_xlfn.CHOOSECOLS(AgResidue_Equations_CropResidue.VEERG_6_1_1_1__1__NitrousOxideEmissionsFromCropResidues_Arguments(), 3,4)</f>
        <v>kg N</v>
      </c>
      <c r="H36" s="108" t="str">
        <v>Calculated from 6.1.1.1 (2)</v>
      </c>
      <c r="I36" s="114">
        <f>VEERG_6_1_1_1__2__MassOfNitrogenInCropResidues_Result_Method1</f>
        <v>85008</v>
      </c>
      <c r="J36" s="21"/>
      <c r="M36" s="114" t="str">
        <v>FFOD_c</v>
      </c>
      <c r="N36" s="118" t="str">
        <v>fraction of the crop residue that is removed for crop c</v>
      </c>
      <c r="O36" s="117"/>
      <c r="P36" s="114" t="str">
        <v>fraction</v>
      </c>
      <c r="Q36" s="108" t="str">
        <v>Calculated from 6.1.1.2 (1)</v>
      </c>
      <c r="R36" s="114">
        <f>VEERG_6_1_1_2__1__FractionOfCropResidueRemovedBaled_Result</f>
        <v>0.11</v>
      </c>
    </row>
    <row r="37" spans="4:20" ht="20.100000000000001" customHeight="1" x14ac:dyDescent="0.2">
      <c r="D37" s="114" t="str">
        <v>EF_Ni</v>
      </c>
      <c r="E37" s="118" t="str">
        <v>emission factor for crop residues returned to the soil</v>
      </c>
      <c r="F37" s="117"/>
      <c r="G37" s="114" t="str">
        <v>kg N2O-N/kg N</v>
      </c>
      <c r="H37" s="108" t="str">
        <v>Constant</v>
      </c>
      <c r="I37" s="114" cm="1">
        <f t="array" ref="I37">Common_InputFunctions.Utility_LookupValueInTableNumber(I40,Table_SourceData_N2OEFOrganicFert[Climate zone type i],Table_SourceData_N2OEFOrganicFert[EF i N2O])</f>
        <v>5.0000000000000001E-3</v>
      </c>
      <c r="J37" s="21"/>
      <c r="M37" s="114" t="str">
        <v>DM_c</v>
      </c>
      <c r="N37" s="118" t="str">
        <v>dry matter content of crop c</v>
      </c>
      <c r="O37" s="117"/>
      <c r="P37" s="114" t="str">
        <v>kg dry weight/kg crop residue</v>
      </c>
      <c r="Q37" s="108" t="str">
        <v>Constant</v>
      </c>
      <c r="R37" s="114"/>
    </row>
    <row r="38" spans="4:20" ht="20.100000000000001" customHeight="1" x14ac:dyDescent="0.2">
      <c r="D38" s="114" t="str">
        <v>C_N2O</v>
      </c>
      <c r="E38" s="118" t="str">
        <v>factor to convert elemental mass of nitrous oxide to molecular mass</v>
      </c>
      <c r="F38" s="117"/>
      <c r="G38" s="114" t="str">
        <v>dimensionless</v>
      </c>
      <c r="H38" s="108" t="str">
        <v>Constant</v>
      </c>
      <c r="I38" s="114">
        <f>Common_InputFunctions.Utility_LookupValueInTableNumber("N2O",Table_GasToMolecularConversionFactor[Gas],Table_GasToMolecularConversionFactor[Conversion factor combined])</f>
        <v>1.5714285714285714</v>
      </c>
      <c r="J38" s="21"/>
      <c r="M38" s="114" t="str">
        <v>NC_AGc</v>
      </c>
      <c r="N38" s="118" t="str">
        <v>nitrogen content of above-ground crop residue of crop c</v>
      </c>
      <c r="O38" s="117"/>
      <c r="P38" s="114" t="str">
        <v>kg N/kg DM</v>
      </c>
      <c r="Q38" s="108" t="str">
        <v>Constant</v>
      </c>
      <c r="R38" s="114"/>
    </row>
    <row r="39" spans="4:20" ht="20.100000000000001" customHeight="1" x14ac:dyDescent="0.2">
      <c r="D39" s="114" t="str">
        <v>c</v>
      </c>
      <c r="E39" s="118" t="str">
        <v>Crop type</v>
      </c>
      <c r="F39" s="117"/>
      <c r="G39" s="114" t="str">
        <v/>
      </c>
      <c r="H39" s="109" t="str">
        <v>Input</v>
      </c>
      <c r="I39" s="114" t="str">
        <f>X_Cell_Crop_CropType</f>
        <v>Wheat</v>
      </c>
      <c r="J39" s="21"/>
      <c r="M39" s="114" t="str">
        <v>NC_BGc</v>
      </c>
      <c r="N39" s="118" t="str">
        <v>nitrogen content of below-ground crop residue of crop c</v>
      </c>
      <c r="O39" s="117"/>
      <c r="P39" s="114" t="str">
        <v>kg N/kg DM</v>
      </c>
      <c r="Q39" s="108" t="str">
        <v>Constant</v>
      </c>
      <c r="R39" s="114"/>
    </row>
    <row r="40" spans="4:20" ht="20.100000000000001" customHeight="1" x14ac:dyDescent="0.2">
      <c r="D40" s="114" t="str">
        <v>i</v>
      </c>
      <c r="E40" s="118" t="str">
        <v>Wet or dry climate zone</v>
      </c>
      <c r="F40" s="117"/>
      <c r="G40" s="114" t="str">
        <v/>
      </c>
      <c r="H40" s="109" t="str">
        <v>Input</v>
      </c>
      <c r="I40" s="114" t="str">
        <f>X_Cell_Site_WetOrDryClimateZone</f>
        <v>Dry climate zone</v>
      </c>
      <c r="M40" s="114" t="str">
        <v>c</v>
      </c>
      <c r="N40" s="118" t="str">
        <v>Crop type</v>
      </c>
      <c r="O40" s="117"/>
      <c r="P40" s="114" t="str">
        <v/>
      </c>
      <c r="Q40" s="109" t="str">
        <v>Input</v>
      </c>
      <c r="R40" s="114"/>
    </row>
    <row r="41" spans="4:20" ht="20.100000000000001" customHeight="1" x14ac:dyDescent="0.2">
      <c r="D41" s="21"/>
      <c r="E41" s="21"/>
      <c r="F41" s="21"/>
      <c r="G41" s="21"/>
      <c r="H41" s="21"/>
      <c r="M41" s="114" t="str">
        <v>State</v>
      </c>
      <c r="N41" s="118" t="str">
        <v>State or territory</v>
      </c>
      <c r="O41" s="117"/>
      <c r="P41" s="114" t="str">
        <v/>
      </c>
      <c r="Q41" s="109" t="str">
        <v>Input</v>
      </c>
      <c r="R41" s="114"/>
    </row>
    <row r="42" spans="4:20" ht="20.100000000000001" customHeight="1" x14ac:dyDescent="0.2">
      <c r="D42" s="91" t="s">
        <v>108</v>
      </c>
      <c r="E42" s="92" cm="1">
        <f t="array" ref="E42">AgResidue_Equations_CropResidue.VEERG_6_1_1_1__1__NitrousOxideEmissionsFromCropResidues(I36,I37,I38)</f>
        <v>0.66792000000000007</v>
      </c>
      <c r="F42" s="93" t="str">
        <f>$E$34</f>
        <v>t N2O</v>
      </c>
      <c r="H42" s="21"/>
      <c r="M42" s="21"/>
      <c r="N42" s="21"/>
      <c r="O42" s="21"/>
      <c r="P42" s="21"/>
      <c r="Q42" s="21"/>
    </row>
    <row r="43" spans="4:20" ht="20.100000000000001" customHeight="1" x14ac:dyDescent="0.2">
      <c r="H43" s="21"/>
      <c r="M43" s="115" t="s">
        <v>172</v>
      </c>
      <c r="N43" s="134" cm="1">
        <f t="array" ref="N43">AgResidue_Equations_CropResidue.VEERG_6_1_1_1__2__MassOfNitrogenInCropResidues(I13,I14,I16,R36,I18,I19,I15,I20)</f>
        <v>85008</v>
      </c>
      <c r="O43" s="116" t="str">
        <f>$E$11</f>
        <v>kg N</v>
      </c>
    </row>
    <row r="44" spans="4:20" ht="20.100000000000001" customHeight="1" x14ac:dyDescent="0.2">
      <c r="D44" s="53" t="str" cm="1">
        <f t="array" ref="D44:E45">Common_Equations.Common_ConvertN2OToCO2e_Arguments()</f>
        <v>EN2O</v>
      </c>
      <c r="E44" s="54" t="str">
        <v>Nitrous oxide emissions (t N2O)</v>
      </c>
      <c r="F44" s="94"/>
      <c r="G44" s="49">
        <f>VEERG_6_1_1_1__1__NitrousOxideEmissionsFromCropResidues_Result_Method1</f>
        <v>0.66792000000000007</v>
      </c>
      <c r="M44" s="50"/>
      <c r="N44" s="21"/>
      <c r="O44" s="21"/>
      <c r="P44" s="21"/>
      <c r="Q44" s="21"/>
    </row>
    <row r="45" spans="4:20" ht="20.100000000000001" customHeight="1" x14ac:dyDescent="0.2">
      <c r="D45" s="53" t="str">
        <v>GWPN2O</v>
      </c>
      <c r="E45" s="54" t="str">
        <v>Global warming potential for nitrous oxide (t CO2-e / t N2O)</v>
      </c>
      <c r="F45" s="94"/>
      <c r="G45" s="49">
        <f>Common_InputFunctions.Utility_LookupValueInTableNumber("N2O",Table_GWPData[Gas],Table_GWPData[CO2-e factor])</f>
        <v>265</v>
      </c>
      <c r="J45" s="21"/>
      <c r="M45" s="21"/>
      <c r="N45" s="21"/>
      <c r="O45" s="21"/>
      <c r="P45" s="21"/>
      <c r="Q45" s="21"/>
    </row>
    <row r="46" spans="4:20" ht="20.100000000000001" customHeight="1" x14ac:dyDescent="0.2">
      <c r="H46" s="21"/>
      <c r="J46" s="21"/>
      <c r="L46" s="133"/>
      <c r="M46" s="133"/>
      <c r="N46" s="133"/>
      <c r="O46" s="133"/>
      <c r="P46" s="133"/>
      <c r="Q46" s="133"/>
      <c r="R46" s="133"/>
      <c r="S46" s="133"/>
      <c r="T46" s="133"/>
    </row>
    <row r="47" spans="4:20" ht="20.100000000000001" customHeight="1" x14ac:dyDescent="0.2">
      <c r="D47" s="43" t="s">
        <v>78</v>
      </c>
      <c r="E47" s="43" cm="1">
        <f t="array" ref="E47">Common_Equations.Common_ConvertN2OToCO2e(G44,G45)</f>
        <v>176.99880000000002</v>
      </c>
      <c r="F47" s="95" t="str" cm="1">
        <f t="array" ref="F47">Common_Equations.Common_ConvertN2OToCO2e_Unit()</f>
        <v>t CO2e</v>
      </c>
      <c r="H47" s="21"/>
      <c r="J47" s="21"/>
      <c r="L47" s="21"/>
      <c r="M47" s="6" t="str" cm="1">
        <f t="array" ref="M47">AgResidue_Equations_CropResidue.VEERG_6_1_1_1__1__NitrousOxideEmissionsFromCropResidues_Title()</f>
        <v>Nitrous oxide emissions from the return of crop residues across all crops c to the soil</v>
      </c>
      <c r="N47" s="21"/>
      <c r="O47" s="21"/>
      <c r="P47" s="21"/>
      <c r="Q47" s="21"/>
    </row>
    <row r="48" spans="4:20" ht="20.100000000000001" customHeight="1" x14ac:dyDescent="0.2">
      <c r="D48" s="21"/>
      <c r="E48" s="21"/>
      <c r="F48" s="101"/>
      <c r="G48" s="21"/>
      <c r="H48" s="21"/>
      <c r="I48" s="21"/>
      <c r="J48" s="21"/>
      <c r="M48" s="5" t="str" cm="1">
        <f t="array" ref="M48">AgResidue_Equations_CropResidue.VEERG_6_1_1_1__1__NitrousOxideEmissionsFromCropResidues_Source()</f>
        <v>VEERG 2026: 6.1.1.1, Equation (1)</v>
      </c>
      <c r="N48" s="21"/>
      <c r="O48" s="21"/>
      <c r="P48" s="21"/>
      <c r="Q48" s="21"/>
    </row>
    <row r="49" spans="10:18" ht="20.100000000000001" customHeight="1" x14ac:dyDescent="0.2">
      <c r="J49" s="21"/>
      <c r="L49" s="21"/>
      <c r="M49" s="13" t="s">
        <v>21</v>
      </c>
      <c r="N49" s="13" t="str">
        <f ca="1">Common_InputFunctions.Utility_DisplayFunctionName(VEERG_6_1_1_1__1__NitrousOxideEmissionsFromCropResidues_Result_Method2)</f>
        <v>=AgResidue_Equations_CropResidue.VEERG_6_1_1_1__1__NitrousOxideEmissionsFromCropResidues</v>
      </c>
      <c r="O49" s="21"/>
      <c r="P49" s="21"/>
      <c r="Q49" s="21"/>
    </row>
    <row r="50" spans="10:18" ht="20.100000000000001" customHeight="1" x14ac:dyDescent="0.2">
      <c r="J50" s="21"/>
      <c r="L50" s="21"/>
      <c r="O50" s="21"/>
      <c r="P50" s="21"/>
      <c r="Q50" s="21"/>
    </row>
    <row r="51" spans="10:18" ht="20.100000000000001" customHeight="1" x14ac:dyDescent="0.2">
      <c r="J51" s="21"/>
      <c r="L51" s="21"/>
      <c r="M51" s="21"/>
      <c r="N51" s="21"/>
      <c r="O51" s="21"/>
      <c r="P51" s="21"/>
      <c r="Q51" s="21"/>
    </row>
    <row r="52" spans="10:18" ht="20.100000000000001" customHeight="1" x14ac:dyDescent="0.2">
      <c r="J52" s="21"/>
      <c r="L52" s="21"/>
      <c r="M52" s="50" t="s">
        <v>24</v>
      </c>
      <c r="N52" s="1" t="str" cm="1">
        <f t="array" ref="N52">AgResidue_Equations_CropResidue.VEERG_6_1_1_1__1__NitrousOxideEmissionsFromCropResidues_Variable()</f>
        <v>E</v>
      </c>
      <c r="O52" s="21"/>
      <c r="P52" s="21"/>
      <c r="Q52" s="21"/>
    </row>
    <row r="53" spans="10:18" ht="20.100000000000001" customHeight="1" x14ac:dyDescent="0.2">
      <c r="L53" s="21"/>
      <c r="M53" s="50" t="s">
        <v>15</v>
      </c>
      <c r="N53" s="51" t="str" cm="1">
        <f t="array" ref="N53">AgResidue_Equations_CropResidue.VEERG_6_1_1_1__1__NitrousOxideEmissionsFromCropResidues_Unit()</f>
        <v>t N2O</v>
      </c>
      <c r="O53" s="21"/>
      <c r="P53" s="21"/>
      <c r="Q53" s="21"/>
    </row>
    <row r="54" spans="10:18" ht="20.100000000000001" customHeight="1" x14ac:dyDescent="0.2">
      <c r="L54" s="21"/>
      <c r="M54" s="21"/>
      <c r="N54" s="21"/>
      <c r="O54" s="21"/>
      <c r="P54" s="21"/>
      <c r="Q54" s="21"/>
    </row>
    <row r="55" spans="10:18" ht="20.100000000000001" customHeight="1" x14ac:dyDescent="0.2">
      <c r="L55" s="21"/>
      <c r="M55" s="114" t="str" cm="1">
        <f t="array" ref="M55:N59">_xlfn.CHOOSECOLS(AgResidue_Equations_CropResidue.VEERG_6_1_1_1__1__NitrousOxideEmissionsFromCropResidues_Arguments(), 1, 2)</f>
        <v>M_c</v>
      </c>
      <c r="N55" s="118" t="str">
        <v>mass of nitrogen in crop c residues returned to the soil</v>
      </c>
      <c r="O55" s="117"/>
      <c r="P55" s="114" t="str" cm="1">
        <f t="array" ref="P55:Q59">_xlfn.CHOOSECOLS(AgResidue_Equations_CropResidue.VEERG_6_1_1_1__1__NitrousOxideEmissionsFromCropResidues_Arguments(), 3,4)</f>
        <v>kg N</v>
      </c>
      <c r="Q55" s="108" t="str">
        <v>Calculated from 6.1.1.1 (2)</v>
      </c>
      <c r="R55" s="114">
        <f>VEERG_6_1_1_1__2__MassOfNitrogenInCropResidues_Result_Method2</f>
        <v>85008</v>
      </c>
    </row>
    <row r="56" spans="10:18" ht="20.100000000000001" customHeight="1" x14ac:dyDescent="0.2">
      <c r="L56" s="21"/>
      <c r="M56" s="114" t="str">
        <v>EF_Ni</v>
      </c>
      <c r="N56" s="118" t="str">
        <v>emission factor for crop residues returned to the soil</v>
      </c>
      <c r="O56" s="117"/>
      <c r="P56" s="114" t="str">
        <v>kg N2O-N/kg N</v>
      </c>
      <c r="Q56" s="108" t="str">
        <v>Constant</v>
      </c>
      <c r="R56" s="114" cm="1">
        <f t="array" ref="R56">Common_InputFunctions.Utility_LookupValueInTableNumber(R59,Table_SourceData_N2OEFOrganicFert[Climate zone type i],Table_SourceData_N2OEFOrganicFert[EF i N2O])</f>
        <v>5.0000000000000001E-3</v>
      </c>
    </row>
    <row r="57" spans="10:18" ht="20.100000000000001" customHeight="1" x14ac:dyDescent="0.2">
      <c r="L57" s="21"/>
      <c r="M57" s="114" t="str">
        <v>C_N2O</v>
      </c>
      <c r="N57" s="118" t="str">
        <v>factor to convert elemental mass of nitrous oxide to molecular mass</v>
      </c>
      <c r="O57" s="117"/>
      <c r="P57" s="114" t="str">
        <v>dimensionless</v>
      </c>
      <c r="Q57" s="108" t="str">
        <v>Constant</v>
      </c>
      <c r="R57" s="114">
        <f>Common_InputFunctions.Utility_LookupValueInTableNumber("N2O",Table_GasToMolecularConversionFactor[Gas],Table_GasToMolecularConversionFactor[Conversion factor combined])</f>
        <v>1.5714285714285714</v>
      </c>
    </row>
    <row r="58" spans="10:18" ht="20.100000000000001" customHeight="1" x14ac:dyDescent="0.2">
      <c r="L58" s="21"/>
      <c r="M58" s="114" t="str">
        <v>c</v>
      </c>
      <c r="N58" s="118" t="str">
        <v>Crop type</v>
      </c>
      <c r="O58" s="117"/>
      <c r="P58" s="114" t="str">
        <v/>
      </c>
      <c r="Q58" s="109" t="str">
        <v>Input</v>
      </c>
      <c r="R58" s="114" t="str">
        <f>X_Cell_Crop_CropType</f>
        <v>Wheat</v>
      </c>
    </row>
    <row r="59" spans="10:18" ht="20.100000000000001" customHeight="1" x14ac:dyDescent="0.2">
      <c r="L59" s="21"/>
      <c r="M59" s="114" t="str">
        <v>i</v>
      </c>
      <c r="N59" s="118" t="str">
        <v>Wet or dry climate zone</v>
      </c>
      <c r="O59" s="117"/>
      <c r="P59" s="114" t="str">
        <v/>
      </c>
      <c r="Q59" s="109" t="str">
        <v>Input</v>
      </c>
      <c r="R59" s="114" t="str">
        <f>X_Cell_Site_WetOrDryClimateZone</f>
        <v>Dry climate zone</v>
      </c>
    </row>
    <row r="60" spans="10:18" ht="20.100000000000001" customHeight="1" x14ac:dyDescent="0.2">
      <c r="L60" s="21"/>
      <c r="M60" s="21"/>
      <c r="N60" s="21"/>
      <c r="O60" s="21"/>
      <c r="P60" s="21"/>
      <c r="Q60" s="21"/>
    </row>
    <row r="61" spans="10:18" ht="20.100000000000001" customHeight="1" x14ac:dyDescent="0.2">
      <c r="L61" s="21"/>
      <c r="M61" s="91" t="s">
        <v>108</v>
      </c>
      <c r="N61" s="92" cm="1">
        <f t="array" ref="N61">AgResidue_Equations_CropResidue.VEERG_6_1_1_1__1__NitrousOxideEmissionsFromCropResidues(R55,R56,R57)</f>
        <v>0.66792000000000007</v>
      </c>
      <c r="O61" s="93" t="str">
        <f>$E$34</f>
        <v>t N2O</v>
      </c>
      <c r="Q61" s="21"/>
    </row>
    <row r="62" spans="10:18" ht="20.100000000000001" customHeight="1" x14ac:dyDescent="0.2">
      <c r="L62" s="21"/>
      <c r="Q62" s="21"/>
    </row>
    <row r="63" spans="10:18" ht="20.100000000000001" customHeight="1" x14ac:dyDescent="0.2">
      <c r="L63" s="21"/>
      <c r="M63" s="53" t="str" cm="1">
        <f t="array" ref="M63:N64">Common_Equations.Common_ConvertN2OToCO2e_Arguments()</f>
        <v>EN2O</v>
      </c>
      <c r="N63" s="54" t="str">
        <v>Nitrous oxide emissions (t N2O)</v>
      </c>
      <c r="O63" s="94"/>
      <c r="P63" s="49">
        <f>VEERG_6_1_1_1__1__NitrousOxideEmissionsFromCropResidues_Result_Method2</f>
        <v>0.66792000000000007</v>
      </c>
    </row>
    <row r="64" spans="10:18" ht="20.100000000000001" customHeight="1" x14ac:dyDescent="0.2">
      <c r="L64" s="21"/>
      <c r="M64" s="53" t="str">
        <v>GWPN2O</v>
      </c>
      <c r="N64" s="54" t="str">
        <v>Global warming potential for nitrous oxide (t CO2-e / t N2O)</v>
      </c>
      <c r="O64" s="94"/>
      <c r="P64" s="49">
        <f>Common_InputFunctions.Utility_LookupValueInTableNumber("N2O",Table_GWPData[Gas],Table_GWPData[CO2-e factor])</f>
        <v>265</v>
      </c>
    </row>
    <row r="65" spans="12:18" ht="20.100000000000001" customHeight="1" x14ac:dyDescent="0.2">
      <c r="L65" s="21"/>
      <c r="Q65" s="21"/>
    </row>
    <row r="66" spans="12:18" ht="20.100000000000001" customHeight="1" x14ac:dyDescent="0.2">
      <c r="L66" s="21"/>
      <c r="M66" s="43" t="s">
        <v>78</v>
      </c>
      <c r="N66" s="43" cm="1">
        <f t="array" ref="N66">Common_Equations.Common_ConvertN2OToCO2e(P63,P64)</f>
        <v>176.99880000000002</v>
      </c>
      <c r="O66" s="95" t="str" cm="1">
        <f t="array" ref="O66">Common_Equations.Common_ConvertN2OToCO2e_Unit()</f>
        <v>t CO2e</v>
      </c>
      <c r="Q66" s="21"/>
    </row>
    <row r="67" spans="12:18" ht="20.100000000000001" customHeight="1" x14ac:dyDescent="0.2">
      <c r="L67" s="21"/>
      <c r="M67" s="21"/>
      <c r="N67" s="21"/>
      <c r="O67" s="101"/>
      <c r="P67" s="21"/>
      <c r="Q67" s="21"/>
      <c r="R67" s="21"/>
    </row>
    <row r="68" spans="12:18" ht="20.100000000000001" customHeight="1" x14ac:dyDescent="0.2">
      <c r="L68" s="21"/>
    </row>
    <row r="69" spans="12:18" ht="20.100000000000001" customHeight="1" x14ac:dyDescent="0.2">
      <c r="L69" s="21"/>
    </row>
    <row r="86" spans="12:12" ht="20.100000000000001" customHeight="1" x14ac:dyDescent="0.2">
      <c r="L86" s="21"/>
    </row>
    <row r="341" spans="8:8" ht="20.100000000000001" customHeight="1" x14ac:dyDescent="0.2">
      <c r="H341" s="21"/>
    </row>
    <row r="342" spans="8:8" ht="20.100000000000001" customHeight="1" x14ac:dyDescent="0.2">
      <c r="H342" s="21"/>
    </row>
  </sheetData>
  <dataValidations disablePrompts="1" count="1">
    <dataValidation operator="equal" allowBlank="1" showInputMessage="1" showErrorMessage="1" sqref="N172:S172 O150:R150 E269 N166:S166 O143:S144 E228 O167:S167 G132 I129:I133 F134:I134 F129:F132 H128:H132 G129 F148:I148 I149 F150:I150 R149:S149" xr:uid="{AF7BB680-B75F-4AE8-AA2D-EDF03FCB10D8}"/>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sheetPr>
    <tabColor rgb="FF008000"/>
  </sheetPr>
  <dimension ref="A1:U45"/>
  <sheetViews>
    <sheetView showGridLines="0" topLeftCell="A5" zoomScaleNormal="100" workbookViewId="0">
      <selection activeCell="A25" sqref="A25"/>
    </sheetView>
  </sheetViews>
  <sheetFormatPr defaultRowHeight="20.100000000000001" customHeight="1" x14ac:dyDescent="0.2"/>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0" t="e" vm="1">
        <v>#VALUE!</v>
      </c>
      <c r="C1" s="8" t="s">
        <v>175</v>
      </c>
    </row>
    <row r="2" spans="1:21" s="9" customFormat="1" ht="20.100000000000001" customHeight="1" x14ac:dyDescent="0.2">
      <c r="A2"/>
    </row>
    <row r="3" spans="1:21" ht="20.100000000000001" customHeight="1" x14ac:dyDescent="0.2">
      <c r="A3" s="17" t="str">
        <f>HYPERLINK("#'Home'!A1", "Home")</f>
        <v>Home</v>
      </c>
      <c r="C3" s="4"/>
      <c r="D3" s="4" t="s">
        <v>79</v>
      </c>
      <c r="E3" s="4"/>
      <c r="F3" s="4"/>
      <c r="G3" s="4"/>
      <c r="H3" s="4"/>
      <c r="I3" s="4"/>
      <c r="J3" s="4"/>
      <c r="K3" s="4"/>
      <c r="M3" s="4"/>
      <c r="N3" s="4" t="s">
        <v>80</v>
      </c>
      <c r="O3" s="4"/>
      <c r="P3" s="4"/>
      <c r="Q3" s="4"/>
      <c r="R3" s="4"/>
      <c r="S3" s="4"/>
      <c r="T3" s="4"/>
      <c r="U3" s="4"/>
    </row>
    <row r="4" spans="1:21" ht="20.100000000000001" customHeight="1" x14ac:dyDescent="0.2">
      <c r="A4" s="17" t="str">
        <f>HYPERLINK("#'Overview'!A1", "Overview")</f>
        <v>Overview</v>
      </c>
    </row>
    <row r="5" spans="1:21" ht="20.100000000000001" customHeight="1" x14ac:dyDescent="0.2">
      <c r="A5" s="17" t="str">
        <f>HYPERLINK("#'Results'!A1", "Results")</f>
        <v>Results</v>
      </c>
      <c r="D5" s="6" t="str" cm="1">
        <f t="array" ref="D5">AgResidue_Equations_PastureResidue.VEERG_6_2_1_1__2__MassOfNitrogenInPastureResidues_Title()</f>
        <v>Mass of nitrogen in pasture residues returned to the soil</v>
      </c>
    </row>
    <row r="6" spans="1:21" ht="20.100000000000001" customHeight="1" x14ac:dyDescent="0.2">
      <c r="D6" s="5" t="str" cm="1">
        <f t="array" ref="D6">AgResidue_Equations_PastureResidue.VEERG_6_2_1_1__2__MassOfNitrogenInPastureResidues_Source()</f>
        <v>VEERG 2026: 6.2.1.1, Equation (2)</v>
      </c>
    </row>
    <row r="7" spans="1:21" ht="20.100000000000001" customHeight="1" x14ac:dyDescent="0.2">
      <c r="D7" s="13" t="s">
        <v>21</v>
      </c>
      <c r="E7" s="13" t="str" cm="1">
        <f t="array" aca="1" ref="E7" ca="1">Common_InputFunctions.Utility_DisplayFunctionName(E21)</f>
        <v>=AgResidue_Equations_PastureResidue.VEERG_6_2_1_1__2__MassOfNitrogenInPastureResidues</v>
      </c>
    </row>
    <row r="8" spans="1:21" ht="20.100000000000001" customHeight="1" x14ac:dyDescent="0.2">
      <c r="A8" s="19" t="s">
        <v>0</v>
      </c>
    </row>
    <row r="9" spans="1:21" ht="20.100000000000001" customHeight="1" x14ac:dyDescent="0.2">
      <c r="A9" s="17" t="str">
        <f>HYPERLINK("#'Input - Site'!A1", "Site")</f>
        <v>Site</v>
      </c>
    </row>
    <row r="10" spans="1:21" ht="20.100000000000001" customHeight="1" x14ac:dyDescent="0.2">
      <c r="A10" s="17" t="str">
        <f>HYPERLINK("#'Input - Crop'!A1", "Crop")</f>
        <v>Crop</v>
      </c>
      <c r="D10" s="3" t="s">
        <v>24</v>
      </c>
      <c r="E10" s="1" t="str" cm="1">
        <f t="array" ref="E10">AgResidue_Equations_PastureResidue.VEERG_6_2_1_1__2__MassOfNitrogenInPastureResidues_Variable()</f>
        <v>Mp</v>
      </c>
    </row>
    <row r="11" spans="1:21" ht="20.100000000000001" customHeight="1" x14ac:dyDescent="0.2">
      <c r="A11" s="17" t="str">
        <f>HYPERLINK("#'Input - Pasture'!A1", "Pasture")</f>
        <v>Pasture</v>
      </c>
      <c r="D11" s="3" t="s">
        <v>15</v>
      </c>
      <c r="E11" s="51" t="str" cm="1">
        <f t="array" ref="E11">AgResidue_Equations_PastureResidue.VEERG_6_2_1_1__2__MassOfNitrogenInPastureResidues_Unit()</f>
        <v>kg N</v>
      </c>
    </row>
    <row r="13" spans="1:21" ht="20.100000000000001" customHeight="1" x14ac:dyDescent="0.2">
      <c r="D13" s="114" t="str" cm="1">
        <f t="array" ref="D13:E19">_xlfn.CHOOSECOLS(AgResidue_Equations_PastureResidue.VEERG_6_2_1_1__2__MassOfNitrogenInPastureResidues_Arguments(), 1, 2)</f>
        <v>A_p</v>
      </c>
      <c r="E13" s="118" t="str">
        <v>area of pasture renewed or removed</v>
      </c>
      <c r="F13" s="119"/>
      <c r="G13" s="117"/>
      <c r="H13" s="114" t="str" cm="1">
        <f t="array" ref="H13:I19">_xlfn.CHOOSECOLS(AgResidue_Equations_PastureResidue.VEERG_6_2_1_1__2__MassOfNitrogenInPastureResidues_Arguments(), 3,4)</f>
        <v>ha</v>
      </c>
      <c r="I13" s="109" t="str">
        <v>Input</v>
      </c>
      <c r="J13" s="114">
        <f>X_Cell_Pasture_AreaRemovedOrRenewed</f>
        <v>500</v>
      </c>
      <c r="N13" s="114" t="str" cm="1">
        <f t="array" ref="N13:O19">_xlfn.CHOOSECOLS(AgResidue_Equations_PastureResidue.VEERG_6_2_1_1__2__MassOfNitrogenInPastureResidues_Arguments_Method2(), 1, 2)</f>
        <v>A_p</v>
      </c>
      <c r="O13" s="118" t="str">
        <v>area of pasture renewed or removed</v>
      </c>
      <c r="P13" s="119"/>
      <c r="Q13" s="117"/>
      <c r="R13" s="114" t="str" cm="1">
        <f t="array" ref="R13:S19">_xlfn.CHOOSECOLS(AgResidue_Equations_PastureResidue.VEERG_6_2_1_1__2__MassOfNitrogenInPastureResidues_Arguments_Method2(), 3,4)</f>
        <v>ha</v>
      </c>
      <c r="S13" s="109" t="str">
        <v>Input</v>
      </c>
      <c r="T13" s="114"/>
    </row>
    <row r="14" spans="1:21" ht="20.100000000000001" customHeight="1" x14ac:dyDescent="0.2">
      <c r="A14" s="18" t="s">
        <v>68</v>
      </c>
      <c r="D14" s="114" t="str">
        <v>Y_p</v>
      </c>
      <c r="E14" s="118" t="str">
        <v>average yield of pasture crop</v>
      </c>
      <c r="F14" s="119"/>
      <c r="G14" s="117"/>
      <c r="H14" s="114" t="str">
        <v>t DM/ha</v>
      </c>
      <c r="I14" s="108" t="str">
        <v>Constant</v>
      </c>
      <c r="J14" s="114" cm="1">
        <f t="array" ref="J14">Common_InputFunctions.Utility_LookupValueInTableNumber($J$19,Table_SourceData_PastureAttributes[Pasture type],Table_SourceData_PastureAttributes[Average Yield (t DM ha) Yp])</f>
        <v>8.34</v>
      </c>
      <c r="N14" s="114" t="str">
        <v>Y_p</v>
      </c>
      <c r="O14" s="118" t="str">
        <v>average yield of pasture crop</v>
      </c>
      <c r="P14" s="119"/>
      <c r="Q14" s="117"/>
      <c r="R14" s="114" t="str">
        <v>t DM/ha</v>
      </c>
      <c r="S14" s="109" t="str">
        <v>Input</v>
      </c>
      <c r="T14" s="114">
        <f>X_Cell_Pasture_YieldPerHectare</f>
        <v>8.34</v>
      </c>
    </row>
    <row r="15" spans="1:21" ht="20.100000000000001" customHeight="1" x14ac:dyDescent="0.2">
      <c r="A15" s="17" t="str">
        <f>HYPERLINK("#'6.1.1.1-2 Crop residue N2O'!A1", "6.1.1.1-2 Crop residue N2O")</f>
        <v>6.1.1.1-2 Crop residue N2O</v>
      </c>
      <c r="D15" s="114" t="str">
        <v>NC_AGp</v>
      </c>
      <c r="E15" s="118" t="str">
        <v>N content of above-ground pasture residue</v>
      </c>
      <c r="F15" s="119"/>
      <c r="G15" s="117"/>
      <c r="H15" s="114" t="str">
        <v>kg N/kg DM</v>
      </c>
      <c r="I15" s="108" t="str">
        <v>Constant</v>
      </c>
      <c r="J15" s="114" cm="1">
        <f t="array" ref="J15">Common_InputFunctions.Utility_LookupValueInTableNumber($J$19,Table_SourceData_PastureAttributes[Pasture type],Table_SourceData_PastureAttributes[N content Above-ground NCAGp])</f>
        <v>2.5000000000000001E-2</v>
      </c>
      <c r="N15" s="114" t="str">
        <v>NC_AGp</v>
      </c>
      <c r="O15" s="118" t="str">
        <v>N content of above-ground pasture residue</v>
      </c>
      <c r="P15" s="119"/>
      <c r="Q15" s="117"/>
      <c r="R15" s="114" t="str">
        <v>kg N/kg DM</v>
      </c>
      <c r="S15" s="108" t="str">
        <v>Constant</v>
      </c>
      <c r="T15" s="114"/>
    </row>
    <row r="16" spans="1:21" ht="20.100000000000001" customHeight="1" x14ac:dyDescent="0.2">
      <c r="A16" s="127" t="str">
        <f>HYPERLINK("#'6.2.1.1-2 Pasture residue N2O'!A1", "6.2.1.1-2 Pasture residue N2O")</f>
        <v>6.2.1.1-2 Pasture residue N2O</v>
      </c>
      <c r="D16" s="114" t="str">
        <v>R_BGp</v>
      </c>
      <c r="E16" s="118" t="str">
        <v>below-ground residue to above-ground residue ratio for pasture crop</v>
      </c>
      <c r="F16" s="119"/>
      <c r="G16" s="117"/>
      <c r="H16" s="114" t="str">
        <v/>
      </c>
      <c r="I16" s="108" t="str">
        <v>Constant</v>
      </c>
      <c r="J16" s="114" cm="1">
        <f t="array" ref="J16">Common_InputFunctions.Utility_LookupValueInTableNumber($J$19,Table_SourceData_PastureAttributes[Pasture type],Table_SourceData_PastureAttributes[Below-ground: above-ground residue ratio RBGp])</f>
        <v>0.8</v>
      </c>
      <c r="N16" s="114" t="str">
        <v>R_BGp</v>
      </c>
      <c r="O16" s="118" t="str">
        <v>below-ground residue to above-ground residue ratio for pasture crop</v>
      </c>
      <c r="P16" s="119"/>
      <c r="Q16" s="117"/>
      <c r="R16" s="114" t="str">
        <v/>
      </c>
      <c r="S16" s="108" t="str">
        <v>Constant</v>
      </c>
      <c r="T16" s="114"/>
    </row>
    <row r="17" spans="1:21" ht="20.100000000000001" customHeight="1" x14ac:dyDescent="0.2">
      <c r="A17" s="17" t="str">
        <f>HYPERLINK("#'6.3.1.1-2 Leaching and runoff'!A1", "6.3.1.1-2 Leaching and runoff")</f>
        <v>6.3.1.1-2 Leaching and runoff</v>
      </c>
      <c r="D17" s="114" t="str">
        <v>NC_BGp</v>
      </c>
      <c r="E17" s="118" t="str">
        <v>N content of below-ground pasture crop residue</v>
      </c>
      <c r="F17" s="119"/>
      <c r="G17" s="117"/>
      <c r="H17" s="114" t="str">
        <v>kg N/kg DM</v>
      </c>
      <c r="I17" s="108" t="str">
        <v>Constant</v>
      </c>
      <c r="J17" s="114" cm="1">
        <f t="array" ref="J17">Common_InputFunctions.Utility_LookupValueInTableNumber($J$19,Table_SourceData_PastureAttributes[Pasture type],Table_SourceData_PastureAttributes[N content Below-ground NCBGp])</f>
        <v>1.6E-2</v>
      </c>
      <c r="N17" s="114" t="str">
        <v>NC_BGp</v>
      </c>
      <c r="O17" s="118" t="str">
        <v>N content of below-ground pasture crop residue</v>
      </c>
      <c r="P17" s="119"/>
      <c r="Q17" s="117"/>
      <c r="R17" s="114" t="str">
        <v>kg N/kg DM</v>
      </c>
      <c r="S17" s="108" t="str">
        <v>Constant</v>
      </c>
      <c r="T17" s="114"/>
    </row>
    <row r="18" spans="1:21" ht="20.100000000000001" customHeight="1" x14ac:dyDescent="0.2">
      <c r="A18" s="17" t="str">
        <f>HYPERLINK("#'6.3.1.1-2 Leach runoff crop'!A1", "6.3.1.1-2 Leach runoff crop")</f>
        <v>6.3.1.1-2 Leach runoff crop</v>
      </c>
      <c r="D18" s="114" t="str">
        <v>FFOD_p</v>
      </c>
      <c r="E18" s="118" t="str">
        <v>fraction of pasture yield that is removed</v>
      </c>
      <c r="F18" s="119"/>
      <c r="G18" s="117"/>
      <c r="H18" s="114" t="str">
        <v>fraction</v>
      </c>
      <c r="I18" s="108" t="str">
        <v>Constant</v>
      </c>
      <c r="J18" s="114" cm="1">
        <f t="array" ref="J18">Common_InputFunctions.Utility_LookupValueInTableNumber($J$19,Table_SourceData_PastureAttributes[Pasture type],Table_SourceData_PastureAttributes[Fraction of pasture yield that is removed FFODp])</f>
        <v>0.8</v>
      </c>
      <c r="N18" s="114" t="str">
        <v>FFOD_p</v>
      </c>
      <c r="O18" s="118" t="str">
        <v>fraction of pasture yield that is removed</v>
      </c>
      <c r="P18" s="119"/>
      <c r="Q18" s="117"/>
      <c r="R18" s="114" t="str">
        <v>fraction</v>
      </c>
      <c r="S18" s="108" t="str">
        <v>Constant</v>
      </c>
      <c r="T18" s="114"/>
    </row>
    <row r="19" spans="1:21" ht="20.100000000000001" customHeight="1" x14ac:dyDescent="0.2">
      <c r="A19" s="17" t="str">
        <f>HYPERLINK("#'6.3.1.1-2 Leach runoff pasture'!A1", "6.3.1.1-2 Leach runoff pasture")</f>
        <v>6.3.1.1-2 Leach runoff pasture</v>
      </c>
      <c r="D19" s="114" t="str">
        <v>p</v>
      </c>
      <c r="E19" s="118" t="str">
        <v>Pasture type</v>
      </c>
      <c r="F19" s="119"/>
      <c r="G19" s="117"/>
      <c r="H19" s="114" t="str">
        <v/>
      </c>
      <c r="I19" s="109" t="str">
        <v>Input</v>
      </c>
      <c r="J19" s="114" t="str">
        <f>X_Cell_Pasture_PastureType</f>
        <v>Grass clover mixture</v>
      </c>
      <c r="N19" s="114" t="str">
        <v>p</v>
      </c>
      <c r="O19" s="118" t="str">
        <v>Pasture type</v>
      </c>
      <c r="P19" s="119"/>
      <c r="Q19" s="117"/>
      <c r="R19" s="114" t="str">
        <v/>
      </c>
      <c r="S19" s="109" t="str">
        <v>Input</v>
      </c>
      <c r="T19" s="114"/>
    </row>
    <row r="20" spans="1:21" ht="20.100000000000001" customHeight="1" x14ac:dyDescent="0.2">
      <c r="A20" s="17" t="str">
        <f>HYPERLINK("#'6.4.1.1-2 Residue burning'!A1", "6.4.1.1-2 Residue burning")</f>
        <v>6.4.1.1-2 Residue burning</v>
      </c>
    </row>
    <row r="21" spans="1:21" ht="20.100000000000001" customHeight="1" x14ac:dyDescent="0.2">
      <c r="D21" s="115" t="s">
        <v>182</v>
      </c>
      <c r="E21" s="43" cm="1">
        <f t="array" ref="E21">AgResidue_Equations_PastureResidue.VEERG_6_2_1_1__2__MassOfNitrogenInPastureResidues(J13,J14,J18,J15,J16,J17)</f>
        <v>7.4226E-2</v>
      </c>
      <c r="F21" s="95" t="str" cm="1">
        <f t="array" ref="F21">AgResidue_Equations_PastureResidue.VEERG_6_2_1_1__2__MassOfNitrogenInPastureResidues_Unit()</f>
        <v>kg N</v>
      </c>
      <c r="N21" s="115" t="s">
        <v>182</v>
      </c>
      <c r="O21" s="43" cm="1">
        <f t="array" ref="O21">AgResidue_Equations_PastureResidue.VEERG_6_2_1_1__2__MassOfNitrogenInPastureResidues(J13,T14,J18,J15,J16,J17)</f>
        <v>7.4226E-2</v>
      </c>
      <c r="P21" s="95" t="str" cm="1">
        <f t="array" ref="P21">AgResidue_Equations_PastureResidue.VEERG_6_2_1_1__2__MassOfNitrogenInPastureResidues_Unit()</f>
        <v>kg N</v>
      </c>
    </row>
    <row r="23" spans="1:21" ht="20.100000000000001" customHeight="1" x14ac:dyDescent="0.2">
      <c r="A23" s="141" t="s">
        <v>1</v>
      </c>
    </row>
    <row r="24" spans="1:21" ht="20.100000000000001" customHeight="1" x14ac:dyDescent="0.2">
      <c r="A24" s="17" t="str">
        <f>HYPERLINK("#'Constants - Ag Residue'!A1", "Constants - Ag Residue")</f>
        <v>Constants - Ag Residue</v>
      </c>
      <c r="C24" s="43"/>
      <c r="D24" s="43"/>
      <c r="E24" s="43"/>
      <c r="F24" s="43"/>
      <c r="G24" s="43"/>
      <c r="H24" s="43"/>
      <c r="I24" s="43"/>
      <c r="J24" s="43"/>
      <c r="K24" s="43"/>
      <c r="M24" s="43"/>
      <c r="N24" s="43"/>
      <c r="O24" s="43"/>
      <c r="P24" s="43"/>
      <c r="Q24" s="43"/>
      <c r="R24" s="43"/>
      <c r="S24" s="43"/>
      <c r="T24" s="43"/>
      <c r="U24" s="43"/>
    </row>
    <row r="25" spans="1:21" ht="20.100000000000001" customHeight="1" x14ac:dyDescent="0.2">
      <c r="A25" s="17" t="str">
        <f>HYPERLINK("#'Constants - Common'!A1", "Constants - Common")</f>
        <v>Constants - Common</v>
      </c>
      <c r="D25" s="6" t="str" cm="1">
        <f t="array" ref="D25">AgResidue_Equations_PastureResidue.VEERG_6_2_1_1__1__NitrousOxideEmissionsFromPastureResidues_Title()</f>
        <v>Nitrous oxide emissions from the return of pasture residues from all pasture types to the soil</v>
      </c>
      <c r="N25" s="6" t="str" cm="1">
        <f t="array" ref="N25">AgResidue_Equations_PastureResidue.VEERG_6_2_1_1__1__NitrousOxideEmissionsFromPastureResidues_Title()</f>
        <v>Nitrous oxide emissions from the return of pasture residues from all pasture types to the soil</v>
      </c>
    </row>
    <row r="26" spans="1:21" ht="20.100000000000001" customHeight="1" x14ac:dyDescent="0.2">
      <c r="D26" s="5" t="str" cm="1">
        <f t="array" ref="D26">AgResidue_Equations_PastureResidue.VEERG_6_2_1_1__1__NitrousOxideEmissionsFromPastureResidues_Source()</f>
        <v>VEERG 2026: 6.2.1.1, Equation (1)</v>
      </c>
      <c r="N26" s="5" t="str" cm="1">
        <f t="array" ref="N26">AgResidue_Equations_PastureResidue.VEERG_6_2_1_1__1__NitrousOxideEmissionsFromPastureResidues_Source()</f>
        <v>VEERG 2026: 6.2.1.1, Equation (1)</v>
      </c>
    </row>
    <row r="27" spans="1:21" ht="20.100000000000001" customHeight="1" x14ac:dyDescent="0.2">
      <c r="D27" s="13" t="s">
        <v>21</v>
      </c>
      <c r="E27" s="13" t="str">
        <f ca="1">Common_InputFunctions.Utility_DisplayFunctionName(VEERG_6_2_1_1__1__NitrousOxideEmissionsFromPastureResidues_Result_Method1)</f>
        <v>=AgResidue_Equations_PastureResidue.VEERG_6_2_1_1__1__NitrousOxideEmissionsFromPastureResidues</v>
      </c>
      <c r="N27" s="13" t="s">
        <v>21</v>
      </c>
      <c r="O27" s="13" t="str">
        <f ca="1">Common_InputFunctions.Utility_DisplayFunctionName(VEERG_6_2_1_1__1__NitrousOxideEmissionsFromPastureResidues_Result_Method2)</f>
        <v>=AgResidue_Equations_PastureResidue.VEERG_6_2_1_1__1__NitrousOxideEmissionsFromPastureResidues</v>
      </c>
    </row>
    <row r="30" spans="1:21" ht="20.100000000000001" customHeight="1" x14ac:dyDescent="0.2">
      <c r="D30" s="3" t="s">
        <v>24</v>
      </c>
      <c r="E30" s="1" t="str" cm="1">
        <f t="array" ref="E30">AgResidue_Equations_PastureResidue.VEERG_6_2_1_1__1__NitrousOxideEmissionsFromPastureResidues_Variable()</f>
        <v>EN2O</v>
      </c>
      <c r="N30" s="3" t="s">
        <v>24</v>
      </c>
      <c r="O30" s="1" t="str" cm="1">
        <f t="array" ref="O30">AgResidue_Equations_PastureResidue.VEERG_6_2_1_1__1__NitrousOxideEmissionsFromPastureResidues_Variable()</f>
        <v>EN2O</v>
      </c>
    </row>
    <row r="31" spans="1:21" ht="20.100000000000001" customHeight="1" x14ac:dyDescent="0.2">
      <c r="D31" s="3" t="s">
        <v>15</v>
      </c>
      <c r="E31" s="51" t="str" cm="1">
        <f t="array" ref="E31">AgResidue_Equations_PastureResidue.VEERG_6_2_1_1__1__NitrousOxideEmissionsFromPastureResidues_Unit()</f>
        <v>t N2O</v>
      </c>
      <c r="N31" s="3" t="s">
        <v>15</v>
      </c>
      <c r="O31" s="51" t="str" cm="1">
        <f t="array" ref="O31">AgResidue_Equations_PastureResidue.VEERG_6_2_1_1__1__NitrousOxideEmissionsFromPastureResidues_Unit()</f>
        <v>t N2O</v>
      </c>
    </row>
    <row r="33" spans="4:20" ht="20.100000000000001" customHeight="1" x14ac:dyDescent="0.2">
      <c r="D33" s="114" t="str" cm="1">
        <f t="array" ref="D33:E37">_xlfn.CHOOSECOLS(AgResidue_Equations_PastureResidue.VEERG_6_2_1_1__1__NitrousOxideEmissionsFromPastureResidues_Arguments(), 1, 2)</f>
        <v>M_p</v>
      </c>
      <c r="E33" s="118" t="str">
        <v>mass of nitrogen in pasture p residues returned to the soil</v>
      </c>
      <c r="F33" s="119"/>
      <c r="G33" s="117"/>
      <c r="H33" s="114" t="str" cm="1">
        <f t="array" ref="H33:I37">_xlfn.CHOOSECOLS(AgResidue_Equations_PastureResidue.VEERG_6_2_1_1__1__NitrousOxideEmissionsFromPastureResidues_Arguments(), 3,4)</f>
        <v>kg N</v>
      </c>
      <c r="I33" s="108" t="str">
        <v>Calculated from 6.2.1.1 (2)</v>
      </c>
      <c r="J33" s="114">
        <f>$E$21</f>
        <v>7.4226E-2</v>
      </c>
      <c r="N33" s="114" t="str" cm="1">
        <f t="array" ref="N33:O37">_xlfn.CHOOSECOLS(AgResidue_Equations_PastureResidue.VEERG_6_2_1_1__1__NitrousOxideEmissionsFromPastureResidues_Arguments(), 1, 2)</f>
        <v>M_p</v>
      </c>
      <c r="O33" s="118" t="str">
        <v>mass of nitrogen in pasture p residues returned to the soil</v>
      </c>
      <c r="P33" s="119"/>
      <c r="Q33" s="117"/>
      <c r="R33" s="114" t="str" cm="1">
        <f t="array" ref="R33:S37">_xlfn.CHOOSECOLS(AgResidue_Equations_PastureResidue.VEERG_6_2_1_1__1__NitrousOxideEmissionsFromPastureResidues_Arguments(), 3,4)</f>
        <v>kg N</v>
      </c>
      <c r="S33" s="108" t="str">
        <v>Calculated from 6.2.1.1 (2)</v>
      </c>
      <c r="T33" s="114">
        <f>$O$21</f>
        <v>7.4226E-2</v>
      </c>
    </row>
    <row r="34" spans="4:20" ht="20.100000000000001" customHeight="1" x14ac:dyDescent="0.2">
      <c r="D34" s="114" t="str">
        <v>EF_Ni</v>
      </c>
      <c r="E34" s="118" t="str">
        <v>emission factor for crop residues returned to the soil in climate zone i</v>
      </c>
      <c r="F34" s="119"/>
      <c r="G34" s="117"/>
      <c r="H34" s="114" t="str">
        <v>kg N2O-N/kg N</v>
      </c>
      <c r="I34" s="108" t="str">
        <v>Constant</v>
      </c>
      <c r="J34" s="114" cm="1">
        <f t="array" ref="J34">Common_InputFunctions.Utility_LookupValueInTableNumber(J37,Table_SourceData_N2OEFOrganicFert[Climate zone type i],Table_SourceData_N2OEFOrganicFert[EF i N2O])</f>
        <v>5.0000000000000001E-3</v>
      </c>
      <c r="N34" s="114" t="str">
        <v>EF_Ni</v>
      </c>
      <c r="O34" s="118" t="str">
        <v>emission factor for crop residues returned to the soil in climate zone i</v>
      </c>
      <c r="P34" s="119"/>
      <c r="Q34" s="117"/>
      <c r="R34" s="114" t="str">
        <v>kg N2O-N/kg N</v>
      </c>
      <c r="S34" s="108" t="str">
        <v>Constant</v>
      </c>
      <c r="T34" s="114"/>
    </row>
    <row r="35" spans="4:20" ht="20.100000000000001" customHeight="1" x14ac:dyDescent="0.2">
      <c r="D35" s="114" t="str">
        <v>C_N2O</v>
      </c>
      <c r="E35" s="118" t="str">
        <v>factor to convert elemental mass of nitrous oxide to molecular mass</v>
      </c>
      <c r="F35" s="119"/>
      <c r="G35" s="117"/>
      <c r="H35" s="114" t="str">
        <v>dimensionless</v>
      </c>
      <c r="I35" s="108" t="str">
        <v>Constant</v>
      </c>
      <c r="J35" s="114">
        <f>Common_InputFunctions.Utility_LookupValueInTableNumber("N2O",Table_GasToMolecularConversionFactor[Gas],Table_GasToMolecularConversionFactor[Conversion factor combined])</f>
        <v>1.5714285714285714</v>
      </c>
      <c r="N35" s="114" t="str">
        <v>C_N2O</v>
      </c>
      <c r="O35" s="118" t="str">
        <v>factor to convert elemental mass of nitrous oxide to molecular mass</v>
      </c>
      <c r="P35" s="119"/>
      <c r="Q35" s="117"/>
      <c r="R35" s="114" t="str">
        <v>dimensionless</v>
      </c>
      <c r="S35" s="108" t="str">
        <v>Constant</v>
      </c>
      <c r="T35" s="114"/>
    </row>
    <row r="36" spans="4:20" ht="20.100000000000001" customHeight="1" x14ac:dyDescent="0.2">
      <c r="D36" s="114" t="str">
        <v>p</v>
      </c>
      <c r="E36" s="118" t="str">
        <v>Pasture type</v>
      </c>
      <c r="F36" s="119"/>
      <c r="G36" s="117"/>
      <c r="H36" s="114" t="str">
        <v/>
      </c>
      <c r="I36" s="109" t="str">
        <v>Input</v>
      </c>
      <c r="J36" s="114" t="str">
        <f>X_Cell_Pasture_PastureType</f>
        <v>Grass clover mixture</v>
      </c>
      <c r="N36" s="114" t="str">
        <v>p</v>
      </c>
      <c r="O36" s="118" t="str">
        <v>Pasture type</v>
      </c>
      <c r="P36" s="119"/>
      <c r="Q36" s="117"/>
      <c r="R36" s="114" t="str">
        <v/>
      </c>
      <c r="S36" s="109" t="str">
        <v>Input</v>
      </c>
      <c r="T36" s="114"/>
    </row>
    <row r="37" spans="4:20" ht="20.100000000000001" customHeight="1" x14ac:dyDescent="0.2">
      <c r="D37" s="114" t="str">
        <v>i</v>
      </c>
      <c r="E37" s="118" t="str">
        <v>Wet or dry climate zone</v>
      </c>
      <c r="F37" s="119"/>
      <c r="G37" s="117"/>
      <c r="H37" s="114" t="str">
        <v/>
      </c>
      <c r="I37" s="109" t="str">
        <v>Input</v>
      </c>
      <c r="J37" s="114" t="str">
        <f>X_Cell_Site_WetOrDryClimateZone</f>
        <v>Dry climate zone</v>
      </c>
      <c r="N37" s="114" t="str">
        <v>i</v>
      </c>
      <c r="O37" s="118" t="str">
        <v>Wet or dry climate zone</v>
      </c>
      <c r="P37" s="119"/>
      <c r="Q37" s="117"/>
      <c r="R37" s="114" t="str">
        <v/>
      </c>
      <c r="S37" s="109" t="str">
        <v>Input</v>
      </c>
      <c r="T37" s="114"/>
    </row>
    <row r="40" spans="4:20" ht="20.100000000000001" customHeight="1" x14ac:dyDescent="0.2">
      <c r="D40" s="91" t="s">
        <v>108</v>
      </c>
      <c r="E40" s="92" cm="1">
        <f t="array" ref="E40">AgResidue_Equations_PastureResidue.VEERG_6_2_1_1__1__NitrousOxideEmissionsFromPastureResidues(J33,J34,J35)</f>
        <v>5.8320428571428569E-7</v>
      </c>
      <c r="F40" s="93" t="str" cm="1">
        <f t="array" ref="F40">AgResidue_Equations_PastureResidue.VEERG_6_2_1_1__1__NitrousOxideEmissionsFromPastureResidues_Unit()</f>
        <v>t N2O</v>
      </c>
      <c r="N40" s="91" t="s">
        <v>108</v>
      </c>
      <c r="O40" s="92" cm="1">
        <f t="array" ref="O40">AgResidue_Equations_PastureResidue.VEERG_6_2_1_1__1__NitrousOxideEmissionsFromPastureResidues(T33,J34,J35)</f>
        <v>5.8320428571428569E-7</v>
      </c>
      <c r="P40" s="93" t="str" cm="1">
        <f t="array" ref="P40">AgResidue_Equations_PastureResidue.VEERG_6_2_1_1__1__NitrousOxideEmissionsFromPastureResidues_Unit()</f>
        <v>t N2O</v>
      </c>
    </row>
    <row r="42" spans="4:20" ht="20.100000000000001" customHeight="1" x14ac:dyDescent="0.2">
      <c r="D42" s="53" t="str" cm="1">
        <f t="array" ref="D42:E43">Common_Equations.Common_ConvertN2OToCO2e_Arguments()</f>
        <v>EN2O</v>
      </c>
      <c r="E42" s="54" t="str">
        <v>Nitrous oxide emissions (t N2O)</v>
      </c>
      <c r="F42" s="55"/>
      <c r="G42" s="53">
        <f>VEERG_6_2_1_1__1__NitrousOxideEmissionsFromPastureResidues_Result_Method1</f>
        <v>5.8320428571428569E-7</v>
      </c>
      <c r="N42" s="53" t="str" cm="1">
        <f t="array" ref="N42:O43">Common_Equations.Common_ConvertN2OToCO2e_Arguments()</f>
        <v>EN2O</v>
      </c>
      <c r="O42" s="54" t="str">
        <v>Nitrous oxide emissions (t N2O)</v>
      </c>
      <c r="P42" s="55"/>
      <c r="Q42" s="53">
        <f>VEERG_6_2_1_1__1__NitrousOxideEmissionsFromPastureResidues_Result_Method2</f>
        <v>5.8320428571428569E-7</v>
      </c>
    </row>
    <row r="43" spans="4:20" ht="20.100000000000001" customHeight="1" x14ac:dyDescent="0.2">
      <c r="D43" s="53" t="str">
        <v>GWPN2O</v>
      </c>
      <c r="E43" s="54" t="str">
        <v>Global warming potential for nitrous oxide (t CO2-e / t N2O)</v>
      </c>
      <c r="F43" s="55"/>
      <c r="G43" s="49">
        <f>Common_InputFunctions.Utility_LookupValueInTableNumber("N2O",Table_GWPData[Gas],Table_GWPData[CO2-e factor])</f>
        <v>265</v>
      </c>
      <c r="N43" s="53" t="str">
        <v>GWPN2O</v>
      </c>
      <c r="O43" s="54" t="str">
        <v>Global warming potential for nitrous oxide (t CO2-e / t N2O)</v>
      </c>
      <c r="P43" s="55"/>
      <c r="Q43" s="49">
        <f>Common_InputFunctions.Utility_LookupValueInTableNumber("N2O",Table_GWPData[Gas],Table_GWPData[CO2-e factor])</f>
        <v>265</v>
      </c>
    </row>
    <row r="45" spans="4:20" ht="20.100000000000001" customHeight="1" x14ac:dyDescent="0.2">
      <c r="D45" s="1" t="s">
        <v>183</v>
      </c>
      <c r="E45" s="1" cm="1">
        <f t="array" ref="E45">Common_Equations.Common_ConvertN2OToCO2e(G42,G43)</f>
        <v>1.545491357142857E-4</v>
      </c>
      <c r="F45" s="51" t="str" cm="1">
        <f t="array" ref="F45">Common_Equations.Common_ConvertN2OToCO2e_Unit()</f>
        <v>t CO2e</v>
      </c>
      <c r="N45" s="1" t="s">
        <v>183</v>
      </c>
      <c r="O45" s="1" cm="1">
        <f t="array" ref="O45">Common_Equations.Common_ConvertN2OToCO2e(Q42,Q43)</f>
        <v>1.545491357142857E-4</v>
      </c>
      <c r="P45" s="51" t="str" cm="1">
        <f t="array" ref="P45">Common_Equations.Common_ConvertN2OToCO2e_Unit()</f>
        <v>t CO2e</v>
      </c>
    </row>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sheetPr>
    <tabColor rgb="FF008000"/>
  </sheetPr>
  <dimension ref="A1:T61"/>
  <sheetViews>
    <sheetView showGridLines="0" topLeftCell="A9" zoomScaleNormal="100" workbookViewId="0">
      <selection activeCell="H25" sqref="H25"/>
    </sheetView>
  </sheetViews>
  <sheetFormatPr defaultRowHeight="20.100000000000001" customHeight="1" x14ac:dyDescent="0.2"/>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60" t="e" vm="1">
        <v>#VALUE!</v>
      </c>
      <c r="C1" s="8" t="s">
        <v>193</v>
      </c>
    </row>
    <row r="2" spans="1:20" s="9" customFormat="1" ht="20.100000000000001" customHeight="1" x14ac:dyDescent="0.2">
      <c r="A2"/>
    </row>
    <row r="3" spans="1:20" ht="20.100000000000001" customHeight="1" x14ac:dyDescent="0.2">
      <c r="A3" s="17" t="str">
        <f>HYPERLINK("#'Home'!A1", "Home")</f>
        <v>Home</v>
      </c>
      <c r="C3" s="4"/>
      <c r="D3" s="4" t="s">
        <v>79</v>
      </c>
      <c r="E3" s="4"/>
      <c r="F3" s="4"/>
      <c r="G3" s="4"/>
      <c r="H3" s="4"/>
      <c r="I3" s="4"/>
      <c r="J3" s="4"/>
      <c r="K3" s="4"/>
      <c r="M3" s="4"/>
      <c r="N3" s="4" t="s">
        <v>80</v>
      </c>
      <c r="O3" s="4"/>
      <c r="P3" s="4"/>
      <c r="Q3" s="4"/>
      <c r="R3" s="4"/>
      <c r="S3" s="4"/>
      <c r="T3" s="4"/>
    </row>
    <row r="4" spans="1:20" ht="20.100000000000001" customHeight="1" x14ac:dyDescent="0.2">
      <c r="A4" s="17" t="str">
        <f>HYPERLINK("#'Overview'!A1", "Overview")</f>
        <v>Overview</v>
      </c>
    </row>
    <row r="5" spans="1:20" ht="20.100000000000001" customHeight="1" x14ac:dyDescent="0.2">
      <c r="A5" s="17" t="str">
        <f>HYPERLINK("#'Results'!A1", "Results")</f>
        <v>Results</v>
      </c>
      <c r="C5" s="21"/>
      <c r="D5" s="6" t="str" cm="1">
        <f t="array" ref="D5">AgResidue_Equations_Leaching.VEERG_6_3_1_1__2__MassOfNitrogenLostThroughLeachingAndRunoff_Title()</f>
        <v>Mass of nitrogen lost through leaching and runoff</v>
      </c>
      <c r="E5" s="21"/>
      <c r="F5" s="21"/>
      <c r="G5" s="21"/>
      <c r="H5" s="21"/>
      <c r="I5" s="21"/>
      <c r="J5" s="21"/>
      <c r="K5" s="21"/>
    </row>
    <row r="6" spans="1:20" ht="20.100000000000001" customHeight="1" x14ac:dyDescent="0.2">
      <c r="C6" s="21"/>
      <c r="D6" s="5" t="str" cm="1">
        <f t="array" ref="D6">AgResidue_Equations_Leaching.VEERG_6_3_1_1__2__MassOfNitrogenLostThroughLeachingAndRunoff_Source()</f>
        <v>VEERG 2026: 6.3.1.1, Equation (2)</v>
      </c>
      <c r="E6" s="21"/>
      <c r="F6" s="21"/>
      <c r="G6" s="21"/>
      <c r="H6" s="21"/>
      <c r="I6" s="21"/>
      <c r="J6" s="21"/>
      <c r="K6" s="21"/>
    </row>
    <row r="7" spans="1:20" ht="20.100000000000001" customHeight="1" x14ac:dyDescent="0.2">
      <c r="C7" s="21"/>
      <c r="D7" s="13" t="s">
        <v>21</v>
      </c>
      <c r="E7" s="13" t="str" cm="1">
        <f t="array" aca="1" ref="E7" ca="1">Common_InputFunctions.Utility_DisplayFunctionName(I24)</f>
        <v>=AgResidue_Equations_Leaching.VEERG_6_3_1_1__2__MassOfNitrogenLostThroughLeachingAndRunoff</v>
      </c>
      <c r="F7" s="13"/>
      <c r="G7" s="21"/>
      <c r="H7" s="21"/>
      <c r="I7" s="21"/>
      <c r="J7" s="21"/>
      <c r="K7" s="21"/>
    </row>
    <row r="8" spans="1:20" ht="20.100000000000001" customHeight="1" x14ac:dyDescent="0.2">
      <c r="A8" s="19" t="s">
        <v>0</v>
      </c>
      <c r="C8" s="21"/>
      <c r="F8" s="21"/>
      <c r="G8" s="21"/>
      <c r="H8" s="21"/>
      <c r="I8" s="21"/>
      <c r="J8" s="21"/>
      <c r="K8" s="21"/>
    </row>
    <row r="9" spans="1:20" ht="20.100000000000001" customHeight="1" x14ac:dyDescent="0.2">
      <c r="A9" s="17" t="str">
        <f>HYPERLINK("#'Input - Site'!A1", "Site")</f>
        <v>Site</v>
      </c>
      <c r="C9" s="21"/>
      <c r="D9" s="21"/>
      <c r="E9" s="21"/>
      <c r="F9" s="21"/>
      <c r="G9" s="21"/>
      <c r="H9" s="21"/>
      <c r="I9" s="21"/>
      <c r="J9" s="21"/>
      <c r="K9" s="21"/>
    </row>
    <row r="10" spans="1:20" ht="20.100000000000001" customHeight="1" x14ac:dyDescent="0.2">
      <c r="A10" s="17" t="str">
        <f>HYPERLINK("#'Input - Crop'!A1", "Crop")</f>
        <v>Crop</v>
      </c>
      <c r="C10" s="21"/>
      <c r="D10" s="25" t="s">
        <v>24</v>
      </c>
      <c r="E10" s="21" t="str" cm="1">
        <f t="array" ref="E10">AgResidue_Equations_Leaching.VEERG_6_3_1_1__2__MassOfNitrogenLostThroughLeachingAndRunoff_Variable()</f>
        <v>M_leachcp</v>
      </c>
      <c r="F10" s="21"/>
      <c r="G10" s="5"/>
      <c r="H10" s="21"/>
      <c r="I10" s="21"/>
      <c r="J10" s="21"/>
      <c r="K10" s="21"/>
    </row>
    <row r="11" spans="1:20" ht="20.100000000000001" customHeight="1" x14ac:dyDescent="0.2">
      <c r="A11" s="17" t="str">
        <f>HYPERLINK("#'Input - Pasture'!A1", "Pasture")</f>
        <v>Pasture</v>
      </c>
      <c r="C11" s="21"/>
      <c r="D11" s="25" t="s">
        <v>15</v>
      </c>
      <c r="E11" s="51" t="str" cm="1">
        <f t="array" ref="E11">AgResidue_Equations_Leaching.VEERG_6_3_1_1__2__MassOfNitrogenLostThroughLeachingAndRunoff_Unit()</f>
        <v>kg N</v>
      </c>
      <c r="F11" s="21"/>
      <c r="G11" s="21"/>
      <c r="H11" s="21"/>
      <c r="I11" s="21"/>
      <c r="J11" s="21"/>
      <c r="K11" s="21"/>
    </row>
    <row r="12" spans="1:20" ht="20.100000000000001" customHeight="1" x14ac:dyDescent="0.2">
      <c r="C12" s="21"/>
      <c r="D12" s="21"/>
      <c r="E12" s="21"/>
      <c r="F12" s="21"/>
      <c r="G12" s="21"/>
      <c r="H12" s="21"/>
      <c r="I12" s="21"/>
      <c r="J12" s="21"/>
      <c r="K12" s="21"/>
    </row>
    <row r="13" spans="1:20" ht="20.100000000000001" customHeight="1" x14ac:dyDescent="0.2">
      <c r="C13" s="21"/>
      <c r="D13" s="114" t="str" cm="1">
        <f t="array" ref="D13:E19">_xlfn.CHOOSECOLS(AgResidue_Equations_Leaching.VEERG_6_3_1_1__2__MassOfNitrogenLostThroughLeachingAndRunoff_Arguments(), 1,2)</f>
        <v>M_cp</v>
      </c>
      <c r="E13" s="118" t="str">
        <v>mass of nitrogen in crop residues c or pasture residues p applied to soils</v>
      </c>
      <c r="F13" s="119"/>
      <c r="G13" s="117"/>
      <c r="H13" s="114" t="str" cm="1">
        <f t="array" ref="H13:I19">_xlfn.CHOOSECOLS(AgResidue_Equations_Leaching.VEERG_6_3_1_1__2__MassOfNitrogenLostThroughLeachingAndRunoff_Arguments(), 3,4)</f>
        <v>kg N</v>
      </c>
      <c r="I13" s="108" t="str">
        <v>Calc from 6.1.1.1 (2) and 6.2.1.1 (2)</v>
      </c>
      <c r="J13" s="113" t="str" cm="1">
        <f t="array" aca="1" ref="J13" ca="1">HYPERLINK(Common_InputFunctions.Utility_SourceHyperlink($D$21), $D$21)</f>
        <v>M1_Table_M_leach_cp</v>
      </c>
      <c r="K13" s="21"/>
    </row>
    <row r="14" spans="1:20" ht="20.100000000000001" customHeight="1" x14ac:dyDescent="0.2">
      <c r="A14" s="18" t="s">
        <v>68</v>
      </c>
      <c r="C14" s="21"/>
      <c r="D14" s="114" t="str">
        <v>FracWET_j</v>
      </c>
      <c r="E14" s="118" t="str">
        <v>fraction of N that is available for leaching and runoff from the leaching zone z and irrigation type ir</v>
      </c>
      <c r="F14" s="119"/>
      <c r="G14" s="117"/>
      <c r="H14" s="114" t="str">
        <v>fraction</v>
      </c>
      <c r="I14" s="108" t="str">
        <v>Constant</v>
      </c>
      <c r="J14" s="113" t="str" cm="1">
        <f t="array" aca="1" ref="J14" ca="1">HYPERLINK(Common_InputFunctions.Utility_SourceHyperlink($D$21), $D$21)</f>
        <v>M1_Table_M_leach_cp</v>
      </c>
      <c r="K14" s="21"/>
    </row>
    <row r="15" spans="1:20" ht="20.100000000000001" customHeight="1" x14ac:dyDescent="0.2">
      <c r="A15" s="17" t="str">
        <f>HYPERLINK("#'6.1.1.1-2 Crop residue N2O'!A1", "6.1.1.1-2 Crop residue N2O")</f>
        <v>6.1.1.1-2 Crop residue N2O</v>
      </c>
      <c r="C15" s="21"/>
      <c r="D15" s="114" t="str">
        <v>FracLEACH</v>
      </c>
      <c r="E15" s="118" t="str">
        <v>fraction of N that is lost through leaching and runoff</v>
      </c>
      <c r="F15" s="119"/>
      <c r="G15" s="117"/>
      <c r="H15" s="114" t="str">
        <v>fraction</v>
      </c>
      <c r="I15" s="108" t="str">
        <v>Constant</v>
      </c>
      <c r="J15" s="114">
        <f>'Constants - Common'!$E$164</f>
        <v>0.24</v>
      </c>
      <c r="K15" s="21"/>
    </row>
    <row r="16" spans="1:20" ht="20.100000000000001" customHeight="1" x14ac:dyDescent="0.2">
      <c r="A16" s="17" t="str">
        <f>HYPERLINK("#'6.2.1.1-2 Pasture residue N2O'!A1", "6.2.1.1-2 Pasture residue N2O")</f>
        <v>6.2.1.1-2 Pasture residue N2O</v>
      </c>
      <c r="C16" s="21"/>
      <c r="D16" s="114" t="str">
        <v>z</v>
      </c>
      <c r="E16" s="118" t="str">
        <v>Location in leaching zone</v>
      </c>
      <c r="F16" s="119"/>
      <c r="G16" s="117"/>
      <c r="H16" s="114" t="str">
        <v/>
      </c>
      <c r="I16" s="109" t="str">
        <v>Input</v>
      </c>
      <c r="J16" s="113" t="str" cm="1">
        <f t="array" aca="1" ref="J16" ca="1">HYPERLINK(Common_InputFunctions.Utility_SourceHyperlink($D$21), $D$21)</f>
        <v>M1_Table_M_leach_cp</v>
      </c>
      <c r="K16" s="21"/>
    </row>
    <row r="17" spans="1:20" ht="20.100000000000001" customHeight="1" x14ac:dyDescent="0.2">
      <c r="A17" s="127" t="str">
        <f>HYPERLINK("#'6.3.1.1-2 Leaching and runoff'!A1", "6.3.1.1-2 Leaching and runoff")</f>
        <v>6.3.1.1-2 Leaching and runoff</v>
      </c>
      <c r="C17" s="21"/>
      <c r="D17" s="114" t="str">
        <v>c</v>
      </c>
      <c r="E17" s="118" t="str">
        <v>Crop residue type</v>
      </c>
      <c r="F17" s="119"/>
      <c r="G17" s="117"/>
      <c r="H17" s="114" t="str">
        <v/>
      </c>
      <c r="I17" s="109" t="str">
        <v>Input</v>
      </c>
      <c r="J17" s="114" t="str">
        <f>X_Cell_Crop_CropType</f>
        <v>Wheat</v>
      </c>
      <c r="K17" s="21"/>
    </row>
    <row r="18" spans="1:20" ht="20.100000000000001" customHeight="1" x14ac:dyDescent="0.2">
      <c r="A18" s="17" t="str">
        <f>HYPERLINK("#'6.3.1.1-2 Leach runoff crop'!A1", "6.3.1.1-2 Leach runoff crop")</f>
        <v>6.3.1.1-2 Leach runoff crop</v>
      </c>
      <c r="C18" s="21"/>
      <c r="D18" s="114" t="str">
        <v>p</v>
      </c>
      <c r="E18" s="118" t="str">
        <v>Pasture residue type</v>
      </c>
      <c r="F18" s="119"/>
      <c r="G18" s="117"/>
      <c r="H18" s="114" t="str">
        <v/>
      </c>
      <c r="I18" s="109" t="str">
        <v>Input</v>
      </c>
      <c r="J18" s="114" t="str">
        <f>X_Cell_Pasture_PastureType</f>
        <v>Grass clover mixture</v>
      </c>
      <c r="K18" s="21"/>
    </row>
    <row r="19" spans="1:20" ht="20.100000000000001" customHeight="1" x14ac:dyDescent="0.2">
      <c r="A19" s="17" t="str">
        <f>HYPERLINK("#'6.3.1.1-2 Leach runoff pasture'!A1", "6.3.1.1-2 Leach runoff pasture")</f>
        <v>6.3.1.1-2 Leach runoff pasture</v>
      </c>
      <c r="C19" s="21"/>
      <c r="D19" s="114" t="str">
        <v>ir</v>
      </c>
      <c r="E19" s="118" t="str">
        <v>Irrigation type</v>
      </c>
      <c r="F19" s="119"/>
      <c r="G19" s="117"/>
      <c r="H19" s="114" t="str">
        <v/>
      </c>
      <c r="I19" s="109" t="str">
        <v>Input</v>
      </c>
      <c r="J19" s="113" t="str" cm="1">
        <f t="array" aca="1" ref="J19" ca="1">HYPERLINK(Common_InputFunctions.Utility_SourceHyperlink($D$21), $D$21)</f>
        <v>M1_Table_M_leach_cp</v>
      </c>
      <c r="K19" s="21"/>
    </row>
    <row r="20" spans="1:20" ht="20.100000000000001" customHeight="1" x14ac:dyDescent="0.2">
      <c r="A20" s="17" t="str">
        <f>HYPERLINK("#'6.4.1.1-2 Residue burning'!A1", "6.4.1.1-2 Residue burning")</f>
        <v>6.4.1.1-2 Residue burning</v>
      </c>
      <c r="C20" s="21"/>
      <c r="D20" s="21"/>
      <c r="E20" s="21"/>
      <c r="F20" s="21"/>
      <c r="G20" s="21"/>
      <c r="H20" s="21"/>
      <c r="I20" s="21"/>
      <c r="J20" s="21"/>
      <c r="K20" s="21"/>
    </row>
    <row r="21" spans="1:20" ht="20.100000000000001" customHeight="1" x14ac:dyDescent="0.2">
      <c r="C21" s="21"/>
      <c r="D21" s="90" t="s">
        <v>203</v>
      </c>
      <c r="E21" s="21"/>
      <c r="F21" s="21"/>
      <c r="G21" s="21"/>
      <c r="H21" s="21"/>
      <c r="I21" s="21"/>
      <c r="J21" s="21"/>
      <c r="K21" s="21"/>
      <c r="N21" s="90" t="s">
        <v>228</v>
      </c>
      <c r="O21" s="21"/>
      <c r="P21" s="21"/>
      <c r="Q21" s="21"/>
      <c r="R21" s="21"/>
      <c r="S21" s="21"/>
    </row>
    <row r="22" spans="1:20" ht="20.100000000000001" customHeight="1" x14ac:dyDescent="0.2">
      <c r="C22" s="21"/>
      <c r="D22" s="89" t="s">
        <v>204</v>
      </c>
      <c r="E22" s="21"/>
      <c r="F22" s="21"/>
      <c r="G22" s="21"/>
      <c r="H22" s="21"/>
      <c r="I22" s="21"/>
      <c r="J22" s="21"/>
      <c r="K22" s="21"/>
      <c r="N22" s="89" t="s">
        <v>229</v>
      </c>
      <c r="O22" s="21"/>
      <c r="P22" s="21"/>
      <c r="Q22" s="21"/>
      <c r="R22" s="21"/>
      <c r="S22" s="21"/>
    </row>
    <row r="23" spans="1:20" ht="20.100000000000001" customHeight="1" x14ac:dyDescent="0.2">
      <c r="A23" s="141" t="s">
        <v>1</v>
      </c>
      <c r="C23" s="21"/>
      <c r="D23" s="107" t="s">
        <v>197</v>
      </c>
      <c r="E23" s="48" t="s">
        <v>199</v>
      </c>
      <c r="F23" s="107" t="s">
        <v>201</v>
      </c>
      <c r="G23" s="107" t="s">
        <v>6</v>
      </c>
      <c r="H23" s="48" t="s">
        <v>198</v>
      </c>
      <c r="I23" s="48" t="s">
        <v>200</v>
      </c>
      <c r="J23" s="21"/>
      <c r="K23" s="21"/>
      <c r="N23" s="107" t="s">
        <v>197</v>
      </c>
      <c r="O23" s="48" t="s">
        <v>199</v>
      </c>
      <c r="P23" s="107" t="s">
        <v>201</v>
      </c>
      <c r="Q23" s="107" t="s">
        <v>6</v>
      </c>
      <c r="R23" s="48" t="s">
        <v>198</v>
      </c>
      <c r="S23" s="48" t="s">
        <v>200</v>
      </c>
    </row>
    <row r="24" spans="1:20" ht="20.100000000000001" customHeight="1" x14ac:dyDescent="0.2">
      <c r="A24" s="17" t="str">
        <f>HYPERLINK("#'Constants - Ag Residue'!A1", "Constants - Ag Residue")</f>
        <v>Constants - Ag Residue</v>
      </c>
      <c r="D24" s="49" t="s">
        <v>195</v>
      </c>
      <c r="E24" s="49">
        <f>VEERG_6_1_1_1__2__MassOfNitrogenInCropResidues_Result_Method1</f>
        <v>85008</v>
      </c>
      <c r="F24" s="49" t="str">
        <f>X_Cell_Crop_IrrigationMethod</f>
        <v>Sprinkler irrigation</v>
      </c>
      <c r="G24" s="49" t="str">
        <f>X_Cell_Site_LeachingZone</f>
        <v>NO - Not in leaching zone</v>
      </c>
      <c r="H24" s="49">
        <f>CommonCropping_InputFunctions.CommonCropping_GetFracWET(G24,F24,Table_SourceData_FracWET[Is in leaching zone],Table_SourceData_FracWET[FracWET], Table_SourceData_FracWETIrrigation[Irrigation type i],Table_SourceData_FracWETIrrigation[FracWET])</f>
        <v>1</v>
      </c>
      <c r="I24" s="49" cm="1">
        <f t="array" ref="I24">AgResidue_Equations_Leaching.VEERG_6_3_1_1__2__MassOfNitrogenLostThroughLeachingAndRunoff(E24,H24,$J$15)</f>
        <v>20401.919999999998</v>
      </c>
      <c r="N24" s="49"/>
      <c r="O24" s="49">
        <f>VEERG_6_1_1_1__2__MassOfNitrogenInCropResidues_Result_Method2</f>
        <v>85008</v>
      </c>
      <c r="P24" s="49"/>
      <c r="Q24" s="49"/>
      <c r="R24" s="49"/>
      <c r="S24" s="49" cm="1">
        <f t="array" ref="S24">AgResidue_Equations_Leaching.VEERG_6_3_1_1__2__MassOfNitrogenLostThroughLeachingAndRunoff(O24,H24,$J$15)</f>
        <v>20401.919999999998</v>
      </c>
    </row>
    <row r="25" spans="1:20" ht="20.100000000000001" customHeight="1" x14ac:dyDescent="0.2">
      <c r="A25" s="17" t="str">
        <f>HYPERLINK("#'Constants - Common'!A1", "Constants - Common")</f>
        <v>Constants - Common</v>
      </c>
      <c r="D25" s="49" t="s">
        <v>196</v>
      </c>
      <c r="E25" s="49">
        <f>'6.2.1.1-2 Pasture residue N2O'!$E$21</f>
        <v>7.4226E-2</v>
      </c>
      <c r="F25" s="49" t="str">
        <f>X_Cell_Pasture_IrrigationMethod</f>
        <v>Surface irrigation</v>
      </c>
      <c r="G25" s="49" t="str">
        <f>X_Cell_Site_LeachingZone</f>
        <v>NO - Not in leaching zone</v>
      </c>
      <c r="H25" s="49">
        <f>CommonCropping_InputFunctions.CommonCropping_GetFracWET(G25,F25,Table_SourceData_FracWET[Is in leaching zone],Table_SourceData_FracWET[FracWET], Table_SourceData_FracWETIrrigation[Irrigation type i],Table_SourceData_FracWETIrrigation[FracWET])</f>
        <v>1</v>
      </c>
      <c r="I25" s="49" cm="1">
        <f t="array" ref="I25">AgResidue_Equations_Leaching.VEERG_6_3_1_1__2__MassOfNitrogenLostThroughLeachingAndRunoff(E25,H25,$J$15)</f>
        <v>1.7814239999999999E-2</v>
      </c>
      <c r="N25" s="49"/>
      <c r="O25" s="49">
        <f>'6.2.1.1-2 Pasture residue N2O'!$O$21</f>
        <v>7.4226E-2</v>
      </c>
      <c r="P25" s="49"/>
      <c r="Q25" s="49"/>
      <c r="R25" s="49"/>
      <c r="S25" s="49" cm="1">
        <f t="array" ref="S25">AgResidue_Equations_Leaching.VEERG_6_3_1_1__2__MassOfNitrogenLostThroughLeachingAndRunoff(O25,H25,$J$15)</f>
        <v>1.7814239999999999E-2</v>
      </c>
    </row>
    <row r="27" spans="1:20" ht="20.100000000000001" customHeight="1" x14ac:dyDescent="0.2">
      <c r="C27" s="133"/>
      <c r="D27" s="133"/>
      <c r="E27" s="133"/>
      <c r="F27" s="133"/>
      <c r="G27" s="133"/>
      <c r="H27" s="133"/>
      <c r="I27" s="133"/>
      <c r="J27" s="133"/>
      <c r="K27" s="133"/>
      <c r="M27" s="133"/>
      <c r="N27" s="133"/>
      <c r="O27" s="133"/>
      <c r="P27" s="133"/>
      <c r="Q27" s="133"/>
      <c r="R27" s="133"/>
      <c r="S27" s="133"/>
      <c r="T27" s="133"/>
    </row>
    <row r="28" spans="1:20" ht="20.100000000000001" customHeight="1" x14ac:dyDescent="0.2">
      <c r="C28" s="21"/>
      <c r="D28" s="6" t="str" cm="1">
        <f t="array" ref="D28">AgResidue_Equations_Leaching.VEERG_6_3_1_1__1__LeachingAndRunoffEmissionsCropAndPastureResidue_Title()</f>
        <v>Nitrous oxide leaching and runoff emissions from crop and pasture residues returned to the soil</v>
      </c>
      <c r="E28" s="21"/>
      <c r="F28" s="137"/>
      <c r="G28" s="21"/>
      <c r="H28" s="21"/>
      <c r="I28" s="21"/>
      <c r="J28" s="21"/>
      <c r="K28" s="21"/>
    </row>
    <row r="29" spans="1:20" ht="20.100000000000001" customHeight="1" x14ac:dyDescent="0.2">
      <c r="C29" s="21"/>
      <c r="D29" s="5" t="str" cm="1">
        <f t="array" ref="D29">AgResidue_Equations_Leaching.VEERG_6_3_1_1__1__LeachingAndRunoffEmissionsCropAndPastureResidue_Source()</f>
        <v>VEERG 2026: 6.3.1.1, Equation (1)</v>
      </c>
      <c r="E29" s="21"/>
      <c r="F29" s="21"/>
      <c r="G29" s="21"/>
      <c r="H29" s="21"/>
      <c r="I29" s="21"/>
      <c r="J29" s="21"/>
      <c r="K29" s="21"/>
    </row>
    <row r="30" spans="1:20" ht="20.100000000000001" customHeight="1" x14ac:dyDescent="0.2">
      <c r="C30" s="21"/>
      <c r="D30" s="13" t="s">
        <v>21</v>
      </c>
      <c r="E30" s="13" t="str" cm="1">
        <f t="array" aca="1" ref="E30" ca="1">Common_InputFunctions.Utility_DisplayFunctionName(E45)</f>
        <v>=AgResidue_Equations_Leaching.VEERG_6_3_1_1__1__LeachingAndRunoffEmissionsCropAndPastureResidue</v>
      </c>
      <c r="F30" s="21"/>
      <c r="G30" s="21"/>
      <c r="H30" s="21"/>
      <c r="I30" s="21"/>
      <c r="J30" s="21"/>
      <c r="K30" s="21"/>
    </row>
    <row r="31" spans="1:20" ht="20.100000000000001" customHeight="1" x14ac:dyDescent="0.2">
      <c r="C31" s="21"/>
      <c r="D31" s="21"/>
      <c r="E31" s="21"/>
      <c r="F31" s="21"/>
      <c r="G31" s="21"/>
      <c r="H31" s="21"/>
      <c r="I31" s="21"/>
      <c r="J31" s="21"/>
      <c r="K31" s="21"/>
    </row>
    <row r="32" spans="1:20" ht="20.100000000000001" customHeight="1" x14ac:dyDescent="0.2">
      <c r="C32" s="21"/>
      <c r="D32" s="21"/>
      <c r="E32" s="21"/>
      <c r="F32" s="5"/>
      <c r="G32" s="21"/>
      <c r="H32" s="21"/>
      <c r="I32" s="21"/>
      <c r="J32" s="21"/>
      <c r="K32" s="21"/>
    </row>
    <row r="33" spans="3:17" ht="20.100000000000001" customHeight="1" x14ac:dyDescent="0.2">
      <c r="C33" s="21"/>
      <c r="D33" s="25" t="s">
        <v>24</v>
      </c>
      <c r="E33" s="21" t="str" cm="1">
        <f t="array" ref="E33">AgResidue_Equations_Leaching.VEERG_6_3_1_1__1__LeachingAndRunoffEmissionsCropAndPastureResidue_Variable()</f>
        <v>EN2O</v>
      </c>
      <c r="F33" s="21"/>
      <c r="G33" s="21"/>
      <c r="H33" s="21"/>
      <c r="I33" s="21"/>
      <c r="J33" s="21"/>
      <c r="K33" s="21"/>
    </row>
    <row r="34" spans="3:17" ht="20.100000000000001" customHeight="1" x14ac:dyDescent="0.2">
      <c r="C34" s="21"/>
      <c r="D34" s="25" t="s">
        <v>15</v>
      </c>
      <c r="E34" s="51" t="str" cm="1">
        <f t="array" ref="E34">AgResidue_Equations_Leaching.VEERG_6_3_1_1__1__LeachingAndRunoffEmissionsCropAndPastureResidue_Unit()</f>
        <v>t N2O</v>
      </c>
      <c r="F34" s="21"/>
      <c r="G34" s="21"/>
      <c r="H34" s="21"/>
      <c r="I34" s="21"/>
      <c r="J34" s="21"/>
      <c r="K34" s="21"/>
    </row>
    <row r="35" spans="3:17" ht="20.100000000000001" customHeight="1" x14ac:dyDescent="0.2">
      <c r="C35" s="21"/>
      <c r="D35" s="21"/>
      <c r="E35" s="21"/>
      <c r="F35" s="21"/>
      <c r="G35" s="21"/>
      <c r="H35" s="21"/>
      <c r="I35" s="21"/>
      <c r="J35" s="21"/>
      <c r="K35" s="21"/>
    </row>
    <row r="36" spans="3:17" ht="20.100000000000001" customHeight="1" x14ac:dyDescent="0.2">
      <c r="C36" s="21"/>
      <c r="D36" s="114" t="str" cm="1">
        <f t="array" ref="D36:E40">_xlfn.CHOOSECOLS(AgResidue_Equations_Leaching.VEERG_6_3_1_1__1__LeachingAndRunoffEmissionsCropAndPastureResidue_Arguments(),1,2)</f>
        <v>M_leachcp</v>
      </c>
      <c r="E36" s="118" t="str">
        <v>mass of nitrogen lost through leaching and runoff from the crop residue c or pasture residue p</v>
      </c>
      <c r="F36" s="119"/>
      <c r="G36" s="117"/>
      <c r="H36" s="114" t="str" cm="1">
        <f t="array" ref="H36:I40">_xlfn.CHOOSECOLS(AgResidue_Equations_Leaching.VEERG_6_3_1_1__1__LeachingAndRunoffEmissionsCropAndPastureResidue_Arguments(),3,4)</f>
        <v>kg N</v>
      </c>
      <c r="I36" s="108" t="str">
        <v>Calculated from 6.3.1.1 (2)</v>
      </c>
      <c r="J36" s="114" t="str" cm="1">
        <f t="array" aca="1" ref="J36" ca="1">HYPERLINK(Common_InputFunctions.Utility_SourceHyperlink($D$21), $D$21)</f>
        <v>M1_Table_M_leach_cp</v>
      </c>
      <c r="K36" s="21"/>
    </row>
    <row r="37" spans="3:17" ht="20.100000000000001" customHeight="1" x14ac:dyDescent="0.2">
      <c r="C37" s="21"/>
      <c r="D37" s="114" t="str">
        <v>EF_leach</v>
      </c>
      <c r="E37" s="118" t="str">
        <v>emission factor for leaching and runoff</v>
      </c>
      <c r="F37" s="119"/>
      <c r="G37" s="117"/>
      <c r="H37" s="114" t="str">
        <v>kg N2O-N/kg N</v>
      </c>
      <c r="I37" s="108" t="str">
        <v>Constant</v>
      </c>
      <c r="J37" s="114">
        <f>'Constants - Common'!$E$170</f>
        <v>1.0999999999999999E-2</v>
      </c>
      <c r="K37" s="21"/>
    </row>
    <row r="38" spans="3:17" ht="20.100000000000001" customHeight="1" x14ac:dyDescent="0.2">
      <c r="C38" s="21"/>
      <c r="D38" s="114" t="str">
        <v>C_N2O</v>
      </c>
      <c r="E38" s="118" t="str">
        <v>factor to convert elemental mass of nitrous oxide to molecular mass</v>
      </c>
      <c r="F38" s="119"/>
      <c r="G38" s="117"/>
      <c r="H38" s="114" t="str">
        <v>dimensionless</v>
      </c>
      <c r="I38" s="108" t="str">
        <v>Constant</v>
      </c>
      <c r="J38" s="114">
        <f>Common_InputFunctions.Utility_LookupValueInTableNumber("N2O",Table_GasToMolecularConversionFactor[Gas],Table_GasToMolecularConversionFactor[Conversion factor combined])</f>
        <v>1.5714285714285714</v>
      </c>
      <c r="K38" s="21"/>
    </row>
    <row r="39" spans="3:17" ht="20.100000000000001" customHeight="1" x14ac:dyDescent="0.2">
      <c r="C39" s="21"/>
      <c r="D39" s="114" t="str">
        <v>c</v>
      </c>
      <c r="E39" s="118" t="str">
        <v>Crop residue type</v>
      </c>
      <c r="F39" s="119"/>
      <c r="G39" s="117"/>
      <c r="H39" s="114" t="str">
        <v/>
      </c>
      <c r="I39" s="109" t="str">
        <v>Input</v>
      </c>
      <c r="J39" s="114" t="str">
        <f>X_Cell_Crop_CropType</f>
        <v>Wheat</v>
      </c>
      <c r="K39" s="21"/>
    </row>
    <row r="40" spans="3:17" ht="20.100000000000001" customHeight="1" x14ac:dyDescent="0.2">
      <c r="C40" s="21"/>
      <c r="D40" s="114" t="str">
        <v>p</v>
      </c>
      <c r="E40" s="118" t="str">
        <v>Pasture residue type</v>
      </c>
      <c r="F40" s="119"/>
      <c r="G40" s="117"/>
      <c r="H40" s="114" t="str">
        <v/>
      </c>
      <c r="I40" s="109" t="str">
        <v>Input</v>
      </c>
      <c r="J40" s="114" t="str">
        <f>X_Cell_Pasture_PastureType</f>
        <v>Grass clover mixture</v>
      </c>
      <c r="K40" s="21"/>
    </row>
    <row r="41" spans="3:17" ht="20.100000000000001" customHeight="1" x14ac:dyDescent="0.2">
      <c r="C41" s="21"/>
      <c r="D41" s="21"/>
      <c r="E41" s="21"/>
      <c r="F41" s="21"/>
      <c r="G41" s="21"/>
      <c r="H41" s="21"/>
      <c r="I41" s="21"/>
      <c r="J41" s="21"/>
      <c r="K41" s="21"/>
    </row>
    <row r="42" spans="3:17" ht="20.100000000000001" customHeight="1" x14ac:dyDescent="0.2">
      <c r="C42" s="21"/>
      <c r="D42" s="90" t="s">
        <v>205</v>
      </c>
      <c r="E42" s="21"/>
      <c r="F42" s="21"/>
      <c r="G42" s="21"/>
      <c r="H42" s="21"/>
      <c r="I42" s="21"/>
      <c r="J42" s="21"/>
      <c r="K42" s="21"/>
      <c r="N42" s="90" t="s">
        <v>205</v>
      </c>
      <c r="O42" s="21"/>
      <c r="P42" s="21"/>
      <c r="Q42" s="21"/>
    </row>
    <row r="43" spans="3:17" ht="20.100000000000001" customHeight="1" x14ac:dyDescent="0.2">
      <c r="C43" s="21"/>
      <c r="D43" s="89" t="s">
        <v>206</v>
      </c>
      <c r="E43" s="21"/>
      <c r="F43" s="21"/>
      <c r="G43" s="21"/>
      <c r="H43" s="21"/>
      <c r="I43" s="21"/>
      <c r="J43" s="21"/>
      <c r="K43" s="21"/>
      <c r="N43" s="89" t="s">
        <v>206</v>
      </c>
      <c r="O43" s="21"/>
      <c r="P43" s="21"/>
      <c r="Q43" s="21"/>
    </row>
    <row r="44" spans="3:17" ht="20.100000000000001" customHeight="1" x14ac:dyDescent="0.2">
      <c r="C44" s="21"/>
      <c r="D44" s="48" t="s">
        <v>200</v>
      </c>
      <c r="E44" s="48" t="s">
        <v>202</v>
      </c>
      <c r="F44" s="21"/>
      <c r="G44" s="21"/>
      <c r="H44" s="21"/>
      <c r="I44" s="21"/>
      <c r="J44" s="21"/>
      <c r="K44" s="21"/>
      <c r="N44" s="48" t="s">
        <v>200</v>
      </c>
      <c r="O44" s="48" t="s">
        <v>202</v>
      </c>
      <c r="P44" s="21"/>
      <c r="Q44" s="21"/>
    </row>
    <row r="45" spans="3:17" ht="20.100000000000001" customHeight="1" x14ac:dyDescent="0.2">
      <c r="C45" s="21"/>
      <c r="D45" s="49">
        <f>I24</f>
        <v>20401.919999999998</v>
      </c>
      <c r="E45" s="49" cm="1">
        <f t="array" ref="E45">AgResidue_Equations_Leaching.VEERG_6_3_1_1__1__LeachingAndRunoffEmissionsCropAndPastureResidue(D45,$J$37,$J$38)</f>
        <v>0.35266175999999999</v>
      </c>
      <c r="F45" s="21"/>
      <c r="G45" s="21"/>
      <c r="H45" s="21"/>
      <c r="I45" s="21"/>
      <c r="J45" s="21"/>
      <c r="K45" s="21"/>
      <c r="N45" s="49">
        <f>S24</f>
        <v>20401.919999999998</v>
      </c>
      <c r="O45" s="49" cm="1">
        <f t="array" ref="O45">AgResidue_Equations_Leaching.VEERG_6_3_1_1__1__LeachingAndRunoffEmissionsCropAndPastureResidue(N45,$J$37,$J$38)</f>
        <v>0.35266175999999999</v>
      </c>
      <c r="P45" s="21"/>
      <c r="Q45" s="21"/>
    </row>
    <row r="46" spans="3:17" ht="20.100000000000001" customHeight="1" x14ac:dyDescent="0.2">
      <c r="C46" s="21"/>
      <c r="D46" s="49">
        <f>I25</f>
        <v>1.7814239999999999E-2</v>
      </c>
      <c r="E46" s="49" cm="1">
        <f t="array" ref="E46">AgResidue_Equations_Leaching.VEERG_6_3_1_1__1__LeachingAndRunoffEmissionsCropAndPastureResidue(D46,$J$37,$J$38)</f>
        <v>3.0793186285714277E-7</v>
      </c>
      <c r="F46" s="21"/>
      <c r="G46" s="21"/>
      <c r="H46" s="21"/>
      <c r="I46" s="21"/>
      <c r="J46" s="21"/>
      <c r="K46" s="21"/>
      <c r="N46" s="49">
        <f>S25</f>
        <v>1.7814239999999999E-2</v>
      </c>
      <c r="O46" s="49" cm="1">
        <f t="array" ref="O46">AgResidue_Equations_Leaching.VEERG_6_3_1_1__1__LeachingAndRunoffEmissionsCropAndPastureResidue(N46,$J$37,$J$38)</f>
        <v>3.0793186285714277E-7</v>
      </c>
      <c r="P46" s="21"/>
      <c r="Q46" s="21"/>
    </row>
    <row r="47" spans="3:17" ht="20.100000000000001" customHeight="1" x14ac:dyDescent="0.2">
      <c r="C47" s="21"/>
      <c r="F47" s="21"/>
      <c r="G47" s="21"/>
      <c r="H47" s="21"/>
      <c r="I47" s="21"/>
      <c r="J47" s="21"/>
      <c r="K47" s="21"/>
      <c r="P47" s="21"/>
      <c r="Q47" s="21"/>
    </row>
    <row r="48" spans="3:17" ht="20.100000000000001" customHeight="1" x14ac:dyDescent="0.35">
      <c r="C48" s="21"/>
      <c r="D48" s="138" t="s">
        <v>194</v>
      </c>
      <c r="E48" s="139">
        <f>SUM(E45:E46)</f>
        <v>0.35266206793186283</v>
      </c>
      <c r="F48" s="93" t="str">
        <f>$E$34</f>
        <v>t N2O</v>
      </c>
      <c r="G48" s="21"/>
      <c r="H48" s="21"/>
      <c r="I48" s="21"/>
      <c r="J48" s="21"/>
      <c r="K48" s="21"/>
      <c r="N48" s="138" t="s">
        <v>194</v>
      </c>
      <c r="O48" s="139">
        <f>SUM(O45:O46)</f>
        <v>0.35266206793186283</v>
      </c>
      <c r="P48" s="93" t="str">
        <f>$E$34</f>
        <v>t N2O</v>
      </c>
      <c r="Q48" s="21"/>
    </row>
    <row r="49" spans="4:17" ht="20.100000000000001" customHeight="1" x14ac:dyDescent="0.2">
      <c r="D49" s="21"/>
      <c r="E49" s="21"/>
      <c r="F49" s="21"/>
      <c r="G49" s="21"/>
      <c r="N49" s="21"/>
      <c r="O49" s="21"/>
      <c r="P49" s="21"/>
      <c r="Q49" s="21"/>
    </row>
    <row r="50" spans="4:17" ht="20.100000000000001" customHeight="1" x14ac:dyDescent="0.2">
      <c r="D50" s="53" t="str" cm="1">
        <f t="array" ref="D50:E51">Common_Equations.Common_ConvertN2OToCO2e_Arguments()</f>
        <v>EN2O</v>
      </c>
      <c r="E50" s="54" t="str">
        <v>Nitrous oxide emissions (t N2O)</v>
      </c>
      <c r="F50" s="94"/>
      <c r="G50" s="49">
        <f>VEERG_6_3_1_1__1__LeachingAndRunoffEmissionsCropAndPastureResidue_Result_Method1</f>
        <v>0.35266206793186283</v>
      </c>
      <c r="N50" s="53" t="str" cm="1">
        <f t="array" ref="N50:O51">Common_Equations.Common_ConvertN2OToCO2e_Arguments()</f>
        <v>EN2O</v>
      </c>
      <c r="O50" s="54" t="str">
        <v>Nitrous oxide emissions (t N2O)</v>
      </c>
      <c r="P50" s="94"/>
      <c r="Q50" s="49">
        <f>VEERG_6_3_1_1__1__LeachingAndRunoffEmissionsCropAndPastureResidue_Result_Method2</f>
        <v>0.35266206793186283</v>
      </c>
    </row>
    <row r="51" spans="4:17" ht="20.100000000000001" customHeight="1" x14ac:dyDescent="0.2">
      <c r="D51" s="53" t="str">
        <v>GWPN2O</v>
      </c>
      <c r="E51" s="54" t="str">
        <v>Global warming potential for nitrous oxide (t CO2-e / t N2O)</v>
      </c>
      <c r="F51" s="94"/>
      <c r="G51" s="49">
        <f>Common_InputFunctions.Utility_LookupValueInTableNumber("N2O",Table_GWPData[Gas],Table_GWPData[CO2-e factor])</f>
        <v>265</v>
      </c>
      <c r="H51" s="21"/>
      <c r="I51" s="21"/>
      <c r="N51" s="53" t="str">
        <v>GWPN2O</v>
      </c>
      <c r="O51" s="54" t="str">
        <v>Global warming potential for nitrous oxide (t CO2-e / t N2O)</v>
      </c>
      <c r="P51" s="94"/>
      <c r="Q51" s="49">
        <f>Common_InputFunctions.Utility_LookupValueInTableNumber("N2O",Table_GWPData[Gas],Table_GWPData[CO2-e factor])</f>
        <v>265</v>
      </c>
    </row>
    <row r="52" spans="4:17" ht="20.100000000000001" customHeight="1" x14ac:dyDescent="0.2">
      <c r="H52" s="21"/>
      <c r="I52" s="21"/>
    </row>
    <row r="53" spans="4:17" ht="20.100000000000001" customHeight="1" x14ac:dyDescent="0.2">
      <c r="D53" s="43" t="s">
        <v>78</v>
      </c>
      <c r="E53" s="43" cm="1">
        <f t="array" ref="E53">Common_Equations.Common_ConvertN2OToCO2e(G50,G51)</f>
        <v>93.455448001943651</v>
      </c>
      <c r="F53" s="95" t="str" cm="1">
        <f t="array" ref="F53">Common_Equations.Common_ConvertN2OToCO2e_Unit()</f>
        <v>t CO2e</v>
      </c>
      <c r="I53" s="21"/>
      <c r="N53" s="43" t="s">
        <v>78</v>
      </c>
      <c r="O53" s="43" cm="1">
        <f t="array" ref="O53">Common_Equations.Common_ConvertN2OToCO2e(Q50,Q51)</f>
        <v>93.455448001943651</v>
      </c>
      <c r="P53" s="95" t="str" cm="1">
        <f t="array" ref="P53">Common_Equations.Common_ConvertN2OToCO2e_Unit()</f>
        <v>t CO2e</v>
      </c>
    </row>
    <row r="54" spans="4:17" ht="20.100000000000001" customHeight="1" x14ac:dyDescent="0.2">
      <c r="I54" s="21"/>
    </row>
    <row r="60" spans="4:17" ht="20.100000000000001" customHeight="1" x14ac:dyDescent="0.2">
      <c r="H60" s="21"/>
      <c r="I60" s="21"/>
    </row>
    <row r="61" spans="4:17" ht="20.100000000000001" customHeight="1" x14ac:dyDescent="0.2">
      <c r="H61" s="21"/>
      <c r="I61" s="21"/>
    </row>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107ED-6FF1-46ED-8CBD-6301F0771971}">
  <sheetPr>
    <tabColor rgb="FF008000"/>
  </sheetPr>
  <dimension ref="A1:T61"/>
  <sheetViews>
    <sheetView showGridLines="0" topLeftCell="A5" zoomScaleNormal="100" workbookViewId="0">
      <selection activeCell="H25" sqref="H25"/>
    </sheetView>
  </sheetViews>
  <sheetFormatPr defaultRowHeight="20.100000000000001" customHeight="1" x14ac:dyDescent="0.2"/>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60" t="e" vm="1">
        <v>#VALUE!</v>
      </c>
      <c r="C1" s="8" t="s">
        <v>232</v>
      </c>
    </row>
    <row r="2" spans="1:20" s="9" customFormat="1" ht="20.100000000000001" customHeight="1" x14ac:dyDescent="0.2">
      <c r="A2"/>
    </row>
    <row r="3" spans="1:20" ht="20.100000000000001" customHeight="1" x14ac:dyDescent="0.2">
      <c r="A3" s="17" t="str">
        <f>HYPERLINK("#'Home'!A1", "Home")</f>
        <v>Home</v>
      </c>
      <c r="C3" s="4"/>
      <c r="D3" s="4" t="s">
        <v>79</v>
      </c>
      <c r="E3" s="4"/>
      <c r="F3" s="4"/>
      <c r="G3" s="4"/>
      <c r="H3" s="4"/>
      <c r="I3" s="4"/>
      <c r="J3" s="4"/>
      <c r="K3" s="4"/>
      <c r="M3" s="4"/>
      <c r="N3" s="4" t="s">
        <v>80</v>
      </c>
      <c r="O3" s="4"/>
      <c r="P3" s="4"/>
      <c r="Q3" s="4"/>
      <c r="R3" s="4"/>
      <c r="S3" s="4"/>
      <c r="T3" s="4"/>
    </row>
    <row r="4" spans="1:20" ht="20.100000000000001" customHeight="1" x14ac:dyDescent="0.2">
      <c r="A4" s="17" t="str">
        <f>HYPERLINK("#'Overview'!A1", "Overview")</f>
        <v>Overview</v>
      </c>
    </row>
    <row r="5" spans="1:20" ht="20.100000000000001" customHeight="1" x14ac:dyDescent="0.2">
      <c r="A5" s="17" t="str">
        <f>HYPERLINK("#'Results'!A1", "Results")</f>
        <v>Results</v>
      </c>
      <c r="C5" s="21"/>
      <c r="D5" s="6" t="str" cm="1">
        <f t="array" ref="D5">AgResidue_Equations_Leaching.VEERG_6_3_1_1__2__MassOfNitrogenLostThroughLeachingAndRunoff_Title()</f>
        <v>Mass of nitrogen lost through leaching and runoff</v>
      </c>
      <c r="E5" s="21"/>
      <c r="F5" s="21"/>
      <c r="G5" s="21"/>
      <c r="H5" s="21"/>
      <c r="I5" s="21"/>
      <c r="J5" s="21"/>
      <c r="K5" s="21"/>
    </row>
    <row r="6" spans="1:20" ht="20.100000000000001" customHeight="1" x14ac:dyDescent="0.2">
      <c r="C6" s="21"/>
      <c r="D6" s="5" t="str" cm="1">
        <f t="array" ref="D6">AgResidue_Equations_Leaching.VEERG_6_3_1_1__2__MassOfNitrogenLostThroughLeachingAndRunoff_Source()</f>
        <v>VEERG 2026: 6.3.1.1, Equation (2)</v>
      </c>
      <c r="E6" s="21"/>
      <c r="F6" s="21"/>
      <c r="G6" s="21"/>
      <c r="H6" s="21"/>
      <c r="I6" s="21"/>
      <c r="J6" s="21"/>
      <c r="K6" s="21"/>
    </row>
    <row r="7" spans="1:20" ht="20.100000000000001" customHeight="1" x14ac:dyDescent="0.2">
      <c r="C7" s="21"/>
      <c r="D7" s="13" t="s">
        <v>21</v>
      </c>
      <c r="E7" s="13" t="str" cm="1">
        <f t="array" aca="1" ref="E7" ca="1">Common_InputFunctions.Utility_DisplayFunctionName(I24)</f>
        <v>=AgResidue_Equations_Leaching.VEERG_6_3_1_1__2__MassOfNitrogenLostThroughLeachingAndRunoff</v>
      </c>
      <c r="F7" s="13"/>
      <c r="G7" s="21"/>
      <c r="H7" s="21"/>
      <c r="I7" s="21"/>
      <c r="J7" s="21"/>
      <c r="K7" s="21"/>
    </row>
    <row r="8" spans="1:20" ht="20.100000000000001" customHeight="1" x14ac:dyDescent="0.2">
      <c r="A8" s="19" t="s">
        <v>0</v>
      </c>
      <c r="C8" s="21"/>
      <c r="F8" s="21"/>
      <c r="G8" s="21"/>
      <c r="H8" s="21"/>
      <c r="I8" s="21"/>
      <c r="J8" s="21"/>
      <c r="K8" s="21"/>
    </row>
    <row r="9" spans="1:20" ht="20.100000000000001" customHeight="1" x14ac:dyDescent="0.2">
      <c r="A9" s="17" t="str">
        <f>HYPERLINK("#'Input - Site'!A1", "Site")</f>
        <v>Site</v>
      </c>
      <c r="C9" s="21"/>
      <c r="D9" s="21"/>
      <c r="E9" s="21"/>
      <c r="F9" s="21"/>
      <c r="G9" s="21"/>
      <c r="H9" s="21"/>
      <c r="I9" s="21"/>
      <c r="J9" s="21"/>
      <c r="K9" s="21"/>
    </row>
    <row r="10" spans="1:20" ht="20.100000000000001" customHeight="1" x14ac:dyDescent="0.2">
      <c r="A10" s="17" t="str">
        <f>HYPERLINK("#'Input - Crop'!A1", "Crop")</f>
        <v>Crop</v>
      </c>
      <c r="C10" s="21"/>
      <c r="D10" s="25" t="s">
        <v>24</v>
      </c>
      <c r="E10" s="21" t="str" cm="1">
        <f t="array" ref="E10">AgResidue_Equations_Leaching.VEERG_6_3_1_1__2__MassOfNitrogenLostThroughLeachingAndRunoff_Variable()</f>
        <v>M_leachcp</v>
      </c>
      <c r="F10" s="21"/>
      <c r="G10" s="5"/>
      <c r="H10" s="21"/>
      <c r="I10" s="21"/>
      <c r="J10" s="21"/>
      <c r="K10" s="21"/>
    </row>
    <row r="11" spans="1:20" ht="20.100000000000001" customHeight="1" x14ac:dyDescent="0.2">
      <c r="A11" s="17" t="str">
        <f>HYPERLINK("#'Input - Pasture'!A1", "Pasture")</f>
        <v>Pasture</v>
      </c>
      <c r="C11" s="21"/>
      <c r="D11" s="25" t="s">
        <v>15</v>
      </c>
      <c r="E11" s="51" t="str" cm="1">
        <f t="array" ref="E11">AgResidue_Equations_Leaching.VEERG_6_3_1_1__2__MassOfNitrogenLostThroughLeachingAndRunoff_Unit()</f>
        <v>kg N</v>
      </c>
      <c r="F11" s="21"/>
      <c r="G11" s="21"/>
      <c r="H11" s="21"/>
      <c r="I11" s="21"/>
      <c r="J11" s="21"/>
      <c r="K11" s="21"/>
    </row>
    <row r="12" spans="1:20" ht="20.100000000000001" customHeight="1" x14ac:dyDescent="0.2">
      <c r="C12" s="21"/>
      <c r="D12" s="21"/>
      <c r="E12" s="21"/>
      <c r="F12" s="21"/>
      <c r="G12" s="21"/>
      <c r="H12" s="21"/>
      <c r="I12" s="21"/>
      <c r="J12" s="21"/>
      <c r="K12" s="21"/>
    </row>
    <row r="13" spans="1:20" ht="20.100000000000001" customHeight="1" x14ac:dyDescent="0.2">
      <c r="C13" s="21"/>
      <c r="D13" s="114" t="str" cm="1">
        <f t="array" ref="D13:E19">_xlfn.CHOOSECOLS(AgResidue_Equations_Leaching.VEERG_6_3_1_1__2__MassOfNitrogenLostThroughLeachingAndRunoff_Arguments(), 1,2)</f>
        <v>M_cp</v>
      </c>
      <c r="E13" s="118" t="str">
        <v>mass of nitrogen in crop residues c or pasture residues p applied to soils</v>
      </c>
      <c r="F13" s="119"/>
      <c r="G13" s="117"/>
      <c r="H13" s="114" t="str" cm="1">
        <f t="array" ref="H13:I19">_xlfn.CHOOSECOLS(AgResidue_Equations_Leaching.VEERG_6_3_1_1__2__MassOfNitrogenLostThroughLeachingAndRunoff_Arguments(), 3,4)</f>
        <v>kg N</v>
      </c>
      <c r="I13" s="108" t="str">
        <v>Calc from 6.1.1.1 (2) and 6.2.1.1 (2)</v>
      </c>
      <c r="J13" s="113" t="str" cm="1">
        <f t="array" aca="1" ref="J13" ca="1">HYPERLINK(Common_InputFunctions.Utility_SourceHyperlink($D$21), $D$21)</f>
        <v>M1_Table_M_leach_cp</v>
      </c>
      <c r="K13" s="21"/>
    </row>
    <row r="14" spans="1:20" ht="20.100000000000001" customHeight="1" x14ac:dyDescent="0.2">
      <c r="A14" s="18" t="s">
        <v>68</v>
      </c>
      <c r="C14" s="21"/>
      <c r="D14" s="114" t="str">
        <v>FracWET_j</v>
      </c>
      <c r="E14" s="118" t="str">
        <v>fraction of N that is available for leaching and runoff from the leaching zone z and irrigation type ir</v>
      </c>
      <c r="F14" s="119"/>
      <c r="G14" s="117"/>
      <c r="H14" s="114" t="str">
        <v>fraction</v>
      </c>
      <c r="I14" s="108" t="str">
        <v>Constant</v>
      </c>
      <c r="J14" s="113" t="str" cm="1">
        <f t="array" aca="1" ref="J14" ca="1">HYPERLINK(Common_InputFunctions.Utility_SourceHyperlink($D$21), $D$21)</f>
        <v>M1_Table_M_leach_cp</v>
      </c>
      <c r="K14" s="21"/>
    </row>
    <row r="15" spans="1:20" ht="20.100000000000001" customHeight="1" x14ac:dyDescent="0.2">
      <c r="A15" s="17" t="str">
        <f>HYPERLINK("#'6.1.1.1-2 Crop residue N2O'!A1", "6.1.1.1-2 Crop residue N2O")</f>
        <v>6.1.1.1-2 Crop residue N2O</v>
      </c>
      <c r="C15" s="21"/>
      <c r="D15" s="114" t="str">
        <v>FracLEACH</v>
      </c>
      <c r="E15" s="118" t="str">
        <v>fraction of N that is lost through leaching and runoff</v>
      </c>
      <c r="F15" s="119"/>
      <c r="G15" s="117"/>
      <c r="H15" s="114" t="str">
        <v>fraction</v>
      </c>
      <c r="I15" s="108" t="str">
        <v>Constant</v>
      </c>
      <c r="J15" s="114">
        <f>'Constants - Common'!$E$164</f>
        <v>0.24</v>
      </c>
      <c r="K15" s="21"/>
    </row>
    <row r="16" spans="1:20" ht="20.100000000000001" customHeight="1" x14ac:dyDescent="0.2">
      <c r="A16" s="17" t="str">
        <f>HYPERLINK("#'6.2.1.1-2 Pasture residue N2O'!A1", "6.2.1.1-2 Pasture residue N2O")</f>
        <v>6.2.1.1-2 Pasture residue N2O</v>
      </c>
      <c r="C16" s="21"/>
      <c r="D16" s="114" t="str">
        <v>z</v>
      </c>
      <c r="E16" s="118" t="str">
        <v>Location in leaching zone</v>
      </c>
      <c r="F16" s="119"/>
      <c r="G16" s="117"/>
      <c r="H16" s="114" t="str">
        <v/>
      </c>
      <c r="I16" s="109" t="str">
        <v>Input</v>
      </c>
      <c r="J16" s="113" t="str" cm="1">
        <f t="array" aca="1" ref="J16" ca="1">HYPERLINK(Common_InputFunctions.Utility_SourceHyperlink($D$21), $D$21)</f>
        <v>M1_Table_M_leach_cp</v>
      </c>
      <c r="K16" s="21"/>
    </row>
    <row r="17" spans="1:20" ht="20.100000000000001" customHeight="1" x14ac:dyDescent="0.2">
      <c r="A17" s="17" t="str">
        <f>HYPERLINK("#'6.3.1.1-2 Leaching and runoff'!A1", "6.3.1.1-2 Leaching and runoff")</f>
        <v>6.3.1.1-2 Leaching and runoff</v>
      </c>
      <c r="C17" s="21"/>
      <c r="D17" s="114" t="str">
        <v>c</v>
      </c>
      <c r="E17" s="118" t="str">
        <v>Crop residue type</v>
      </c>
      <c r="F17" s="119"/>
      <c r="G17" s="117"/>
      <c r="H17" s="114" t="str">
        <v/>
      </c>
      <c r="I17" s="109" t="str">
        <v>Input</v>
      </c>
      <c r="J17" s="114" t="str">
        <f>X_Cell_Crop_CropType</f>
        <v>Wheat</v>
      </c>
      <c r="K17" s="21"/>
    </row>
    <row r="18" spans="1:20" ht="20.100000000000001" customHeight="1" x14ac:dyDescent="0.2">
      <c r="A18" s="127" t="str">
        <f>HYPERLINK("#'6.3.1.1-2 Leach runoff crop'!A1", "6.3.1.1-2 Leach runoff crop")</f>
        <v>6.3.1.1-2 Leach runoff crop</v>
      </c>
      <c r="C18" s="21"/>
      <c r="D18" s="114" t="str">
        <v>p</v>
      </c>
      <c r="E18" s="118" t="str">
        <v>Pasture residue type</v>
      </c>
      <c r="F18" s="119"/>
      <c r="G18" s="117"/>
      <c r="H18" s="114" t="str">
        <v/>
      </c>
      <c r="I18" s="109" t="str">
        <v>Input</v>
      </c>
      <c r="J18" s="114" t="s">
        <v>231</v>
      </c>
      <c r="K18" s="21"/>
    </row>
    <row r="19" spans="1:20" ht="20.100000000000001" customHeight="1" x14ac:dyDescent="0.2">
      <c r="A19" s="17" t="str">
        <f>HYPERLINK("#'6.3.1.1-2 Leach runoff pasture'!A1", "6.3.1.1-2 Leach runoff pasture")</f>
        <v>6.3.1.1-2 Leach runoff pasture</v>
      </c>
      <c r="C19" s="21"/>
      <c r="D19" s="114" t="str">
        <v>ir</v>
      </c>
      <c r="E19" s="118" t="str">
        <v>Irrigation type</v>
      </c>
      <c r="F19" s="119"/>
      <c r="G19" s="117"/>
      <c r="H19" s="114" t="str">
        <v/>
      </c>
      <c r="I19" s="109" t="str">
        <v>Input</v>
      </c>
      <c r="J19" s="113" t="str" cm="1">
        <f t="array" aca="1" ref="J19" ca="1">HYPERLINK(Common_InputFunctions.Utility_SourceHyperlink($D$21), $D$21)</f>
        <v>M1_Table_M_leach_cp</v>
      </c>
      <c r="K19" s="21"/>
    </row>
    <row r="20" spans="1:20" ht="20.100000000000001" customHeight="1" x14ac:dyDescent="0.2">
      <c r="A20" s="17" t="str">
        <f>HYPERLINK("#'6.4.1.1-2 Residue burning'!A1", "6.4.1.1-2 Residue burning")</f>
        <v>6.4.1.1-2 Residue burning</v>
      </c>
      <c r="C20" s="21"/>
      <c r="D20" s="21"/>
      <c r="E20" s="21"/>
      <c r="F20" s="21"/>
      <c r="G20" s="21"/>
      <c r="H20" s="21"/>
      <c r="I20" s="21"/>
      <c r="J20" s="21"/>
      <c r="K20" s="21"/>
    </row>
    <row r="21" spans="1:20" ht="20.100000000000001" customHeight="1" x14ac:dyDescent="0.2">
      <c r="C21" s="21"/>
      <c r="D21" s="90" t="s">
        <v>203</v>
      </c>
      <c r="E21" s="21"/>
      <c r="F21" s="21"/>
      <c r="G21" s="21"/>
      <c r="H21" s="21"/>
      <c r="I21" s="21"/>
      <c r="J21" s="21"/>
      <c r="K21" s="21"/>
      <c r="N21" s="90" t="s">
        <v>228</v>
      </c>
      <c r="O21" s="21"/>
      <c r="P21" s="21"/>
      <c r="Q21" s="21"/>
      <c r="R21" s="21"/>
      <c r="S21" s="21"/>
    </row>
    <row r="22" spans="1:20" ht="20.100000000000001" customHeight="1" x14ac:dyDescent="0.2">
      <c r="C22" s="21"/>
      <c r="D22" s="89" t="s">
        <v>204</v>
      </c>
      <c r="E22" s="21"/>
      <c r="F22" s="21"/>
      <c r="G22" s="21"/>
      <c r="H22" s="21"/>
      <c r="I22" s="21"/>
      <c r="J22" s="21"/>
      <c r="K22" s="21"/>
      <c r="N22" s="89" t="s">
        <v>229</v>
      </c>
      <c r="O22" s="21"/>
      <c r="P22" s="21"/>
      <c r="Q22" s="21"/>
      <c r="R22" s="21"/>
      <c r="S22" s="21"/>
    </row>
    <row r="23" spans="1:20" ht="20.100000000000001" customHeight="1" x14ac:dyDescent="0.2">
      <c r="A23" s="141" t="s">
        <v>1</v>
      </c>
      <c r="C23" s="21"/>
      <c r="D23" s="107" t="s">
        <v>197</v>
      </c>
      <c r="E23" s="48" t="s">
        <v>199</v>
      </c>
      <c r="F23" s="107" t="s">
        <v>201</v>
      </c>
      <c r="G23" s="107" t="s">
        <v>6</v>
      </c>
      <c r="H23" s="48" t="s">
        <v>198</v>
      </c>
      <c r="I23" s="48" t="s">
        <v>200</v>
      </c>
      <c r="J23" s="21"/>
      <c r="K23" s="21"/>
      <c r="N23" s="107" t="s">
        <v>197</v>
      </c>
      <c r="O23" s="48" t="s">
        <v>199</v>
      </c>
      <c r="P23" s="107" t="s">
        <v>201</v>
      </c>
      <c r="Q23" s="107" t="s">
        <v>6</v>
      </c>
      <c r="R23" s="48" t="s">
        <v>198</v>
      </c>
      <c r="S23" s="48" t="s">
        <v>200</v>
      </c>
    </row>
    <row r="24" spans="1:20" ht="20.100000000000001" customHeight="1" x14ac:dyDescent="0.2">
      <c r="A24" s="17" t="str">
        <f>HYPERLINK("#'Constants - Ag Residue'!A1", "Constants - Ag Residue")</f>
        <v>Constants - Ag Residue</v>
      </c>
      <c r="D24" s="49" t="s">
        <v>195</v>
      </c>
      <c r="E24" s="49">
        <f>VEERG_6_1_1_1__2__MassOfNitrogenInCropResidues_Result_Method1</f>
        <v>85008</v>
      </c>
      <c r="F24" s="49" t="str">
        <f>X_Cell_Crop_IrrigationMethod</f>
        <v>Sprinkler irrigation</v>
      </c>
      <c r="G24" s="49" t="str">
        <f>X_Cell_Site_LeachingZone</f>
        <v>NO - Not in leaching zone</v>
      </c>
      <c r="H24" s="49">
        <f>CommonCropping_InputFunctions.CommonCropping_GetFracWET(G24,F24,Table_SourceData_FracWET[Is in leaching zone],Table_SourceData_FracWET[FracWET], Table_SourceData_FracWETIrrigation[Irrigation type i],Table_SourceData_FracWETIrrigation[FracWET])</f>
        <v>1</v>
      </c>
      <c r="I24" s="49" cm="1">
        <f t="array" ref="I24">AgResidue_Equations_Leaching.VEERG_6_3_1_1__2__MassOfNitrogenLostThroughLeachingAndRunoff(E24,H24,$J$15)</f>
        <v>20401.919999999998</v>
      </c>
      <c r="N24" s="49"/>
      <c r="O24" s="49">
        <f>VEERG_6_1_1_1__2__MassOfNitrogenInCropResidues_Result_Method2</f>
        <v>85008</v>
      </c>
      <c r="P24" s="49"/>
      <c r="Q24" s="49"/>
      <c r="R24" s="49"/>
      <c r="S24" s="49" cm="1">
        <f t="array" ref="S24">AgResidue_Equations_Leaching.VEERG_6_3_1_1__2__MassOfNitrogenLostThroughLeachingAndRunoff(O24,H24,$J$15)</f>
        <v>20401.919999999998</v>
      </c>
    </row>
    <row r="25" spans="1:20" ht="20.100000000000001" customHeight="1" x14ac:dyDescent="0.2">
      <c r="A25" s="17" t="str">
        <f>HYPERLINK("#'Constants - Common'!A1", "Constants - Common")</f>
        <v>Constants - Common</v>
      </c>
      <c r="D25" s="49" t="s">
        <v>196</v>
      </c>
      <c r="E25" s="49" t="s">
        <v>231</v>
      </c>
      <c r="F25" s="49" t="s">
        <v>231</v>
      </c>
      <c r="G25" s="49" t="s">
        <v>231</v>
      </c>
      <c r="H25" s="49" t="s">
        <v>231</v>
      </c>
      <c r="I25" s="49" t="s">
        <v>231</v>
      </c>
      <c r="N25" s="49"/>
      <c r="O25" s="49" t="s">
        <v>231</v>
      </c>
      <c r="P25" s="49"/>
      <c r="Q25" s="49"/>
      <c r="R25" s="49"/>
      <c r="S25" s="49" t="s">
        <v>231</v>
      </c>
    </row>
    <row r="27" spans="1:20" ht="20.100000000000001" customHeight="1" x14ac:dyDescent="0.2">
      <c r="C27" s="133"/>
      <c r="D27" s="133"/>
      <c r="E27" s="133"/>
      <c r="F27" s="133"/>
      <c r="G27" s="133"/>
      <c r="H27" s="133"/>
      <c r="I27" s="133"/>
      <c r="J27" s="133"/>
      <c r="K27" s="133"/>
      <c r="M27" s="133"/>
      <c r="N27" s="133"/>
      <c r="O27" s="133"/>
      <c r="P27" s="133"/>
      <c r="Q27" s="133"/>
      <c r="R27" s="133"/>
      <c r="S27" s="133"/>
      <c r="T27" s="133"/>
    </row>
    <row r="28" spans="1:20" ht="20.100000000000001" customHeight="1" x14ac:dyDescent="0.2">
      <c r="C28" s="21"/>
      <c r="D28" s="6" t="str" cm="1">
        <f t="array" ref="D28">AgResidue_Equations_Leaching.VEERG_6_3_1_1__1__LeachingAndRunoffEmissionsCropAndPastureResidue_Title()</f>
        <v>Nitrous oxide leaching and runoff emissions from crop and pasture residues returned to the soil</v>
      </c>
      <c r="E28" s="21"/>
      <c r="F28" s="137"/>
      <c r="G28" s="21"/>
      <c r="H28" s="21"/>
      <c r="I28" s="21"/>
      <c r="J28" s="21"/>
      <c r="K28" s="21"/>
    </row>
    <row r="29" spans="1:20" ht="20.100000000000001" customHeight="1" x14ac:dyDescent="0.2">
      <c r="C29" s="21"/>
      <c r="D29" s="5" t="str" cm="1">
        <f t="array" ref="D29">AgResidue_Equations_Leaching.VEERG_6_3_1_1__1__LeachingAndRunoffEmissionsCropAndPastureResidue_Source()</f>
        <v>VEERG 2026: 6.3.1.1, Equation (1)</v>
      </c>
      <c r="E29" s="21"/>
      <c r="F29" s="21"/>
      <c r="G29" s="21"/>
      <c r="H29" s="21"/>
      <c r="I29" s="21"/>
      <c r="J29" s="21"/>
      <c r="K29" s="21"/>
    </row>
    <row r="30" spans="1:20" ht="20.100000000000001" customHeight="1" x14ac:dyDescent="0.2">
      <c r="C30" s="21"/>
      <c r="D30" s="13" t="s">
        <v>21</v>
      </c>
      <c r="E30" s="13" t="str" cm="1">
        <f t="array" aca="1" ref="E30" ca="1">Common_InputFunctions.Utility_DisplayFunctionName(E45)</f>
        <v>=AgResidue_Equations_Leaching.VEERG_6_3_1_1__1__LeachingAndRunoffEmissionsCropAndPastureResidue</v>
      </c>
      <c r="F30" s="21"/>
      <c r="G30" s="21"/>
      <c r="H30" s="21"/>
      <c r="I30" s="21"/>
      <c r="J30" s="21"/>
      <c r="K30" s="21"/>
    </row>
    <row r="31" spans="1:20" ht="20.100000000000001" customHeight="1" x14ac:dyDescent="0.2">
      <c r="C31" s="21"/>
      <c r="D31" s="21"/>
      <c r="E31" s="21"/>
      <c r="F31" s="21"/>
      <c r="G31" s="21"/>
      <c r="H31" s="21"/>
      <c r="I31" s="21"/>
      <c r="J31" s="21"/>
      <c r="K31" s="21"/>
    </row>
    <row r="32" spans="1:20" ht="20.100000000000001" customHeight="1" x14ac:dyDescent="0.2">
      <c r="C32" s="21"/>
      <c r="D32" s="21"/>
      <c r="E32" s="21"/>
      <c r="F32" s="5"/>
      <c r="G32" s="21"/>
      <c r="H32" s="21"/>
      <c r="I32" s="21"/>
      <c r="J32" s="21"/>
      <c r="K32" s="21"/>
    </row>
    <row r="33" spans="3:17" ht="20.100000000000001" customHeight="1" x14ac:dyDescent="0.2">
      <c r="C33" s="21"/>
      <c r="D33" s="25" t="s">
        <v>24</v>
      </c>
      <c r="E33" s="21" t="str" cm="1">
        <f t="array" ref="E33">AgResidue_Equations_Leaching.VEERG_6_3_1_1__1__LeachingAndRunoffEmissionsCropAndPastureResidue_Variable()</f>
        <v>EN2O</v>
      </c>
      <c r="F33" s="21"/>
      <c r="G33" s="21"/>
      <c r="H33" s="21"/>
      <c r="I33" s="21"/>
      <c r="J33" s="21"/>
      <c r="K33" s="21"/>
    </row>
    <row r="34" spans="3:17" ht="20.100000000000001" customHeight="1" x14ac:dyDescent="0.2">
      <c r="C34" s="21"/>
      <c r="D34" s="25" t="s">
        <v>15</v>
      </c>
      <c r="E34" s="51" t="str" cm="1">
        <f t="array" ref="E34">AgResidue_Equations_Leaching.VEERG_6_3_1_1__1__LeachingAndRunoffEmissionsCropAndPastureResidue_Unit()</f>
        <v>t N2O</v>
      </c>
      <c r="F34" s="21"/>
      <c r="G34" s="21"/>
      <c r="H34" s="21"/>
      <c r="I34" s="21"/>
      <c r="J34" s="21"/>
      <c r="K34" s="21"/>
    </row>
    <row r="35" spans="3:17" ht="20.100000000000001" customHeight="1" x14ac:dyDescent="0.2">
      <c r="C35" s="21"/>
      <c r="D35" s="21"/>
      <c r="E35" s="21"/>
      <c r="F35" s="21"/>
      <c r="G35" s="21"/>
      <c r="H35" s="21"/>
      <c r="I35" s="21"/>
      <c r="J35" s="21"/>
      <c r="K35" s="21"/>
    </row>
    <row r="36" spans="3:17" ht="20.100000000000001" customHeight="1" x14ac:dyDescent="0.2">
      <c r="C36" s="21"/>
      <c r="D36" s="114" t="str" cm="1">
        <f t="array" ref="D36:E40">_xlfn.CHOOSECOLS(AgResidue_Equations_Leaching.VEERG_6_3_1_1__1__LeachingAndRunoffEmissionsCropAndPastureResidue_Arguments(),1,2)</f>
        <v>M_leachcp</v>
      </c>
      <c r="E36" s="118" t="str">
        <v>mass of nitrogen lost through leaching and runoff from the crop residue c or pasture residue p</v>
      </c>
      <c r="F36" s="119"/>
      <c r="G36" s="117"/>
      <c r="H36" s="114" t="str" cm="1">
        <f t="array" ref="H36:I40">_xlfn.CHOOSECOLS(AgResidue_Equations_Leaching.VEERG_6_3_1_1__1__LeachingAndRunoffEmissionsCropAndPastureResidue_Arguments(),3,4)</f>
        <v>kg N</v>
      </c>
      <c r="I36" s="108" t="str">
        <v>Calculated from 6.3.1.1 (2)</v>
      </c>
      <c r="J36" s="114" t="str" cm="1">
        <f t="array" aca="1" ref="J36" ca="1">HYPERLINK(Common_InputFunctions.Utility_SourceHyperlink($D$21), $D$21)</f>
        <v>M1_Table_M_leach_cp</v>
      </c>
      <c r="K36" s="21"/>
    </row>
    <row r="37" spans="3:17" ht="20.100000000000001" customHeight="1" x14ac:dyDescent="0.2">
      <c r="C37" s="21"/>
      <c r="D37" s="114" t="str">
        <v>EF_leach</v>
      </c>
      <c r="E37" s="118" t="str">
        <v>emission factor for leaching and runoff</v>
      </c>
      <c r="F37" s="119"/>
      <c r="G37" s="117"/>
      <c r="H37" s="114" t="str">
        <v>kg N2O-N/kg N</v>
      </c>
      <c r="I37" s="108" t="str">
        <v>Constant</v>
      </c>
      <c r="J37" s="114">
        <f>'Constants - Common'!$E$170</f>
        <v>1.0999999999999999E-2</v>
      </c>
      <c r="K37" s="21"/>
    </row>
    <row r="38" spans="3:17" ht="20.100000000000001" customHeight="1" x14ac:dyDescent="0.2">
      <c r="C38" s="21"/>
      <c r="D38" s="114" t="str">
        <v>C_N2O</v>
      </c>
      <c r="E38" s="118" t="str">
        <v>factor to convert elemental mass of nitrous oxide to molecular mass</v>
      </c>
      <c r="F38" s="119"/>
      <c r="G38" s="117"/>
      <c r="H38" s="114" t="str">
        <v>dimensionless</v>
      </c>
      <c r="I38" s="108" t="str">
        <v>Constant</v>
      </c>
      <c r="J38" s="114">
        <f>Common_InputFunctions.Utility_LookupValueInTableNumber("N2O",Table_GasToMolecularConversionFactor[Gas],Table_GasToMolecularConversionFactor[Conversion factor combined])</f>
        <v>1.5714285714285714</v>
      </c>
      <c r="K38" s="21"/>
    </row>
    <row r="39" spans="3:17" ht="20.100000000000001" customHeight="1" x14ac:dyDescent="0.2">
      <c r="C39" s="21"/>
      <c r="D39" s="114" t="str">
        <v>c</v>
      </c>
      <c r="E39" s="118" t="str">
        <v>Crop residue type</v>
      </c>
      <c r="F39" s="119"/>
      <c r="G39" s="117"/>
      <c r="H39" s="114" t="str">
        <v/>
      </c>
      <c r="I39" s="109" t="str">
        <v>Input</v>
      </c>
      <c r="J39" s="114" t="str">
        <f>X_Cell_Crop_CropType</f>
        <v>Wheat</v>
      </c>
      <c r="K39" s="21"/>
    </row>
    <row r="40" spans="3:17" ht="20.100000000000001" customHeight="1" x14ac:dyDescent="0.2">
      <c r="C40" s="21"/>
      <c r="D40" s="114" t="str">
        <v>p</v>
      </c>
      <c r="E40" s="118" t="str">
        <v>Pasture residue type</v>
      </c>
      <c r="F40" s="119"/>
      <c r="G40" s="117"/>
      <c r="H40" s="114" t="str">
        <v/>
      </c>
      <c r="I40" s="109" t="str">
        <v>Input</v>
      </c>
      <c r="J40" s="114" t="s">
        <v>231</v>
      </c>
      <c r="K40" s="21"/>
    </row>
    <row r="41" spans="3:17" ht="20.100000000000001" customHeight="1" x14ac:dyDescent="0.2">
      <c r="C41" s="21"/>
      <c r="D41" s="21"/>
      <c r="E41" s="21"/>
      <c r="F41" s="21"/>
      <c r="G41" s="21"/>
      <c r="H41" s="21"/>
      <c r="I41" s="21"/>
      <c r="J41" s="21"/>
      <c r="K41" s="21"/>
    </row>
    <row r="42" spans="3:17" ht="20.100000000000001" customHeight="1" x14ac:dyDescent="0.2">
      <c r="C42" s="21"/>
      <c r="D42" s="90" t="s">
        <v>205</v>
      </c>
      <c r="E42" s="21"/>
      <c r="F42" s="21"/>
      <c r="G42" s="21"/>
      <c r="H42" s="21"/>
      <c r="I42" s="21"/>
      <c r="J42" s="21"/>
      <c r="K42" s="21"/>
      <c r="N42" s="90" t="s">
        <v>205</v>
      </c>
      <c r="O42" s="21"/>
      <c r="P42" s="21"/>
      <c r="Q42" s="21"/>
    </row>
    <row r="43" spans="3:17" ht="20.100000000000001" customHeight="1" x14ac:dyDescent="0.2">
      <c r="C43" s="21"/>
      <c r="D43" s="89" t="s">
        <v>206</v>
      </c>
      <c r="E43" s="21"/>
      <c r="F43" s="21"/>
      <c r="G43" s="21"/>
      <c r="H43" s="21"/>
      <c r="I43" s="21"/>
      <c r="J43" s="21"/>
      <c r="K43" s="21"/>
      <c r="N43" s="89" t="s">
        <v>206</v>
      </c>
      <c r="O43" s="21"/>
      <c r="P43" s="21"/>
      <c r="Q43" s="21"/>
    </row>
    <row r="44" spans="3:17" ht="20.100000000000001" customHeight="1" x14ac:dyDescent="0.2">
      <c r="C44" s="21"/>
      <c r="D44" s="48" t="s">
        <v>200</v>
      </c>
      <c r="E44" s="48" t="s">
        <v>202</v>
      </c>
      <c r="F44" s="21"/>
      <c r="G44" s="21"/>
      <c r="H44" s="21"/>
      <c r="I44" s="21"/>
      <c r="J44" s="21"/>
      <c r="K44" s="21"/>
      <c r="N44" s="48" t="s">
        <v>200</v>
      </c>
      <c r="O44" s="48" t="s">
        <v>202</v>
      </c>
      <c r="P44" s="21"/>
      <c r="Q44" s="21"/>
    </row>
    <row r="45" spans="3:17" ht="20.100000000000001" customHeight="1" x14ac:dyDescent="0.2">
      <c r="C45" s="21"/>
      <c r="D45" s="49">
        <f>I24</f>
        <v>20401.919999999998</v>
      </c>
      <c r="E45" s="49" cm="1">
        <f t="array" ref="E45">AgResidue_Equations_Leaching.VEERG_6_3_1_1__1__LeachingAndRunoffEmissionsCropAndPastureResidue(D45,$J$37,$J$38)</f>
        <v>0.35266175999999999</v>
      </c>
      <c r="F45" s="21"/>
      <c r="G45" s="21"/>
      <c r="H45" s="21"/>
      <c r="I45" s="21"/>
      <c r="J45" s="21"/>
      <c r="K45" s="21"/>
      <c r="N45" s="49">
        <f>S24</f>
        <v>20401.919999999998</v>
      </c>
      <c r="O45" s="49" cm="1">
        <f t="array" ref="O45">AgResidue_Equations_Leaching.VEERG_6_3_1_1__1__LeachingAndRunoffEmissionsCropAndPastureResidue(N45,$J$37,$J$38)</f>
        <v>0.35266175999999999</v>
      </c>
      <c r="P45" s="21"/>
      <c r="Q45" s="21"/>
    </row>
    <row r="46" spans="3:17" ht="20.100000000000001" customHeight="1" x14ac:dyDescent="0.2">
      <c r="C46" s="21"/>
      <c r="D46" s="49" t="str">
        <f>I25</f>
        <v>N/A</v>
      </c>
      <c r="E46" s="49" t="s">
        <v>231</v>
      </c>
      <c r="F46" s="21"/>
      <c r="G46" s="21"/>
      <c r="H46" s="21"/>
      <c r="I46" s="21"/>
      <c r="J46" s="21"/>
      <c r="K46" s="21"/>
      <c r="N46" s="49" t="str">
        <f>S25</f>
        <v>N/A</v>
      </c>
      <c r="O46" s="49" t="s">
        <v>231</v>
      </c>
      <c r="P46" s="21"/>
      <c r="Q46" s="21"/>
    </row>
    <row r="47" spans="3:17" ht="20.100000000000001" customHeight="1" x14ac:dyDescent="0.2">
      <c r="C47" s="21"/>
      <c r="F47" s="21"/>
      <c r="G47" s="21"/>
      <c r="H47" s="21"/>
      <c r="I47" s="21"/>
      <c r="J47" s="21"/>
      <c r="K47" s="21"/>
      <c r="P47" s="21"/>
      <c r="Q47" s="21"/>
    </row>
    <row r="48" spans="3:17" ht="20.100000000000001" customHeight="1" x14ac:dyDescent="0.35">
      <c r="C48" s="21"/>
      <c r="D48" s="138" t="s">
        <v>194</v>
      </c>
      <c r="E48" s="139">
        <f>SUM(E45:E46)</f>
        <v>0.35266175999999999</v>
      </c>
      <c r="F48" s="93" t="str">
        <f>$E$34</f>
        <v>t N2O</v>
      </c>
      <c r="G48" s="21"/>
      <c r="H48" s="21"/>
      <c r="I48" s="21"/>
      <c r="J48" s="21"/>
      <c r="K48" s="21"/>
      <c r="N48" s="138" t="s">
        <v>194</v>
      </c>
      <c r="O48" s="139">
        <f>SUM(O45:O46)</f>
        <v>0.35266175999999999</v>
      </c>
      <c r="P48" s="93" t="str">
        <f>$E$34</f>
        <v>t N2O</v>
      </c>
      <c r="Q48" s="21"/>
    </row>
    <row r="49" spans="4:17" ht="20.100000000000001" customHeight="1" x14ac:dyDescent="0.2">
      <c r="D49" s="21"/>
      <c r="E49" s="21"/>
      <c r="F49" s="21"/>
      <c r="G49" s="21"/>
      <c r="N49" s="21"/>
      <c r="O49" s="21"/>
      <c r="P49" s="21"/>
      <c r="Q49" s="21"/>
    </row>
    <row r="50" spans="4:17" ht="20.100000000000001" customHeight="1" x14ac:dyDescent="0.2">
      <c r="D50" s="53" t="str" cm="1">
        <f t="array" ref="D50:E51">Common_Equations.Common_ConvertN2OToCO2e_Arguments()</f>
        <v>EN2O</v>
      </c>
      <c r="E50" s="54" t="str">
        <v>Nitrous oxide emissions (t N2O)</v>
      </c>
      <c r="F50" s="94"/>
      <c r="G50" s="49">
        <f>VEERG_6_3_1_1__1__LeachingAndRunoffEmissionsCropAndPastureResidue_CropOnly_Result_Method1</f>
        <v>0.35266175999999999</v>
      </c>
      <c r="N50" s="53" t="str" cm="1">
        <f t="array" ref="N50:O51">Common_Equations.Common_ConvertN2OToCO2e_Arguments()</f>
        <v>EN2O</v>
      </c>
      <c r="O50" s="54" t="str">
        <v>Nitrous oxide emissions (t N2O)</v>
      </c>
      <c r="P50" s="94"/>
      <c r="Q50" s="49">
        <f>VEERG_6_3_1_1__1__LeachingAndRunoffEmissionsCropAndPastureResidue_CropOnly_Result_Method2</f>
        <v>0.35266175999999999</v>
      </c>
    </row>
    <row r="51" spans="4:17" ht="20.100000000000001" customHeight="1" x14ac:dyDescent="0.2">
      <c r="D51" s="53" t="str">
        <v>GWPN2O</v>
      </c>
      <c r="E51" s="54" t="str">
        <v>Global warming potential for nitrous oxide (t CO2-e / t N2O)</v>
      </c>
      <c r="F51" s="94"/>
      <c r="G51" s="49">
        <f>Common_InputFunctions.Utility_LookupValueInTableNumber("N2O",Table_GWPData[Gas],Table_GWPData[CO2-e factor])</f>
        <v>265</v>
      </c>
      <c r="H51" s="21"/>
      <c r="I51" s="21"/>
      <c r="N51" s="53" t="str">
        <v>GWPN2O</v>
      </c>
      <c r="O51" s="54" t="str">
        <v>Global warming potential for nitrous oxide (t CO2-e / t N2O)</v>
      </c>
      <c r="P51" s="94"/>
      <c r="Q51" s="49">
        <f>Common_InputFunctions.Utility_LookupValueInTableNumber("N2O",Table_GWPData[Gas],Table_GWPData[CO2-e factor])</f>
        <v>265</v>
      </c>
    </row>
    <row r="52" spans="4:17" ht="20.100000000000001" customHeight="1" x14ac:dyDescent="0.2">
      <c r="H52" s="21"/>
      <c r="I52" s="21"/>
    </row>
    <row r="53" spans="4:17" ht="20.100000000000001" customHeight="1" x14ac:dyDescent="0.2">
      <c r="D53" s="43" t="s">
        <v>78</v>
      </c>
      <c r="E53" s="43" cm="1">
        <f t="array" ref="E53">Common_Equations.Common_ConvertN2OToCO2e(G50,G51)</f>
        <v>93.455366400000003</v>
      </c>
      <c r="F53" s="95" t="str" cm="1">
        <f t="array" ref="F53">Common_Equations.Common_ConvertN2OToCO2e_Unit()</f>
        <v>t CO2e</v>
      </c>
      <c r="I53" s="21"/>
      <c r="N53" s="43" t="s">
        <v>78</v>
      </c>
      <c r="O53" s="43" cm="1">
        <f t="array" ref="O53">Common_Equations.Common_ConvertN2OToCO2e(Q50,Q51)</f>
        <v>93.455366400000003</v>
      </c>
      <c r="P53" s="95" t="str" cm="1">
        <f t="array" ref="P53">Common_Equations.Common_ConvertN2OToCO2e_Unit()</f>
        <v>t CO2e</v>
      </c>
    </row>
    <row r="54" spans="4:17" ht="20.100000000000001" customHeight="1" x14ac:dyDescent="0.2">
      <c r="I54" s="21"/>
    </row>
    <row r="60" spans="4:17" ht="20.100000000000001" customHeight="1" x14ac:dyDescent="0.2">
      <c r="H60" s="21"/>
      <c r="I60" s="21"/>
    </row>
    <row r="61" spans="4:17" ht="20.100000000000001" customHeight="1" x14ac:dyDescent="0.2">
      <c r="H61" s="21"/>
      <c r="I61" s="21"/>
    </row>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3AE05-1BBC-4424-B700-D8DD789D95B7}">
  <sheetPr>
    <tabColor rgb="FF008000"/>
  </sheetPr>
  <dimension ref="A1:T61"/>
  <sheetViews>
    <sheetView showGridLines="0" zoomScaleNormal="100" workbookViewId="0">
      <selection activeCell="A9" sqref="A9"/>
    </sheetView>
  </sheetViews>
  <sheetFormatPr defaultRowHeight="20.100000000000001" customHeight="1" x14ac:dyDescent="0.2"/>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60" t="e" vm="1">
        <v>#VALUE!</v>
      </c>
      <c r="C1" s="8" t="s">
        <v>230</v>
      </c>
    </row>
    <row r="2" spans="1:20" s="9" customFormat="1" ht="20.100000000000001" customHeight="1" x14ac:dyDescent="0.2">
      <c r="A2"/>
    </row>
    <row r="3" spans="1:20" ht="20.100000000000001" customHeight="1" x14ac:dyDescent="0.2">
      <c r="A3" s="17" t="str">
        <f>HYPERLINK("#'Home'!A1", "Home")</f>
        <v>Home</v>
      </c>
      <c r="C3" s="4"/>
      <c r="D3" s="4" t="s">
        <v>79</v>
      </c>
      <c r="E3" s="4"/>
      <c r="F3" s="4"/>
      <c r="G3" s="4"/>
      <c r="H3" s="4"/>
      <c r="I3" s="4"/>
      <c r="J3" s="4"/>
      <c r="K3" s="4"/>
      <c r="M3" s="4"/>
      <c r="N3" s="4" t="s">
        <v>80</v>
      </c>
      <c r="O3" s="4"/>
      <c r="P3" s="4"/>
      <c r="Q3" s="4"/>
      <c r="R3" s="4"/>
      <c r="S3" s="4"/>
      <c r="T3" s="4"/>
    </row>
    <row r="4" spans="1:20" ht="20.100000000000001" customHeight="1" x14ac:dyDescent="0.2">
      <c r="A4" s="17" t="str">
        <f>HYPERLINK("#'Overview'!A1", "Overview")</f>
        <v>Overview</v>
      </c>
    </row>
    <row r="5" spans="1:20" ht="20.100000000000001" customHeight="1" x14ac:dyDescent="0.2">
      <c r="A5" s="17" t="str">
        <f>HYPERLINK("#'Results'!A1", "Results")</f>
        <v>Results</v>
      </c>
      <c r="C5" s="21"/>
      <c r="D5" s="6" t="str" cm="1">
        <f t="array" ref="D5">AgResidue_Equations_Leaching.VEERG_6_3_1_1__2__MassOfNitrogenLostThroughLeachingAndRunoff_Title()</f>
        <v>Mass of nitrogen lost through leaching and runoff</v>
      </c>
      <c r="E5" s="21"/>
      <c r="F5" s="21"/>
      <c r="G5" s="21"/>
      <c r="H5" s="21"/>
      <c r="I5" s="21"/>
      <c r="J5" s="21"/>
      <c r="K5" s="21"/>
    </row>
    <row r="6" spans="1:20" ht="20.100000000000001" customHeight="1" x14ac:dyDescent="0.2">
      <c r="C6" s="21"/>
      <c r="D6" s="5" t="str" cm="1">
        <f t="array" ref="D6">AgResidue_Equations_Leaching.VEERG_6_3_1_1__2__MassOfNitrogenLostThroughLeachingAndRunoff_Source()</f>
        <v>VEERG 2026: 6.3.1.1, Equation (2)</v>
      </c>
      <c r="E6" s="21"/>
      <c r="F6" s="21"/>
      <c r="G6" s="21"/>
      <c r="H6" s="21"/>
      <c r="I6" s="21"/>
      <c r="J6" s="21"/>
      <c r="K6" s="21"/>
    </row>
    <row r="7" spans="1:20" ht="20.100000000000001" customHeight="1" x14ac:dyDescent="0.2">
      <c r="C7" s="21"/>
      <c r="D7" s="13" t="s">
        <v>21</v>
      </c>
      <c r="E7" s="13" t="str" cm="1">
        <f t="array" aca="1" ref="E7" ca="1">Common_InputFunctions.Utility_DisplayFunctionName(I25)</f>
        <v>=AgResidue_Equations_Leaching.VEERG_6_3_1_1__2__MassOfNitrogenLostThroughLeachingAndRunoff</v>
      </c>
      <c r="F7" s="13"/>
      <c r="G7" s="21"/>
      <c r="H7" s="21"/>
      <c r="I7" s="21"/>
      <c r="J7" s="21"/>
      <c r="K7" s="21"/>
    </row>
    <row r="8" spans="1:20" ht="20.100000000000001" customHeight="1" x14ac:dyDescent="0.2">
      <c r="A8" s="19" t="s">
        <v>0</v>
      </c>
      <c r="C8" s="21"/>
      <c r="F8" s="21"/>
      <c r="G8" s="21"/>
      <c r="H8" s="21"/>
      <c r="I8" s="21"/>
      <c r="J8" s="21"/>
      <c r="K8" s="21"/>
    </row>
    <row r="9" spans="1:20" ht="20.100000000000001" customHeight="1" x14ac:dyDescent="0.2">
      <c r="A9" s="17" t="str">
        <f>HYPERLINK("#'Input - Site'!A1", "Site")</f>
        <v>Site</v>
      </c>
      <c r="C9" s="21"/>
      <c r="D9" s="21"/>
      <c r="E9" s="21"/>
      <c r="F9" s="21"/>
      <c r="G9" s="21"/>
      <c r="H9" s="21"/>
      <c r="I9" s="21"/>
      <c r="J9" s="21"/>
      <c r="K9" s="21"/>
    </row>
    <row r="10" spans="1:20" ht="20.100000000000001" customHeight="1" x14ac:dyDescent="0.2">
      <c r="A10" s="17" t="str">
        <f>HYPERLINK("#'Input - Crop'!A1", "Crop")</f>
        <v>Crop</v>
      </c>
      <c r="C10" s="21"/>
      <c r="D10" s="25" t="s">
        <v>24</v>
      </c>
      <c r="E10" s="21" t="str" cm="1">
        <f t="array" ref="E10">AgResidue_Equations_Leaching.VEERG_6_3_1_1__2__MassOfNitrogenLostThroughLeachingAndRunoff_Variable()</f>
        <v>M_leachcp</v>
      </c>
      <c r="F10" s="21"/>
      <c r="G10" s="5"/>
      <c r="H10" s="21"/>
      <c r="I10" s="21"/>
      <c r="J10" s="21"/>
      <c r="K10" s="21"/>
    </row>
    <row r="11" spans="1:20" ht="20.100000000000001" customHeight="1" x14ac:dyDescent="0.2">
      <c r="A11" s="17" t="str">
        <f>HYPERLINK("#'Input - Pasture'!A1", "Pasture")</f>
        <v>Pasture</v>
      </c>
      <c r="C11" s="21"/>
      <c r="D11" s="25" t="s">
        <v>15</v>
      </c>
      <c r="E11" s="51" t="str" cm="1">
        <f t="array" ref="E11">AgResidue_Equations_Leaching.VEERG_6_3_1_1__2__MassOfNitrogenLostThroughLeachingAndRunoff_Unit()</f>
        <v>kg N</v>
      </c>
      <c r="F11" s="21"/>
      <c r="G11" s="21"/>
      <c r="H11" s="21"/>
      <c r="I11" s="21"/>
      <c r="J11" s="21"/>
      <c r="K11" s="21"/>
    </row>
    <row r="12" spans="1:20" ht="20.100000000000001" customHeight="1" x14ac:dyDescent="0.2">
      <c r="C12" s="21"/>
      <c r="D12" s="21"/>
      <c r="E12" s="21"/>
      <c r="F12" s="21"/>
      <c r="G12" s="21"/>
      <c r="H12" s="21"/>
      <c r="I12" s="21"/>
      <c r="J12" s="21"/>
      <c r="K12" s="21"/>
    </row>
    <row r="13" spans="1:20" ht="20.100000000000001" customHeight="1" x14ac:dyDescent="0.2">
      <c r="C13" s="21"/>
      <c r="D13" s="114" t="str" cm="1">
        <f t="array" ref="D13:E19">_xlfn.CHOOSECOLS(AgResidue_Equations_Leaching.VEERG_6_3_1_1__2__MassOfNitrogenLostThroughLeachingAndRunoff_Arguments(), 1,2)</f>
        <v>M_cp</v>
      </c>
      <c r="E13" s="118" t="str">
        <v>mass of nitrogen in crop residues c or pasture residues p applied to soils</v>
      </c>
      <c r="F13" s="119"/>
      <c r="G13" s="117"/>
      <c r="H13" s="114" t="str" cm="1">
        <f t="array" ref="H13:I19">_xlfn.CHOOSECOLS(AgResidue_Equations_Leaching.VEERG_6_3_1_1__2__MassOfNitrogenLostThroughLeachingAndRunoff_Arguments(), 3,4)</f>
        <v>kg N</v>
      </c>
      <c r="I13" s="108" t="str">
        <v>Calc from 6.1.1.1 (2) and 6.2.1.1 (2)</v>
      </c>
      <c r="J13" s="113" t="str" cm="1">
        <f t="array" aca="1" ref="J13" ca="1">HYPERLINK(Common_InputFunctions.Utility_SourceHyperlink($D$21), $D$21)</f>
        <v>M1_Table_M_leach_cp</v>
      </c>
      <c r="K13" s="21"/>
    </row>
    <row r="14" spans="1:20" ht="20.100000000000001" customHeight="1" x14ac:dyDescent="0.2">
      <c r="A14" s="18" t="s">
        <v>68</v>
      </c>
      <c r="C14" s="21"/>
      <c r="D14" s="114" t="str">
        <v>FracWET_j</v>
      </c>
      <c r="E14" s="118" t="str">
        <v>fraction of N that is available for leaching and runoff from the leaching zone z and irrigation type ir</v>
      </c>
      <c r="F14" s="119"/>
      <c r="G14" s="117"/>
      <c r="H14" s="114" t="str">
        <v>fraction</v>
      </c>
      <c r="I14" s="108" t="str">
        <v>Constant</v>
      </c>
      <c r="J14" s="113" t="str" cm="1">
        <f t="array" aca="1" ref="J14" ca="1">HYPERLINK(Common_InputFunctions.Utility_SourceHyperlink($D$21), $D$21)</f>
        <v>M1_Table_M_leach_cp</v>
      </c>
      <c r="K14" s="21"/>
    </row>
    <row r="15" spans="1:20" ht="20.100000000000001" customHeight="1" x14ac:dyDescent="0.2">
      <c r="A15" s="17" t="str">
        <f>HYPERLINK("#'6.1.1.1-2 Crop residue N2O'!A1", "6.1.1.1-2 Crop residue N2O")</f>
        <v>6.1.1.1-2 Crop residue N2O</v>
      </c>
      <c r="C15" s="21"/>
      <c r="D15" s="114" t="str">
        <v>FracLEACH</v>
      </c>
      <c r="E15" s="118" t="str">
        <v>fraction of N that is lost through leaching and runoff</v>
      </c>
      <c r="F15" s="119"/>
      <c r="G15" s="117"/>
      <c r="H15" s="114" t="str">
        <v>fraction</v>
      </c>
      <c r="I15" s="108" t="str">
        <v>Constant</v>
      </c>
      <c r="J15" s="114">
        <f>'Constants - Common'!$E$164</f>
        <v>0.24</v>
      </c>
      <c r="K15" s="21"/>
    </row>
    <row r="16" spans="1:20" ht="20.100000000000001" customHeight="1" x14ac:dyDescent="0.2">
      <c r="A16" s="17" t="str">
        <f>HYPERLINK("#'6.2.1.1-2 Pasture residue N2O'!A1", "6.2.1.1-2 Pasture residue N2O")</f>
        <v>6.2.1.1-2 Pasture residue N2O</v>
      </c>
      <c r="C16" s="21"/>
      <c r="D16" s="114" t="str">
        <v>z</v>
      </c>
      <c r="E16" s="118" t="str">
        <v>Location in leaching zone</v>
      </c>
      <c r="F16" s="119"/>
      <c r="G16" s="117"/>
      <c r="H16" s="114" t="str">
        <v/>
      </c>
      <c r="I16" s="109" t="str">
        <v>Input</v>
      </c>
      <c r="J16" s="113" t="str" cm="1">
        <f t="array" aca="1" ref="J16" ca="1">HYPERLINK(Common_InputFunctions.Utility_SourceHyperlink($D$21), $D$21)</f>
        <v>M1_Table_M_leach_cp</v>
      </c>
      <c r="K16" s="21"/>
    </row>
    <row r="17" spans="1:20" ht="20.100000000000001" customHeight="1" x14ac:dyDescent="0.2">
      <c r="A17" s="17" t="str">
        <f>HYPERLINK("#'6.3.1.1-2 Leaching and runoff'!A1", "6.3.1.1-2 Leaching and runoff")</f>
        <v>6.3.1.1-2 Leaching and runoff</v>
      </c>
      <c r="C17" s="21"/>
      <c r="D17" s="114" t="str">
        <v>c</v>
      </c>
      <c r="E17" s="118" t="str">
        <v>Crop residue type</v>
      </c>
      <c r="F17" s="119"/>
      <c r="G17" s="117"/>
      <c r="H17" s="114" t="str">
        <v/>
      </c>
      <c r="I17" s="109" t="str">
        <v>Input</v>
      </c>
      <c r="J17" s="114" t="s">
        <v>231</v>
      </c>
      <c r="K17" s="21"/>
    </row>
    <row r="18" spans="1:20" ht="20.100000000000001" customHeight="1" x14ac:dyDescent="0.2">
      <c r="A18" s="17" t="str">
        <f>HYPERLINK("#'6.3.1.1-2 Leach runoff crop'!A1", "6.3.1.1-2 Leach runoff crop")</f>
        <v>6.3.1.1-2 Leach runoff crop</v>
      </c>
      <c r="C18" s="21"/>
      <c r="D18" s="114" t="str">
        <v>p</v>
      </c>
      <c r="E18" s="118" t="str">
        <v>Pasture residue type</v>
      </c>
      <c r="F18" s="119"/>
      <c r="G18" s="117"/>
      <c r="H18" s="114" t="str">
        <v/>
      </c>
      <c r="I18" s="109" t="str">
        <v>Input</v>
      </c>
      <c r="J18" s="114" t="str">
        <f>X_Cell_Pasture_PastureType</f>
        <v>Grass clover mixture</v>
      </c>
      <c r="K18" s="21"/>
    </row>
    <row r="19" spans="1:20" ht="20.100000000000001" customHeight="1" x14ac:dyDescent="0.2">
      <c r="A19" s="127" t="str">
        <f>HYPERLINK("#'6.3.1.1-2 Leach runoff pasture'!A1", "6.3.1.1-2 Leach runoff pasture")</f>
        <v>6.3.1.1-2 Leach runoff pasture</v>
      </c>
      <c r="C19" s="21"/>
      <c r="D19" s="114" t="str">
        <v>ir</v>
      </c>
      <c r="E19" s="118" t="str">
        <v>Irrigation type</v>
      </c>
      <c r="F19" s="119"/>
      <c r="G19" s="117"/>
      <c r="H19" s="114" t="str">
        <v/>
      </c>
      <c r="I19" s="109" t="str">
        <v>Input</v>
      </c>
      <c r="J19" s="113" t="str" cm="1">
        <f t="array" aca="1" ref="J19" ca="1">HYPERLINK(Common_InputFunctions.Utility_SourceHyperlink($D$21), $D$21)</f>
        <v>M1_Table_M_leach_cp</v>
      </c>
      <c r="K19" s="21"/>
    </row>
    <row r="20" spans="1:20" ht="20.100000000000001" customHeight="1" x14ac:dyDescent="0.2">
      <c r="A20" s="17" t="str">
        <f>HYPERLINK("#'6.4.1.1-2 Residue burning'!A1", "6.4.1.1-2 Residue burning")</f>
        <v>6.4.1.1-2 Residue burning</v>
      </c>
      <c r="C20" s="21"/>
      <c r="D20" s="21"/>
      <c r="E20" s="21"/>
      <c r="F20" s="21"/>
      <c r="G20" s="21"/>
      <c r="H20" s="21"/>
      <c r="I20" s="21"/>
      <c r="J20" s="21"/>
      <c r="K20" s="21"/>
    </row>
    <row r="21" spans="1:20" ht="20.100000000000001" customHeight="1" x14ac:dyDescent="0.2">
      <c r="C21" s="21"/>
      <c r="D21" s="90" t="s">
        <v>203</v>
      </c>
      <c r="E21" s="21"/>
      <c r="F21" s="21"/>
      <c r="G21" s="21"/>
      <c r="H21" s="21"/>
      <c r="I21" s="21"/>
      <c r="J21" s="21"/>
      <c r="K21" s="21"/>
      <c r="N21" s="90" t="s">
        <v>228</v>
      </c>
      <c r="O21" s="21"/>
      <c r="P21" s="21"/>
      <c r="Q21" s="21"/>
      <c r="R21" s="21"/>
      <c r="S21" s="21"/>
    </row>
    <row r="22" spans="1:20" ht="20.100000000000001" customHeight="1" x14ac:dyDescent="0.2">
      <c r="C22" s="21"/>
      <c r="D22" s="89" t="s">
        <v>204</v>
      </c>
      <c r="E22" s="21"/>
      <c r="F22" s="21"/>
      <c r="G22" s="21"/>
      <c r="H22" s="21"/>
      <c r="I22" s="21"/>
      <c r="J22" s="21"/>
      <c r="K22" s="21"/>
      <c r="N22" s="89" t="s">
        <v>229</v>
      </c>
      <c r="O22" s="21"/>
      <c r="P22" s="21"/>
      <c r="Q22" s="21"/>
      <c r="R22" s="21"/>
      <c r="S22" s="21"/>
    </row>
    <row r="23" spans="1:20" ht="20.100000000000001" customHeight="1" x14ac:dyDescent="0.2">
      <c r="A23" s="141" t="s">
        <v>1</v>
      </c>
      <c r="C23" s="21"/>
      <c r="D23" s="107" t="s">
        <v>197</v>
      </c>
      <c r="E23" s="48" t="s">
        <v>199</v>
      </c>
      <c r="F23" s="107" t="s">
        <v>201</v>
      </c>
      <c r="G23" s="107" t="s">
        <v>6</v>
      </c>
      <c r="H23" s="48" t="s">
        <v>198</v>
      </c>
      <c r="I23" s="48" t="s">
        <v>200</v>
      </c>
      <c r="J23" s="21"/>
      <c r="K23" s="21"/>
      <c r="N23" s="107" t="s">
        <v>197</v>
      </c>
      <c r="O23" s="48" t="s">
        <v>199</v>
      </c>
      <c r="P23" s="107" t="s">
        <v>201</v>
      </c>
      <c r="Q23" s="107" t="s">
        <v>6</v>
      </c>
      <c r="R23" s="48" t="s">
        <v>198</v>
      </c>
      <c r="S23" s="48" t="s">
        <v>200</v>
      </c>
    </row>
    <row r="24" spans="1:20" ht="20.100000000000001" customHeight="1" x14ac:dyDescent="0.2">
      <c r="A24" s="17" t="str">
        <f>HYPERLINK("#'Constants - Ag Residue'!A1", "Constants - Ag Residue")</f>
        <v>Constants - Ag Residue</v>
      </c>
      <c r="D24" s="49" t="s">
        <v>195</v>
      </c>
      <c r="E24" s="49" t="s">
        <v>231</v>
      </c>
      <c r="F24" s="49" t="s">
        <v>231</v>
      </c>
      <c r="G24" s="49" t="s">
        <v>231</v>
      </c>
      <c r="H24" s="49" t="s">
        <v>231</v>
      </c>
      <c r="I24" s="49" t="s">
        <v>231</v>
      </c>
      <c r="N24" s="49"/>
      <c r="O24" s="49" t="s">
        <v>231</v>
      </c>
      <c r="P24" s="49"/>
      <c r="Q24" s="49"/>
      <c r="R24" s="49"/>
      <c r="S24" s="49" t="s">
        <v>231</v>
      </c>
    </row>
    <row r="25" spans="1:20" ht="20.100000000000001" customHeight="1" x14ac:dyDescent="0.2">
      <c r="A25" s="17" t="str">
        <f>HYPERLINK("#'Constants - Common'!A1", "Constants - Common")</f>
        <v>Constants - Common</v>
      </c>
      <c r="D25" s="49" t="s">
        <v>196</v>
      </c>
      <c r="E25" s="49">
        <f>'6.2.1.1-2 Pasture residue N2O'!$E$21</f>
        <v>7.4226E-2</v>
      </c>
      <c r="F25" s="49" t="str">
        <f>X_Cell_Pasture_IrrigationMethod</f>
        <v>Surface irrigation</v>
      </c>
      <c r="G25" s="49" t="str">
        <f>X_Cell_Site_LeachingZone</f>
        <v>NO - Not in leaching zone</v>
      </c>
      <c r="H25" s="49">
        <f>CommonCropping_InputFunctions.CommonCropping_GetFracWET(G25,F25,Table_SourceData_FracWET[Is in leaching zone],Table_SourceData_FracWET[FracWET], Table_SourceData_FracWETIrrigation[Irrigation type i],Table_SourceData_FracWETIrrigation[FracWET])</f>
        <v>1</v>
      </c>
      <c r="I25" s="49" cm="1">
        <f t="array" ref="I25">AgResidue_Equations_Leaching.VEERG_6_3_1_1__2__MassOfNitrogenLostThroughLeachingAndRunoff(E25,H25,$J$15)</f>
        <v>1.7814239999999999E-2</v>
      </c>
      <c r="N25" s="49"/>
      <c r="O25" s="49">
        <f>'6.2.1.1-2 Pasture residue N2O'!$O$21</f>
        <v>7.4226E-2</v>
      </c>
      <c r="P25" s="49"/>
      <c r="Q25" s="49"/>
      <c r="R25" s="49"/>
      <c r="S25" s="49" cm="1">
        <f t="array" ref="S25">AgResidue_Equations_Leaching.VEERG_6_3_1_1__2__MassOfNitrogenLostThroughLeachingAndRunoff(O25,H25,$J$15)</f>
        <v>1.7814239999999999E-2</v>
      </c>
    </row>
    <row r="27" spans="1:20" ht="20.100000000000001" customHeight="1" x14ac:dyDescent="0.2">
      <c r="C27" s="133"/>
      <c r="D27" s="133"/>
      <c r="E27" s="133"/>
      <c r="F27" s="133"/>
      <c r="G27" s="133"/>
      <c r="H27" s="133"/>
      <c r="I27" s="133"/>
      <c r="J27" s="133"/>
      <c r="K27" s="133"/>
      <c r="M27" s="133"/>
      <c r="N27" s="133"/>
      <c r="O27" s="133"/>
      <c r="P27" s="133"/>
      <c r="Q27" s="133"/>
      <c r="R27" s="133"/>
      <c r="S27" s="133"/>
      <c r="T27" s="133"/>
    </row>
    <row r="28" spans="1:20" ht="20.100000000000001" customHeight="1" x14ac:dyDescent="0.2">
      <c r="C28" s="21"/>
      <c r="D28" s="6" t="str" cm="1">
        <f t="array" ref="D28">AgResidue_Equations_Leaching.VEERG_6_3_1_1__1__LeachingAndRunoffEmissionsCropAndPastureResidue_Title()</f>
        <v>Nitrous oxide leaching and runoff emissions from crop and pasture residues returned to the soil</v>
      </c>
      <c r="E28" s="21"/>
      <c r="F28" s="137"/>
      <c r="G28" s="21"/>
      <c r="H28" s="21"/>
      <c r="I28" s="21"/>
      <c r="J28" s="21"/>
      <c r="K28" s="21"/>
    </row>
    <row r="29" spans="1:20" ht="20.100000000000001" customHeight="1" x14ac:dyDescent="0.2">
      <c r="C29" s="21"/>
      <c r="D29" s="5" t="str" cm="1">
        <f t="array" ref="D29">AgResidue_Equations_Leaching.VEERG_6_3_1_1__1__LeachingAndRunoffEmissionsCropAndPastureResidue_Source()</f>
        <v>VEERG 2026: 6.3.1.1, Equation (1)</v>
      </c>
      <c r="E29" s="21"/>
      <c r="F29" s="21"/>
      <c r="G29" s="21"/>
      <c r="H29" s="21"/>
      <c r="I29" s="21"/>
      <c r="J29" s="21"/>
      <c r="K29" s="21"/>
    </row>
    <row r="30" spans="1:20" ht="20.100000000000001" customHeight="1" x14ac:dyDescent="0.2">
      <c r="C30" s="21"/>
      <c r="D30" s="13" t="s">
        <v>21</v>
      </c>
      <c r="E30" s="13" t="str" cm="1">
        <f t="array" aca="1" ref="E30" ca="1">Common_InputFunctions.Utility_DisplayFunctionName(E46)</f>
        <v>=AgResidue_Equations_Leaching.VEERG_6_3_1_1__1__LeachingAndRunoffEmissionsCropAndPastureResidue</v>
      </c>
      <c r="F30" s="21"/>
      <c r="G30" s="21"/>
      <c r="H30" s="21"/>
      <c r="I30" s="21"/>
      <c r="J30" s="21"/>
      <c r="K30" s="21"/>
    </row>
    <row r="31" spans="1:20" ht="20.100000000000001" customHeight="1" x14ac:dyDescent="0.2">
      <c r="C31" s="21"/>
      <c r="D31" s="21"/>
      <c r="E31" s="21"/>
      <c r="F31" s="21"/>
      <c r="G31" s="21"/>
      <c r="H31" s="21"/>
      <c r="I31" s="21"/>
      <c r="J31" s="21"/>
      <c r="K31" s="21"/>
    </row>
    <row r="32" spans="1:20" ht="20.100000000000001" customHeight="1" x14ac:dyDescent="0.2">
      <c r="C32" s="21"/>
      <c r="D32" s="21"/>
      <c r="E32" s="21"/>
      <c r="F32" s="5"/>
      <c r="G32" s="21"/>
      <c r="H32" s="21"/>
      <c r="I32" s="21"/>
      <c r="J32" s="21"/>
      <c r="K32" s="21"/>
    </row>
    <row r="33" spans="3:17" ht="20.100000000000001" customHeight="1" x14ac:dyDescent="0.2">
      <c r="C33" s="21"/>
      <c r="D33" s="25" t="s">
        <v>24</v>
      </c>
      <c r="E33" s="21" t="str" cm="1">
        <f t="array" ref="E33">AgResidue_Equations_Leaching.VEERG_6_3_1_1__1__LeachingAndRunoffEmissionsCropAndPastureResidue_Variable()</f>
        <v>EN2O</v>
      </c>
      <c r="F33" s="21"/>
      <c r="G33" s="21"/>
      <c r="H33" s="21"/>
      <c r="I33" s="21"/>
      <c r="J33" s="21"/>
      <c r="K33" s="21"/>
    </row>
    <row r="34" spans="3:17" ht="20.100000000000001" customHeight="1" x14ac:dyDescent="0.2">
      <c r="C34" s="21"/>
      <c r="D34" s="25" t="s">
        <v>15</v>
      </c>
      <c r="E34" s="51" t="str" cm="1">
        <f t="array" ref="E34">AgResidue_Equations_Leaching.VEERG_6_3_1_1__1__LeachingAndRunoffEmissionsCropAndPastureResidue_Unit()</f>
        <v>t N2O</v>
      </c>
      <c r="F34" s="21"/>
      <c r="G34" s="21"/>
      <c r="H34" s="21"/>
      <c r="I34" s="21"/>
      <c r="J34" s="21"/>
      <c r="K34" s="21"/>
    </row>
    <row r="35" spans="3:17" ht="20.100000000000001" customHeight="1" x14ac:dyDescent="0.2">
      <c r="C35" s="21"/>
      <c r="D35" s="21"/>
      <c r="E35" s="21"/>
      <c r="F35" s="21"/>
      <c r="G35" s="21"/>
      <c r="H35" s="21"/>
      <c r="I35" s="21"/>
      <c r="J35" s="21"/>
      <c r="K35" s="21"/>
    </row>
    <row r="36" spans="3:17" ht="20.100000000000001" customHeight="1" x14ac:dyDescent="0.2">
      <c r="C36" s="21"/>
      <c r="D36" s="114" t="str" cm="1">
        <f t="array" ref="D36:E40">_xlfn.CHOOSECOLS(AgResidue_Equations_Leaching.VEERG_6_3_1_1__1__LeachingAndRunoffEmissionsCropAndPastureResidue_Arguments(),1,2)</f>
        <v>M_leachcp</v>
      </c>
      <c r="E36" s="118" t="str">
        <v>mass of nitrogen lost through leaching and runoff from the crop residue c or pasture residue p</v>
      </c>
      <c r="F36" s="119"/>
      <c r="G36" s="117"/>
      <c r="H36" s="114" t="str" cm="1">
        <f t="array" ref="H36:I40">_xlfn.CHOOSECOLS(AgResidue_Equations_Leaching.VEERG_6_3_1_1__1__LeachingAndRunoffEmissionsCropAndPastureResidue_Arguments(),3,4)</f>
        <v>kg N</v>
      </c>
      <c r="I36" s="108" t="str">
        <v>Calculated from 6.3.1.1 (2)</v>
      </c>
      <c r="J36" s="114" t="str" cm="1">
        <f t="array" aca="1" ref="J36" ca="1">HYPERLINK(Common_InputFunctions.Utility_SourceHyperlink($D$21), $D$21)</f>
        <v>M1_Table_M_leach_cp</v>
      </c>
      <c r="K36" s="21"/>
    </row>
    <row r="37" spans="3:17" ht="20.100000000000001" customHeight="1" x14ac:dyDescent="0.2">
      <c r="C37" s="21"/>
      <c r="D37" s="114" t="str">
        <v>EF_leach</v>
      </c>
      <c r="E37" s="118" t="str">
        <v>emission factor for leaching and runoff</v>
      </c>
      <c r="F37" s="119"/>
      <c r="G37" s="117"/>
      <c r="H37" s="114" t="str">
        <v>kg N2O-N/kg N</v>
      </c>
      <c r="I37" s="108" t="str">
        <v>Constant</v>
      </c>
      <c r="J37" s="114">
        <f>'Constants - Common'!$E$170</f>
        <v>1.0999999999999999E-2</v>
      </c>
      <c r="K37" s="21"/>
    </row>
    <row r="38" spans="3:17" ht="20.100000000000001" customHeight="1" x14ac:dyDescent="0.2">
      <c r="C38" s="21"/>
      <c r="D38" s="114" t="str">
        <v>C_N2O</v>
      </c>
      <c r="E38" s="118" t="str">
        <v>factor to convert elemental mass of nitrous oxide to molecular mass</v>
      </c>
      <c r="F38" s="119"/>
      <c r="G38" s="117"/>
      <c r="H38" s="114" t="str">
        <v>dimensionless</v>
      </c>
      <c r="I38" s="108" t="str">
        <v>Constant</v>
      </c>
      <c r="J38" s="114">
        <f>Common_InputFunctions.Utility_LookupValueInTableNumber("N2O",Table_GasToMolecularConversionFactor[Gas],Table_GasToMolecularConversionFactor[Conversion factor combined])</f>
        <v>1.5714285714285714</v>
      </c>
      <c r="K38" s="21"/>
    </row>
    <row r="39" spans="3:17" ht="20.100000000000001" customHeight="1" x14ac:dyDescent="0.2">
      <c r="C39" s="21"/>
      <c r="D39" s="114" t="str">
        <v>c</v>
      </c>
      <c r="E39" s="118" t="str">
        <v>Crop residue type</v>
      </c>
      <c r="F39" s="119"/>
      <c r="G39" s="117"/>
      <c r="H39" s="114" t="str">
        <v/>
      </c>
      <c r="I39" s="109" t="str">
        <v>Input</v>
      </c>
      <c r="J39" s="114" t="s">
        <v>231</v>
      </c>
      <c r="K39" s="21"/>
    </row>
    <row r="40" spans="3:17" ht="20.100000000000001" customHeight="1" x14ac:dyDescent="0.2">
      <c r="C40" s="21"/>
      <c r="D40" s="114" t="str">
        <v>p</v>
      </c>
      <c r="E40" s="118" t="str">
        <v>Pasture residue type</v>
      </c>
      <c r="F40" s="119"/>
      <c r="G40" s="117"/>
      <c r="H40" s="114" t="str">
        <v/>
      </c>
      <c r="I40" s="109" t="str">
        <v>Input</v>
      </c>
      <c r="J40" s="114" t="str">
        <f>X_Cell_Pasture_PastureType</f>
        <v>Grass clover mixture</v>
      </c>
      <c r="K40" s="21"/>
    </row>
    <row r="41" spans="3:17" ht="20.100000000000001" customHeight="1" x14ac:dyDescent="0.2">
      <c r="C41" s="21"/>
      <c r="D41" s="21"/>
      <c r="E41" s="21"/>
      <c r="F41" s="21"/>
      <c r="G41" s="21"/>
      <c r="H41" s="21"/>
      <c r="I41" s="21"/>
      <c r="J41" s="21"/>
      <c r="K41" s="21"/>
    </row>
    <row r="42" spans="3:17" ht="20.100000000000001" customHeight="1" x14ac:dyDescent="0.2">
      <c r="C42" s="21"/>
      <c r="D42" s="90" t="s">
        <v>205</v>
      </c>
      <c r="E42" s="21"/>
      <c r="F42" s="21"/>
      <c r="G42" s="21"/>
      <c r="H42" s="21"/>
      <c r="I42" s="21"/>
      <c r="J42" s="21"/>
      <c r="K42" s="21"/>
      <c r="N42" s="90" t="s">
        <v>205</v>
      </c>
      <c r="O42" s="21"/>
      <c r="P42" s="21"/>
      <c r="Q42" s="21"/>
    </row>
    <row r="43" spans="3:17" ht="20.100000000000001" customHeight="1" x14ac:dyDescent="0.2">
      <c r="C43" s="21"/>
      <c r="D43" s="89" t="s">
        <v>206</v>
      </c>
      <c r="E43" s="21"/>
      <c r="F43" s="21"/>
      <c r="G43" s="21"/>
      <c r="H43" s="21"/>
      <c r="I43" s="21"/>
      <c r="J43" s="21"/>
      <c r="K43" s="21"/>
      <c r="N43" s="89" t="s">
        <v>206</v>
      </c>
      <c r="O43" s="21"/>
      <c r="P43" s="21"/>
      <c r="Q43" s="21"/>
    </row>
    <row r="44" spans="3:17" ht="20.100000000000001" customHeight="1" x14ac:dyDescent="0.2">
      <c r="C44" s="21"/>
      <c r="D44" s="48" t="s">
        <v>200</v>
      </c>
      <c r="E44" s="48" t="s">
        <v>202</v>
      </c>
      <c r="F44" s="21"/>
      <c r="G44" s="21"/>
      <c r="H44" s="21"/>
      <c r="I44" s="21"/>
      <c r="J44" s="21"/>
      <c r="K44" s="21"/>
      <c r="N44" s="48" t="s">
        <v>200</v>
      </c>
      <c r="O44" s="48" t="s">
        <v>202</v>
      </c>
      <c r="P44" s="21"/>
      <c r="Q44" s="21"/>
    </row>
    <row r="45" spans="3:17" ht="20.100000000000001" customHeight="1" x14ac:dyDescent="0.2">
      <c r="C45" s="21"/>
      <c r="D45" s="49" t="str">
        <f>I24</f>
        <v>N/A</v>
      </c>
      <c r="E45" s="49" t="s">
        <v>231</v>
      </c>
      <c r="F45" s="21"/>
      <c r="G45" s="21"/>
      <c r="H45" s="21"/>
      <c r="I45" s="21"/>
      <c r="J45" s="21"/>
      <c r="K45" s="21"/>
      <c r="N45" s="49" t="str">
        <f>S24</f>
        <v>N/A</v>
      </c>
      <c r="O45" s="49" t="s">
        <v>231</v>
      </c>
      <c r="P45" s="21"/>
      <c r="Q45" s="21"/>
    </row>
    <row r="46" spans="3:17" ht="20.100000000000001" customHeight="1" x14ac:dyDescent="0.2">
      <c r="C46" s="21"/>
      <c r="D46" s="49">
        <f>I25</f>
        <v>1.7814239999999999E-2</v>
      </c>
      <c r="E46" s="49" cm="1">
        <f t="array" ref="E46">AgResidue_Equations_Leaching.VEERG_6_3_1_1__1__LeachingAndRunoffEmissionsCropAndPastureResidue(D46,$J$37,$J$38)</f>
        <v>3.0793186285714277E-7</v>
      </c>
      <c r="F46" s="21"/>
      <c r="G46" s="21"/>
      <c r="H46" s="21"/>
      <c r="I46" s="21"/>
      <c r="J46" s="21"/>
      <c r="K46" s="21"/>
      <c r="N46" s="49">
        <f>S25</f>
        <v>1.7814239999999999E-2</v>
      </c>
      <c r="O46" s="49" cm="1">
        <f t="array" ref="O46">AgResidue_Equations_Leaching.VEERG_6_3_1_1__1__LeachingAndRunoffEmissionsCropAndPastureResidue(N46,$J$37,$J$38)</f>
        <v>3.0793186285714277E-7</v>
      </c>
      <c r="P46" s="21"/>
      <c r="Q46" s="21"/>
    </row>
    <row r="47" spans="3:17" ht="20.100000000000001" customHeight="1" x14ac:dyDescent="0.2">
      <c r="C47" s="21"/>
      <c r="F47" s="21"/>
      <c r="G47" s="21"/>
      <c r="H47" s="21"/>
      <c r="I47" s="21"/>
      <c r="J47" s="21"/>
      <c r="K47" s="21"/>
      <c r="P47" s="21"/>
      <c r="Q47" s="21"/>
    </row>
    <row r="48" spans="3:17" ht="20.100000000000001" customHeight="1" x14ac:dyDescent="0.35">
      <c r="C48" s="21"/>
      <c r="D48" s="138" t="s">
        <v>194</v>
      </c>
      <c r="E48" s="139">
        <f>SUM(E45:E46)</f>
        <v>3.0793186285714277E-7</v>
      </c>
      <c r="F48" s="93" t="str">
        <f>$E$34</f>
        <v>t N2O</v>
      </c>
      <c r="G48" s="21"/>
      <c r="H48" s="21"/>
      <c r="I48" s="21"/>
      <c r="J48" s="21"/>
      <c r="K48" s="21"/>
      <c r="N48" s="138" t="s">
        <v>194</v>
      </c>
      <c r="O48" s="139">
        <f>SUM(O45:O46)</f>
        <v>3.0793186285714277E-7</v>
      </c>
      <c r="P48" s="93" t="str">
        <f>$E$34</f>
        <v>t N2O</v>
      </c>
      <c r="Q48" s="21"/>
    </row>
    <row r="49" spans="4:17" ht="20.100000000000001" customHeight="1" x14ac:dyDescent="0.2">
      <c r="D49" s="21"/>
      <c r="E49" s="21"/>
      <c r="F49" s="21"/>
      <c r="G49" s="21"/>
      <c r="N49" s="21"/>
      <c r="O49" s="21"/>
      <c r="P49" s="21"/>
      <c r="Q49" s="21"/>
    </row>
    <row r="50" spans="4:17" ht="20.100000000000001" customHeight="1" x14ac:dyDescent="0.2">
      <c r="D50" s="53" t="str" cm="1">
        <f t="array" ref="D50:E51">Common_Equations.Common_ConvertN2OToCO2e_Arguments()</f>
        <v>EN2O</v>
      </c>
      <c r="E50" s="54" t="str">
        <v>Nitrous oxide emissions (t N2O)</v>
      </c>
      <c r="F50" s="94"/>
      <c r="G50" s="49">
        <f>VEERG_6_3_1_1__1__LeachingAndRunoffEmissionsCropAndPastureResidue_PastureOnly_Result_Method1</f>
        <v>3.0793186285714277E-7</v>
      </c>
      <c r="N50" s="53" t="str" cm="1">
        <f t="array" ref="N50:O51">Common_Equations.Common_ConvertN2OToCO2e_Arguments()</f>
        <v>EN2O</v>
      </c>
      <c r="O50" s="54" t="str">
        <v>Nitrous oxide emissions (t N2O)</v>
      </c>
      <c r="P50" s="94"/>
      <c r="Q50" s="49">
        <f>VEERG_6_3_1_1__1__LeachingAndRunoffEmissionsCropAndPastureResidue_PastureOnly_Result_Method2</f>
        <v>3.0793186285714277E-7</v>
      </c>
    </row>
    <row r="51" spans="4:17" ht="20.100000000000001" customHeight="1" x14ac:dyDescent="0.2">
      <c r="D51" s="53" t="str">
        <v>GWPN2O</v>
      </c>
      <c r="E51" s="54" t="str">
        <v>Global warming potential for nitrous oxide (t CO2-e / t N2O)</v>
      </c>
      <c r="F51" s="94"/>
      <c r="G51" s="49">
        <f>Common_InputFunctions.Utility_LookupValueInTableNumber("N2O",Table_GWPData[Gas],Table_GWPData[CO2-e factor])</f>
        <v>265</v>
      </c>
      <c r="H51" s="21"/>
      <c r="I51" s="21"/>
      <c r="N51" s="53" t="str">
        <v>GWPN2O</v>
      </c>
      <c r="O51" s="54" t="str">
        <v>Global warming potential for nitrous oxide (t CO2-e / t N2O)</v>
      </c>
      <c r="P51" s="94"/>
      <c r="Q51" s="49">
        <f>Common_InputFunctions.Utility_LookupValueInTableNumber("N2O",Table_GWPData[Gas],Table_GWPData[CO2-e factor])</f>
        <v>265</v>
      </c>
    </row>
    <row r="52" spans="4:17" ht="20.100000000000001" customHeight="1" x14ac:dyDescent="0.2">
      <c r="H52" s="21"/>
      <c r="I52" s="21"/>
    </row>
    <row r="53" spans="4:17" ht="20.100000000000001" customHeight="1" x14ac:dyDescent="0.2">
      <c r="D53" s="43" t="s">
        <v>78</v>
      </c>
      <c r="E53" s="43" cm="1">
        <f t="array" ref="E53">Common_Equations.Common_ConvertN2OToCO2e(G50,G51)</f>
        <v>8.1601943657142831E-5</v>
      </c>
      <c r="F53" s="95" t="str" cm="1">
        <f t="array" ref="F53">Common_Equations.Common_ConvertN2OToCO2e_Unit()</f>
        <v>t CO2e</v>
      </c>
      <c r="I53" s="21"/>
      <c r="N53" s="43" t="s">
        <v>78</v>
      </c>
      <c r="O53" s="43" cm="1">
        <f t="array" ref="O53">Common_Equations.Common_ConvertN2OToCO2e(Q50,Q51)</f>
        <v>8.1601943657142831E-5</v>
      </c>
      <c r="P53" s="95" t="str" cm="1">
        <f t="array" ref="P53">Common_Equations.Common_ConvertN2OToCO2e_Unit()</f>
        <v>t CO2e</v>
      </c>
    </row>
    <row r="54" spans="4:17" ht="20.100000000000001" customHeight="1" x14ac:dyDescent="0.2">
      <c r="I54" s="21"/>
    </row>
    <row r="60" spans="4:17" ht="20.100000000000001" customHeight="1" x14ac:dyDescent="0.2">
      <c r="H60" s="21"/>
      <c r="I60" s="21"/>
    </row>
    <row r="61" spans="4:17" ht="20.100000000000001" customHeight="1" x14ac:dyDescent="0.2">
      <c r="H61" s="21"/>
      <c r="I61" s="21"/>
    </row>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sheetPr>
    <tabColor rgb="FF008000"/>
  </sheetPr>
  <dimension ref="A1:S67"/>
  <sheetViews>
    <sheetView showGridLines="0" tabSelected="1" topLeftCell="A6" zoomScaleNormal="100" workbookViewId="0">
      <selection activeCell="I18" sqref="I18"/>
    </sheetView>
  </sheetViews>
  <sheetFormatPr defaultRowHeight="20.100000000000001" customHeight="1" x14ac:dyDescent="0.2"/>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0" t="e" vm="1">
        <v>#VALUE!</v>
      </c>
      <c r="C1" s="8" t="s">
        <v>207</v>
      </c>
    </row>
    <row r="2" spans="1:19" s="9" customFormat="1" ht="20.100000000000001" customHeight="1" x14ac:dyDescent="0.2">
      <c r="A2"/>
    </row>
    <row r="3" spans="1:19" ht="20.100000000000001" customHeight="1" x14ac:dyDescent="0.2">
      <c r="A3" s="17" t="str">
        <f>HYPERLINK("#'Home'!A1", "Home")</f>
        <v>Home</v>
      </c>
      <c r="C3" s="4"/>
      <c r="D3" s="4" t="s">
        <v>79</v>
      </c>
      <c r="E3" s="4"/>
      <c r="F3" s="4"/>
      <c r="G3" s="4"/>
      <c r="H3" s="4"/>
      <c r="I3" s="4"/>
      <c r="J3" s="4"/>
      <c r="L3" s="4"/>
      <c r="M3" s="4" t="s">
        <v>80</v>
      </c>
      <c r="N3" s="4"/>
      <c r="O3" s="4"/>
      <c r="P3" s="4"/>
      <c r="Q3" s="4"/>
      <c r="R3" s="4"/>
      <c r="S3" s="4"/>
    </row>
    <row r="4" spans="1:19" ht="20.100000000000001" customHeight="1" x14ac:dyDescent="0.2">
      <c r="A4" s="17" t="str">
        <f>HYPERLINK("#'Overview'!A1", "Overview")</f>
        <v>Overview</v>
      </c>
    </row>
    <row r="5" spans="1:19" ht="20.100000000000001" customHeight="1" x14ac:dyDescent="0.2">
      <c r="A5" s="17" t="str">
        <f>HYPERLINK("#'Results'!A1", "Results")</f>
        <v>Results</v>
      </c>
      <c r="D5" s="6" t="str" cm="1">
        <f t="array" ref="D5">AgResidue_Equations_FieldBurning.VEERG_6_4_1_1__3__MassOfCropResidueBurnt_Title()</f>
        <v>Mass of residue of crop c burnt</v>
      </c>
    </row>
    <row r="6" spans="1:19" ht="20.100000000000001" customHeight="1" x14ac:dyDescent="0.2">
      <c r="D6" s="5" t="str" cm="1">
        <f t="array" ref="D6">AgResidue_Equations_FieldBurning.VEERG_6_4_1_1__3__MassOfCropResidueBurnt_Source()</f>
        <v>VEERG 2026: 6.4.1.1, Equation (3)</v>
      </c>
    </row>
    <row r="7" spans="1:19" ht="20.100000000000001" customHeight="1" x14ac:dyDescent="0.2">
      <c r="D7" s="13" t="s">
        <v>21</v>
      </c>
      <c r="E7" s="13" t="str" cm="1">
        <f t="array" aca="1" ref="E7" ca="1">Common_InputFunctions.Utility_DisplayFunctionName(E21)</f>
        <v>=AgResidue_Equations_FieldBurning.VEERG_6_4_1_1__3__MassOfCropResidueBurnt</v>
      </c>
    </row>
    <row r="8" spans="1:19" ht="20.100000000000001" customHeight="1" x14ac:dyDescent="0.2">
      <c r="A8" s="19" t="s">
        <v>0</v>
      </c>
    </row>
    <row r="9" spans="1:19" ht="20.100000000000001" customHeight="1" x14ac:dyDescent="0.2">
      <c r="A9" s="17" t="str">
        <f>HYPERLINK("#'Input - Site'!A1", "Site")</f>
        <v>Site</v>
      </c>
    </row>
    <row r="10" spans="1:19" ht="20.100000000000001" customHeight="1" x14ac:dyDescent="0.2">
      <c r="A10" s="17" t="str">
        <f>HYPERLINK("#'Input - Crop'!A1", "Crop")</f>
        <v>Crop</v>
      </c>
      <c r="D10" s="50" t="s">
        <v>24</v>
      </c>
      <c r="E10" s="1" t="str" cm="1">
        <f t="array" ref="E10">AgResidue_Equations_FieldBurning.VEERG_6_4_1_1__3__MassOfCropResidueBurnt_Variable()</f>
        <v>M_burnc</v>
      </c>
    </row>
    <row r="11" spans="1:19" ht="20.100000000000001" customHeight="1" x14ac:dyDescent="0.2">
      <c r="A11" s="17" t="str">
        <f>HYPERLINK("#'Input - Pasture'!A1", "Pasture")</f>
        <v>Pasture</v>
      </c>
      <c r="D11" s="50" t="s">
        <v>15</v>
      </c>
      <c r="E11" s="51" t="str" cm="1">
        <f t="array" ref="E11">AgResidue_Equations_FieldBurning.VEERG_6_4_1_1__3__MassOfCropResidueBurnt_Unit()</f>
        <v>kg</v>
      </c>
    </row>
    <row r="13" spans="1:19" ht="20.100000000000001" customHeight="1" x14ac:dyDescent="0.2">
      <c r="D13" s="114" t="str" cm="1">
        <f t="array" ref="D13:E19">_xlfn.CHOOSECOLS(AgResidue_Equations_FieldBurning.VEERG_6_4_1_1__3__MassOfCropResidueBurnt_Arguments(), 1, 2)</f>
        <v>P_c</v>
      </c>
      <c r="E13" s="118" t="str">
        <v>annual production of crop type c</v>
      </c>
      <c r="F13" s="117"/>
      <c r="G13" s="114" t="str" cm="1">
        <f t="array" ref="G13:H19">_xlfn.CHOOSECOLS(AgResidue_Equations_FieldBurning.VEERG_6_4_1_1__3__MassOfCropResidueBurnt_Arguments(), 3,4)</f>
        <v>kg</v>
      </c>
      <c r="H13" s="109" t="str">
        <v>Input</v>
      </c>
      <c r="I13" s="114">
        <f>X_Cell_Crop_TotalProductionOfCrop*10^3</f>
        <v>10000000</v>
      </c>
    </row>
    <row r="14" spans="1:19" ht="20.100000000000001" customHeight="1" x14ac:dyDescent="0.2">
      <c r="A14" s="18" t="s">
        <v>68</v>
      </c>
      <c r="D14" s="114" t="str">
        <v>R_AGc</v>
      </c>
      <c r="E14" s="118" t="str">
        <v>residue to crop ratio of crop type c</v>
      </c>
      <c r="F14" s="117"/>
      <c r="G14" s="114" t="str">
        <v>kg crop residue/kg crop</v>
      </c>
      <c r="H14" s="108" t="str">
        <v>Constant</v>
      </c>
      <c r="I14" s="114">
        <f>X_Cell_Crop_ResidueToCropRatio</f>
        <v>1.5</v>
      </c>
    </row>
    <row r="15" spans="1:19" ht="20.100000000000001" customHeight="1" x14ac:dyDescent="0.2">
      <c r="A15" s="17" t="str">
        <f>HYPERLINK("#'6.1.1.1-2 Crop residue N2O'!A1", "6.1.1.1-2 Crop residue N2O")</f>
        <v>6.1.1.1-2 Crop residue N2O</v>
      </c>
      <c r="D15" s="114" t="str">
        <v>S_c</v>
      </c>
      <c r="E15" s="118" t="str">
        <v>fraction of residues of crop type c remaining at burning</v>
      </c>
      <c r="F15" s="117"/>
      <c r="G15" s="114" t="str">
        <v>fraction</v>
      </c>
      <c r="H15" s="108" t="str">
        <v>Constant</v>
      </c>
      <c r="I15" s="114" cm="1">
        <f t="array" ref="I15">Common_InputFunctions.Utility_LookupValueInTableNumber($I$19,Table_SourceData_CropAttributes[Crop type],Table_SourceData_CropAttributes[Fraction of residue remaining at time of burning (b)])</f>
        <v>0.5</v>
      </c>
    </row>
    <row r="16" spans="1:19" ht="20.100000000000001" customHeight="1" x14ac:dyDescent="0.2">
      <c r="A16" s="17" t="str">
        <f>HYPERLINK("#'6.2.1.1-2 Pasture residue N2O'!A1", "6.2.1.1-2 Pasture residue N2O")</f>
        <v>6.2.1.1-2 Pasture residue N2O</v>
      </c>
      <c r="D16" s="114" t="str">
        <v>DM_c</v>
      </c>
      <c r="E16" s="118" t="str">
        <v>dry matter content of crop type c</v>
      </c>
      <c r="F16" s="117"/>
      <c r="G16" s="114" t="str">
        <v>kg dry weight/kg crop residue</v>
      </c>
      <c r="H16" s="108" t="str">
        <v>Constant</v>
      </c>
      <c r="I16" s="114" cm="1">
        <f t="array" ref="I16">Common_InputFunctions.Utility_LookupValueInTableNumber($I$19,Table_SourceData_CropAttributes[Crop type],Table_SourceData_CropAttributes[Dry matter content])</f>
        <v>0.88</v>
      </c>
    </row>
    <row r="17" spans="1:10" ht="20.100000000000001" customHeight="1" x14ac:dyDescent="0.2">
      <c r="A17" s="17" t="str">
        <f>HYPERLINK("#'6.3.1.1-2 Leaching and runoff'!A1", "6.3.1.1-2 Leaching and runoff")</f>
        <v>6.3.1.1-2 Leaching and runoff</v>
      </c>
      <c r="D17" s="114" t="str">
        <v>Z_c</v>
      </c>
      <c r="E17" s="118" t="str">
        <v>burning efficiency (ratio of fuel burnt to fuel load) of crop type c</v>
      </c>
      <c r="F17" s="117"/>
      <c r="G17" s="114" t="str">
        <v/>
      </c>
      <c r="H17" s="108" t="str">
        <v>Constant</v>
      </c>
      <c r="I17" s="114" cm="1">
        <f t="array" ref="I17">Common_InputFunctions.Utility_LookupValueInTableNumber($I$19,Table_SourceData_CropAttributes[Crop type],Table_SourceData_CropAttributes[Fraction burnt])</f>
        <v>0.9</v>
      </c>
    </row>
    <row r="18" spans="1:10" ht="20.100000000000001" customHeight="1" x14ac:dyDescent="0.2">
      <c r="A18" s="17" t="str">
        <f>HYPERLINK("#'6.3.1.1-2 Leach runoff crop'!A1", "6.3.1.1-2 Leach runoff crop")</f>
        <v>6.3.1.1-2 Leach runoff crop</v>
      </c>
      <c r="D18" s="114" t="str">
        <v>F_c</v>
      </c>
      <c r="E18" s="118" t="str">
        <v>fraction of the annual production of crop type c that is burnt</v>
      </c>
      <c r="F18" s="117"/>
      <c r="G18" s="114" t="str">
        <v>fraction</v>
      </c>
      <c r="H18" s="108" t="str">
        <v>Constant</v>
      </c>
      <c r="I18" s="114">
        <f>X_Cell_Crop_PercentResidueBurned</f>
        <v>0.3</v>
      </c>
    </row>
    <row r="19" spans="1:10" ht="20.100000000000001" customHeight="1" x14ac:dyDescent="0.2">
      <c r="A19" s="17" t="str">
        <f>HYPERLINK("#'6.3.1.1-2 Leach runoff pasture'!A1", "6.3.1.1-2 Leach runoff pasture")</f>
        <v>6.3.1.1-2 Leach runoff pasture</v>
      </c>
      <c r="D19" s="114" t="str">
        <v>c</v>
      </c>
      <c r="E19" s="118" t="str">
        <v>Crop type</v>
      </c>
      <c r="F19" s="117"/>
      <c r="G19" s="114" t="str">
        <v/>
      </c>
      <c r="H19" s="109" t="str">
        <v>Input</v>
      </c>
      <c r="I19" s="114" t="str">
        <f>X_Cell_Crop_CropType</f>
        <v>Wheat</v>
      </c>
    </row>
    <row r="20" spans="1:10" ht="20.100000000000001" customHeight="1" x14ac:dyDescent="0.2">
      <c r="A20" s="127" t="str">
        <f>HYPERLINK("#'6.4.1.1-2 Residue burning'!A1", "6.4.1.1-2 Residue burning")</f>
        <v>6.4.1.1-2 Residue burning</v>
      </c>
    </row>
    <row r="21" spans="1:10" ht="20.100000000000001" customHeight="1" x14ac:dyDescent="0.2">
      <c r="D21" s="115" t="s">
        <v>208</v>
      </c>
      <c r="E21" s="43" cm="1">
        <f t="array" ref="E21">AgResidue_Equations_FieldBurning.VEERG_6_4_1_1__3__MassOfCropResidueBurnt(I13,I14,I15,I16,I17,I18)</f>
        <v>1782000</v>
      </c>
      <c r="F21" s="95" t="str" cm="1">
        <f t="array" ref="F21">AgResidue_Equations_FieldBurning.VEERG_6_4_1_1__3__MassOfCropResidueBurnt_Unit()</f>
        <v>kg</v>
      </c>
    </row>
    <row r="23" spans="1:10" ht="20.100000000000001" customHeight="1" x14ac:dyDescent="0.2">
      <c r="A23" s="141" t="s">
        <v>1</v>
      </c>
    </row>
    <row r="24" spans="1:10" ht="20.100000000000001" customHeight="1" x14ac:dyDescent="0.2">
      <c r="A24" s="17" t="str">
        <f>HYPERLINK("#'Constants - Ag Residue'!A1", "Constants - Ag Residue")</f>
        <v>Constants - Ag Residue</v>
      </c>
      <c r="C24" s="43"/>
      <c r="D24" s="43"/>
      <c r="E24" s="43"/>
      <c r="F24" s="43"/>
      <c r="G24" s="43"/>
      <c r="H24" s="43"/>
      <c r="I24" s="43"/>
      <c r="J24" s="43"/>
    </row>
    <row r="25" spans="1:10" ht="20.100000000000001" customHeight="1" x14ac:dyDescent="0.2">
      <c r="A25" s="17" t="str">
        <f>HYPERLINK("#'Constants - Common'!A1", "Constants - Common")</f>
        <v>Constants - Common</v>
      </c>
      <c r="D25" s="6" t="str" cm="1">
        <f t="array" ref="D25">AgResidue_Equations_FieldBurning.VEERG_6_4_1_1__2__NitrousOxideEmissionsFromBurningOfCropResidues_Title()</f>
        <v>Nitrous oxide emissions from the burning of crop residues</v>
      </c>
    </row>
    <row r="26" spans="1:10" ht="20.100000000000001" customHeight="1" x14ac:dyDescent="0.2">
      <c r="D26" s="5" t="str" cm="1">
        <f t="array" ref="D26">AgResidue_Equations_FieldBurning.VEERG_6_4_1_1__2__NitrousOxideEmissionsFromBurningOfCropResidues_Source()</f>
        <v>VEERG 2026: 6.4.1.1, Equation (2)</v>
      </c>
    </row>
    <row r="27" spans="1:10" ht="20.100000000000001" customHeight="1" x14ac:dyDescent="0.2">
      <c r="D27" s="13" t="s">
        <v>21</v>
      </c>
      <c r="E27" s="13" t="str">
        <f ca="1">Common_InputFunctions.Utility_DisplayFunctionName(VEERG_6_4_1_1__2__NitrousOxideEmissionsFromBurningOfCropResidues_Result_Method1)</f>
        <v>=AgResidue_Equations_FieldBurning.VEERG_6_4_1_1__2__NitrousOxideEmissionsFromBurningOfCropResidues</v>
      </c>
    </row>
    <row r="30" spans="1:10" ht="20.100000000000001" customHeight="1" x14ac:dyDescent="0.2">
      <c r="D30" s="50" t="s">
        <v>24</v>
      </c>
      <c r="E30" s="1" t="str" cm="1">
        <f t="array" ref="E30">AgResidue_Equations_FieldBurning.VEERG_6_4_1_1__2__NitrousOxideEmissionsFromBurningOfCropResidues_Variable()</f>
        <v>EN2O</v>
      </c>
    </row>
    <row r="31" spans="1:10" ht="20.100000000000001" customHeight="1" x14ac:dyDescent="0.2">
      <c r="D31" s="50" t="s">
        <v>15</v>
      </c>
      <c r="E31" s="51" t="str" cm="1">
        <f t="array" ref="E31">AgResidue_Equations_FieldBurning.VEERG_6_4_1_1__2__NitrousOxideEmissionsFromBurningOfCropResidues_Unit()</f>
        <v>t N2O</v>
      </c>
    </row>
    <row r="33" spans="3:10" ht="20.100000000000001" customHeight="1" x14ac:dyDescent="0.2">
      <c r="D33" s="114" t="str" cm="1">
        <f t="array" ref="D33:E37">_xlfn.CHOOSECOLS(AgResidue_Equations_FieldBurning.VEERG_6_4_1_1__2__NitrousOxideEmissionsFromBurningOfCropResidues_Arguments(), 1, 2)</f>
        <v>M_burnc</v>
      </c>
      <c r="E33" s="118" t="str">
        <v>mass of residue burnt for crop type c</v>
      </c>
      <c r="F33" s="117"/>
      <c r="G33" s="114" t="str" cm="1">
        <f t="array" ref="G33:H37">_xlfn.CHOOSECOLS(AgResidue_Equations_FieldBurning.VEERG_6_4_1_1__2__NitrousOxideEmissionsFromBurningOfCropResidues_Arguments(), 3,4)</f>
        <v>kg</v>
      </c>
      <c r="H33" s="108" t="str">
        <v>Calculated from 6.4.1.1 (3)</v>
      </c>
      <c r="I33" s="114">
        <f>$E$21</f>
        <v>1782000</v>
      </c>
    </row>
    <row r="34" spans="3:10" ht="20.100000000000001" customHeight="1" x14ac:dyDescent="0.2">
      <c r="D34" s="114" t="str">
        <v>NC_AGc</v>
      </c>
      <c r="E34" s="118" t="str">
        <v>nitrogen content in the above-ground residue of crop type c</v>
      </c>
      <c r="F34" s="117"/>
      <c r="G34" s="114" t="str">
        <v>kg N/kg DM</v>
      </c>
      <c r="H34" s="108" t="str">
        <v>Constant</v>
      </c>
      <c r="I34" s="114" cm="1">
        <f t="array" ref="I34">Common_InputFunctions.Utility_LookupValueInTableNumber($I$37,Table_SourceData_CropAttributes[Crop type],Table_SourceData_CropAttributes[N content above-ground])</f>
        <v>6.0000000000000001E-3</v>
      </c>
    </row>
    <row r="35" spans="3:10" ht="20.100000000000001" customHeight="1" x14ac:dyDescent="0.2">
      <c r="D35" s="114" t="str">
        <v>EF_N2O</v>
      </c>
      <c r="E35" s="118" t="str">
        <v>emission factor for nitrous oxide from burning of crop residues</v>
      </c>
      <c r="F35" s="117"/>
      <c r="G35" s="114" t="str">
        <v>kg N2O/kg N2O burnt</v>
      </c>
      <c r="H35" s="108" t="str">
        <v>Constant</v>
      </c>
      <c r="I35" s="114" cm="1">
        <f t="array" ref="I35">Common_InputFunctions.Utility_LookupValueInTableNumber("N2O", Table_SourceData_BurningResidueEFs[Gas species],Table_SourceData_BurningResidueEFs[Emission factor EFg (Gg element in species/ Gg element in fuel burnt)])</f>
        <v>7.6E-3</v>
      </c>
    </row>
    <row r="36" spans="3:10" ht="20.100000000000001" customHeight="1" x14ac:dyDescent="0.2">
      <c r="D36" s="114" t="str">
        <v>C_N2O</v>
      </c>
      <c r="E36" s="118" t="str">
        <v>factor to convert elemental mass of nitrous oxide to molecular mass</v>
      </c>
      <c r="F36" s="117"/>
      <c r="G36" s="114" t="str">
        <v>dimensionless</v>
      </c>
      <c r="H36" s="108" t="str">
        <v>Constant</v>
      </c>
      <c r="I36" s="114">
        <f>Common_InputFunctions.Utility_LookupValueInTableNumber("N2O",Table_GasToMolecularConversionFactor[Gas],Table_GasToMolecularConversionFactor[Conversion factor combined])</f>
        <v>1.5714285714285714</v>
      </c>
    </row>
    <row r="37" spans="3:10" ht="20.100000000000001" customHeight="1" x14ac:dyDescent="0.2">
      <c r="D37" s="114" t="str">
        <v>c</v>
      </c>
      <c r="E37" s="118" t="str">
        <v>Crop type</v>
      </c>
      <c r="F37" s="117"/>
      <c r="G37" s="114" t="str">
        <v/>
      </c>
      <c r="H37" s="109" t="str">
        <v>Input</v>
      </c>
      <c r="I37" s="114" t="str">
        <f>X_Cell_Crop_CropType</f>
        <v>Wheat</v>
      </c>
    </row>
    <row r="39" spans="3:10" ht="20.100000000000001" customHeight="1" x14ac:dyDescent="0.2">
      <c r="D39" s="91" t="s">
        <v>108</v>
      </c>
      <c r="E39" s="92" cm="1">
        <f t="array" ref="E39">AgResidue_Equations_FieldBurning.VEERG_6_4_1_1__2__NitrousOxideEmissionsFromBurningOfCropResidues(I33,I34,I35,I36)</f>
        <v>0.12769302857142856</v>
      </c>
      <c r="F39" s="93" t="str" cm="1">
        <f t="array" ref="F39">AgResidue_Equations_FieldBurning.VEERG_6_4_1_1__2__NitrousOxideEmissionsFromBurningOfCropResidues_Unit()</f>
        <v>t N2O</v>
      </c>
    </row>
    <row r="41" spans="3:10" ht="20.100000000000001" customHeight="1" x14ac:dyDescent="0.2">
      <c r="D41" s="53" t="str" cm="1">
        <f t="array" ref="D41:E42">Common_Equations.Common_ConvertN2OToCO2e_Arguments()</f>
        <v>EN2O</v>
      </c>
      <c r="E41" s="54" t="str">
        <v>Nitrous oxide emissions (t N2O)</v>
      </c>
      <c r="F41" s="94"/>
      <c r="G41" s="136"/>
      <c r="H41" s="49">
        <f>VEERG_6_4_1_1__2__NitrousOxideEmissionsFromBurningOfCropResidues_Result_Method1</f>
        <v>0.12769302857142856</v>
      </c>
    </row>
    <row r="42" spans="3:10" ht="20.100000000000001" customHeight="1" x14ac:dyDescent="0.2">
      <c r="D42" s="53" t="str">
        <v>GWPN2O</v>
      </c>
      <c r="E42" s="54" t="str">
        <v>Global warming potential for nitrous oxide (t CO2-e / t N2O)</v>
      </c>
      <c r="F42" s="94"/>
      <c r="G42" s="136"/>
      <c r="H42" s="49">
        <f>Common_InputFunctions.Utility_LookupValueInTableNumber("N2O",Table_GWPData[Gas],Table_GWPData[CO2-e factor])</f>
        <v>265</v>
      </c>
    </row>
    <row r="43" spans="3:10" ht="20.100000000000001" customHeight="1" x14ac:dyDescent="0.2">
      <c r="H43" s="21"/>
    </row>
    <row r="44" spans="3:10" ht="20.100000000000001" customHeight="1" x14ac:dyDescent="0.2">
      <c r="D44" s="43" t="s">
        <v>78</v>
      </c>
      <c r="E44" s="43" cm="1">
        <f t="array" ref="E44">Common_Equations.Common_ConvertN2OToCO2e(H41,H42)</f>
        <v>33.838652571428568</v>
      </c>
      <c r="F44" s="95" t="str" cm="1">
        <f t="array" ref="F44">Common_Equations.Common_ConvertN2OToCO2e_Unit()</f>
        <v>t CO2e</v>
      </c>
      <c r="H44" s="21"/>
    </row>
    <row r="47" spans="3:10" ht="20.100000000000001" customHeight="1" x14ac:dyDescent="0.2">
      <c r="C47" s="43"/>
      <c r="D47" s="43"/>
      <c r="E47" s="43"/>
      <c r="F47" s="43"/>
      <c r="G47" s="43"/>
      <c r="H47" s="43"/>
      <c r="I47" s="43"/>
      <c r="J47" s="43"/>
    </row>
    <row r="48" spans="3:10" ht="20.100000000000001" customHeight="1" x14ac:dyDescent="0.2">
      <c r="D48" s="6" t="str" cm="1">
        <f t="array" ref="D48">AgResidue_Equations_FieldBurning.VEERG_6_4_1_1__1__MethaneEmissionsFromBurningOfCropResidues_Title()</f>
        <v>Methane emissions from the burning of crop residues</v>
      </c>
    </row>
    <row r="49" spans="4:9" ht="20.100000000000001" customHeight="1" x14ac:dyDescent="0.2">
      <c r="D49" s="5" t="str" cm="1">
        <f t="array" ref="D49">AgResidue_Equations_FieldBurning.VEERG_6_4_1_1__1__MethaneEmissionsFromBurningOfCropResidues_Source()</f>
        <v>VEERG 2026: 6.4.1.1, Equation (1)</v>
      </c>
    </row>
    <row r="50" spans="4:9" ht="20.100000000000001" customHeight="1" x14ac:dyDescent="0.2">
      <c r="D50" s="13" t="s">
        <v>21</v>
      </c>
      <c r="E50" s="13" t="str">
        <f ca="1">Common_InputFunctions.Utility_DisplayFunctionName(VEERG_6_4_1_1__1__MethaneEmissionsFromBurningOfCropResidues_Result_Method1)</f>
        <v>=AgResidue_Equations_FieldBurning.VEERG_6_4_1_1__1__MethaneEmissionsFromBurningOfCropResidues</v>
      </c>
    </row>
    <row r="53" spans="4:9" ht="20.100000000000001" customHeight="1" x14ac:dyDescent="0.2">
      <c r="D53" s="50" t="s">
        <v>24</v>
      </c>
      <c r="E53" s="1" t="str" cm="1">
        <f t="array" ref="E53">AgResidue_Equations_FieldBurning.VEERG_6_4_1_1__1__MethaneEmissionsFromBurningOfCropResidues_Variable()</f>
        <v>ECH4</v>
      </c>
      <c r="F53" s="5"/>
    </row>
    <row r="54" spans="4:9" ht="20.100000000000001" customHeight="1" x14ac:dyDescent="0.2">
      <c r="D54" s="50" t="s">
        <v>15</v>
      </c>
      <c r="E54" s="51" t="str" cm="1">
        <f t="array" ref="E54">AgResidue_Equations_FieldBurning.VEERG_6_4_1_1__1__MethaneEmissionsFromBurningOfCropResidues_Unit()</f>
        <v>t CH4</v>
      </c>
    </row>
    <row r="56" spans="4:9" ht="20.100000000000001" customHeight="1" x14ac:dyDescent="0.2">
      <c r="D56" s="114" t="str" cm="1">
        <f t="array" ref="D56:E60">_xlfn.CHOOSECOLS(AgResidue_Equations_FieldBurning.VEERG_6_4_1_1__1__MethaneEmissionsFromBurningOfCropResidues_Arguments(), 1,2)</f>
        <v>M_burnc</v>
      </c>
      <c r="E56" s="118" t="str">
        <v>mass of residue burnt for crop type c</v>
      </c>
      <c r="F56" s="117"/>
      <c r="G56" s="114" t="str" cm="1">
        <f t="array" ref="G56:H60">_xlfn.CHOOSECOLS(AgResidue_Equations_FieldBurning.VEERG_6_4_1_1__1__MethaneEmissionsFromBurningOfCropResidues_Arguments(), 3,4)</f>
        <v>kg</v>
      </c>
      <c r="H56" s="108" t="str">
        <v>Calculated from 6.4.1.1 (3)</v>
      </c>
      <c r="I56" s="114">
        <f>$E$21</f>
        <v>1782000</v>
      </c>
    </row>
    <row r="57" spans="4:9" ht="20.100000000000001" customHeight="1" x14ac:dyDescent="0.2">
      <c r="D57" s="114" t="str">
        <v>CC_c</v>
      </c>
      <c r="E57" s="118" t="str">
        <v>carbon mass fraction in the residues of crop type c</v>
      </c>
      <c r="F57" s="117"/>
      <c r="G57" s="114" t="str">
        <v>fraction</v>
      </c>
      <c r="H57" s="108" t="str">
        <v>Constant</v>
      </c>
      <c r="I57" s="114" cm="1">
        <f t="array" ref="I57">Common_InputFunctions.Utility_LookupValueInTableNumber($I$60,Table_SourceData_CropAttributes[Crop type],Table_SourceData_CropAttributes[Carbon fraction in dry matter])</f>
        <v>0.4</v>
      </c>
    </row>
    <row r="58" spans="4:9" ht="20.100000000000001" customHeight="1" x14ac:dyDescent="0.2">
      <c r="D58" s="114" t="str">
        <v>EF_CH4</v>
      </c>
      <c r="E58" s="118" t="str">
        <v>emission factor for methane from burning of crop residues</v>
      </c>
      <c r="F58" s="117"/>
      <c r="G58" s="114" t="str">
        <v>kg CH4 / kg CH4 burnt</v>
      </c>
      <c r="H58" s="108" t="str">
        <v>Constant</v>
      </c>
      <c r="I58" s="114" cm="1">
        <f t="array" ref="I58">Common_InputFunctions.Utility_LookupValueInTableNumber("CH4", Table_SourceData_BurningResidueEFs[Gas species],Table_SourceData_BurningResidueEFs[Emission factor EFg (Gg element in species/ Gg element in fuel burnt)])</f>
        <v>3.5000000000000001E-3</v>
      </c>
    </row>
    <row r="59" spans="4:9" ht="20.100000000000001" customHeight="1" x14ac:dyDescent="0.2">
      <c r="D59" s="114" t="str">
        <v>C_CH4</v>
      </c>
      <c r="E59" s="118" t="str">
        <v>factor to convert elemental mass of methane to molecular mass</v>
      </c>
      <c r="F59" s="117"/>
      <c r="G59" s="114" t="str">
        <v>dimensionless</v>
      </c>
      <c r="H59" s="108" t="str">
        <v>Constant</v>
      </c>
      <c r="I59" s="114">
        <f>Common_InputFunctions.Utility_LookupValueInTableNumber("CH4",Table_GasToMolecularConversionFactor[Gas],Table_GasToMolecularConversionFactor[Conversion factor combined])</f>
        <v>1.3333333333333333</v>
      </c>
    </row>
    <row r="60" spans="4:9" ht="20.100000000000001" customHeight="1" x14ac:dyDescent="0.2">
      <c r="D60" s="114" t="str">
        <v>c</v>
      </c>
      <c r="E60" s="118" t="str">
        <v>Crop type</v>
      </c>
      <c r="F60" s="117"/>
      <c r="G60" s="114" t="str">
        <v/>
      </c>
      <c r="H60" s="109" t="str">
        <v>Input</v>
      </c>
      <c r="I60" s="114" t="str">
        <f>X_Cell_Crop_CropType</f>
        <v>Wheat</v>
      </c>
    </row>
    <row r="62" spans="4:9" ht="20.100000000000001" customHeight="1" x14ac:dyDescent="0.2">
      <c r="D62" s="91" t="s">
        <v>233</v>
      </c>
      <c r="E62" s="92" cm="1">
        <f t="array" ref="E62">AgResidue_Equations_FieldBurning.VEERG_6_4_1_1__1__MethaneEmissionsFromBurningOfCropResidues(I56,I57,I58,I59)</f>
        <v>3.3264</v>
      </c>
      <c r="F62" s="93" t="str">
        <f>E54</f>
        <v>t CH4</v>
      </c>
    </row>
    <row r="64" spans="4:9" ht="20.100000000000001" customHeight="1" x14ac:dyDescent="0.2">
      <c r="D64" s="53" t="str" cm="1">
        <f t="array" ref="D64:E65">Common_Equations.Common_ConvertCH4ToCO2e_Arguments()</f>
        <v>ECH4</v>
      </c>
      <c r="E64" s="54" t="str">
        <v>Methane emissions (t CH4)</v>
      </c>
      <c r="F64" s="94"/>
      <c r="G64" s="136"/>
      <c r="H64" s="49">
        <f>VEERG_6_4_1_1__1__MethaneEmissionsFromBurningOfCropResidues_Result_Method1</f>
        <v>3.3264</v>
      </c>
    </row>
    <row r="65" spans="4:8" ht="20.100000000000001" customHeight="1" x14ac:dyDescent="0.2">
      <c r="D65" s="53" t="str">
        <v>GWPCH4</v>
      </c>
      <c r="E65" s="54" t="str">
        <v>Global warming potential for methane (t CO2-e / t CH4)</v>
      </c>
      <c r="F65" s="94"/>
      <c r="G65" s="136"/>
      <c r="H65" s="49">
        <f>Common_InputFunctions.Utility_LookupValueInTableNumber("CH4",Table_GWPData[Gas],Table_GWPData[CO2-e factor])</f>
        <v>28</v>
      </c>
    </row>
    <row r="66" spans="4:8" ht="20.100000000000001" customHeight="1" x14ac:dyDescent="0.2">
      <c r="H66" s="21"/>
    </row>
    <row r="67" spans="4:8" ht="20.100000000000001" customHeight="1" x14ac:dyDescent="0.2">
      <c r="D67" s="43" t="s">
        <v>78</v>
      </c>
      <c r="E67" s="43" cm="1">
        <f t="array" ref="E67">Common_Equations.Common_ConvertCH4ToCO2e(H64,H65)</f>
        <v>93.139200000000002</v>
      </c>
      <c r="F67" s="95" t="str" cm="1">
        <f t="array" ref="F67">Common_Equations.Common_ConvertCH4ToCO2e_Unit()</f>
        <v>t CO2e</v>
      </c>
      <c r="H67" s="21"/>
    </row>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sheetPr>
    <tabColor theme="2" tint="-0.499984740745262"/>
  </sheetPr>
  <dimension ref="A1:AI235"/>
  <sheetViews>
    <sheetView showGridLines="0" topLeftCell="B16" zoomScaleNormal="100" workbookViewId="0">
      <selection activeCell="A25" sqref="A25"/>
    </sheetView>
  </sheetViews>
  <sheetFormatPr defaultRowHeight="20.100000000000001" customHeight="1" x14ac:dyDescent="0.2"/>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60" t="e" vm="1">
        <v>#VALUE!</v>
      </c>
      <c r="C1" s="8" t="s">
        <v>154</v>
      </c>
      <c r="AG1"/>
      <c r="AH1"/>
      <c r="AI1"/>
    </row>
    <row r="2" spans="1:35" s="9" customFormat="1" ht="20.100000000000001" customHeight="1" x14ac:dyDescent="0.2">
      <c r="A2"/>
      <c r="AG2"/>
      <c r="AH2"/>
      <c r="AI2"/>
    </row>
    <row r="3" spans="1:35" ht="20.100000000000001" customHeight="1" x14ac:dyDescent="0.2">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
      <c r="A4" s="17" t="str">
        <f>HYPERLINK("#'Overview'!A1", "Overview")</f>
        <v>Overview</v>
      </c>
    </row>
    <row r="5" spans="1:35" ht="20.100000000000001" customHeight="1" x14ac:dyDescent="0.2">
      <c r="A5" s="17" t="str">
        <f>HYPERLINK("#'Results'!A1", "Results")</f>
        <v>Results</v>
      </c>
      <c r="D5" s="6" t="str" cm="1">
        <f t="array" ref="D5">Agresidue_SourceData.CropPurposeAndYield_Title()</f>
        <v>Crop purpose and yield</v>
      </c>
    </row>
    <row r="7" spans="1:35" ht="20.100000000000001" customHeight="1" x14ac:dyDescent="0.2">
      <c r="D7" s="132" t="s">
        <v>165</v>
      </c>
      <c r="E7" s="132" t="s">
        <v>166</v>
      </c>
      <c r="F7" s="132" t="s">
        <v>167</v>
      </c>
      <c r="G7" s="132" t="s">
        <v>168</v>
      </c>
      <c r="H7" s="132" t="s">
        <v>169</v>
      </c>
      <c r="I7" s="132" t="s">
        <v>223</v>
      </c>
      <c r="J7" s="132" t="s">
        <v>224</v>
      </c>
      <c r="K7" s="132" t="s">
        <v>225</v>
      </c>
      <c r="AG7" s="1"/>
      <c r="AH7" s="1"/>
      <c r="AI7" s="1"/>
    </row>
    <row r="8" spans="1:35" ht="20.100000000000001" customHeight="1" x14ac:dyDescent="0.2">
      <c r="A8" s="19" t="s">
        <v>0</v>
      </c>
      <c r="D8" t="str" cm="1">
        <f t="array" ref="D8">Common_InputFunctions.Utility_DisplayArrayInTable(Agresidue_SourceData.CropPurposeAndYield_Data(), Table_SourceData_CropPurposeAndYields[[#Headers],[Purpose]], 0)</f>
        <v>Cash grain crop</v>
      </c>
      <c r="E8" t="str" cm="1">
        <f t="array" ref="E8">Common_InputFunctions.Utility_DisplayArrayInTable(Agresidue_SourceData.CropPurposeAndYield_Data(), Table_SourceData_CropPurposeAndYields[[#Headers],[Purpose]], 0)</f>
        <v>grain</v>
      </c>
      <c r="F8" t="str" cm="1">
        <f t="array" ref="F8">Common_InputFunctions.Utility_DisplayArrayInTable(Agresidue_SourceData.CropPurposeAndYield_Data(), Table_SourceData_CropPurposeAndYields[[#Headers],[Purpose]], 0)</f>
        <v>yield</v>
      </c>
      <c r="G8" t="str" cm="1">
        <f t="array" ref="G8">Common_InputFunctions.Utility_DisplayArrayInTable(Agresidue_SourceData.CropPurposeAndYield_Data(), Table_SourceData_CropPurposeAndYields[[#Headers],[Purpose]], 0)</f>
        <v>harvest</v>
      </c>
      <c r="H8" t="str" cm="1">
        <f t="array" ref="H8">Common_InputFunctions.Utility_DisplayArrayInTable(Agresidue_SourceData.CropPurposeAndYield_Data(), Table_SourceData_CropPurposeAndYields[[#Headers],[Purpose]], 0)</f>
        <v>grain</v>
      </c>
      <c r="I8" t="str" cm="1">
        <f t="array" ref="I8">Common_InputFunctions.Utility_DisplayArrayInTable(Agresidue_SourceData.CropPurposeAndYield_Data(), Table_SourceData_CropPurposeAndYields[[#Headers],[Purpose]], 0)</f>
        <v>Yield is the grain harvested from the plant</v>
      </c>
      <c r="J8" t="str" cm="1">
        <f t="array" ref="J8">Common_InputFunctions.Utility_DisplayArrayInTable(Agresidue_SourceData.CropPurposeAndYield_Data(), Table_SourceData_CropPurposeAndYields[[#Headers],[Purpose]], 0)</f>
        <v>Residue to crop ratio is provided from default values</v>
      </c>
      <c r="K8" t="str" cm="1">
        <f t="array" ref="K8">Common_InputFunctions.Utility_DisplayArrayInTable(Agresidue_SourceData.CropPurposeAndYield_Data(), Table_SourceData_CropPurposeAndYields[[#Headers],[Purpose]], 0)</f>
        <v>Total production is the total grain harvested</v>
      </c>
      <c r="AG8" s="1"/>
      <c r="AH8" s="1"/>
      <c r="AI8" s="1"/>
    </row>
    <row r="9" spans="1:35" ht="20.100000000000001" customHeight="1" x14ac:dyDescent="0.2">
      <c r="A9" s="17" t="str">
        <f>HYPERLINK("#'Input - Site'!A1", "Site")</f>
        <v>Site</v>
      </c>
      <c r="D9" t="str" cm="1">
        <f t="array" ref="D9">Common_InputFunctions.Utility_DisplayArrayInTable(Agresidue_SourceData.CropPurposeAndYield_Data(), Table_SourceData_CropPurposeAndYields[[#Headers],[Purpose]], 0)</f>
        <v>Cash crop for hay/silage</v>
      </c>
      <c r="E9" t="str" cm="1">
        <f t="array" ref="E9">Common_InputFunctions.Utility_DisplayArrayInTable(Agresidue_SourceData.CropPurposeAndYield_Data(), Table_SourceData_CropPurposeAndYields[[#Headers],[Purpose]], 0)</f>
        <v>above ground biomass</v>
      </c>
      <c r="F9" t="str" cm="1">
        <f t="array" ref="F9">Common_InputFunctions.Utility_DisplayArrayInTable(Agresidue_SourceData.CropPurposeAndYield_Data(), Table_SourceData_CropPurposeAndYields[[#Headers],[Purpose]], 0)</f>
        <v>yield</v>
      </c>
      <c r="G9" t="str" cm="1">
        <f t="array" ref="G9">Common_InputFunctions.Utility_DisplayArrayInTable(Agresidue_SourceData.CropPurposeAndYield_Data(), Table_SourceData_CropPurposeAndYields[[#Headers],[Purpose]], 0)</f>
        <v>harvest</v>
      </c>
      <c r="H9" t="str" cm="1">
        <f t="array" ref="H9">Common_InputFunctions.Utility_DisplayArrayInTable(Agresidue_SourceData.CropPurposeAndYield_Data(), Table_SourceData_CropPurposeAndYields[[#Headers],[Purpose]], 0)</f>
        <v>plant biomass</v>
      </c>
      <c r="I9" t="str" cm="1">
        <f t="array" ref="I9">Common_InputFunctions.Utility_DisplayArrayInTable(Agresidue_SourceData.CropPurposeAndYield_Data(), Table_SourceData_CropPurposeAndYields[[#Headers],[Purpose]], 0)</f>
        <v>Yield is the whole plant harvested for hay/silage</v>
      </c>
      <c r="J9" t="str" cm="1">
        <f t="array" ref="J9">Common_InputFunctions.Utility_DisplayArrayInTable(Agresidue_SourceData.CropPurposeAndYield_Data(), Table_SourceData_CropPurposeAndYields[[#Headers],[Purpose]], 0)</f>
        <v>Residue to crop ratio is 0 assuming the whole plant is harvested for hay/silage</v>
      </c>
      <c r="K9" t="str" cm="1">
        <f t="array" ref="K9">Common_InputFunctions.Utility_DisplayArrayInTable(Agresidue_SourceData.CropPurposeAndYield_Data(), Table_SourceData_CropPurposeAndYields[[#Headers],[Purpose]], 0)</f>
        <v>Total production is the total whole plant biomass harvested as hay/silage</v>
      </c>
      <c r="AG9" s="1"/>
      <c r="AH9" s="1"/>
      <c r="AI9" s="1"/>
    </row>
    <row r="10" spans="1:35" ht="20.100000000000001" customHeight="1" x14ac:dyDescent="0.2">
      <c r="A10" s="17" t="str">
        <f>HYPERLINK("#'Input - Crop'!A1", "Crop")</f>
        <v>Crop</v>
      </c>
      <c r="D10" t="str" cm="1">
        <f t="array" ref="D10">Common_InputFunctions.Utility_DisplayArrayInTable(Agresidue_SourceData.CropPurposeAndYield_Data(), Table_SourceData_CropPurposeAndYields[[#Headers],[Purpose]], 0)</f>
        <v>Cover crop</v>
      </c>
      <c r="E10" t="str" cm="1">
        <f t="array" ref="E10">Common_InputFunctions.Utility_DisplayArrayInTable(Agresidue_SourceData.CropPurposeAndYield_Data(), Table_SourceData_CropPurposeAndYields[[#Headers],[Purpose]], 0)</f>
        <v>above ground biomass</v>
      </c>
      <c r="F10" t="str" cm="1">
        <f t="array" ref="F10">Common_InputFunctions.Utility_DisplayArrayInTable(Agresidue_SourceData.CropPurposeAndYield_Data(), Table_SourceData_CropPurposeAndYields[[#Headers],[Purpose]], 0)</f>
        <v>mass</v>
      </c>
      <c r="G10" t="str" cm="1">
        <f t="array" ref="G10">Common_InputFunctions.Utility_DisplayArrayInTable(Agresidue_SourceData.CropPurposeAndYield_Data(), Table_SourceData_CropPurposeAndYields[[#Headers],[Purpose]], 0)</f>
        <v>end of crop cycle</v>
      </c>
      <c r="H10" t="str" cm="1">
        <f t="array" ref="H10">Common_InputFunctions.Utility_DisplayArrayInTable(Agresidue_SourceData.CropPurposeAndYield_Data(), Table_SourceData_CropPurposeAndYields[[#Headers],[Purpose]], 0)</f>
        <v>above ground biomass</v>
      </c>
      <c r="I10" t="str" cm="1">
        <f t="array" ref="I10">Common_InputFunctions.Utility_DisplayArrayInTable(Agresidue_SourceData.CropPurposeAndYield_Data(), Table_SourceData_CropPurposeAndYields[[#Headers],[Purpose]], 0)</f>
        <v>Yield is the whole plant kept as cover crop</v>
      </c>
      <c r="J10" t="str" cm="1">
        <f t="array" ref="J10">Common_InputFunctions.Utility_DisplayArrayInTable(Agresidue_SourceData.CropPurposeAndYield_Data(), Table_SourceData_CropPurposeAndYields[[#Headers],[Purpose]], 0)</f>
        <v>Residue to crop ratio is 1 assuming the whole plant is kept as cover crop</v>
      </c>
      <c r="K10" t="str" cm="1">
        <f t="array" ref="K10">Common_InputFunctions.Utility_DisplayArrayInTable(Agresidue_SourceData.CropPurposeAndYield_Data(), Table_SourceData_CropPurposeAndYields[[#Headers],[Purpose]], 0)</f>
        <v>Total production is the total whole plant biomass kept as cover crop</v>
      </c>
      <c r="AG10" s="1"/>
      <c r="AH10" s="1"/>
      <c r="AI10" s="1"/>
    </row>
    <row r="11" spans="1:35" ht="20.100000000000001" customHeight="1" x14ac:dyDescent="0.2">
      <c r="A11" s="17" t="str">
        <f>HYPERLINK("#'Input - Pasture'!A1", "Pasture")</f>
        <v>Pasture</v>
      </c>
    </row>
    <row r="14" spans="1:35" ht="20.100000000000001" customHeight="1" x14ac:dyDescent="0.2">
      <c r="A14" s="18" t="s">
        <v>68</v>
      </c>
    </row>
    <row r="15" spans="1:35" ht="20.100000000000001" customHeight="1" x14ac:dyDescent="0.2">
      <c r="A15" s="17" t="str">
        <f>HYPERLINK("#'6.1.1.1-2 Crop residue N2O'!A1", "6.1.1.1-2 Crop residue N2O")</f>
        <v>6.1.1.1-2 Crop residue N2O</v>
      </c>
      <c r="D15" s="6" t="str" cm="1">
        <f t="array" ref="D15">Agresidue_SourceData.CropAttributes_Title()</f>
        <v>Table A.2.1.1: Crop attributes</v>
      </c>
      <c r="E15" s="21"/>
      <c r="F15" s="21"/>
      <c r="G15" s="21"/>
      <c r="H15" s="21"/>
      <c r="I15" s="21"/>
      <c r="J15" s="21"/>
      <c r="K15" s="21"/>
      <c r="L15" s="21"/>
    </row>
    <row r="16" spans="1:35" ht="20.100000000000001" customHeight="1" x14ac:dyDescent="0.2">
      <c r="A16" s="17" t="str">
        <f>HYPERLINK("#'6.2.1.1-2 Pasture residue N2O'!A1", "6.2.1.1-2 Pasture residue N2O")</f>
        <v>6.2.1.1-2 Pasture residue N2O</v>
      </c>
      <c r="D16" s="5" t="str" cm="1">
        <f t="array" ref="D16">Agresidue_SourceData.CropAttributes_Source()</f>
        <v>VEERG 2026: Table A.2.1.1: Crop attributes</v>
      </c>
      <c r="E16" s="21"/>
      <c r="F16" s="21"/>
      <c r="G16" s="21"/>
      <c r="H16" s="21"/>
      <c r="I16" s="21"/>
      <c r="J16" s="21"/>
      <c r="K16" s="21"/>
      <c r="L16" s="21"/>
    </row>
    <row r="17" spans="1:14" ht="20.100000000000001" customHeight="1" x14ac:dyDescent="0.2">
      <c r="A17" s="17" t="str">
        <f>HYPERLINK("#'6.3.1.1-2 Leaching and runoff'!A1", "6.3.1.1-2 Leaching and runoff")</f>
        <v>6.3.1.1-2 Leaching and runoff</v>
      </c>
      <c r="D17" s="52" t="str" cm="1">
        <f t="array" ref="D17">"⚠️" &amp; Agresidue_SourceData.CropAttributes_Variation()</f>
        <v>⚠️VARIATION FROM SOURCE: 'N/A' values passed as zero for calculations.</v>
      </c>
      <c r="E17" s="21"/>
      <c r="F17" s="21"/>
      <c r="G17" s="21"/>
      <c r="H17" s="21"/>
      <c r="I17" s="21"/>
      <c r="J17" s="21"/>
      <c r="K17" s="21"/>
      <c r="L17" s="21"/>
    </row>
    <row r="18" spans="1:14" ht="20.100000000000001" customHeight="1" x14ac:dyDescent="0.2">
      <c r="A18" s="17" t="str">
        <f>HYPERLINK("#'6.3.1.1-2 Leach runoff crop'!A1", "6.3.1.1-2 Leach runoff crop")</f>
        <v>6.3.1.1-2 Leach runoff crop</v>
      </c>
      <c r="D18" s="21"/>
      <c r="E18" s="21"/>
      <c r="F18" s="21"/>
      <c r="G18" s="21"/>
      <c r="H18" s="21"/>
      <c r="I18" s="21"/>
      <c r="J18" s="21"/>
      <c r="K18" s="21"/>
      <c r="L18" s="21"/>
    </row>
    <row r="19" spans="1:14" ht="20.100000000000001" customHeight="1" x14ac:dyDescent="0.2">
      <c r="A19" s="17" t="str">
        <f>HYPERLINK("#'6.3.1.1-2 Leach runoff pasture'!A1", "6.3.1.1-2 Leach runoff pasture")</f>
        <v>6.3.1.1-2 Leach runoff pasture</v>
      </c>
      <c r="D19" t="s">
        <v>109</v>
      </c>
      <c r="E19" t="s">
        <v>155</v>
      </c>
      <c r="F19" t="s">
        <v>156</v>
      </c>
      <c r="G19" t="s">
        <v>157</v>
      </c>
      <c r="H19" t="s">
        <v>158</v>
      </c>
      <c r="I19" t="s">
        <v>159</v>
      </c>
      <c r="J19" t="s">
        <v>160</v>
      </c>
      <c r="K19" t="s">
        <v>161</v>
      </c>
      <c r="L19" t="s">
        <v>162</v>
      </c>
      <c r="N19" s="6" t="s">
        <v>218</v>
      </c>
    </row>
    <row r="20" spans="1:14" ht="20.100000000000001" customHeight="1" x14ac:dyDescent="0.2">
      <c r="A20" s="17" t="str">
        <f>HYPERLINK("#'6.4.1.1-2 Residue burning'!A1", "6.4.1.1-2 Residue burning")</f>
        <v>6.4.1.1-2 Residue burning</v>
      </c>
      <c r="D20" t="str" cm="1">
        <f t="array" ref="D20">Common_InputFunctions.Utility_DisplayArrayInTable(Agresidue_SourceData.CropAttributes_Data(),Table_SourceData_CropAttributes[[#Headers],[Crop type]], -1)</f>
        <v>Wheat</v>
      </c>
      <c r="E20" cm="1">
        <f t="array" ref="E20">Common_InputFunctions.Utility_DisplayArrayInTable(Agresidue_SourceData.CropAttributes_Data(),Table_SourceData_CropAttributes[[#Headers],[Crop type]], -1)</f>
        <v>1.5</v>
      </c>
      <c r="F20" cm="1">
        <f t="array" ref="F20">Common_InputFunctions.Utility_DisplayArrayInTable(Agresidue_SourceData.CropAttributes_Data(),Table_SourceData_CropAttributes[[#Headers],[Crop type]], -1)</f>
        <v>0.28999999999999998</v>
      </c>
      <c r="G20" cm="1">
        <f t="array" ref="G20">Common_InputFunctions.Utility_DisplayArrayInTable(Agresidue_SourceData.CropAttributes_Data(),Table_SourceData_CropAttributes[[#Headers],[Crop type]], -1)</f>
        <v>0.88</v>
      </c>
      <c r="H20" cm="1">
        <f t="array" ref="H20">Common_InputFunctions.Utility_DisplayArrayInTable(Agresidue_SourceData.CropAttributes_Data(),Table_SourceData_CropAttributes[[#Headers],[Crop type]], -1)</f>
        <v>0.4</v>
      </c>
      <c r="I20" cm="1">
        <f t="array" ref="I20">Common_InputFunctions.Utility_DisplayArrayInTable(Agresidue_SourceData.CropAttributes_Data(),Table_SourceData_CropAttributes[[#Headers],[Crop type]], -1)</f>
        <v>6.0000000000000001E-3</v>
      </c>
      <c r="J20" cm="1">
        <f t="array" ref="J20">Common_InputFunctions.Utility_DisplayArrayInTable(Agresidue_SourceData.CropAttributes_Data(),Table_SourceData_CropAttributes[[#Headers],[Crop type]], -1)</f>
        <v>0.01</v>
      </c>
      <c r="K20" cm="1">
        <f t="array" ref="K20">Common_InputFunctions.Utility_DisplayArrayInTable(Agresidue_SourceData.CropAttributes_Data(),Table_SourceData_CropAttributes[[#Headers],[Crop type]], -1)</f>
        <v>0.5</v>
      </c>
      <c r="L20" cm="1">
        <f t="array" ref="L20">Common_InputFunctions.Utility_DisplayArrayInTable(Agresidue_SourceData.CropAttributes_Data(),Table_SourceData_CropAttributes[[#Headers],[Crop type]], -1)</f>
        <v>0.9</v>
      </c>
    </row>
    <row r="21" spans="1:14" ht="20.100000000000001" customHeight="1" x14ac:dyDescent="0.2">
      <c r="D21" t="str" cm="1">
        <f t="array" ref="D21">Common_InputFunctions.Utility_DisplayArrayInTable(Agresidue_SourceData.CropAttributes_Data(),Table_SourceData_CropAttributes[[#Headers],[Crop type]], -1)</f>
        <v>Barley</v>
      </c>
      <c r="E21" cm="1">
        <f t="array" ref="E21">Common_InputFunctions.Utility_DisplayArrayInTable(Agresidue_SourceData.CropAttributes_Data(),Table_SourceData_CropAttributes[[#Headers],[Crop type]], -1)</f>
        <v>1.24</v>
      </c>
      <c r="F21" cm="1">
        <f t="array" ref="F21">Common_InputFunctions.Utility_DisplayArrayInTable(Agresidue_SourceData.CropAttributes_Data(),Table_SourceData_CropAttributes[[#Headers],[Crop type]], -1)</f>
        <v>0.32</v>
      </c>
      <c r="G21" cm="1">
        <f t="array" ref="G21">Common_InputFunctions.Utility_DisplayArrayInTable(Agresidue_SourceData.CropAttributes_Data(),Table_SourceData_CropAttributes[[#Headers],[Crop type]], -1)</f>
        <v>0.88</v>
      </c>
      <c r="H21" cm="1">
        <f t="array" ref="H21">Common_InputFunctions.Utility_DisplayArrayInTable(Agresidue_SourceData.CropAttributes_Data(),Table_SourceData_CropAttributes[[#Headers],[Crop type]], -1)</f>
        <v>0.4</v>
      </c>
      <c r="I21" cm="1">
        <f t="array" ref="I21">Common_InputFunctions.Utility_DisplayArrayInTable(Agresidue_SourceData.CropAttributes_Data(),Table_SourceData_CropAttributes[[#Headers],[Crop type]], -1)</f>
        <v>7.0000000000000001E-3</v>
      </c>
      <c r="J21" cm="1">
        <f t="array" ref="J21">Common_InputFunctions.Utility_DisplayArrayInTable(Agresidue_SourceData.CropAttributes_Data(),Table_SourceData_CropAttributes[[#Headers],[Crop type]], -1)</f>
        <v>0.01</v>
      </c>
      <c r="K21" cm="1">
        <f t="array" ref="K21">Common_InputFunctions.Utility_DisplayArrayInTable(Agresidue_SourceData.CropAttributes_Data(),Table_SourceData_CropAttributes[[#Headers],[Crop type]], -1)</f>
        <v>0.5</v>
      </c>
      <c r="L21" cm="1">
        <f t="array" ref="L21">Common_InputFunctions.Utility_DisplayArrayInTable(Agresidue_SourceData.CropAttributes_Data(),Table_SourceData_CropAttributes[[#Headers],[Crop type]], -1)</f>
        <v>0.85</v>
      </c>
      <c r="N21" s="36" t="s">
        <v>85</v>
      </c>
    </row>
    <row r="22" spans="1:14" ht="20.100000000000001" customHeight="1" x14ac:dyDescent="0.2">
      <c r="D22" t="str" cm="1">
        <f t="array" ref="D22">Common_InputFunctions.Utility_DisplayArrayInTable(Agresidue_SourceData.CropAttributes_Data(),Table_SourceData_CropAttributes[[#Headers],[Crop type]], -1)</f>
        <v>Maize</v>
      </c>
      <c r="E22" cm="1">
        <f t="array" ref="E22">Common_InputFunctions.Utility_DisplayArrayInTable(Agresidue_SourceData.CropAttributes_Data(),Table_SourceData_CropAttributes[[#Headers],[Crop type]], -1)</f>
        <v>0.81</v>
      </c>
      <c r="F22" cm="1">
        <f t="array" ref="F22">Common_InputFunctions.Utility_DisplayArrayInTable(Agresidue_SourceData.CropAttributes_Data(),Table_SourceData_CropAttributes[[#Headers],[Crop type]], -1)</f>
        <v>0.39</v>
      </c>
      <c r="G22" cm="1">
        <f t="array" ref="G22">Common_InputFunctions.Utility_DisplayArrayInTable(Agresidue_SourceData.CropAttributes_Data(),Table_SourceData_CropAttributes[[#Headers],[Crop type]], -1)</f>
        <v>0.85</v>
      </c>
      <c r="H22" cm="1">
        <f t="array" ref="H22">Common_InputFunctions.Utility_DisplayArrayInTable(Agresidue_SourceData.CropAttributes_Data(),Table_SourceData_CropAttributes[[#Headers],[Crop type]], -1)</f>
        <v>0.42</v>
      </c>
      <c r="I22" cm="1">
        <f t="array" ref="I22">Common_InputFunctions.Utility_DisplayArrayInTable(Agresidue_SourceData.CropAttributes_Data(),Table_SourceData_CropAttributes[[#Headers],[Crop type]], -1)</f>
        <v>5.0000000000000001E-3</v>
      </c>
      <c r="J22" cm="1">
        <f t="array" ref="J22">Common_InputFunctions.Utility_DisplayArrayInTable(Agresidue_SourceData.CropAttributes_Data(),Table_SourceData_CropAttributes[[#Headers],[Crop type]], -1)</f>
        <v>7.0000000000000001E-3</v>
      </c>
      <c r="K22" cm="1">
        <f t="array" ref="K22">Common_InputFunctions.Utility_DisplayArrayInTable(Agresidue_SourceData.CropAttributes_Data(),Table_SourceData_CropAttributes[[#Headers],[Crop type]], -1)</f>
        <v>1</v>
      </c>
      <c r="L22" cm="1">
        <f t="array" ref="L22">Common_InputFunctions.Utility_DisplayArrayInTable(Agresidue_SourceData.CropAttributes_Data(),Table_SourceData_CropAttributes[[#Headers],[Crop type]], -1)</f>
        <v>0.8</v>
      </c>
      <c r="N22" s="36" t="s">
        <v>219</v>
      </c>
    </row>
    <row r="23" spans="1:14" ht="20.100000000000001" customHeight="1" x14ac:dyDescent="0.2">
      <c r="A23" s="141" t="s">
        <v>1</v>
      </c>
      <c r="D23" t="str" cm="1">
        <f t="array" ref="D23">Common_InputFunctions.Utility_DisplayArrayInTable(Agresidue_SourceData.CropAttributes_Data(),Table_SourceData_CropAttributes[[#Headers],[Crop type]], -1)</f>
        <v>Oats</v>
      </c>
      <c r="E23" cm="1">
        <f t="array" ref="E23">Common_InputFunctions.Utility_DisplayArrayInTable(Agresidue_SourceData.CropAttributes_Data(),Table_SourceData_CropAttributes[[#Headers],[Crop type]], -1)</f>
        <v>1.42</v>
      </c>
      <c r="F23" cm="1">
        <f t="array" ref="F23">Common_InputFunctions.Utility_DisplayArrayInTable(Agresidue_SourceData.CropAttributes_Data(),Table_SourceData_CropAttributes[[#Headers],[Crop type]], -1)</f>
        <v>0.43</v>
      </c>
      <c r="G23" cm="1">
        <f t="array" ref="G23">Common_InputFunctions.Utility_DisplayArrayInTable(Agresidue_SourceData.CropAttributes_Data(),Table_SourceData_CropAttributes[[#Headers],[Crop type]], -1)</f>
        <v>0.88</v>
      </c>
      <c r="H23" cm="1">
        <f t="array" ref="H23">Common_InputFunctions.Utility_DisplayArrayInTable(Agresidue_SourceData.CropAttributes_Data(),Table_SourceData_CropAttributes[[#Headers],[Crop type]], -1)</f>
        <v>0.4</v>
      </c>
      <c r="I23" cm="1">
        <f t="array" ref="I23">Common_InputFunctions.Utility_DisplayArrayInTable(Agresidue_SourceData.CropAttributes_Data(),Table_SourceData_CropAttributes[[#Headers],[Crop type]], -1)</f>
        <v>6.0000000000000001E-3</v>
      </c>
      <c r="J23" cm="1">
        <f t="array" ref="J23">Common_InputFunctions.Utility_DisplayArrayInTable(Agresidue_SourceData.CropAttributes_Data(),Table_SourceData_CropAttributes[[#Headers],[Crop type]], -1)</f>
        <v>0.01</v>
      </c>
      <c r="K23" cm="1">
        <f t="array" ref="K23">Common_InputFunctions.Utility_DisplayArrayInTable(Agresidue_SourceData.CropAttributes_Data(),Table_SourceData_CropAttributes[[#Headers],[Crop type]], -1)</f>
        <v>0.5</v>
      </c>
      <c r="L23" cm="1">
        <f t="array" ref="L23">Common_InputFunctions.Utility_DisplayArrayInTable(Agresidue_SourceData.CropAttributes_Data(),Table_SourceData_CropAttributes[[#Headers],[Crop type]], -1)</f>
        <v>0.85</v>
      </c>
      <c r="N23" s="36" t="s">
        <v>220</v>
      </c>
    </row>
    <row r="24" spans="1:14" ht="20.100000000000001" customHeight="1" x14ac:dyDescent="0.2">
      <c r="A24" s="128" t="str">
        <f>HYPERLINK("#'Constants - Ag Residue'!A1", "Constants - Ag Residue")</f>
        <v>Constants - Ag Residue</v>
      </c>
      <c r="D24" t="str" cm="1">
        <f t="array" ref="D24">Common_InputFunctions.Utility_DisplayArrayInTable(Agresidue_SourceData.CropAttributes_Data(),Table_SourceData_CropAttributes[[#Headers],[Crop type]], -1)</f>
        <v>Rice</v>
      </c>
      <c r="E24" cm="1">
        <f t="array" ref="E24">Common_InputFunctions.Utility_DisplayArrayInTable(Agresidue_SourceData.CropAttributes_Data(),Table_SourceData_CropAttributes[[#Headers],[Crop type]], -1)</f>
        <v>1.31</v>
      </c>
      <c r="F24" cm="1">
        <f t="array" ref="F24">Common_InputFunctions.Utility_DisplayArrayInTable(Agresidue_SourceData.CropAttributes_Data(),Table_SourceData_CropAttributes[[#Headers],[Crop type]], -1)</f>
        <v>0.16</v>
      </c>
      <c r="G24" cm="1">
        <f t="array" ref="G24">Common_InputFunctions.Utility_DisplayArrayInTable(Agresidue_SourceData.CropAttributes_Data(),Table_SourceData_CropAttributes[[#Headers],[Crop type]], -1)</f>
        <v>0.8</v>
      </c>
      <c r="H24" cm="1">
        <f t="array" ref="H24">Common_InputFunctions.Utility_DisplayArrayInTable(Agresidue_SourceData.CropAttributes_Data(),Table_SourceData_CropAttributes[[#Headers],[Crop type]], -1)</f>
        <v>0.42</v>
      </c>
      <c r="I24" cm="1">
        <f t="array" ref="I24">Common_InputFunctions.Utility_DisplayArrayInTable(Agresidue_SourceData.CropAttributes_Data(),Table_SourceData_CropAttributes[[#Headers],[Crop type]], -1)</f>
        <v>7.0000000000000001E-3</v>
      </c>
      <c r="J24" cm="1">
        <f t="array" ref="J24">Common_InputFunctions.Utility_DisplayArrayInTable(Agresidue_SourceData.CropAttributes_Data(),Table_SourceData_CropAttributes[[#Headers],[Crop type]], -1)</f>
        <v>0.01</v>
      </c>
      <c r="K24" cm="1">
        <f t="array" ref="K24">Common_InputFunctions.Utility_DisplayArrayInTable(Agresidue_SourceData.CropAttributes_Data(),Table_SourceData_CropAttributes[[#Headers],[Crop type]], -1)</f>
        <v>1</v>
      </c>
      <c r="L24" cm="1">
        <f t="array" ref="L24">Common_InputFunctions.Utility_DisplayArrayInTable(Agresidue_SourceData.CropAttributes_Data(),Table_SourceData_CropAttributes[[#Headers],[Crop type]], -1)</f>
        <v>0.8</v>
      </c>
      <c r="N24" s="1" t="s">
        <v>107</v>
      </c>
    </row>
    <row r="25" spans="1:14" ht="20.100000000000001" customHeight="1" x14ac:dyDescent="0.2">
      <c r="A25" s="17" t="str">
        <f>HYPERLINK("#'Constants - Common'!A1", "Constants - Common")</f>
        <v>Constants - Common</v>
      </c>
      <c r="D25" t="str" cm="1">
        <f t="array" ref="D25">Common_InputFunctions.Utility_DisplayArrayInTable(Agresidue_SourceData.CropAttributes_Data(),Table_SourceData_CropAttributes[[#Headers],[Crop type]], -1)</f>
        <v>Sorghum</v>
      </c>
      <c r="E25" cm="1">
        <f t="array" ref="E25">Common_InputFunctions.Utility_DisplayArrayInTable(Agresidue_SourceData.CropAttributes_Data(),Table_SourceData_CropAttributes[[#Headers],[Crop type]], -1)</f>
        <v>1.5</v>
      </c>
      <c r="F25" cm="1">
        <f t="array" ref="F25">Common_InputFunctions.Utility_DisplayArrayInTable(Agresidue_SourceData.CropAttributes_Data(),Table_SourceData_CropAttributes[[#Headers],[Crop type]], -1)</f>
        <v>0.22</v>
      </c>
      <c r="G25" cm="1">
        <f t="array" ref="G25">Common_InputFunctions.Utility_DisplayArrayInTable(Agresidue_SourceData.CropAttributes_Data(),Table_SourceData_CropAttributes[[#Headers],[Crop type]], -1)</f>
        <v>0.8</v>
      </c>
      <c r="H25" cm="1">
        <f t="array" ref="H25">Common_InputFunctions.Utility_DisplayArrayInTable(Agresidue_SourceData.CropAttributes_Data(),Table_SourceData_CropAttributes[[#Headers],[Crop type]], -1)</f>
        <v>0.4</v>
      </c>
      <c r="I25" cm="1">
        <f t="array" ref="I25">Common_InputFunctions.Utility_DisplayArrayInTable(Agresidue_SourceData.CropAttributes_Data(),Table_SourceData_CropAttributes[[#Headers],[Crop type]], -1)</f>
        <v>8.0000000000000002E-3</v>
      </c>
      <c r="J25" cm="1">
        <f t="array" ref="J25">Common_InputFunctions.Utility_DisplayArrayInTable(Agresidue_SourceData.CropAttributes_Data(),Table_SourceData_CropAttributes[[#Headers],[Crop type]], -1)</f>
        <v>7.0000000000000001E-3</v>
      </c>
      <c r="K25" cm="1">
        <f t="array" ref="K25">Common_InputFunctions.Utility_DisplayArrayInTable(Agresidue_SourceData.CropAttributes_Data(),Table_SourceData_CropAttributes[[#Headers],[Crop type]], -1)</f>
        <v>0.5</v>
      </c>
      <c r="L25" cm="1">
        <f t="array" ref="L25">Common_InputFunctions.Utility_DisplayArrayInTable(Agresidue_SourceData.CropAttributes_Data(),Table_SourceData_CropAttributes[[#Headers],[Crop type]], -1)</f>
        <v>0.85</v>
      </c>
      <c r="N25" s="1" t="s">
        <v>221</v>
      </c>
    </row>
    <row r="26" spans="1:14" ht="20.100000000000001" customHeight="1" x14ac:dyDescent="0.2">
      <c r="D26" t="str" cm="1">
        <f t="array" ref="D26">Common_InputFunctions.Utility_DisplayArrayInTable(Agresidue_SourceData.CropAttributes_Data(),Table_SourceData_CropAttributes[[#Headers],[Crop type]], -1)</f>
        <v>Triticale</v>
      </c>
      <c r="E26" cm="1">
        <f t="array" ref="E26">Common_InputFunctions.Utility_DisplayArrayInTable(Agresidue_SourceData.CropAttributes_Data(),Table_SourceData_CropAttributes[[#Headers],[Crop type]], -1)</f>
        <v>1.5</v>
      </c>
      <c r="F26" cm="1">
        <f t="array" ref="F26">Common_InputFunctions.Utility_DisplayArrayInTable(Agresidue_SourceData.CropAttributes_Data(),Table_SourceData_CropAttributes[[#Headers],[Crop type]], -1)</f>
        <v>0.42</v>
      </c>
      <c r="G26" cm="1">
        <f t="array" ref="G26">Common_InputFunctions.Utility_DisplayArrayInTable(Agresidue_SourceData.CropAttributes_Data(),Table_SourceData_CropAttributes[[#Headers],[Crop type]], -1)</f>
        <v>0.88</v>
      </c>
      <c r="H26" cm="1">
        <f t="array" ref="H26">Common_InputFunctions.Utility_DisplayArrayInTable(Agresidue_SourceData.CropAttributes_Data(),Table_SourceData_CropAttributes[[#Headers],[Crop type]], -1)</f>
        <v>0.4</v>
      </c>
      <c r="I26" cm="1">
        <f t="array" ref="I26">Common_InputFunctions.Utility_DisplayArrayInTable(Agresidue_SourceData.CropAttributes_Data(),Table_SourceData_CropAttributes[[#Headers],[Crop type]], -1)</f>
        <v>6.0000000000000001E-3</v>
      </c>
      <c r="J26" cm="1">
        <f t="array" ref="J26">Common_InputFunctions.Utility_DisplayArrayInTable(Agresidue_SourceData.CropAttributes_Data(),Table_SourceData_CropAttributes[[#Headers],[Crop type]], -1)</f>
        <v>0.01</v>
      </c>
      <c r="K26" cm="1">
        <f t="array" ref="K26">Common_InputFunctions.Utility_DisplayArrayInTable(Agresidue_SourceData.CropAttributes_Data(),Table_SourceData_CropAttributes[[#Headers],[Crop type]], -1)</f>
        <v>0.5</v>
      </c>
      <c r="L26" cm="1">
        <f t="array" ref="L26">Common_InputFunctions.Utility_DisplayArrayInTable(Agresidue_SourceData.CropAttributes_Data(),Table_SourceData_CropAttributes[[#Headers],[Crop type]], -1)</f>
        <v>0.85</v>
      </c>
      <c r="N26" s="1" t="s">
        <v>222</v>
      </c>
    </row>
    <row r="27" spans="1:14" ht="20.100000000000001" customHeight="1" x14ac:dyDescent="0.2">
      <c r="D27" t="str" cm="1">
        <f t="array" ref="D27">Common_InputFunctions.Utility_DisplayArrayInTable(Agresidue_SourceData.CropAttributes_Data(),Table_SourceData_CropAttributes[[#Headers],[Crop type]], -1)</f>
        <v>Other cereals</v>
      </c>
      <c r="E27" cm="1">
        <f t="array" ref="E27">Common_InputFunctions.Utility_DisplayArrayInTable(Agresidue_SourceData.CropAttributes_Data(),Table_SourceData_CropAttributes[[#Headers],[Crop type]], -1)</f>
        <v>1.46</v>
      </c>
      <c r="F27" cm="1">
        <f t="array" ref="F27">Common_InputFunctions.Utility_DisplayArrayInTable(Agresidue_SourceData.CropAttributes_Data(),Table_SourceData_CropAttributes[[#Headers],[Crop type]], -1)</f>
        <v>0.36</v>
      </c>
      <c r="G27" cm="1">
        <f t="array" ref="G27">Common_InputFunctions.Utility_DisplayArrayInTable(Agresidue_SourceData.CropAttributes_Data(),Table_SourceData_CropAttributes[[#Headers],[Crop type]], -1)</f>
        <v>0.88</v>
      </c>
      <c r="H27" cm="1">
        <f t="array" ref="H27">Common_InputFunctions.Utility_DisplayArrayInTable(Agresidue_SourceData.CropAttributes_Data(),Table_SourceData_CropAttributes[[#Headers],[Crop type]], -1)</f>
        <v>0.4</v>
      </c>
      <c r="I27" cm="1">
        <f t="array" ref="I27">Common_InputFunctions.Utility_DisplayArrayInTable(Agresidue_SourceData.CropAttributes_Data(),Table_SourceData_CropAttributes[[#Headers],[Crop type]], -1)</f>
        <v>6.0000000000000001E-3</v>
      </c>
      <c r="J27" cm="1">
        <f t="array" ref="J27">Common_InputFunctions.Utility_DisplayArrayInTable(Agresidue_SourceData.CropAttributes_Data(),Table_SourceData_CropAttributes[[#Headers],[Crop type]], -1)</f>
        <v>0.01</v>
      </c>
      <c r="K27" cm="1">
        <f t="array" ref="K27">Common_InputFunctions.Utility_DisplayArrayInTable(Agresidue_SourceData.CropAttributes_Data(),Table_SourceData_CropAttributes[[#Headers],[Crop type]], -1)</f>
        <v>0.5</v>
      </c>
      <c r="L27" cm="1">
        <f t="array" ref="L27">Common_InputFunctions.Utility_DisplayArrayInTable(Agresidue_SourceData.CropAttributes_Data(),Table_SourceData_CropAttributes[[#Headers],[Crop type]], -1)</f>
        <v>0.85</v>
      </c>
    </row>
    <row r="28" spans="1:14" ht="20.100000000000001" customHeight="1" x14ac:dyDescent="0.2">
      <c r="D28" t="str" cm="1">
        <f t="array" ref="D28">Common_InputFunctions.Utility_DisplayArrayInTable(Agresidue_SourceData.CropAttributes_Data(),Table_SourceData_CropAttributes[[#Headers],[Crop type]], -1)</f>
        <v>Pulses</v>
      </c>
      <c r="E28" cm="1">
        <f t="array" ref="E28">Common_InputFunctions.Utility_DisplayArrayInTable(Agresidue_SourceData.CropAttributes_Data(),Table_SourceData_CropAttributes[[#Headers],[Crop type]], -1)</f>
        <v>1.37</v>
      </c>
      <c r="F28" cm="1">
        <f t="array" ref="F28">Common_InputFunctions.Utility_DisplayArrayInTable(Agresidue_SourceData.CropAttributes_Data(),Table_SourceData_CropAttributes[[#Headers],[Crop type]], -1)</f>
        <v>0.51</v>
      </c>
      <c r="G28" cm="1">
        <f t="array" ref="G28">Common_InputFunctions.Utility_DisplayArrayInTable(Agresidue_SourceData.CropAttributes_Data(),Table_SourceData_CropAttributes[[#Headers],[Crop type]], -1)</f>
        <v>0.87</v>
      </c>
      <c r="H28" cm="1">
        <f t="array" ref="H28">Common_InputFunctions.Utility_DisplayArrayInTable(Agresidue_SourceData.CropAttributes_Data(),Table_SourceData_CropAttributes[[#Headers],[Crop type]], -1)</f>
        <v>0.4</v>
      </c>
      <c r="I28" cm="1">
        <f t="array" ref="I28">Common_InputFunctions.Utility_DisplayArrayInTable(Agresidue_SourceData.CropAttributes_Data(),Table_SourceData_CropAttributes[[#Headers],[Crop type]], -1)</f>
        <v>8.9999999999999993E-3</v>
      </c>
      <c r="J28" cm="1">
        <f t="array" ref="J28">Common_InputFunctions.Utility_DisplayArrayInTable(Agresidue_SourceData.CropAttributes_Data(),Table_SourceData_CropAttributes[[#Headers],[Crop type]], -1)</f>
        <v>0.01</v>
      </c>
      <c r="K28" cm="1">
        <f t="array" ref="K28">Common_InputFunctions.Utility_DisplayArrayInTable(Agresidue_SourceData.CropAttributes_Data(),Table_SourceData_CropAttributes[[#Headers],[Crop type]], -1)</f>
        <v>0.5</v>
      </c>
      <c r="L28" cm="1">
        <f t="array" ref="L28">Common_InputFunctions.Utility_DisplayArrayInTable(Agresidue_SourceData.CropAttributes_Data(),Table_SourceData_CropAttributes[[#Headers],[Crop type]], -1)</f>
        <v>0.85</v>
      </c>
    </row>
    <row r="29" spans="1:14" ht="20.100000000000001" customHeight="1" x14ac:dyDescent="0.2">
      <c r="D29" t="str" cm="1">
        <f t="array" ref="D29">Common_InputFunctions.Utility_DisplayArrayInTable(Agresidue_SourceData.CropAttributes_Data(),Table_SourceData_CropAttributes[[#Headers],[Crop type]], -1)</f>
        <v>Tubers and roots</v>
      </c>
      <c r="E29" cm="1">
        <f t="array" ref="E29">Common_InputFunctions.Utility_DisplayArrayInTable(Agresidue_SourceData.CropAttributes_Data(),Table_SourceData_CropAttributes[[#Headers],[Crop type]], -1)</f>
        <v>0.34</v>
      </c>
      <c r="F29" cm="1">
        <f t="array" ref="F29">Common_InputFunctions.Utility_DisplayArrayInTable(Agresidue_SourceData.CropAttributes_Data(),Table_SourceData_CropAttributes[[#Headers],[Crop type]], -1)</f>
        <v>0.43</v>
      </c>
      <c r="G29" cm="1">
        <f t="array" ref="G29">Common_InputFunctions.Utility_DisplayArrayInTable(Agresidue_SourceData.CropAttributes_Data(),Table_SourceData_CropAttributes[[#Headers],[Crop type]], -1)</f>
        <v>0.25</v>
      </c>
      <c r="H29" cm="1">
        <f t="array" ref="H29">Common_InputFunctions.Utility_DisplayArrayInTable(Agresidue_SourceData.CropAttributes_Data(),Table_SourceData_CropAttributes[[#Headers],[Crop type]], -1)</f>
        <v>0.4</v>
      </c>
      <c r="I29" cm="1">
        <f t="array" ref="I29">Common_InputFunctions.Utility_DisplayArrayInTable(Agresidue_SourceData.CropAttributes_Data(),Table_SourceData_CropAttributes[[#Headers],[Crop type]], -1)</f>
        <v>0.02</v>
      </c>
      <c r="J29" cm="1">
        <f t="array" ref="J29">Common_InputFunctions.Utility_DisplayArrayInTable(Agresidue_SourceData.CropAttributes_Data(),Table_SourceData_CropAttributes[[#Headers],[Crop type]], -1)</f>
        <v>0.01</v>
      </c>
      <c r="K29" t="str" cm="1">
        <f t="array" ref="K29">Common_InputFunctions.Utility_DisplayArrayInTable(Agresidue_SourceData.CropAttributes_Data(),Table_SourceData_CropAttributes[[#Headers],[Crop type]], -1)</f>
        <v>n/a</v>
      </c>
      <c r="L29" cm="1">
        <f t="array" ref="L29">Common_InputFunctions.Utility_DisplayArrayInTable(Agresidue_SourceData.CropAttributes_Data(),Table_SourceData_CropAttributes[[#Headers],[Crop type]], -1)</f>
        <v>0.85</v>
      </c>
    </row>
    <row r="30" spans="1:14" ht="20.100000000000001" customHeight="1" x14ac:dyDescent="0.2">
      <c r="D30" t="str" cm="1">
        <f t="array" ref="D30">Common_InputFunctions.Utility_DisplayArrayInTable(Agresidue_SourceData.CropAttributes_Data(),Table_SourceData_CropAttributes[[#Headers],[Crop type]], -1)</f>
        <v>Peanuts</v>
      </c>
      <c r="E30" cm="1">
        <f t="array" ref="E30">Common_InputFunctions.Utility_DisplayArrayInTable(Agresidue_SourceData.CropAttributes_Data(),Table_SourceData_CropAttributes[[#Headers],[Crop type]], -1)</f>
        <v>1.07</v>
      </c>
      <c r="F30" cm="1">
        <f t="array" ref="F30">Common_InputFunctions.Utility_DisplayArrayInTable(Agresidue_SourceData.CropAttributes_Data(),Table_SourceData_CropAttributes[[#Headers],[Crop type]], -1)</f>
        <v>0.2</v>
      </c>
      <c r="G30" cm="1">
        <f t="array" ref="G30">Common_InputFunctions.Utility_DisplayArrayInTable(Agresidue_SourceData.CropAttributes_Data(),Table_SourceData_CropAttributes[[#Headers],[Crop type]], -1)</f>
        <v>0.8</v>
      </c>
      <c r="H30" cm="1">
        <f t="array" ref="H30">Common_InputFunctions.Utility_DisplayArrayInTable(Agresidue_SourceData.CropAttributes_Data(),Table_SourceData_CropAttributes[[#Headers],[Crop type]], -1)</f>
        <v>0.42</v>
      </c>
      <c r="I30" cm="1">
        <f t="array" ref="I30">Common_InputFunctions.Utility_DisplayArrayInTable(Agresidue_SourceData.CropAttributes_Data(),Table_SourceData_CropAttributes[[#Headers],[Crop type]], -1)</f>
        <v>1.6E-2</v>
      </c>
      <c r="J30" cm="1">
        <f t="array" ref="J30">Common_InputFunctions.Utility_DisplayArrayInTable(Agresidue_SourceData.CropAttributes_Data(),Table_SourceData_CropAttributes[[#Headers],[Crop type]], -1)</f>
        <v>1.4E-2</v>
      </c>
      <c r="K30" cm="1">
        <f t="array" ref="K30">Common_InputFunctions.Utility_DisplayArrayInTable(Agresidue_SourceData.CropAttributes_Data(),Table_SourceData_CropAttributes[[#Headers],[Crop type]], -1)</f>
        <v>0.5</v>
      </c>
      <c r="L30" cm="1">
        <f t="array" ref="L30">Common_InputFunctions.Utility_DisplayArrayInTable(Agresidue_SourceData.CropAttributes_Data(),Table_SourceData_CropAttributes[[#Headers],[Crop type]], -1)</f>
        <v>0.85</v>
      </c>
    </row>
    <row r="31" spans="1:14" ht="20.100000000000001" customHeight="1" x14ac:dyDescent="0.2">
      <c r="D31" t="str" cm="1">
        <f t="array" ref="D31">Common_InputFunctions.Utility_DisplayArrayInTable(Agresidue_SourceData.CropAttributes_Data(),Table_SourceData_CropAttributes[[#Headers],[Crop type]], -1)</f>
        <v>Sugar cane</v>
      </c>
      <c r="E31" cm="1">
        <f t="array" ref="E31">Common_InputFunctions.Utility_DisplayArrayInTable(Agresidue_SourceData.CropAttributes_Data(),Table_SourceData_CropAttributes[[#Headers],[Crop type]], -1)</f>
        <v>0.25</v>
      </c>
      <c r="F31" cm="1">
        <f t="array" ref="F31">Common_InputFunctions.Utility_DisplayArrayInTable(Agresidue_SourceData.CropAttributes_Data(),Table_SourceData_CropAttributes[[#Headers],[Crop type]], -1)</f>
        <v>0.45</v>
      </c>
      <c r="G31" cm="1">
        <f t="array" ref="G31">Common_InputFunctions.Utility_DisplayArrayInTable(Agresidue_SourceData.CropAttributes_Data(),Table_SourceData_CropAttributes[[#Headers],[Crop type]], -1)</f>
        <v>0.2</v>
      </c>
      <c r="H31" cm="1">
        <f t="array" ref="H31">Common_InputFunctions.Utility_DisplayArrayInTable(Agresidue_SourceData.CropAttributes_Data(),Table_SourceData_CropAttributes[[#Headers],[Crop type]], -1)</f>
        <v>0.4</v>
      </c>
      <c r="I31" cm="1">
        <f t="array" ref="I31">Common_InputFunctions.Utility_DisplayArrayInTable(Agresidue_SourceData.CropAttributes_Data(),Table_SourceData_CropAttributes[[#Headers],[Crop type]], -1)</f>
        <v>5.0000000000000001E-3</v>
      </c>
      <c r="J31" cm="1">
        <f t="array" ref="J31">Common_InputFunctions.Utility_DisplayArrayInTable(Agresidue_SourceData.CropAttributes_Data(),Table_SourceData_CropAttributes[[#Headers],[Crop type]], -1)</f>
        <v>7.0000000000000001E-3</v>
      </c>
      <c r="K31" cm="1">
        <f t="array" ref="K31">Common_InputFunctions.Utility_DisplayArrayInTable(Agresidue_SourceData.CropAttributes_Data(),Table_SourceData_CropAttributes[[#Headers],[Crop type]], -1)</f>
        <v>1</v>
      </c>
      <c r="L31" cm="1">
        <f t="array" ref="L31">Common_InputFunctions.Utility_DisplayArrayInTable(Agresidue_SourceData.CropAttributes_Data(),Table_SourceData_CropAttributes[[#Headers],[Crop type]], -1)</f>
        <v>0.8</v>
      </c>
    </row>
    <row r="32" spans="1:14" ht="20.100000000000001" customHeight="1" x14ac:dyDescent="0.2">
      <c r="D32" t="str" cm="1">
        <f t="array" ref="D32">Common_InputFunctions.Utility_DisplayArrayInTable(Agresidue_SourceData.CropAttributes_Data(),Table_SourceData_CropAttributes[[#Headers],[Crop type]], -1)</f>
        <v>Cotton</v>
      </c>
      <c r="E32" cm="1">
        <f t="array" ref="E32">Common_InputFunctions.Utility_DisplayArrayInTable(Agresidue_SourceData.CropAttributes_Data(),Table_SourceData_CropAttributes[[#Headers],[Crop type]], -1)</f>
        <v>1.9</v>
      </c>
      <c r="F32" cm="1">
        <f t="array" ref="F32">Common_InputFunctions.Utility_DisplayArrayInTable(Agresidue_SourceData.CropAttributes_Data(),Table_SourceData_CropAttributes[[#Headers],[Crop type]], -1)</f>
        <v>0.3</v>
      </c>
      <c r="G32" cm="1">
        <f t="array" ref="G32">Common_InputFunctions.Utility_DisplayArrayInTable(Agresidue_SourceData.CropAttributes_Data(),Table_SourceData_CropAttributes[[#Headers],[Crop type]], -1)</f>
        <v>0.9</v>
      </c>
      <c r="H32" cm="1">
        <f t="array" ref="H32">Common_InputFunctions.Utility_DisplayArrayInTable(Agresidue_SourceData.CropAttributes_Data(),Table_SourceData_CropAttributes[[#Headers],[Crop type]], -1)</f>
        <v>0.4</v>
      </c>
      <c r="I32" cm="1">
        <f t="array" ref="I32">Common_InputFunctions.Utility_DisplayArrayInTable(Agresidue_SourceData.CropAttributes_Data(),Table_SourceData_CropAttributes[[#Headers],[Crop type]], -1)</f>
        <v>0.01</v>
      </c>
      <c r="J32" cm="1">
        <f t="array" ref="J32">Common_InputFunctions.Utility_DisplayArrayInTable(Agresidue_SourceData.CropAttributes_Data(),Table_SourceData_CropAttributes[[#Headers],[Crop type]], -1)</f>
        <v>0.01</v>
      </c>
      <c r="K32" t="str" cm="1">
        <f t="array" ref="K32">Common_InputFunctions.Utility_DisplayArrayInTable(Agresidue_SourceData.CropAttributes_Data(),Table_SourceData_CropAttributes[[#Headers],[Crop type]], -1)</f>
        <v>n/a</v>
      </c>
      <c r="L32" cm="1">
        <f t="array" ref="L32">Common_InputFunctions.Utility_DisplayArrayInTable(Agresidue_SourceData.CropAttributes_Data(),Table_SourceData_CropAttributes[[#Headers],[Crop type]], -1)</f>
        <v>0.85</v>
      </c>
    </row>
    <row r="33" spans="4:13" ht="20.100000000000001" customHeight="1" x14ac:dyDescent="0.2">
      <c r="D33" t="str" cm="1">
        <f t="array" ref="D33">Common_InputFunctions.Utility_DisplayArrayInTable(Agresidue_SourceData.CropAttributes_Data(),Table_SourceData_CropAttributes[[#Headers],[Crop type]], -1)</f>
        <v>Hops</v>
      </c>
      <c r="E33" cm="1">
        <f t="array" ref="E33">Common_InputFunctions.Utility_DisplayArrayInTable(Agresidue_SourceData.CropAttributes_Data(),Table_SourceData_CropAttributes[[#Headers],[Crop type]], -1)</f>
        <v>1.5</v>
      </c>
      <c r="F33" cm="1">
        <f t="array" ref="F33">Common_InputFunctions.Utility_DisplayArrayInTable(Agresidue_SourceData.CropAttributes_Data(),Table_SourceData_CropAttributes[[#Headers],[Crop type]], -1)</f>
        <v>0.28999999999999998</v>
      </c>
      <c r="G33" cm="1">
        <f t="array" ref="G33">Common_InputFunctions.Utility_DisplayArrayInTable(Agresidue_SourceData.CropAttributes_Data(),Table_SourceData_CropAttributes[[#Headers],[Crop type]], -1)</f>
        <v>0.88</v>
      </c>
      <c r="H33" cm="1">
        <f t="array" ref="H33">Common_InputFunctions.Utility_DisplayArrayInTable(Agresidue_SourceData.CropAttributes_Data(),Table_SourceData_CropAttributes[[#Headers],[Crop type]], -1)</f>
        <v>0.4</v>
      </c>
      <c r="I33" cm="1">
        <f t="array" ref="I33">Common_InputFunctions.Utility_DisplayArrayInTable(Agresidue_SourceData.CropAttributes_Data(),Table_SourceData_CropAttributes[[#Headers],[Crop type]], -1)</f>
        <v>6.0000000000000001E-3</v>
      </c>
      <c r="J33" t="str" cm="1">
        <f t="array" ref="J33">Common_InputFunctions.Utility_DisplayArrayInTable(Agresidue_SourceData.CropAttributes_Data(),Table_SourceData_CropAttributes[[#Headers],[Crop type]], -1)</f>
        <v>n/a</v>
      </c>
      <c r="K33" t="str" cm="1">
        <f t="array" ref="K33">Common_InputFunctions.Utility_DisplayArrayInTable(Agresidue_SourceData.CropAttributes_Data(),Table_SourceData_CropAttributes[[#Headers],[Crop type]], -1)</f>
        <v>n/a</v>
      </c>
      <c r="L33" cm="1">
        <f t="array" ref="L33">Common_InputFunctions.Utility_DisplayArrayInTable(Agresidue_SourceData.CropAttributes_Data(),Table_SourceData_CropAttributes[[#Headers],[Crop type]], -1)</f>
        <v>0.85</v>
      </c>
    </row>
    <row r="34" spans="4:13" ht="20.100000000000001" customHeight="1" x14ac:dyDescent="0.2">
      <c r="D34" t="str" cm="1">
        <f t="array" ref="D34">Common_InputFunctions.Utility_DisplayArrayInTable(Agresidue_SourceData.CropAttributes_Data(),Table_SourceData_CropAttributes[[#Headers],[Crop type]], -1)</f>
        <v>Oilseeds</v>
      </c>
      <c r="E34" cm="1">
        <f t="array" ref="E34">Common_InputFunctions.Utility_DisplayArrayInTable(Agresidue_SourceData.CropAttributes_Data(),Table_SourceData_CropAttributes[[#Headers],[Crop type]], -1)</f>
        <v>2.08</v>
      </c>
      <c r="F34" cm="1">
        <f t="array" ref="F34">Common_InputFunctions.Utility_DisplayArrayInTable(Agresidue_SourceData.CropAttributes_Data(),Table_SourceData_CropAttributes[[#Headers],[Crop type]], -1)</f>
        <v>0.33</v>
      </c>
      <c r="G34" cm="1">
        <f t="array" ref="G34">Common_InputFunctions.Utility_DisplayArrayInTable(Agresidue_SourceData.CropAttributes_Data(),Table_SourceData_CropAttributes[[#Headers],[Crop type]], -1)</f>
        <v>0.96</v>
      </c>
      <c r="H34" cm="1">
        <f t="array" ref="H34">Common_InputFunctions.Utility_DisplayArrayInTable(Agresidue_SourceData.CropAttributes_Data(),Table_SourceData_CropAttributes[[#Headers],[Crop type]], -1)</f>
        <v>0.4</v>
      </c>
      <c r="I34" cm="1">
        <f t="array" ref="I34">Common_InputFunctions.Utility_DisplayArrayInTable(Agresidue_SourceData.CropAttributes_Data(),Table_SourceData_CropAttributes[[#Headers],[Crop type]], -1)</f>
        <v>8.9999999999999993E-3</v>
      </c>
      <c r="J34" cm="1">
        <f t="array" ref="J34">Common_InputFunctions.Utility_DisplayArrayInTable(Agresidue_SourceData.CropAttributes_Data(),Table_SourceData_CropAttributes[[#Headers],[Crop type]], -1)</f>
        <v>0.01</v>
      </c>
      <c r="K34" cm="1">
        <f t="array" ref="K34">Common_InputFunctions.Utility_DisplayArrayInTable(Agresidue_SourceData.CropAttributes_Data(),Table_SourceData_CropAttributes[[#Headers],[Crop type]], -1)</f>
        <v>0.5</v>
      </c>
      <c r="L34" cm="1">
        <f t="array" ref="L34">Common_InputFunctions.Utility_DisplayArrayInTable(Agresidue_SourceData.CropAttributes_Data(),Table_SourceData_CropAttributes[[#Headers],[Crop type]], -1)</f>
        <v>0.85</v>
      </c>
    </row>
    <row r="35" spans="4:13" ht="20.100000000000001" customHeight="1" x14ac:dyDescent="0.2">
      <c r="D35" t="str" cm="1">
        <f t="array" ref="D35">Common_InputFunctions.Utility_DisplayArrayInTable(Agresidue_SourceData.CropAttributes_Data(),Table_SourceData_CropAttributes[[#Headers],[Crop type]], -1)</f>
        <v>Forage crops</v>
      </c>
      <c r="E35" cm="1">
        <f t="array" ref="E35">Common_InputFunctions.Utility_DisplayArrayInTable(Agresidue_SourceData.CropAttributes_Data(),Table_SourceData_CropAttributes[[#Headers],[Crop type]], -1)</f>
        <v>1.34</v>
      </c>
      <c r="F35" cm="1">
        <f t="array" ref="F35">Common_InputFunctions.Utility_DisplayArrayInTable(Agresidue_SourceData.CropAttributes_Data(),Table_SourceData_CropAttributes[[#Headers],[Crop type]], -1)</f>
        <v>0.37</v>
      </c>
      <c r="G35" cm="1">
        <f t="array" ref="G35">Common_InputFunctions.Utility_DisplayArrayInTable(Agresidue_SourceData.CropAttributes_Data(),Table_SourceData_CropAttributes[[#Headers],[Crop type]], -1)</f>
        <v>0.88</v>
      </c>
      <c r="H35" cm="1">
        <f t="array" ref="H35">Common_InputFunctions.Utility_DisplayArrayInTable(Agresidue_SourceData.CropAttributes_Data(),Table_SourceData_CropAttributes[[#Headers],[Crop type]], -1)</f>
        <v>0.4</v>
      </c>
      <c r="I35" cm="1">
        <f t="array" ref="I35">Common_InputFunctions.Utility_DisplayArrayInTable(Agresidue_SourceData.CropAttributes_Data(),Table_SourceData_CropAttributes[[#Headers],[Crop type]], -1)</f>
        <v>6.0000000000000001E-3</v>
      </c>
      <c r="J35" cm="1">
        <f t="array" ref="J35">Common_InputFunctions.Utility_DisplayArrayInTable(Agresidue_SourceData.CropAttributes_Data(),Table_SourceData_CropAttributes[[#Headers],[Crop type]], -1)</f>
        <v>0.01</v>
      </c>
      <c r="K35" t="str" cm="1">
        <f t="array" ref="K35">Common_InputFunctions.Utility_DisplayArrayInTable(Agresidue_SourceData.CropAttributes_Data(),Table_SourceData_CropAttributes[[#Headers],[Crop type]], -1)</f>
        <v>n/a</v>
      </c>
      <c r="L35" cm="1">
        <f t="array" ref="L35">Common_InputFunctions.Utility_DisplayArrayInTable(Agresidue_SourceData.CropAttributes_Data(),Table_SourceData_CropAttributes[[#Headers],[Crop type]], -1)</f>
        <v>0.85</v>
      </c>
    </row>
    <row r="36" spans="4:13" ht="20.100000000000001" customHeight="1" x14ac:dyDescent="0.2">
      <c r="D36" t="str" cm="1">
        <f t="array" ref="D36">Common_InputFunctions.Utility_DisplayArrayInTable(Agresidue_SourceData.CropAttributes_Data(),Table_SourceData_CropAttributes[[#Headers],[Crop type]], -1)</f>
        <v>Other annual crops</v>
      </c>
      <c r="E36" cm="1">
        <f t="array" ref="E36">Common_InputFunctions.Utility_DisplayArrayInTable(Agresidue_SourceData.CropAttributes_Data(),Table_SourceData_CropAttributes[[#Headers],[Crop type]], -1)</f>
        <v>1</v>
      </c>
      <c r="F36" cm="1">
        <f t="array" ref="F36">Common_InputFunctions.Utility_DisplayArrayInTable(Agresidue_SourceData.CropAttributes_Data(),Table_SourceData_CropAttributes[[#Headers],[Crop type]], -1)</f>
        <v>0.22</v>
      </c>
      <c r="G36" cm="1">
        <f t="array" ref="G36">Common_InputFunctions.Utility_DisplayArrayInTable(Agresidue_SourceData.CropAttributes_Data(),Table_SourceData_CropAttributes[[#Headers],[Crop type]], -1)</f>
        <v>0.85</v>
      </c>
      <c r="H36" cm="1">
        <f t="array" ref="H36">Common_InputFunctions.Utility_DisplayArrayInTable(Agresidue_SourceData.CropAttributes_Data(),Table_SourceData_CropAttributes[[#Headers],[Crop type]], -1)</f>
        <v>0.4</v>
      </c>
      <c r="I36" cm="1">
        <f t="array" ref="I36">Common_InputFunctions.Utility_DisplayArrayInTable(Agresidue_SourceData.CropAttributes_Data(),Table_SourceData_CropAttributes[[#Headers],[Crop type]], -1)</f>
        <v>8.0000000000000002E-3</v>
      </c>
      <c r="J36" cm="1">
        <f t="array" ref="J36">Common_InputFunctions.Utility_DisplayArrayInTable(Agresidue_SourceData.CropAttributes_Data(),Table_SourceData_CropAttributes[[#Headers],[Crop type]], -1)</f>
        <v>8.9999999999999993E-3</v>
      </c>
      <c r="K36" t="str" cm="1">
        <f t="array" ref="K36">Common_InputFunctions.Utility_DisplayArrayInTable(Agresidue_SourceData.CropAttributes_Data(),Table_SourceData_CropAttributes[[#Headers],[Crop type]], -1)</f>
        <v>n/a</v>
      </c>
      <c r="L36" t="str" cm="1">
        <f t="array" ref="L36">Common_InputFunctions.Utility_DisplayArrayInTable(Agresidue_SourceData.CropAttributes_Data(),Table_SourceData_CropAttributes[[#Headers],[Crop type]], -1)</f>
        <v>n/a</v>
      </c>
    </row>
    <row r="37" spans="4:13" ht="20.100000000000001" customHeight="1" x14ac:dyDescent="0.2">
      <c r="D37" t="str" cm="1">
        <f t="array" ref="D37">Common_InputFunctions.Utility_DisplayArrayInTable(Agresidue_SourceData.CropAttributes_Data(),Table_SourceData_CropAttributes[[#Headers],[Crop type]], -1)</f>
        <v>Other perennial crops</v>
      </c>
      <c r="E37" cm="1">
        <f t="array" ref="E37">Common_InputFunctions.Utility_DisplayArrayInTable(Agresidue_SourceData.CropAttributes_Data(),Table_SourceData_CropAttributes[[#Headers],[Crop type]], -1)</f>
        <v>1.5</v>
      </c>
      <c r="F37" cm="1">
        <f t="array" ref="F37">Common_InputFunctions.Utility_DisplayArrayInTable(Agresidue_SourceData.CropAttributes_Data(),Table_SourceData_CropAttributes[[#Headers],[Crop type]], -1)</f>
        <v>0.28999999999999998</v>
      </c>
      <c r="G37" cm="1">
        <f t="array" ref="G37">Common_InputFunctions.Utility_DisplayArrayInTable(Agresidue_SourceData.CropAttributes_Data(),Table_SourceData_CropAttributes[[#Headers],[Crop type]], -1)</f>
        <v>0.88</v>
      </c>
      <c r="H37" cm="1">
        <f t="array" ref="H37">Common_InputFunctions.Utility_DisplayArrayInTable(Agresidue_SourceData.CropAttributes_Data(),Table_SourceData_CropAttributes[[#Headers],[Crop type]], -1)</f>
        <v>0.4</v>
      </c>
      <c r="I37" cm="1">
        <f t="array" ref="I37">Common_InputFunctions.Utility_DisplayArrayInTable(Agresidue_SourceData.CropAttributes_Data(),Table_SourceData_CropAttributes[[#Headers],[Crop type]], -1)</f>
        <v>6.0000000000000001E-3</v>
      </c>
      <c r="J37" t="str" cm="1">
        <f t="array" ref="J37">Common_InputFunctions.Utility_DisplayArrayInTable(Agresidue_SourceData.CropAttributes_Data(),Table_SourceData_CropAttributes[[#Headers],[Crop type]], -1)</f>
        <v>n/a</v>
      </c>
      <c r="K37" t="str" cm="1">
        <f t="array" ref="K37">Common_InputFunctions.Utility_DisplayArrayInTable(Agresidue_SourceData.CropAttributes_Data(),Table_SourceData_CropAttributes[[#Headers],[Crop type]], -1)</f>
        <v>n/a</v>
      </c>
      <c r="L37" t="str" cm="1">
        <f t="array" ref="L37">Common_InputFunctions.Utility_DisplayArrayInTable(Agresidue_SourceData.CropAttributes_Data(),Table_SourceData_CropAttributes[[#Headers],[Crop type]], -1)</f>
        <v>n/a</v>
      </c>
    </row>
    <row r="38" spans="4:13" ht="20.100000000000001" customHeight="1" x14ac:dyDescent="0.2">
      <c r="D38" s="21"/>
      <c r="E38" s="21"/>
      <c r="F38" s="21"/>
      <c r="G38" s="21"/>
      <c r="H38" s="21"/>
      <c r="I38" s="21"/>
      <c r="J38" s="21"/>
      <c r="K38" s="21"/>
      <c r="L38" s="21"/>
    </row>
    <row r="39" spans="4:13" ht="20.100000000000001" customHeight="1" x14ac:dyDescent="0.2">
      <c r="D39" s="21"/>
      <c r="E39" s="21"/>
      <c r="F39" s="21"/>
      <c r="G39" s="21"/>
      <c r="H39" s="21"/>
      <c r="I39" s="21"/>
      <c r="J39" s="21"/>
      <c r="K39" s="21"/>
      <c r="L39" s="21"/>
    </row>
    <row r="40" spans="4:13" ht="20.100000000000001" customHeight="1" x14ac:dyDescent="0.2">
      <c r="D40" s="6" t="str" cm="1">
        <f t="array" ref="D40">Agresidue_SourceData.N2OEFOrganicFertiliser_Title()</f>
        <v>Emission factor for organic fertiliser and crop residues returned to the soil</v>
      </c>
      <c r="E40" s="3"/>
      <c r="F40" s="3"/>
      <c r="G40" s="21"/>
      <c r="H40" s="21"/>
      <c r="I40" s="21"/>
      <c r="J40" s="21"/>
      <c r="K40" s="21"/>
      <c r="L40" s="21"/>
    </row>
    <row r="41" spans="4:13" ht="20.100000000000001" customHeight="1" x14ac:dyDescent="0.2">
      <c r="D41" s="5" t="str" cm="1">
        <f t="array" ref="D41">Agresidue_SourceData.N2OEFOrganicFertiliser_Source()</f>
        <v>VEERG 2026: Table A.2.1.4</v>
      </c>
      <c r="E41" s="3"/>
      <c r="F41" s="3"/>
      <c r="G41" s="21"/>
      <c r="H41" s="21"/>
      <c r="I41" s="21"/>
      <c r="J41" s="21"/>
      <c r="K41" s="21"/>
      <c r="L41" s="21"/>
    </row>
    <row r="42" spans="4:13" ht="20.100000000000001" customHeight="1" x14ac:dyDescent="0.2">
      <c r="D42" s="5"/>
      <c r="E42" s="3"/>
      <c r="F42" s="3"/>
      <c r="H42" s="21"/>
      <c r="I42" s="21"/>
      <c r="M42" s="3"/>
    </row>
    <row r="43" spans="4:13" ht="20.100000000000001" customHeight="1" x14ac:dyDescent="0.2">
      <c r="D43" s="106" t="s">
        <v>173</v>
      </c>
      <c r="E43" s="106" t="s">
        <v>174</v>
      </c>
      <c r="F43" s="3"/>
      <c r="H43" s="21"/>
      <c r="I43" s="21"/>
      <c r="M43" s="3"/>
    </row>
    <row r="44" spans="4:13" ht="20.100000000000001" customHeight="1" x14ac:dyDescent="0.2">
      <c r="D44" s="35" t="str" cm="1">
        <f t="array" ref="D44">Common_InputFunctions.Utility_DisplayArrayInTable(Agresidue_SourceData.N2OEFOrganicFertiliser_Data(), Table_SourceData_N2OEFOrganicFert[[#Headers],[Climate zone type i]], 0)</f>
        <v>Wet climate zone</v>
      </c>
      <c r="E44" s="35" cm="1">
        <f t="array" ref="E44">Common_InputFunctions.Utility_DisplayArrayInTable(Agresidue_SourceData.N2OEFOrganicFertiliser_Data(), Table_SourceData_N2OEFOrganicFert[[#Headers],[Climate zone type i]], 0)</f>
        <v>6.0000000000000001E-3</v>
      </c>
      <c r="F44" s="3"/>
      <c r="H44" s="21"/>
      <c r="I44" s="21"/>
      <c r="M44" s="3"/>
    </row>
    <row r="45" spans="4:13" ht="20.100000000000001" customHeight="1" x14ac:dyDescent="0.2">
      <c r="D45" s="35" t="str" cm="1">
        <f t="array" ref="D45">Common_InputFunctions.Utility_DisplayArrayInTable(Agresidue_SourceData.N2OEFOrganicFertiliser_Data(), Table_SourceData_N2OEFOrganicFert[[#Headers],[Climate zone type i]], 0)</f>
        <v>Dry climate zone</v>
      </c>
      <c r="E45" s="35" cm="1">
        <f t="array" ref="E45">Common_InputFunctions.Utility_DisplayArrayInTable(Agresidue_SourceData.N2OEFOrganicFertiliser_Data(), Table_SourceData_N2OEFOrganicFert[[#Headers],[Climate zone type i]], 0)</f>
        <v>5.0000000000000001E-3</v>
      </c>
      <c r="F45" s="3"/>
      <c r="H45" s="21"/>
      <c r="I45" s="21"/>
      <c r="M45" s="3"/>
    </row>
    <row r="46" spans="4:13" ht="20.100000000000001" customHeight="1" x14ac:dyDescent="0.2">
      <c r="H46" s="21"/>
      <c r="I46" s="21"/>
      <c r="M46" s="3"/>
    </row>
    <row r="47" spans="4:13" ht="20.100000000000001" customHeight="1" x14ac:dyDescent="0.2">
      <c r="M47" s="3"/>
    </row>
    <row r="48" spans="4:13" ht="20.100000000000001" customHeight="1" x14ac:dyDescent="0.2">
      <c r="D48" s="6" t="str" cm="1">
        <f t="array" ref="D48">Agresidue_SourceData.PastureAttributes_Title()</f>
        <v>Table A.2.1.3 Pasture attributes</v>
      </c>
      <c r="K48" s="21"/>
      <c r="L48" s="21"/>
    </row>
    <row r="49" spans="4:12" ht="20.100000000000001" customHeight="1" x14ac:dyDescent="0.2">
      <c r="D49" s="5" t="str" cm="1">
        <f t="array" ref="D49">Agresidue_SourceData.PastureAttributes_Source()</f>
        <v>VEERG 2026: Table A.2.1.3: Pasture attributes</v>
      </c>
      <c r="K49" s="21"/>
      <c r="L49" s="21"/>
    </row>
    <row r="50" spans="4:12" ht="20.100000000000001" customHeight="1" x14ac:dyDescent="0.2">
      <c r="K50" s="21"/>
      <c r="L50" s="21"/>
    </row>
    <row r="51" spans="4:12" ht="20.100000000000001" customHeight="1" x14ac:dyDescent="0.2">
      <c r="D51" s="36" t="s">
        <v>176</v>
      </c>
      <c r="E51" s="36" t="s">
        <v>177</v>
      </c>
      <c r="F51" s="36" t="s">
        <v>178</v>
      </c>
      <c r="G51" s="36" t="s">
        <v>179</v>
      </c>
      <c r="H51" s="36" t="s">
        <v>180</v>
      </c>
      <c r="I51" s="36" t="s">
        <v>181</v>
      </c>
      <c r="K51" s="21"/>
      <c r="L51" s="21"/>
    </row>
    <row r="52" spans="4:12" ht="20.100000000000001" customHeight="1" x14ac:dyDescent="0.2">
      <c r="D52" s="36" t="str" cm="1">
        <f t="array" ref="D52">Common_InputFunctions.Utility_DisplayArrayInTable(Agresidue_SourceData.PastureAttributes_Data(), Table_SourceData_PastureAttributes[[#Headers],[Pasture type]], 0)</f>
        <v>Annual grass</v>
      </c>
      <c r="E52" s="36" cm="1">
        <f t="array" ref="E52">Common_InputFunctions.Utility_DisplayArrayInTable(Agresidue_SourceData.PastureAttributes_Data(), Table_SourceData_PastureAttributes[[#Headers],[Pasture type]], 0)</f>
        <v>4.41</v>
      </c>
      <c r="F52" s="36" cm="1">
        <f t="array" ref="F52">Common_InputFunctions.Utility_DisplayArrayInTable(Agresidue_SourceData.PastureAttributes_Data(), Table_SourceData_PastureAttributes[[#Headers],[Pasture type]], 0)</f>
        <v>0.4</v>
      </c>
      <c r="G52" s="36" cm="1">
        <f t="array" ref="G52">Common_InputFunctions.Utility_DisplayArrayInTable(Agresidue_SourceData.PastureAttributes_Data(), Table_SourceData_PastureAttributes[[#Headers],[Pasture type]], 0)</f>
        <v>1.4999999999999999E-2</v>
      </c>
      <c r="H52" s="36" cm="1">
        <f t="array" ref="H52">Common_InputFunctions.Utility_DisplayArrayInTable(Agresidue_SourceData.PastureAttributes_Data(), Table_SourceData_PastureAttributes[[#Headers],[Pasture type]], 0)</f>
        <v>1.2E-2</v>
      </c>
      <c r="I52" s="36" cm="1">
        <f t="array" ref="I52">Common_InputFunctions.Utility_DisplayArrayInTable(Agresidue_SourceData.PastureAttributes_Data(), Table_SourceData_PastureAttributes[[#Headers],[Pasture type]], 0)</f>
        <v>0.8</v>
      </c>
      <c r="L52" s="21"/>
    </row>
    <row r="53" spans="4:12" ht="20.100000000000001" customHeight="1" x14ac:dyDescent="0.2">
      <c r="D53" s="36" t="str" cm="1">
        <f t="array" ref="D53">Common_InputFunctions.Utility_DisplayArrayInTable(Agresidue_SourceData.PastureAttributes_Data(), Table_SourceData_PastureAttributes[[#Headers],[Pasture type]], 0)</f>
        <v>Grass clover mixture</v>
      </c>
      <c r="E53" s="36" cm="1">
        <f t="array" ref="E53">Common_InputFunctions.Utility_DisplayArrayInTable(Agresidue_SourceData.PastureAttributes_Data(), Table_SourceData_PastureAttributes[[#Headers],[Pasture type]], 0)</f>
        <v>8.34</v>
      </c>
      <c r="F53" s="36" cm="1">
        <f t="array" ref="F53">Common_InputFunctions.Utility_DisplayArrayInTable(Agresidue_SourceData.PastureAttributes_Data(), Table_SourceData_PastureAttributes[[#Headers],[Pasture type]], 0)</f>
        <v>0.8</v>
      </c>
      <c r="G53" s="36" cm="1">
        <f t="array" ref="G53">Common_InputFunctions.Utility_DisplayArrayInTable(Agresidue_SourceData.PastureAttributes_Data(), Table_SourceData_PastureAttributes[[#Headers],[Pasture type]], 0)</f>
        <v>2.5000000000000001E-2</v>
      </c>
      <c r="H53" s="36" cm="1">
        <f t="array" ref="H53">Common_InputFunctions.Utility_DisplayArrayInTable(Agresidue_SourceData.PastureAttributes_Data(), Table_SourceData_PastureAttributes[[#Headers],[Pasture type]], 0)</f>
        <v>1.6E-2</v>
      </c>
      <c r="I53" s="36" cm="1">
        <f t="array" ref="I53">Common_InputFunctions.Utility_DisplayArrayInTable(Agresidue_SourceData.PastureAttributes_Data(), Table_SourceData_PastureAttributes[[#Headers],[Pasture type]], 0)</f>
        <v>0.8</v>
      </c>
      <c r="L53" s="21"/>
    </row>
    <row r="54" spans="4:12" ht="20.100000000000001" customHeight="1" x14ac:dyDescent="0.2">
      <c r="D54" s="36" t="str" cm="1">
        <f t="array" ref="D54">Common_InputFunctions.Utility_DisplayArrayInTable(Agresidue_SourceData.PastureAttributes_Data(), Table_SourceData_PastureAttributes[[#Headers],[Pasture type]], 0)</f>
        <v>Lucerne</v>
      </c>
      <c r="E54" s="36" cm="1">
        <f t="array" ref="E54">Common_InputFunctions.Utility_DisplayArrayInTable(Agresidue_SourceData.PastureAttributes_Data(), Table_SourceData_PastureAttributes[[#Headers],[Pasture type]], 0)</f>
        <v>8.6199999999999992</v>
      </c>
      <c r="F54" s="36" cm="1">
        <f t="array" ref="F54">Common_InputFunctions.Utility_DisplayArrayInTable(Agresidue_SourceData.PastureAttributes_Data(), Table_SourceData_PastureAttributes[[#Headers],[Pasture type]], 0)</f>
        <v>0.4</v>
      </c>
      <c r="G54" s="36" cm="1">
        <f t="array" ref="G54">Common_InputFunctions.Utility_DisplayArrayInTable(Agresidue_SourceData.PastureAttributes_Data(), Table_SourceData_PastureAttributes[[#Headers],[Pasture type]], 0)</f>
        <v>2.7E-2</v>
      </c>
      <c r="H54" s="36" cm="1">
        <f t="array" ref="H54">Common_InputFunctions.Utility_DisplayArrayInTable(Agresidue_SourceData.PastureAttributes_Data(), Table_SourceData_PastureAttributes[[#Headers],[Pasture type]], 0)</f>
        <v>1.9E-2</v>
      </c>
      <c r="I54" s="36" cm="1">
        <f t="array" ref="I54">Common_InputFunctions.Utility_DisplayArrayInTable(Agresidue_SourceData.PastureAttributes_Data(), Table_SourceData_PastureAttributes[[#Headers],[Pasture type]], 0)</f>
        <v>0.8</v>
      </c>
    </row>
    <row r="55" spans="4:12" ht="20.100000000000001" customHeight="1" x14ac:dyDescent="0.2">
      <c r="D55" s="36" t="str" cm="1">
        <f t="array" ref="D55">Common_InputFunctions.Utility_DisplayArrayInTable(Agresidue_SourceData.PastureAttributes_Data(), Table_SourceData_PastureAttributes[[#Headers],[Pasture type]], 0)</f>
        <v>Other legume</v>
      </c>
      <c r="E55" s="36" cm="1">
        <f t="array" ref="E55">Common_InputFunctions.Utility_DisplayArrayInTable(Agresidue_SourceData.PastureAttributes_Data(), Table_SourceData_PastureAttributes[[#Headers],[Pasture type]], 0)</f>
        <v>5.62</v>
      </c>
      <c r="F55" s="36" cm="1">
        <f t="array" ref="F55">Common_InputFunctions.Utility_DisplayArrayInTable(Agresidue_SourceData.PastureAttributes_Data(), Table_SourceData_PastureAttributes[[#Headers],[Pasture type]], 0)</f>
        <v>0.4</v>
      </c>
      <c r="G55" s="36" cm="1">
        <f t="array" ref="G55">Common_InputFunctions.Utility_DisplayArrayInTable(Agresidue_SourceData.PastureAttributes_Data(), Table_SourceData_PastureAttributes[[#Headers],[Pasture type]], 0)</f>
        <v>2.7E-2</v>
      </c>
      <c r="H55" s="36" cm="1">
        <f t="array" ref="H55">Common_InputFunctions.Utility_DisplayArrayInTable(Agresidue_SourceData.PastureAttributes_Data(), Table_SourceData_PastureAttributes[[#Headers],[Pasture type]], 0)</f>
        <v>2.1999999999999999E-2</v>
      </c>
      <c r="I55" s="36" cm="1">
        <f t="array" ref="I55">Common_InputFunctions.Utility_DisplayArrayInTable(Agresidue_SourceData.PastureAttributes_Data(), Table_SourceData_PastureAttributes[[#Headers],[Pasture type]], 0)</f>
        <v>0.8</v>
      </c>
    </row>
    <row r="56" spans="4:12" ht="20.100000000000001" customHeight="1" x14ac:dyDescent="0.2">
      <c r="D56" s="36" t="str" cm="1">
        <f t="array" ref="D56">Common_InputFunctions.Utility_DisplayArrayInTable(Agresidue_SourceData.PastureAttributes_Data(), Table_SourceData_PastureAttributes[[#Headers],[Pasture type]], 0)</f>
        <v>Perennial pasture</v>
      </c>
      <c r="E56" s="36" cm="1">
        <f t="array" ref="E56">Common_InputFunctions.Utility_DisplayArrayInTable(Agresidue_SourceData.PastureAttributes_Data(), Table_SourceData_PastureAttributes[[#Headers],[Pasture type]], 0)</f>
        <v>8.35</v>
      </c>
      <c r="F56" s="36" cm="1">
        <f t="array" ref="F56">Common_InputFunctions.Utility_DisplayArrayInTable(Agresidue_SourceData.PastureAttributes_Data(), Table_SourceData_PastureAttributes[[#Headers],[Pasture type]], 0)</f>
        <v>0.8</v>
      </c>
      <c r="G56" s="36" cm="1">
        <f t="array" ref="G56">Common_InputFunctions.Utility_DisplayArrayInTable(Agresidue_SourceData.PastureAttributes_Data(), Table_SourceData_PastureAttributes[[#Headers],[Pasture type]], 0)</f>
        <v>1.4999999999999999E-2</v>
      </c>
      <c r="H56" s="36" cm="1">
        <f t="array" ref="H56">Common_InputFunctions.Utility_DisplayArrayInTable(Agresidue_SourceData.PastureAttributes_Data(), Table_SourceData_PastureAttributes[[#Headers],[Pasture type]], 0)</f>
        <v>1.2E-2</v>
      </c>
      <c r="I56" s="36" cm="1">
        <f t="array" ref="I56">Common_InputFunctions.Utility_DisplayArrayInTable(Agresidue_SourceData.PastureAttributes_Data(), Table_SourceData_PastureAttributes[[#Headers],[Pasture type]], 0)</f>
        <v>0.8</v>
      </c>
    </row>
    <row r="57" spans="4:12" ht="20.100000000000001" customHeight="1" x14ac:dyDescent="0.2">
      <c r="H57" s="21"/>
    </row>
    <row r="59" spans="4:12" ht="20.100000000000001" customHeight="1" x14ac:dyDescent="0.2">
      <c r="D59" s="6" t="str" cm="1">
        <f t="array" ref="D59">AgResidues_SourceData.BurningOfAgriculturalResiduesEFs_Title()</f>
        <v>Table 5.31 Burning of agricultural residues - EFs</v>
      </c>
    </row>
    <row r="60" spans="4:12" ht="20.100000000000001" customHeight="1" x14ac:dyDescent="0.2">
      <c r="D60" s="5" t="str" cm="1">
        <f t="array" ref="D60">AgResidues_SourceData.BurningOfAgriculturalResiduesEFs_Source()</f>
        <v>National Inventory Report 2023 volume 2: Table 5.31: Burning of agricultural residues - EFs</v>
      </c>
    </row>
    <row r="62" spans="4:12" ht="20.100000000000001" customHeight="1" x14ac:dyDescent="0.2">
      <c r="D62" s="36" t="s">
        <v>209</v>
      </c>
      <c r="E62" s="36" t="s">
        <v>210</v>
      </c>
      <c r="F62" s="36" t="s">
        <v>211</v>
      </c>
    </row>
    <row r="63" spans="4:12" ht="20.100000000000001" customHeight="1" x14ac:dyDescent="0.2">
      <c r="D63" s="36" t="str" cm="1">
        <f t="array" ref="D63">Common_InputFunctions.Utility_DisplayArrayInTable(AgResidues_SourceData.BurningOfAgriculturalResiduesEFs_Data(), Table_SourceData_BurningResidueEFs[[#Headers],[Gas species]], 0)</f>
        <v>CH4</v>
      </c>
      <c r="E63" s="36" cm="1">
        <f t="array" ref="E63">Common_InputFunctions.Utility_DisplayArrayInTable(AgResidues_SourceData.BurningOfAgriculturalResiduesEFs_Data(), Table_SourceData_BurningResidueEFs[[#Headers],[Gas species]], 0)</f>
        <v>3.5000000000000001E-3</v>
      </c>
      <c r="F63" s="36" t="str" cm="1">
        <f t="array" ref="F63">Common_InputFunctions.Utility_DisplayArrayInTable(AgResidues_SourceData.BurningOfAgriculturalResiduesEFs_Data(), Table_SourceData_BurningResidueEFs[[#Headers],[Gas species]], 0)</f>
        <v>16/12</v>
      </c>
      <c r="K63" s="21"/>
      <c r="L63" s="21"/>
    </row>
    <row r="64" spans="4:12" ht="20.100000000000001" customHeight="1" x14ac:dyDescent="0.2">
      <c r="D64" s="1" t="str" cm="1">
        <f t="array" ref="D64">Common_InputFunctions.Utility_DisplayArrayInTable(AgResidues_SourceData.BurningOfAgriculturalResiduesEFs_Data(), Table_SourceData_BurningResidueEFs[[#Headers],[Gas species]], 0)</f>
        <v>N2O</v>
      </c>
      <c r="E64" s="36" cm="1">
        <f t="array" ref="E64">Common_InputFunctions.Utility_DisplayArrayInTable(AgResidues_SourceData.BurningOfAgriculturalResiduesEFs_Data(), Table_SourceData_BurningResidueEFs[[#Headers],[Gas species]], 0)</f>
        <v>7.6E-3</v>
      </c>
      <c r="F64" s="36" t="str" cm="1">
        <f t="array" ref="F64">Common_InputFunctions.Utility_DisplayArrayInTable(AgResidues_SourceData.BurningOfAgriculturalResiduesEFs_Data(), Table_SourceData_BurningResidueEFs[[#Headers],[Gas species]], 0)</f>
        <v>44/28</v>
      </c>
      <c r="K64" s="21"/>
      <c r="L64" s="21"/>
    </row>
    <row r="65" spans="4:12" ht="20.100000000000001" customHeight="1" x14ac:dyDescent="0.2">
      <c r="D65" s="1" t="str" cm="1">
        <f t="array" ref="D65">Common_InputFunctions.Utility_DisplayArrayInTable(AgResidues_SourceData.BurningOfAgriculturalResiduesEFs_Data(), Table_SourceData_BurningResidueEFs[[#Headers],[Gas species]], 0)</f>
        <v>NOx</v>
      </c>
      <c r="E65" s="36" cm="1">
        <f t="array" ref="E65">Common_InputFunctions.Utility_DisplayArrayInTable(AgResidues_SourceData.BurningOfAgriculturalResiduesEFs_Data(), Table_SourceData_BurningResidueEFs[[#Headers],[Gas species]], 0)</f>
        <v>0.21</v>
      </c>
      <c r="F65" s="36" t="str" cm="1">
        <f t="array" ref="F65">Common_InputFunctions.Utility_DisplayArrayInTable(AgResidues_SourceData.BurningOfAgriculturalResiduesEFs_Data(), Table_SourceData_BurningResidueEFs[[#Headers],[Gas species]], 0)</f>
        <v>46/14</v>
      </c>
      <c r="K65" s="21"/>
      <c r="L65" s="21"/>
    </row>
    <row r="66" spans="4:12" ht="20.100000000000001" customHeight="1" x14ac:dyDescent="0.2">
      <c r="D66" s="1" t="str" cm="1">
        <f t="array" ref="D66">Common_InputFunctions.Utility_DisplayArrayInTable(AgResidues_SourceData.BurningOfAgriculturalResiduesEFs_Data(), Table_SourceData_BurningResidueEFs[[#Headers],[Gas species]], 0)</f>
        <v>CO</v>
      </c>
      <c r="E66" s="36" cm="1">
        <f t="array" ref="E66">Common_InputFunctions.Utility_DisplayArrayInTable(AgResidues_SourceData.BurningOfAgriculturalResiduesEFs_Data(), Table_SourceData_BurningResidueEFs[[#Headers],[Gas species]], 0)</f>
        <v>7.8E-2</v>
      </c>
      <c r="F66" s="36" t="str" cm="1">
        <f t="array" ref="F66">Common_InputFunctions.Utility_DisplayArrayInTable(AgResidues_SourceData.BurningOfAgriculturalResiduesEFs_Data(), Table_SourceData_BurningResidueEFs[[#Headers],[Gas species]], 0)</f>
        <v>28/12</v>
      </c>
      <c r="K66" s="21"/>
      <c r="L66" s="21"/>
    </row>
    <row r="67" spans="4:12" ht="20.100000000000001" customHeight="1" x14ac:dyDescent="0.2">
      <c r="D67" s="1" t="str" cm="1">
        <f t="array" ref="D67">Common_InputFunctions.Utility_DisplayArrayInTable(AgResidues_SourceData.BurningOfAgriculturalResiduesEFs_Data(), Table_SourceData_BurningResidueEFs[[#Headers],[Gas species]], 0)</f>
        <v>NMVOC</v>
      </c>
      <c r="E67" s="36" cm="1">
        <f t="array" ref="E67">Common_InputFunctions.Utility_DisplayArrayInTable(AgResidues_SourceData.BurningOfAgriculturalResiduesEFs_Data(), Table_SourceData_BurningResidueEFs[[#Headers],[Gas species]], 0)</f>
        <v>9.1000000000000004E-3</v>
      </c>
      <c r="F67" s="36" t="str" cm="1">
        <f t="array" ref="F67">Common_InputFunctions.Utility_DisplayArrayInTable(AgResidues_SourceData.BurningOfAgriculturalResiduesEFs_Data(), Table_SourceData_BurningResidueEFs[[#Headers],[Gas species]], 0)</f>
        <v>14/12</v>
      </c>
      <c r="K67" s="21"/>
      <c r="L67" s="21"/>
    </row>
    <row r="68" spans="4:12" ht="20.100000000000001" customHeight="1" x14ac:dyDescent="0.2">
      <c r="K68" s="21"/>
      <c r="L68" s="21"/>
    </row>
    <row r="69" spans="4:12" ht="20.100000000000001" customHeight="1" x14ac:dyDescent="0.2">
      <c r="K69" s="21"/>
      <c r="L69" s="21"/>
    </row>
    <row r="70" spans="4:12" ht="20.100000000000001" customHeight="1" x14ac:dyDescent="0.2">
      <c r="D70" s="6" t="str" cm="1">
        <f t="array" ref="D70">Agresidue_SourceData.CropFractionRemoved_Title()</f>
        <v>Table A.2.1.2: Crop attributes - Fraction removed (FFODc)</v>
      </c>
      <c r="E70" s="21"/>
      <c r="F70" s="21"/>
      <c r="G70" s="21"/>
      <c r="K70" s="21"/>
      <c r="L70" s="21"/>
    </row>
    <row r="71" spans="4:12" ht="20.100000000000001" customHeight="1" x14ac:dyDescent="0.2">
      <c r="D71" s="5" t="str" cm="1">
        <f t="array" ref="D71">Agresidue_SourceData.CropFractionRemoved_Source()</f>
        <v>VEERG 2026: Table A.2.1.2: Crop attributes - Fraction removed (FFODc)</v>
      </c>
      <c r="E71" s="21"/>
      <c r="F71" s="21"/>
      <c r="G71" s="21"/>
      <c r="K71" s="21"/>
      <c r="L71" s="21"/>
    </row>
    <row r="72" spans="4:12" ht="20.100000000000001" customHeight="1" x14ac:dyDescent="0.2">
      <c r="D72" s="21"/>
      <c r="E72" s="21"/>
      <c r="F72" s="21"/>
      <c r="G72" s="21"/>
      <c r="K72" s="21"/>
      <c r="L72" s="21"/>
    </row>
    <row r="73" spans="4:12" ht="20.100000000000001" customHeight="1" x14ac:dyDescent="0.2">
      <c r="D73" t="s">
        <v>163</v>
      </c>
      <c r="E73" t="s">
        <v>5</v>
      </c>
      <c r="F73" t="s">
        <v>164</v>
      </c>
      <c r="G73" s="21"/>
      <c r="K73" s="21"/>
      <c r="L73" s="21"/>
    </row>
    <row r="74" spans="4:12" ht="20.100000000000001" customHeight="1" x14ac:dyDescent="0.2">
      <c r="D74" t="str" cm="1">
        <f t="array" ref="D74">Common_InputFunctions.Utility_DisplayArrayInTable(Agresidue_SourceData.CropFractionRemoved_Data(), Table76[[#Headers],[Crop type c]], 0)</f>
        <v>Rice</v>
      </c>
      <c r="E74" t="str" cm="1">
        <f t="array" ref="E74">Common_InputFunctions.Utility_DisplayArrayInTable(Agresidue_SourceData.CropFractionRemoved_Data(), Table76[[#Headers],[Crop type c]], 0)</f>
        <v>All states</v>
      </c>
      <c r="F74" cm="1">
        <f t="array" ref="F74">Common_InputFunctions.Utility_DisplayArrayInTable(Agresidue_SourceData.CropFractionRemoved_Data(), Table76[[#Headers],[Crop type c]], 0)</f>
        <v>0.06</v>
      </c>
      <c r="G74" s="21"/>
      <c r="K74" s="21"/>
      <c r="L74" s="21"/>
    </row>
    <row r="75" spans="4:12" ht="20.100000000000001" customHeight="1" x14ac:dyDescent="0.2">
      <c r="D75" s="21" t="str" cm="1">
        <f t="array" ref="D75">Common_InputFunctions.Utility_DisplayArrayInTable(Agresidue_SourceData.CropFractionRemoved_Data(), Table76[[#Headers],[Crop type c]], 0)</f>
        <v>Tubers and roots</v>
      </c>
      <c r="E75" t="str" cm="1">
        <f t="array" ref="E75">Common_InputFunctions.Utility_DisplayArrayInTable(Agresidue_SourceData.CropFractionRemoved_Data(), Table76[[#Headers],[Crop type c]], 0)</f>
        <v>All states</v>
      </c>
      <c r="F75" cm="1">
        <f t="array" ref="F75">Common_InputFunctions.Utility_DisplayArrayInTable(Agresidue_SourceData.CropFractionRemoved_Data(), Table76[[#Headers],[Crop type c]], 0)</f>
        <v>1</v>
      </c>
      <c r="G75" s="21"/>
      <c r="H75" s="21"/>
      <c r="K75" s="21"/>
      <c r="L75" s="21"/>
    </row>
    <row r="76" spans="4:12" ht="20.100000000000001" customHeight="1" x14ac:dyDescent="0.2">
      <c r="D76" s="21" t="str" cm="1">
        <f t="array" ref="D76">Common_InputFunctions.Utility_DisplayArrayInTable(Agresidue_SourceData.CropFractionRemoved_Data(), Table76[[#Headers],[Crop type c]], 0)</f>
        <v>Cotton</v>
      </c>
      <c r="E76" t="str" cm="1">
        <f t="array" ref="E76">Common_InputFunctions.Utility_DisplayArrayInTable(Agresidue_SourceData.CropFractionRemoved_Data(), Table76[[#Headers],[Crop type c]], 0)</f>
        <v>All states</v>
      </c>
      <c r="F76" cm="1">
        <f t="array" ref="F76">Common_InputFunctions.Utility_DisplayArrayInTable(Agresidue_SourceData.CropFractionRemoved_Data(), Table76[[#Headers],[Crop type c]], 0)</f>
        <v>0</v>
      </c>
      <c r="G76" s="21"/>
      <c r="H76" s="21"/>
      <c r="K76" s="21"/>
      <c r="L76" s="21"/>
    </row>
    <row r="77" spans="4:12" ht="20.100000000000001" customHeight="1" x14ac:dyDescent="0.2">
      <c r="D77" s="21" t="str" cm="1">
        <f t="array" ref="D77">Common_InputFunctions.Utility_DisplayArrayInTable(Agresidue_SourceData.CropFractionRemoved_Data(), Table76[[#Headers],[Crop type c]], 0)</f>
        <v>Hops</v>
      </c>
      <c r="E77" t="str" cm="1">
        <f t="array" ref="E77">Common_InputFunctions.Utility_DisplayArrayInTable(Agresidue_SourceData.CropFractionRemoved_Data(), Table76[[#Headers],[Crop type c]], 0)</f>
        <v>All states</v>
      </c>
      <c r="F77" cm="1">
        <f t="array" ref="F77">Common_InputFunctions.Utility_DisplayArrayInTable(Agresidue_SourceData.CropFractionRemoved_Data(), Table76[[#Headers],[Crop type c]], 0)</f>
        <v>0</v>
      </c>
      <c r="G77" s="21"/>
      <c r="H77" s="21"/>
      <c r="I77" s="21"/>
      <c r="J77" s="21"/>
      <c r="K77" s="21"/>
      <c r="L77" s="21"/>
    </row>
    <row r="78" spans="4:12" ht="20.100000000000001" customHeight="1" x14ac:dyDescent="0.2">
      <c r="D78" s="21" t="str" cm="1">
        <f t="array" ref="D78">Common_InputFunctions.Utility_DisplayArrayInTable(Agresidue_SourceData.CropFractionRemoved_Data(), Table76[[#Headers],[Crop type c]], 0)</f>
        <v>Forage crops</v>
      </c>
      <c r="E78" t="str" cm="1">
        <f t="array" ref="E78">Common_InputFunctions.Utility_DisplayArrayInTable(Agresidue_SourceData.CropFractionRemoved_Data(), Table76[[#Headers],[Crop type c]], 0)</f>
        <v>All states</v>
      </c>
      <c r="F78" cm="1">
        <f t="array" ref="F78">Common_InputFunctions.Utility_DisplayArrayInTable(Agresidue_SourceData.CropFractionRemoved_Data(), Table76[[#Headers],[Crop type c]], 0)</f>
        <v>0.8</v>
      </c>
      <c r="G78" s="21"/>
      <c r="H78" s="21"/>
      <c r="I78" s="21"/>
      <c r="J78" s="21"/>
      <c r="K78" s="21"/>
      <c r="L78" s="21"/>
    </row>
    <row r="79" spans="4:12" ht="20.100000000000001" customHeight="1" x14ac:dyDescent="0.2">
      <c r="D79" s="21" t="str" cm="1">
        <f t="array" ref="D79">Common_InputFunctions.Utility_DisplayArrayInTable(Agresidue_SourceData.CropFractionRemoved_Data(), Table76[[#Headers],[Crop type c]], 0)</f>
        <v>Sugar Cane</v>
      </c>
      <c r="E79" t="str" cm="1">
        <f t="array" ref="E79">Common_InputFunctions.Utility_DisplayArrayInTable(Agresidue_SourceData.CropFractionRemoved_Data(), Table76[[#Headers],[Crop type c]], 0)</f>
        <v>NSW</v>
      </c>
      <c r="F79" cm="1">
        <f t="array" ref="F79">Common_InputFunctions.Utility_DisplayArrayInTable(Agresidue_SourceData.CropFractionRemoved_Data(), Table76[[#Headers],[Crop type c]], 0)</f>
        <v>0</v>
      </c>
      <c r="G79" s="21"/>
      <c r="H79" s="21"/>
      <c r="I79" s="21"/>
      <c r="J79" s="21"/>
      <c r="K79" s="21"/>
      <c r="L79" s="21"/>
    </row>
    <row r="80" spans="4:12" ht="20.100000000000001" customHeight="1" x14ac:dyDescent="0.2">
      <c r="D80" s="21" t="str" cm="1">
        <f t="array" ref="D80">Common_InputFunctions.Utility_DisplayArrayInTable(Agresidue_SourceData.CropFractionRemoved_Data(), Table76[[#Headers],[Crop type c]], 0)</f>
        <v>Sugar Cane</v>
      </c>
      <c r="E80" t="str" cm="1">
        <f t="array" ref="E80">Common_InputFunctions.Utility_DisplayArrayInTable(Agresidue_SourceData.CropFractionRemoved_Data(), Table76[[#Headers],[Crop type c]], 0)</f>
        <v>QLD</v>
      </c>
      <c r="F80" cm="1">
        <f t="array" ref="F80">Common_InputFunctions.Utility_DisplayArrayInTable(Agresidue_SourceData.CropFractionRemoved_Data(), Table76[[#Headers],[Crop type c]], 0)</f>
        <v>0.03</v>
      </c>
      <c r="G80" s="21"/>
      <c r="H80" s="21"/>
      <c r="I80" s="21"/>
      <c r="J80" s="21"/>
      <c r="K80" s="21"/>
      <c r="L80" s="21"/>
    </row>
    <row r="81" spans="4:12" ht="20.100000000000001" customHeight="1" x14ac:dyDescent="0.2">
      <c r="D81" s="21" t="str" cm="1">
        <f t="array" ref="D81">Common_InputFunctions.Utility_DisplayArrayInTable(Agresidue_SourceData.CropFractionRemoved_Data(), Table76[[#Headers],[Crop type c]], 0)</f>
        <v>Sugar Cane</v>
      </c>
      <c r="E81" t="str" cm="1">
        <f t="array" ref="E81">Common_InputFunctions.Utility_DisplayArrayInTable(Agresidue_SourceData.CropFractionRemoved_Data(), Table76[[#Headers],[Crop type c]], 0)</f>
        <v>WA</v>
      </c>
      <c r="F81" cm="1">
        <f t="array" ref="F81">Common_InputFunctions.Utility_DisplayArrayInTable(Agresidue_SourceData.CropFractionRemoved_Data(), Table76[[#Headers],[Crop type c]], 0)</f>
        <v>0</v>
      </c>
      <c r="G81" s="21"/>
      <c r="H81" s="21"/>
      <c r="I81" s="21"/>
      <c r="J81" s="21"/>
      <c r="K81" s="21"/>
      <c r="L81" s="21"/>
    </row>
    <row r="82" spans="4:12" ht="20.100000000000001" customHeight="1" x14ac:dyDescent="0.2">
      <c r="D82" s="21" t="str" cm="1">
        <f t="array" ref="D82">Common_InputFunctions.Utility_DisplayArrayInTable(Agresidue_SourceData.CropFractionRemoved_Data(), Table76[[#Headers],[Crop type c]], 0)</f>
        <v>All other crop types</v>
      </c>
      <c r="E82" t="str" cm="1">
        <f t="array" ref="E82">Common_InputFunctions.Utility_DisplayArrayInTable(Agresidue_SourceData.CropFractionRemoved_Data(), Table76[[#Headers],[Crop type c]], 0)</f>
        <v>NSW</v>
      </c>
      <c r="F82" cm="1">
        <f t="array" ref="F82">Common_InputFunctions.Utility_DisplayArrayInTable(Agresidue_SourceData.CropFractionRemoved_Data(), Table76[[#Headers],[Crop type c]], 0)</f>
        <v>0.05</v>
      </c>
      <c r="G82" s="21"/>
      <c r="H82" s="21"/>
      <c r="I82" s="21"/>
      <c r="J82" s="21"/>
      <c r="K82" s="21"/>
      <c r="L82" s="21"/>
    </row>
    <row r="83" spans="4:12" ht="20.100000000000001" customHeight="1" x14ac:dyDescent="0.2">
      <c r="D83" s="21" t="str" cm="1">
        <f t="array" ref="D83">Common_InputFunctions.Utility_DisplayArrayInTable(Agresidue_SourceData.CropFractionRemoved_Data(), Table76[[#Headers],[Crop type c]], 0)</f>
        <v>All other crop types</v>
      </c>
      <c r="E83" t="str" cm="1">
        <f t="array" ref="E83">Common_InputFunctions.Utility_DisplayArrayInTable(Agresidue_SourceData.CropFractionRemoved_Data(), Table76[[#Headers],[Crop type c]], 0)</f>
        <v>VIC</v>
      </c>
      <c r="F83" cm="1">
        <f t="array" ref="F83">Common_InputFunctions.Utility_DisplayArrayInTable(Agresidue_SourceData.CropFractionRemoved_Data(), Table76[[#Headers],[Crop type c]], 0)</f>
        <v>7.0000000000000007E-2</v>
      </c>
      <c r="G83" s="21"/>
      <c r="H83" s="21"/>
      <c r="I83" s="21"/>
      <c r="J83" s="21"/>
      <c r="K83" s="21"/>
      <c r="L83" s="21"/>
    </row>
    <row r="84" spans="4:12" ht="20.100000000000001" customHeight="1" x14ac:dyDescent="0.2">
      <c r="D84" s="21" t="str" cm="1">
        <f t="array" ref="D84">Common_InputFunctions.Utility_DisplayArrayInTable(Agresidue_SourceData.CropFractionRemoved_Data(), Table76[[#Headers],[Crop type c]], 0)</f>
        <v>All other crop types</v>
      </c>
      <c r="E84" t="str" cm="1">
        <f t="array" ref="E84">Common_InputFunctions.Utility_DisplayArrayInTable(Agresidue_SourceData.CropFractionRemoved_Data(), Table76[[#Headers],[Crop type c]], 0)</f>
        <v>QLD</v>
      </c>
      <c r="F84" cm="1">
        <f t="array" ref="F84">Common_InputFunctions.Utility_DisplayArrayInTable(Agresidue_SourceData.CropFractionRemoved_Data(), Table76[[#Headers],[Crop type c]], 0)</f>
        <v>0.04</v>
      </c>
      <c r="G84" s="21"/>
      <c r="H84" s="21"/>
      <c r="I84" s="21"/>
      <c r="J84" s="21"/>
      <c r="K84" s="21"/>
      <c r="L84" s="21"/>
    </row>
    <row r="85" spans="4:12" ht="20.100000000000001" customHeight="1" x14ac:dyDescent="0.2">
      <c r="D85" s="21" t="str" cm="1">
        <f t="array" ref="D85">Common_InputFunctions.Utility_DisplayArrayInTable(Agresidue_SourceData.CropFractionRemoved_Data(), Table76[[#Headers],[Crop type c]], 0)</f>
        <v>All other crop types</v>
      </c>
      <c r="E85" t="str" cm="1">
        <f t="array" ref="E85">Common_InputFunctions.Utility_DisplayArrayInTable(Agresidue_SourceData.CropFractionRemoved_Data(), Table76[[#Headers],[Crop type c]], 0)</f>
        <v>SA</v>
      </c>
      <c r="F85" cm="1">
        <f t="array" ref="F85">Common_InputFunctions.Utility_DisplayArrayInTable(Agresidue_SourceData.CropFractionRemoved_Data(), Table76[[#Headers],[Crop type c]], 0)</f>
        <v>0.09</v>
      </c>
      <c r="G85" s="21"/>
      <c r="H85" s="21"/>
      <c r="I85" s="21"/>
      <c r="J85" s="21"/>
      <c r="K85" s="21"/>
      <c r="L85" s="21"/>
    </row>
    <row r="86" spans="4:12" ht="20.100000000000001" customHeight="1" x14ac:dyDescent="0.2">
      <c r="D86" s="21" t="str" cm="1">
        <f t="array" ref="D86">Common_InputFunctions.Utility_DisplayArrayInTable(Agresidue_SourceData.CropFractionRemoved_Data(), Table76[[#Headers],[Crop type c]], 0)</f>
        <v>All other crop types</v>
      </c>
      <c r="E86" t="str" cm="1">
        <f t="array" ref="E86">Common_InputFunctions.Utility_DisplayArrayInTable(Agresidue_SourceData.CropFractionRemoved_Data(), Table76[[#Headers],[Crop type c]], 0)</f>
        <v>WA</v>
      </c>
      <c r="F86" cm="1">
        <f t="array" ref="F86">Common_InputFunctions.Utility_DisplayArrayInTable(Agresidue_SourceData.CropFractionRemoved_Data(), Table76[[#Headers],[Crop type c]], 0)</f>
        <v>0.11</v>
      </c>
      <c r="G86" s="21"/>
      <c r="H86" s="21"/>
      <c r="I86" s="21"/>
      <c r="J86" s="21"/>
      <c r="K86" s="21"/>
      <c r="L86" s="21"/>
    </row>
    <row r="87" spans="4:12" ht="20.100000000000001" customHeight="1" x14ac:dyDescent="0.2">
      <c r="D87" s="21" t="str" cm="1">
        <f t="array" ref="D87">Common_InputFunctions.Utility_DisplayArrayInTable(Agresidue_SourceData.CropFractionRemoved_Data(), Table76[[#Headers],[Crop type c]], 0)</f>
        <v>All other crop types</v>
      </c>
      <c r="E87" t="str" cm="1">
        <f t="array" ref="E87">Common_InputFunctions.Utility_DisplayArrayInTable(Agresidue_SourceData.CropFractionRemoved_Data(), Table76[[#Headers],[Crop type c]], 0)</f>
        <v>TAS</v>
      </c>
      <c r="F87" cm="1">
        <f t="array" ref="F87">Common_InputFunctions.Utility_DisplayArrayInTable(Agresidue_SourceData.CropFractionRemoved_Data(), Table76[[#Headers],[Crop type c]], 0)</f>
        <v>0.16</v>
      </c>
      <c r="G87" s="21"/>
      <c r="H87" s="21"/>
      <c r="I87" s="21"/>
      <c r="J87" s="21"/>
      <c r="K87" s="21"/>
      <c r="L87" s="21"/>
    </row>
    <row r="88" spans="4:12" ht="20.100000000000001" customHeight="1" x14ac:dyDescent="0.2">
      <c r="D88" s="21" t="str" cm="1">
        <f t="array" ref="D88">Common_InputFunctions.Utility_DisplayArrayInTable(Agresidue_SourceData.CropFractionRemoved_Data(), Table76[[#Headers],[Crop type c]], 0)</f>
        <v>All other crop types</v>
      </c>
      <c r="E88" t="str" cm="1">
        <f t="array" ref="E88">Common_InputFunctions.Utility_DisplayArrayInTable(Agresidue_SourceData.CropFractionRemoved_Data(), Table76[[#Headers],[Crop type c]], 0)</f>
        <v>NT</v>
      </c>
      <c r="F88" cm="1">
        <f t="array" ref="F88">Common_InputFunctions.Utility_DisplayArrayInTable(Agresidue_SourceData.CropFractionRemoved_Data(), Table76[[#Headers],[Crop type c]], 0)</f>
        <v>0.01</v>
      </c>
      <c r="G88" s="21"/>
      <c r="H88" s="21"/>
      <c r="I88" s="21"/>
      <c r="J88" s="21"/>
      <c r="K88" s="21"/>
      <c r="L88" s="21"/>
    </row>
    <row r="89" spans="4:12" ht="20.100000000000001" customHeight="1" x14ac:dyDescent="0.2">
      <c r="D89" s="21" t="str" cm="1">
        <f t="array" ref="D89">Common_InputFunctions.Utility_DisplayArrayInTable(Agresidue_SourceData.CropFractionRemoved_Data(), Table76[[#Headers],[Crop type c]], 0)</f>
        <v>All other crop types</v>
      </c>
      <c r="E89" t="str" cm="1">
        <f t="array" ref="E89">Common_InputFunctions.Utility_DisplayArrayInTable(Agresidue_SourceData.CropFractionRemoved_Data(), Table76[[#Headers],[Crop type c]], 0)</f>
        <v>ACT</v>
      </c>
      <c r="F89" cm="1">
        <f t="array" ref="F89">Common_InputFunctions.Utility_DisplayArrayInTable(Agresidue_SourceData.CropFractionRemoved_Data(), Table76[[#Headers],[Crop type c]], 0)</f>
        <v>0</v>
      </c>
      <c r="G89" s="21"/>
      <c r="H89" s="21"/>
      <c r="I89" s="21"/>
      <c r="J89" s="21"/>
      <c r="K89" s="21"/>
      <c r="L89" s="21"/>
    </row>
    <row r="90" spans="4:12" ht="20.100000000000001" customHeight="1" x14ac:dyDescent="0.2">
      <c r="D90" s="21"/>
      <c r="E90" s="21"/>
      <c r="F90" s="21"/>
      <c r="G90" s="21"/>
      <c r="H90" s="21"/>
      <c r="I90" s="21"/>
      <c r="J90" s="21"/>
      <c r="K90" s="21"/>
      <c r="L90" s="21"/>
    </row>
    <row r="91" spans="4:12" ht="20.100000000000001" customHeight="1" x14ac:dyDescent="0.2">
      <c r="D91" s="52" t="str" cm="1">
        <f t="array" ref="D91">"⚠️" &amp; Agresidue_SourceData.CropFractionRemoved_Variation()</f>
        <v>⚠️VARIATION OF SOURCE DATA: Split 'All other crop types' into individual crop types for each state. Listed all states for Sugar Cane, with 'N/A' for states where it is not grown.</v>
      </c>
      <c r="E91" s="21"/>
      <c r="F91" s="21"/>
      <c r="G91" s="21"/>
      <c r="H91" s="21"/>
      <c r="I91" s="21"/>
      <c r="J91" s="21"/>
      <c r="K91" s="21"/>
      <c r="L91" s="21"/>
    </row>
    <row r="92" spans="4:12" ht="20.100000000000001" customHeight="1" x14ac:dyDescent="0.2">
      <c r="D92" t="s">
        <v>163</v>
      </c>
      <c r="E92" t="s">
        <v>5</v>
      </c>
      <c r="F92" t="s">
        <v>164</v>
      </c>
      <c r="G92" s="21"/>
      <c r="H92" s="21"/>
      <c r="I92" s="21"/>
      <c r="J92" s="21"/>
      <c r="K92" s="21"/>
      <c r="L92" s="21"/>
    </row>
    <row r="93" spans="4:12" ht="20.100000000000001" customHeight="1" x14ac:dyDescent="0.2">
      <c r="D93" t="str" cm="1">
        <f t="array" ref="D93">Common_InputFunctions.Utility_DisplayArrayInTable(Agresidue_SourceData.CropFractionRemoved_CustomisedData(), Table77[[#Headers],[Crop type c]], 0)</f>
        <v>Rice</v>
      </c>
      <c r="E93" t="str" cm="1">
        <f t="array" ref="E93">Common_InputFunctions.Utility_DisplayArrayInTable(Agresidue_SourceData.CropFractionRemoved_CustomisedData(), Table77[[#Headers],[Crop type c]], 0)</f>
        <v>NSW</v>
      </c>
      <c r="F93" cm="1">
        <f t="array" ref="F93">Common_InputFunctions.Utility_DisplayArrayInTable(Agresidue_SourceData.CropFractionRemoved_CustomisedData(), Table77[[#Headers],[Crop type c]], 0)</f>
        <v>0.06</v>
      </c>
      <c r="G93" s="21"/>
      <c r="H93" s="21"/>
      <c r="I93" s="21"/>
      <c r="J93" s="21"/>
      <c r="K93" s="21"/>
      <c r="L93" s="21"/>
    </row>
    <row r="94" spans="4:12" ht="20.100000000000001" customHeight="1" x14ac:dyDescent="0.2">
      <c r="D94" s="21" t="str" cm="1">
        <f t="array" ref="D94">Common_InputFunctions.Utility_DisplayArrayInTable(Agresidue_SourceData.CropFractionRemoved_CustomisedData(), Table77[[#Headers],[Crop type c]], 0)</f>
        <v>Rice</v>
      </c>
      <c r="E94" t="str" cm="1">
        <f t="array" ref="E94">Common_InputFunctions.Utility_DisplayArrayInTable(Agresidue_SourceData.CropFractionRemoved_CustomisedData(), Table77[[#Headers],[Crop type c]], 0)</f>
        <v>VIC</v>
      </c>
      <c r="F94" cm="1">
        <f t="array" ref="F94">Common_InputFunctions.Utility_DisplayArrayInTable(Agresidue_SourceData.CropFractionRemoved_CustomisedData(), Table77[[#Headers],[Crop type c]], 0)</f>
        <v>0.06</v>
      </c>
      <c r="G94" s="21"/>
      <c r="H94" s="21"/>
      <c r="I94" s="21"/>
      <c r="J94" s="21"/>
      <c r="K94" s="21"/>
      <c r="L94" s="21"/>
    </row>
    <row r="95" spans="4:12" ht="20.100000000000001" customHeight="1" x14ac:dyDescent="0.2">
      <c r="D95" s="21" t="str" cm="1">
        <f t="array" ref="D95">Common_InputFunctions.Utility_DisplayArrayInTable(Agresidue_SourceData.CropFractionRemoved_CustomisedData(), Table77[[#Headers],[Crop type c]], 0)</f>
        <v>Rice</v>
      </c>
      <c r="E95" t="str" cm="1">
        <f t="array" ref="E95">Common_InputFunctions.Utility_DisplayArrayInTable(Agresidue_SourceData.CropFractionRemoved_CustomisedData(), Table77[[#Headers],[Crop type c]], 0)</f>
        <v>QLD</v>
      </c>
      <c r="F95" cm="1">
        <f t="array" ref="F95">Common_InputFunctions.Utility_DisplayArrayInTable(Agresidue_SourceData.CropFractionRemoved_CustomisedData(), Table77[[#Headers],[Crop type c]], 0)</f>
        <v>0.06</v>
      </c>
      <c r="G95" s="21"/>
      <c r="H95" s="21"/>
      <c r="I95" s="21"/>
      <c r="J95" s="21"/>
      <c r="K95" s="21"/>
      <c r="L95" s="21"/>
    </row>
    <row r="96" spans="4:12" ht="20.100000000000001" customHeight="1" x14ac:dyDescent="0.2">
      <c r="D96" s="21" t="str" cm="1">
        <f t="array" ref="D96">Common_InputFunctions.Utility_DisplayArrayInTable(Agresidue_SourceData.CropFractionRemoved_CustomisedData(), Table77[[#Headers],[Crop type c]], 0)</f>
        <v>Rice</v>
      </c>
      <c r="E96" t="str" cm="1">
        <f t="array" ref="E96">Common_InputFunctions.Utility_DisplayArrayInTable(Agresidue_SourceData.CropFractionRemoved_CustomisedData(), Table77[[#Headers],[Crop type c]], 0)</f>
        <v>SA</v>
      </c>
      <c r="F96" cm="1">
        <f t="array" ref="F96">Common_InputFunctions.Utility_DisplayArrayInTable(Agresidue_SourceData.CropFractionRemoved_CustomisedData(), Table77[[#Headers],[Crop type c]], 0)</f>
        <v>0.06</v>
      </c>
      <c r="G96" s="21"/>
      <c r="H96" s="21"/>
      <c r="I96" s="21"/>
      <c r="J96" s="21"/>
      <c r="K96" s="21"/>
      <c r="L96" s="21"/>
    </row>
    <row r="97" spans="4:12" ht="20.100000000000001" customHeight="1" x14ac:dyDescent="0.2">
      <c r="D97" s="21" t="str" cm="1">
        <f t="array" ref="D97">Common_InputFunctions.Utility_DisplayArrayInTable(Agresidue_SourceData.CropFractionRemoved_CustomisedData(), Table77[[#Headers],[Crop type c]], 0)</f>
        <v>Rice</v>
      </c>
      <c r="E97" t="str" cm="1">
        <f t="array" ref="E97">Common_InputFunctions.Utility_DisplayArrayInTable(Agresidue_SourceData.CropFractionRemoved_CustomisedData(), Table77[[#Headers],[Crop type c]], 0)</f>
        <v>WA</v>
      </c>
      <c r="F97" cm="1">
        <f t="array" ref="F97">Common_InputFunctions.Utility_DisplayArrayInTable(Agresidue_SourceData.CropFractionRemoved_CustomisedData(), Table77[[#Headers],[Crop type c]], 0)</f>
        <v>0.06</v>
      </c>
      <c r="G97" s="21"/>
      <c r="H97" s="21"/>
      <c r="I97" s="21"/>
      <c r="J97" s="21"/>
      <c r="K97" s="21"/>
      <c r="L97" s="21"/>
    </row>
    <row r="98" spans="4:12" ht="20.100000000000001" customHeight="1" x14ac:dyDescent="0.2">
      <c r="D98" s="21" t="str" cm="1">
        <f t="array" ref="D98">Common_InputFunctions.Utility_DisplayArrayInTable(Agresidue_SourceData.CropFractionRemoved_CustomisedData(), Table77[[#Headers],[Crop type c]], 0)</f>
        <v>Rice</v>
      </c>
      <c r="E98" t="str" cm="1">
        <f t="array" ref="E98">Common_InputFunctions.Utility_DisplayArrayInTable(Agresidue_SourceData.CropFractionRemoved_CustomisedData(), Table77[[#Headers],[Crop type c]], 0)</f>
        <v>TAS</v>
      </c>
      <c r="F98" cm="1">
        <f t="array" ref="F98">Common_InputFunctions.Utility_DisplayArrayInTable(Agresidue_SourceData.CropFractionRemoved_CustomisedData(), Table77[[#Headers],[Crop type c]], 0)</f>
        <v>0.06</v>
      </c>
      <c r="G98" s="21"/>
      <c r="H98" s="21"/>
      <c r="I98" s="21"/>
      <c r="J98" s="21"/>
      <c r="K98" s="21"/>
      <c r="L98" s="21"/>
    </row>
    <row r="99" spans="4:12" ht="20.100000000000001" customHeight="1" x14ac:dyDescent="0.2">
      <c r="D99" s="21" t="str" cm="1">
        <f t="array" ref="D99">Common_InputFunctions.Utility_DisplayArrayInTable(Agresidue_SourceData.CropFractionRemoved_CustomisedData(), Table77[[#Headers],[Crop type c]], 0)</f>
        <v>Rice</v>
      </c>
      <c r="E99" t="str" cm="1">
        <f t="array" ref="E99">Common_InputFunctions.Utility_DisplayArrayInTable(Agresidue_SourceData.CropFractionRemoved_CustomisedData(), Table77[[#Headers],[Crop type c]], 0)</f>
        <v>NT</v>
      </c>
      <c r="F99" cm="1">
        <f t="array" ref="F99">Common_InputFunctions.Utility_DisplayArrayInTable(Agresidue_SourceData.CropFractionRemoved_CustomisedData(), Table77[[#Headers],[Crop type c]], 0)</f>
        <v>0.06</v>
      </c>
      <c r="G99" s="21"/>
      <c r="H99" s="21"/>
      <c r="I99" s="21"/>
      <c r="J99" s="21"/>
      <c r="K99" s="21"/>
      <c r="L99" s="21"/>
    </row>
    <row r="100" spans="4:12" ht="20.100000000000001" customHeight="1" x14ac:dyDescent="0.2">
      <c r="D100" s="21" t="str" cm="1">
        <f t="array" ref="D100">Common_InputFunctions.Utility_DisplayArrayInTable(Agresidue_SourceData.CropFractionRemoved_CustomisedData(), Table77[[#Headers],[Crop type c]], 0)</f>
        <v>Rice</v>
      </c>
      <c r="E100" t="str" cm="1">
        <f t="array" ref="E100">Common_InputFunctions.Utility_DisplayArrayInTable(Agresidue_SourceData.CropFractionRemoved_CustomisedData(), Table77[[#Headers],[Crop type c]], 0)</f>
        <v>ACT</v>
      </c>
      <c r="F100" cm="1">
        <f t="array" ref="F100">Common_InputFunctions.Utility_DisplayArrayInTable(Agresidue_SourceData.CropFractionRemoved_CustomisedData(), Table77[[#Headers],[Crop type c]], 0)</f>
        <v>0.06</v>
      </c>
      <c r="G100" s="21"/>
      <c r="H100" s="21"/>
      <c r="I100" s="21"/>
      <c r="J100" s="21"/>
      <c r="K100" s="21"/>
      <c r="L100" s="21"/>
    </row>
    <row r="101" spans="4:12" ht="20.100000000000001" customHeight="1" x14ac:dyDescent="0.2">
      <c r="D101" s="21" t="str" cm="1">
        <f t="array" ref="D101">Common_InputFunctions.Utility_DisplayArrayInTable(Agresidue_SourceData.CropFractionRemoved_CustomisedData(), Table77[[#Headers],[Crop type c]], 0)</f>
        <v>Tubers and roots</v>
      </c>
      <c r="E101" t="str" cm="1">
        <f t="array" ref="E101">Common_InputFunctions.Utility_DisplayArrayInTable(Agresidue_SourceData.CropFractionRemoved_CustomisedData(), Table77[[#Headers],[Crop type c]], 0)</f>
        <v>NSW</v>
      </c>
      <c r="F101" cm="1">
        <f t="array" ref="F101">Common_InputFunctions.Utility_DisplayArrayInTable(Agresidue_SourceData.CropFractionRemoved_CustomisedData(), Table77[[#Headers],[Crop type c]], 0)</f>
        <v>1</v>
      </c>
      <c r="G101" s="21"/>
      <c r="H101" s="21"/>
      <c r="I101" s="21"/>
      <c r="J101" s="21"/>
      <c r="K101" s="21"/>
      <c r="L101" s="21"/>
    </row>
    <row r="102" spans="4:12" ht="20.100000000000001" customHeight="1" x14ac:dyDescent="0.2">
      <c r="D102" s="21" t="str" cm="1">
        <f t="array" ref="D102">Common_InputFunctions.Utility_DisplayArrayInTable(Agresidue_SourceData.CropFractionRemoved_CustomisedData(), Table77[[#Headers],[Crop type c]], 0)</f>
        <v>Tubers and roots</v>
      </c>
      <c r="E102" t="str" cm="1">
        <f t="array" ref="E102">Common_InputFunctions.Utility_DisplayArrayInTable(Agresidue_SourceData.CropFractionRemoved_CustomisedData(), Table77[[#Headers],[Crop type c]], 0)</f>
        <v>VIC</v>
      </c>
      <c r="F102" cm="1">
        <f t="array" ref="F102">Common_InputFunctions.Utility_DisplayArrayInTable(Agresidue_SourceData.CropFractionRemoved_CustomisedData(), Table77[[#Headers],[Crop type c]], 0)</f>
        <v>1</v>
      </c>
      <c r="G102" s="21"/>
      <c r="H102" s="21"/>
      <c r="I102" s="21"/>
      <c r="J102" s="21"/>
      <c r="K102" s="21"/>
      <c r="L102" s="21"/>
    </row>
    <row r="103" spans="4:12" ht="20.100000000000001" customHeight="1" x14ac:dyDescent="0.2">
      <c r="D103" s="21" t="str" cm="1">
        <f t="array" ref="D103">Common_InputFunctions.Utility_DisplayArrayInTable(Agresidue_SourceData.CropFractionRemoved_CustomisedData(), Table77[[#Headers],[Crop type c]], 0)</f>
        <v>Tubers and roots</v>
      </c>
      <c r="E103" t="str" cm="1">
        <f t="array" ref="E103">Common_InputFunctions.Utility_DisplayArrayInTable(Agresidue_SourceData.CropFractionRemoved_CustomisedData(), Table77[[#Headers],[Crop type c]], 0)</f>
        <v>QLD</v>
      </c>
      <c r="F103" cm="1">
        <f t="array" ref="F103">Common_InputFunctions.Utility_DisplayArrayInTable(Agresidue_SourceData.CropFractionRemoved_CustomisedData(), Table77[[#Headers],[Crop type c]], 0)</f>
        <v>1</v>
      </c>
      <c r="G103" s="21"/>
      <c r="H103" s="21"/>
      <c r="I103" s="21"/>
      <c r="J103" s="21"/>
      <c r="K103" s="21"/>
      <c r="L103" s="21"/>
    </row>
    <row r="104" spans="4:12" ht="20.100000000000001" customHeight="1" x14ac:dyDescent="0.2">
      <c r="D104" s="21" t="str" cm="1">
        <f t="array" ref="D104">Common_InputFunctions.Utility_DisplayArrayInTable(Agresidue_SourceData.CropFractionRemoved_CustomisedData(), Table77[[#Headers],[Crop type c]], 0)</f>
        <v>Tubers and roots</v>
      </c>
      <c r="E104" t="str" cm="1">
        <f t="array" ref="E104">Common_InputFunctions.Utility_DisplayArrayInTable(Agresidue_SourceData.CropFractionRemoved_CustomisedData(), Table77[[#Headers],[Crop type c]], 0)</f>
        <v>SA</v>
      </c>
      <c r="F104" cm="1">
        <f t="array" ref="F104">Common_InputFunctions.Utility_DisplayArrayInTable(Agresidue_SourceData.CropFractionRemoved_CustomisedData(), Table77[[#Headers],[Crop type c]], 0)</f>
        <v>1</v>
      </c>
      <c r="G104" s="21"/>
      <c r="H104" s="21"/>
      <c r="I104" s="21"/>
      <c r="J104" s="21"/>
      <c r="K104" s="21"/>
      <c r="L104" s="21"/>
    </row>
    <row r="105" spans="4:12" ht="20.100000000000001" customHeight="1" x14ac:dyDescent="0.2">
      <c r="D105" s="21" t="str" cm="1">
        <f t="array" ref="D105">Common_InputFunctions.Utility_DisplayArrayInTable(Agresidue_SourceData.CropFractionRemoved_CustomisedData(), Table77[[#Headers],[Crop type c]], 0)</f>
        <v>Tubers and roots</v>
      </c>
      <c r="E105" t="str" cm="1">
        <f t="array" ref="E105">Common_InputFunctions.Utility_DisplayArrayInTable(Agresidue_SourceData.CropFractionRemoved_CustomisedData(), Table77[[#Headers],[Crop type c]], 0)</f>
        <v>WA</v>
      </c>
      <c r="F105" cm="1">
        <f t="array" ref="F105">Common_InputFunctions.Utility_DisplayArrayInTable(Agresidue_SourceData.CropFractionRemoved_CustomisedData(), Table77[[#Headers],[Crop type c]], 0)</f>
        <v>1</v>
      </c>
      <c r="G105" s="21"/>
      <c r="H105" s="21"/>
      <c r="I105" s="21"/>
      <c r="J105" s="21"/>
      <c r="K105" s="21"/>
      <c r="L105" s="21"/>
    </row>
    <row r="106" spans="4:12" ht="20.100000000000001" customHeight="1" x14ac:dyDescent="0.2">
      <c r="D106" s="21" t="str" cm="1">
        <f t="array" ref="D106">Common_InputFunctions.Utility_DisplayArrayInTable(Agresidue_SourceData.CropFractionRemoved_CustomisedData(), Table77[[#Headers],[Crop type c]], 0)</f>
        <v>Tubers and roots</v>
      </c>
      <c r="E106" t="str" cm="1">
        <f t="array" ref="E106">Common_InputFunctions.Utility_DisplayArrayInTable(Agresidue_SourceData.CropFractionRemoved_CustomisedData(), Table77[[#Headers],[Crop type c]], 0)</f>
        <v>TAS</v>
      </c>
      <c r="F106" cm="1">
        <f t="array" ref="F106">Common_InputFunctions.Utility_DisplayArrayInTable(Agresidue_SourceData.CropFractionRemoved_CustomisedData(), Table77[[#Headers],[Crop type c]], 0)</f>
        <v>1</v>
      </c>
      <c r="G106" s="21"/>
      <c r="H106" s="21"/>
      <c r="I106" s="21"/>
      <c r="J106" s="21"/>
      <c r="K106" s="21"/>
      <c r="L106" s="21"/>
    </row>
    <row r="107" spans="4:12" ht="20.100000000000001" customHeight="1" x14ac:dyDescent="0.2">
      <c r="D107" s="21" t="str" cm="1">
        <f t="array" ref="D107">Common_InputFunctions.Utility_DisplayArrayInTable(Agresidue_SourceData.CropFractionRemoved_CustomisedData(), Table77[[#Headers],[Crop type c]], 0)</f>
        <v>Tubers and roots</v>
      </c>
      <c r="E107" t="str" cm="1">
        <f t="array" ref="E107">Common_InputFunctions.Utility_DisplayArrayInTable(Agresidue_SourceData.CropFractionRemoved_CustomisedData(), Table77[[#Headers],[Crop type c]], 0)</f>
        <v>NT</v>
      </c>
      <c r="F107" cm="1">
        <f t="array" ref="F107">Common_InputFunctions.Utility_DisplayArrayInTable(Agresidue_SourceData.CropFractionRemoved_CustomisedData(), Table77[[#Headers],[Crop type c]], 0)</f>
        <v>1</v>
      </c>
      <c r="G107" s="21"/>
      <c r="H107" s="21"/>
      <c r="I107" s="21"/>
      <c r="J107" s="21"/>
      <c r="K107" s="21"/>
      <c r="L107" s="21"/>
    </row>
    <row r="108" spans="4:12" ht="20.100000000000001" customHeight="1" x14ac:dyDescent="0.2">
      <c r="D108" s="21" t="str" cm="1">
        <f t="array" ref="D108">Common_InputFunctions.Utility_DisplayArrayInTable(Agresidue_SourceData.CropFractionRemoved_CustomisedData(), Table77[[#Headers],[Crop type c]], 0)</f>
        <v>Tubers and roots</v>
      </c>
      <c r="E108" t="str" cm="1">
        <f t="array" ref="E108">Common_InputFunctions.Utility_DisplayArrayInTable(Agresidue_SourceData.CropFractionRemoved_CustomisedData(), Table77[[#Headers],[Crop type c]], 0)</f>
        <v>ACT</v>
      </c>
      <c r="F108" cm="1">
        <f t="array" ref="F108">Common_InputFunctions.Utility_DisplayArrayInTable(Agresidue_SourceData.CropFractionRemoved_CustomisedData(), Table77[[#Headers],[Crop type c]], 0)</f>
        <v>1</v>
      </c>
      <c r="G108" s="21"/>
      <c r="H108" s="21"/>
      <c r="I108" s="21"/>
      <c r="J108" s="21"/>
      <c r="K108" s="21"/>
      <c r="L108" s="21"/>
    </row>
    <row r="109" spans="4:12" ht="20.100000000000001" customHeight="1" x14ac:dyDescent="0.2">
      <c r="D109" s="21" t="str" cm="1">
        <f t="array" ref="D109">Common_InputFunctions.Utility_DisplayArrayInTable(Agresidue_SourceData.CropFractionRemoved_CustomisedData(), Table77[[#Headers],[Crop type c]], 0)</f>
        <v>Cotton</v>
      </c>
      <c r="E109" t="str" cm="1">
        <f t="array" ref="E109">Common_InputFunctions.Utility_DisplayArrayInTable(Agresidue_SourceData.CropFractionRemoved_CustomisedData(), Table77[[#Headers],[Crop type c]], 0)</f>
        <v>NSW</v>
      </c>
      <c r="F109" cm="1">
        <f t="array" ref="F109">Common_InputFunctions.Utility_DisplayArrayInTable(Agresidue_SourceData.CropFractionRemoved_CustomisedData(), Table77[[#Headers],[Crop type c]], 0)</f>
        <v>0</v>
      </c>
      <c r="G109" s="21"/>
      <c r="H109" s="21"/>
      <c r="I109" s="21"/>
      <c r="J109" s="21"/>
      <c r="K109" s="21"/>
      <c r="L109" s="21"/>
    </row>
    <row r="110" spans="4:12" ht="20.100000000000001" customHeight="1" x14ac:dyDescent="0.2">
      <c r="D110" s="21" t="str" cm="1">
        <f t="array" ref="D110">Common_InputFunctions.Utility_DisplayArrayInTable(Agresidue_SourceData.CropFractionRemoved_CustomisedData(), Table77[[#Headers],[Crop type c]], 0)</f>
        <v>Cotton</v>
      </c>
      <c r="E110" t="str" cm="1">
        <f t="array" ref="E110">Common_InputFunctions.Utility_DisplayArrayInTable(Agresidue_SourceData.CropFractionRemoved_CustomisedData(), Table77[[#Headers],[Crop type c]], 0)</f>
        <v>VIC</v>
      </c>
      <c r="F110" cm="1">
        <f t="array" ref="F110">Common_InputFunctions.Utility_DisplayArrayInTable(Agresidue_SourceData.CropFractionRemoved_CustomisedData(), Table77[[#Headers],[Crop type c]], 0)</f>
        <v>0</v>
      </c>
      <c r="G110" s="21"/>
      <c r="H110" s="21"/>
      <c r="I110" s="21"/>
      <c r="J110" s="21"/>
      <c r="K110" s="21"/>
      <c r="L110" s="21"/>
    </row>
    <row r="111" spans="4:12" ht="20.100000000000001" customHeight="1" x14ac:dyDescent="0.2">
      <c r="D111" s="21" t="str" cm="1">
        <f t="array" ref="D111">Common_InputFunctions.Utility_DisplayArrayInTable(Agresidue_SourceData.CropFractionRemoved_CustomisedData(), Table77[[#Headers],[Crop type c]], 0)</f>
        <v>Cotton</v>
      </c>
      <c r="E111" t="str" cm="1">
        <f t="array" ref="E111">Common_InputFunctions.Utility_DisplayArrayInTable(Agresidue_SourceData.CropFractionRemoved_CustomisedData(), Table77[[#Headers],[Crop type c]], 0)</f>
        <v>QLD</v>
      </c>
      <c r="F111" cm="1">
        <f t="array" ref="F111">Common_InputFunctions.Utility_DisplayArrayInTable(Agresidue_SourceData.CropFractionRemoved_CustomisedData(), Table77[[#Headers],[Crop type c]], 0)</f>
        <v>0</v>
      </c>
      <c r="G111" s="21"/>
      <c r="H111" s="21"/>
      <c r="I111" s="21"/>
      <c r="J111" s="21"/>
      <c r="K111" s="21"/>
      <c r="L111" s="21"/>
    </row>
    <row r="112" spans="4:12" ht="20.100000000000001" customHeight="1" x14ac:dyDescent="0.2">
      <c r="D112" s="21" t="str" cm="1">
        <f t="array" ref="D112">Common_InputFunctions.Utility_DisplayArrayInTable(Agresidue_SourceData.CropFractionRemoved_CustomisedData(), Table77[[#Headers],[Crop type c]], 0)</f>
        <v>Cotton</v>
      </c>
      <c r="E112" t="str" cm="1">
        <f t="array" ref="E112">Common_InputFunctions.Utility_DisplayArrayInTable(Agresidue_SourceData.CropFractionRemoved_CustomisedData(), Table77[[#Headers],[Crop type c]], 0)</f>
        <v>SA</v>
      </c>
      <c r="F112" cm="1">
        <f t="array" ref="F112">Common_InputFunctions.Utility_DisplayArrayInTable(Agresidue_SourceData.CropFractionRemoved_CustomisedData(), Table77[[#Headers],[Crop type c]], 0)</f>
        <v>0</v>
      </c>
      <c r="G112" s="21"/>
      <c r="H112" s="21"/>
      <c r="I112" s="21"/>
      <c r="J112" s="21"/>
      <c r="K112" s="21"/>
      <c r="L112" s="21"/>
    </row>
    <row r="113" spans="4:12" ht="20.100000000000001" customHeight="1" x14ac:dyDescent="0.2">
      <c r="D113" s="21" t="str" cm="1">
        <f t="array" ref="D113">Common_InputFunctions.Utility_DisplayArrayInTable(Agresidue_SourceData.CropFractionRemoved_CustomisedData(), Table77[[#Headers],[Crop type c]], 0)</f>
        <v>Cotton</v>
      </c>
      <c r="E113" t="str" cm="1">
        <f t="array" ref="E113">Common_InputFunctions.Utility_DisplayArrayInTable(Agresidue_SourceData.CropFractionRemoved_CustomisedData(), Table77[[#Headers],[Crop type c]], 0)</f>
        <v>WA</v>
      </c>
      <c r="F113" cm="1">
        <f t="array" ref="F113">Common_InputFunctions.Utility_DisplayArrayInTable(Agresidue_SourceData.CropFractionRemoved_CustomisedData(), Table77[[#Headers],[Crop type c]], 0)</f>
        <v>0</v>
      </c>
      <c r="G113" s="21"/>
      <c r="H113" s="21"/>
      <c r="I113" s="21"/>
      <c r="J113" s="21"/>
      <c r="K113" s="21"/>
      <c r="L113" s="21"/>
    </row>
    <row r="114" spans="4:12" ht="20.100000000000001" customHeight="1" x14ac:dyDescent="0.2">
      <c r="D114" s="21" t="str" cm="1">
        <f t="array" ref="D114">Common_InputFunctions.Utility_DisplayArrayInTable(Agresidue_SourceData.CropFractionRemoved_CustomisedData(), Table77[[#Headers],[Crop type c]], 0)</f>
        <v>Cotton</v>
      </c>
      <c r="E114" t="str" cm="1">
        <f t="array" ref="E114">Common_InputFunctions.Utility_DisplayArrayInTable(Agresidue_SourceData.CropFractionRemoved_CustomisedData(), Table77[[#Headers],[Crop type c]], 0)</f>
        <v>TAS</v>
      </c>
      <c r="F114" cm="1">
        <f t="array" ref="F114">Common_InputFunctions.Utility_DisplayArrayInTable(Agresidue_SourceData.CropFractionRemoved_CustomisedData(), Table77[[#Headers],[Crop type c]], 0)</f>
        <v>0</v>
      </c>
      <c r="G114" s="21"/>
      <c r="H114" s="21"/>
      <c r="I114" s="21"/>
      <c r="J114" s="21"/>
      <c r="K114" s="21"/>
      <c r="L114" s="21"/>
    </row>
    <row r="115" spans="4:12" ht="20.100000000000001" customHeight="1" x14ac:dyDescent="0.2">
      <c r="D115" s="21" t="str" cm="1">
        <f t="array" ref="D115">Common_InputFunctions.Utility_DisplayArrayInTable(Agresidue_SourceData.CropFractionRemoved_CustomisedData(), Table77[[#Headers],[Crop type c]], 0)</f>
        <v>Cotton</v>
      </c>
      <c r="E115" t="str" cm="1">
        <f t="array" ref="E115">Common_InputFunctions.Utility_DisplayArrayInTable(Agresidue_SourceData.CropFractionRemoved_CustomisedData(), Table77[[#Headers],[Crop type c]], 0)</f>
        <v>NT</v>
      </c>
      <c r="F115" cm="1">
        <f t="array" ref="F115">Common_InputFunctions.Utility_DisplayArrayInTable(Agresidue_SourceData.CropFractionRemoved_CustomisedData(), Table77[[#Headers],[Crop type c]], 0)</f>
        <v>0</v>
      </c>
      <c r="G115" s="21"/>
      <c r="H115" s="21"/>
      <c r="I115" s="21"/>
      <c r="J115" s="21"/>
      <c r="K115" s="21"/>
      <c r="L115" s="21"/>
    </row>
    <row r="116" spans="4:12" ht="20.100000000000001" customHeight="1" x14ac:dyDescent="0.2">
      <c r="D116" s="21" t="str" cm="1">
        <f t="array" ref="D116">Common_InputFunctions.Utility_DisplayArrayInTable(Agresidue_SourceData.CropFractionRemoved_CustomisedData(), Table77[[#Headers],[Crop type c]], 0)</f>
        <v>Cotton</v>
      </c>
      <c r="E116" t="str" cm="1">
        <f t="array" ref="E116">Common_InputFunctions.Utility_DisplayArrayInTable(Agresidue_SourceData.CropFractionRemoved_CustomisedData(), Table77[[#Headers],[Crop type c]], 0)</f>
        <v>ACT</v>
      </c>
      <c r="F116" cm="1">
        <f t="array" ref="F116">Common_InputFunctions.Utility_DisplayArrayInTable(Agresidue_SourceData.CropFractionRemoved_CustomisedData(), Table77[[#Headers],[Crop type c]], 0)</f>
        <v>0</v>
      </c>
      <c r="G116" s="21"/>
      <c r="H116" s="21"/>
      <c r="I116" s="21"/>
      <c r="J116" s="21"/>
      <c r="K116" s="21"/>
      <c r="L116" s="21"/>
    </row>
    <row r="117" spans="4:12" ht="20.100000000000001" customHeight="1" x14ac:dyDescent="0.2">
      <c r="D117" s="21" t="str" cm="1">
        <f t="array" ref="D117">Common_InputFunctions.Utility_DisplayArrayInTable(Agresidue_SourceData.CropFractionRemoved_CustomisedData(), Table77[[#Headers],[Crop type c]], 0)</f>
        <v>Hops</v>
      </c>
      <c r="E117" t="str" cm="1">
        <f t="array" ref="E117">Common_InputFunctions.Utility_DisplayArrayInTable(Agresidue_SourceData.CropFractionRemoved_CustomisedData(), Table77[[#Headers],[Crop type c]], 0)</f>
        <v>NSW</v>
      </c>
      <c r="F117" cm="1">
        <f t="array" ref="F117">Common_InputFunctions.Utility_DisplayArrayInTable(Agresidue_SourceData.CropFractionRemoved_CustomisedData(), Table77[[#Headers],[Crop type c]], 0)</f>
        <v>0</v>
      </c>
      <c r="G117" s="21"/>
      <c r="H117" s="21"/>
      <c r="I117" s="21"/>
      <c r="J117" s="21"/>
      <c r="K117" s="21"/>
      <c r="L117" s="21"/>
    </row>
    <row r="118" spans="4:12" ht="20.100000000000001" customHeight="1" x14ac:dyDescent="0.2">
      <c r="D118" s="21" t="str" cm="1">
        <f t="array" ref="D118">Common_InputFunctions.Utility_DisplayArrayInTable(Agresidue_SourceData.CropFractionRemoved_CustomisedData(), Table77[[#Headers],[Crop type c]], 0)</f>
        <v>Hops</v>
      </c>
      <c r="E118" t="str" cm="1">
        <f t="array" ref="E118">Common_InputFunctions.Utility_DisplayArrayInTable(Agresidue_SourceData.CropFractionRemoved_CustomisedData(), Table77[[#Headers],[Crop type c]], 0)</f>
        <v>VIC</v>
      </c>
      <c r="F118" cm="1">
        <f t="array" ref="F118">Common_InputFunctions.Utility_DisplayArrayInTable(Agresidue_SourceData.CropFractionRemoved_CustomisedData(), Table77[[#Headers],[Crop type c]], 0)</f>
        <v>0</v>
      </c>
      <c r="G118" s="21"/>
      <c r="H118" s="21"/>
      <c r="I118" s="21"/>
      <c r="J118" s="21"/>
      <c r="K118" s="21"/>
      <c r="L118" s="21"/>
    </row>
    <row r="119" spans="4:12" ht="20.100000000000001" customHeight="1" x14ac:dyDescent="0.2">
      <c r="D119" s="21" t="str" cm="1">
        <f t="array" ref="D119">Common_InputFunctions.Utility_DisplayArrayInTable(Agresidue_SourceData.CropFractionRemoved_CustomisedData(), Table77[[#Headers],[Crop type c]], 0)</f>
        <v>Hops</v>
      </c>
      <c r="E119" t="str" cm="1">
        <f t="array" ref="E119">Common_InputFunctions.Utility_DisplayArrayInTable(Agresidue_SourceData.CropFractionRemoved_CustomisedData(), Table77[[#Headers],[Crop type c]], 0)</f>
        <v>QLD</v>
      </c>
      <c r="F119" cm="1">
        <f t="array" ref="F119">Common_InputFunctions.Utility_DisplayArrayInTable(Agresidue_SourceData.CropFractionRemoved_CustomisedData(), Table77[[#Headers],[Crop type c]], 0)</f>
        <v>0</v>
      </c>
      <c r="G119" s="21"/>
      <c r="H119" s="21"/>
      <c r="I119" s="21"/>
      <c r="J119" s="21"/>
      <c r="K119" s="21"/>
      <c r="L119" s="21"/>
    </row>
    <row r="120" spans="4:12" ht="20.100000000000001" customHeight="1" x14ac:dyDescent="0.2">
      <c r="D120" s="21" t="str" cm="1">
        <f t="array" ref="D120">Common_InputFunctions.Utility_DisplayArrayInTable(Agresidue_SourceData.CropFractionRemoved_CustomisedData(), Table77[[#Headers],[Crop type c]], 0)</f>
        <v>Hops</v>
      </c>
      <c r="E120" t="str" cm="1">
        <f t="array" ref="E120">Common_InputFunctions.Utility_DisplayArrayInTable(Agresidue_SourceData.CropFractionRemoved_CustomisedData(), Table77[[#Headers],[Crop type c]], 0)</f>
        <v>SA</v>
      </c>
      <c r="F120" cm="1">
        <f t="array" ref="F120">Common_InputFunctions.Utility_DisplayArrayInTable(Agresidue_SourceData.CropFractionRemoved_CustomisedData(), Table77[[#Headers],[Crop type c]], 0)</f>
        <v>0</v>
      </c>
      <c r="G120" s="21"/>
      <c r="H120" s="21"/>
      <c r="I120" s="21"/>
      <c r="J120" s="21"/>
      <c r="K120" s="21"/>
      <c r="L120" s="21"/>
    </row>
    <row r="121" spans="4:12" ht="20.100000000000001" customHeight="1" x14ac:dyDescent="0.2">
      <c r="D121" s="21" t="str" cm="1">
        <f t="array" ref="D121">Common_InputFunctions.Utility_DisplayArrayInTable(Agresidue_SourceData.CropFractionRemoved_CustomisedData(), Table77[[#Headers],[Crop type c]], 0)</f>
        <v>Hops</v>
      </c>
      <c r="E121" t="str" cm="1">
        <f t="array" ref="E121">Common_InputFunctions.Utility_DisplayArrayInTable(Agresidue_SourceData.CropFractionRemoved_CustomisedData(), Table77[[#Headers],[Crop type c]], 0)</f>
        <v>WA</v>
      </c>
      <c r="F121" cm="1">
        <f t="array" ref="F121">Common_InputFunctions.Utility_DisplayArrayInTable(Agresidue_SourceData.CropFractionRemoved_CustomisedData(), Table77[[#Headers],[Crop type c]], 0)</f>
        <v>0</v>
      </c>
      <c r="G121" s="21"/>
      <c r="H121" s="21"/>
      <c r="I121" s="21"/>
      <c r="J121" s="21"/>
      <c r="K121" s="21"/>
      <c r="L121" s="21"/>
    </row>
    <row r="122" spans="4:12" ht="20.100000000000001" customHeight="1" x14ac:dyDescent="0.2">
      <c r="D122" s="21" t="str" cm="1">
        <f t="array" ref="D122">Common_InputFunctions.Utility_DisplayArrayInTable(Agresidue_SourceData.CropFractionRemoved_CustomisedData(), Table77[[#Headers],[Crop type c]], 0)</f>
        <v>Hops</v>
      </c>
      <c r="E122" t="str" cm="1">
        <f t="array" ref="E122">Common_InputFunctions.Utility_DisplayArrayInTable(Agresidue_SourceData.CropFractionRemoved_CustomisedData(), Table77[[#Headers],[Crop type c]], 0)</f>
        <v>TAS</v>
      </c>
      <c r="F122" cm="1">
        <f t="array" ref="F122">Common_InputFunctions.Utility_DisplayArrayInTable(Agresidue_SourceData.CropFractionRemoved_CustomisedData(), Table77[[#Headers],[Crop type c]], 0)</f>
        <v>0</v>
      </c>
      <c r="G122" s="21"/>
      <c r="H122" s="21"/>
      <c r="I122" s="21"/>
      <c r="J122" s="21"/>
      <c r="K122" s="21"/>
      <c r="L122" s="21"/>
    </row>
    <row r="123" spans="4:12" ht="20.100000000000001" customHeight="1" x14ac:dyDescent="0.2">
      <c r="D123" s="21" t="str" cm="1">
        <f t="array" ref="D123">Common_InputFunctions.Utility_DisplayArrayInTable(Agresidue_SourceData.CropFractionRemoved_CustomisedData(), Table77[[#Headers],[Crop type c]], 0)</f>
        <v>Hops</v>
      </c>
      <c r="E123" t="str" cm="1">
        <f t="array" ref="E123">Common_InputFunctions.Utility_DisplayArrayInTable(Agresidue_SourceData.CropFractionRemoved_CustomisedData(), Table77[[#Headers],[Crop type c]], 0)</f>
        <v>NT</v>
      </c>
      <c r="F123" cm="1">
        <f t="array" ref="F123">Common_InputFunctions.Utility_DisplayArrayInTable(Agresidue_SourceData.CropFractionRemoved_CustomisedData(), Table77[[#Headers],[Crop type c]], 0)</f>
        <v>0</v>
      </c>
      <c r="G123" s="21"/>
      <c r="H123" s="21"/>
      <c r="I123" s="21"/>
      <c r="J123" s="21"/>
      <c r="K123" s="21"/>
      <c r="L123" s="21"/>
    </row>
    <row r="124" spans="4:12" ht="20.100000000000001" customHeight="1" x14ac:dyDescent="0.2">
      <c r="D124" s="21" t="str" cm="1">
        <f t="array" ref="D124">Common_InputFunctions.Utility_DisplayArrayInTable(Agresidue_SourceData.CropFractionRemoved_CustomisedData(), Table77[[#Headers],[Crop type c]], 0)</f>
        <v>Hops</v>
      </c>
      <c r="E124" t="str" cm="1">
        <f t="array" ref="E124">Common_InputFunctions.Utility_DisplayArrayInTable(Agresidue_SourceData.CropFractionRemoved_CustomisedData(), Table77[[#Headers],[Crop type c]], 0)</f>
        <v>ACT</v>
      </c>
      <c r="F124" cm="1">
        <f t="array" ref="F124">Common_InputFunctions.Utility_DisplayArrayInTable(Agresidue_SourceData.CropFractionRemoved_CustomisedData(), Table77[[#Headers],[Crop type c]], 0)</f>
        <v>0</v>
      </c>
      <c r="G124" s="21"/>
      <c r="H124" s="21"/>
      <c r="I124" s="21"/>
      <c r="J124" s="21"/>
      <c r="K124" s="21"/>
      <c r="L124" s="21"/>
    </row>
    <row r="125" spans="4:12" ht="20.100000000000001" customHeight="1" x14ac:dyDescent="0.2">
      <c r="D125" s="21" t="str" cm="1">
        <f t="array" ref="D125">Common_InputFunctions.Utility_DisplayArrayInTable(Agresidue_SourceData.CropFractionRemoved_CustomisedData(), Table77[[#Headers],[Crop type c]], 0)</f>
        <v>Forage crops</v>
      </c>
      <c r="E125" t="str" cm="1">
        <f t="array" ref="E125">Common_InputFunctions.Utility_DisplayArrayInTable(Agresidue_SourceData.CropFractionRemoved_CustomisedData(), Table77[[#Headers],[Crop type c]], 0)</f>
        <v>NSW</v>
      </c>
      <c r="F125" cm="1">
        <f t="array" ref="F125">Common_InputFunctions.Utility_DisplayArrayInTable(Agresidue_SourceData.CropFractionRemoved_CustomisedData(), Table77[[#Headers],[Crop type c]], 0)</f>
        <v>0.8</v>
      </c>
      <c r="G125" s="21"/>
      <c r="H125" s="21"/>
      <c r="I125" s="21"/>
      <c r="J125" s="21"/>
      <c r="K125" s="21"/>
      <c r="L125" s="21"/>
    </row>
    <row r="126" spans="4:12" ht="20.100000000000001" customHeight="1" x14ac:dyDescent="0.2">
      <c r="D126" s="21" t="str" cm="1">
        <f t="array" ref="D126">Common_InputFunctions.Utility_DisplayArrayInTable(Agresidue_SourceData.CropFractionRemoved_CustomisedData(), Table77[[#Headers],[Crop type c]], 0)</f>
        <v>Forage crops</v>
      </c>
      <c r="E126" t="str" cm="1">
        <f t="array" ref="E126">Common_InputFunctions.Utility_DisplayArrayInTable(Agresidue_SourceData.CropFractionRemoved_CustomisedData(), Table77[[#Headers],[Crop type c]], 0)</f>
        <v>VIC</v>
      </c>
      <c r="F126" cm="1">
        <f t="array" ref="F126">Common_InputFunctions.Utility_DisplayArrayInTable(Agresidue_SourceData.CropFractionRemoved_CustomisedData(), Table77[[#Headers],[Crop type c]], 0)</f>
        <v>0.8</v>
      </c>
      <c r="G126" s="21"/>
      <c r="H126" s="21"/>
      <c r="I126" s="21"/>
      <c r="J126" s="21"/>
      <c r="K126" s="21"/>
      <c r="L126" s="21"/>
    </row>
    <row r="127" spans="4:12" ht="20.100000000000001" customHeight="1" x14ac:dyDescent="0.2">
      <c r="D127" s="21" t="str" cm="1">
        <f t="array" ref="D127">Common_InputFunctions.Utility_DisplayArrayInTable(Agresidue_SourceData.CropFractionRemoved_CustomisedData(), Table77[[#Headers],[Crop type c]], 0)</f>
        <v>Forage crops</v>
      </c>
      <c r="E127" t="str" cm="1">
        <f t="array" ref="E127">Common_InputFunctions.Utility_DisplayArrayInTable(Agresidue_SourceData.CropFractionRemoved_CustomisedData(), Table77[[#Headers],[Crop type c]], 0)</f>
        <v>QLD</v>
      </c>
      <c r="F127" cm="1">
        <f t="array" ref="F127">Common_InputFunctions.Utility_DisplayArrayInTable(Agresidue_SourceData.CropFractionRemoved_CustomisedData(), Table77[[#Headers],[Crop type c]], 0)</f>
        <v>0.8</v>
      </c>
      <c r="G127" s="21"/>
      <c r="H127" s="21"/>
      <c r="I127" s="21"/>
      <c r="J127" s="21"/>
      <c r="K127" s="21"/>
      <c r="L127" s="21"/>
    </row>
    <row r="128" spans="4:12" ht="20.100000000000001" customHeight="1" x14ac:dyDescent="0.2">
      <c r="D128" s="21" t="str" cm="1">
        <f t="array" ref="D128">Common_InputFunctions.Utility_DisplayArrayInTable(Agresidue_SourceData.CropFractionRemoved_CustomisedData(), Table77[[#Headers],[Crop type c]], 0)</f>
        <v>Forage crops</v>
      </c>
      <c r="E128" t="str" cm="1">
        <f t="array" ref="E128">Common_InputFunctions.Utility_DisplayArrayInTable(Agresidue_SourceData.CropFractionRemoved_CustomisedData(), Table77[[#Headers],[Crop type c]], 0)</f>
        <v>SA</v>
      </c>
      <c r="F128" cm="1">
        <f t="array" ref="F128">Common_InputFunctions.Utility_DisplayArrayInTable(Agresidue_SourceData.CropFractionRemoved_CustomisedData(), Table77[[#Headers],[Crop type c]], 0)</f>
        <v>0.8</v>
      </c>
      <c r="G128" s="21"/>
      <c r="H128" s="21"/>
      <c r="I128" s="21"/>
      <c r="J128" s="21"/>
      <c r="K128" s="21"/>
      <c r="L128" s="21"/>
    </row>
    <row r="129" spans="4:12" ht="20.100000000000001" customHeight="1" x14ac:dyDescent="0.2">
      <c r="D129" s="21" t="str" cm="1">
        <f t="array" ref="D129">Common_InputFunctions.Utility_DisplayArrayInTable(Agresidue_SourceData.CropFractionRemoved_CustomisedData(), Table77[[#Headers],[Crop type c]], 0)</f>
        <v>Forage crops</v>
      </c>
      <c r="E129" t="str" cm="1">
        <f t="array" ref="E129">Common_InputFunctions.Utility_DisplayArrayInTable(Agresidue_SourceData.CropFractionRemoved_CustomisedData(), Table77[[#Headers],[Crop type c]], 0)</f>
        <v>WA</v>
      </c>
      <c r="F129" cm="1">
        <f t="array" ref="F129">Common_InputFunctions.Utility_DisplayArrayInTable(Agresidue_SourceData.CropFractionRemoved_CustomisedData(), Table77[[#Headers],[Crop type c]], 0)</f>
        <v>0.8</v>
      </c>
      <c r="G129" s="21"/>
      <c r="H129" s="21"/>
      <c r="I129" s="21"/>
      <c r="J129" s="21"/>
      <c r="K129" s="21"/>
      <c r="L129" s="21"/>
    </row>
    <row r="130" spans="4:12" ht="20.100000000000001" customHeight="1" x14ac:dyDescent="0.2">
      <c r="D130" s="21" t="str" cm="1">
        <f t="array" ref="D130">Common_InputFunctions.Utility_DisplayArrayInTable(Agresidue_SourceData.CropFractionRemoved_CustomisedData(), Table77[[#Headers],[Crop type c]], 0)</f>
        <v>Forage crops</v>
      </c>
      <c r="E130" t="str" cm="1">
        <f t="array" ref="E130">Common_InputFunctions.Utility_DisplayArrayInTable(Agresidue_SourceData.CropFractionRemoved_CustomisedData(), Table77[[#Headers],[Crop type c]], 0)</f>
        <v>TAS</v>
      </c>
      <c r="F130" cm="1">
        <f t="array" ref="F130">Common_InputFunctions.Utility_DisplayArrayInTable(Agresidue_SourceData.CropFractionRemoved_CustomisedData(), Table77[[#Headers],[Crop type c]], 0)</f>
        <v>0.8</v>
      </c>
      <c r="G130" s="21"/>
      <c r="H130" s="21"/>
      <c r="I130" s="21"/>
      <c r="J130" s="21"/>
      <c r="K130" s="21"/>
      <c r="L130" s="21"/>
    </row>
    <row r="131" spans="4:12" ht="20.100000000000001" customHeight="1" x14ac:dyDescent="0.2">
      <c r="D131" s="21" t="str" cm="1">
        <f t="array" ref="D131">Common_InputFunctions.Utility_DisplayArrayInTable(Agresidue_SourceData.CropFractionRemoved_CustomisedData(), Table77[[#Headers],[Crop type c]], 0)</f>
        <v>Forage crops</v>
      </c>
      <c r="E131" t="str" cm="1">
        <f t="array" ref="E131">Common_InputFunctions.Utility_DisplayArrayInTable(Agresidue_SourceData.CropFractionRemoved_CustomisedData(), Table77[[#Headers],[Crop type c]], 0)</f>
        <v>NT</v>
      </c>
      <c r="F131" cm="1">
        <f t="array" ref="F131">Common_InputFunctions.Utility_DisplayArrayInTable(Agresidue_SourceData.CropFractionRemoved_CustomisedData(), Table77[[#Headers],[Crop type c]], 0)</f>
        <v>0.8</v>
      </c>
      <c r="G131" s="21"/>
      <c r="H131" s="21"/>
      <c r="I131" s="21"/>
      <c r="J131" s="21"/>
      <c r="K131" s="21"/>
      <c r="L131" s="21"/>
    </row>
    <row r="132" spans="4:12" ht="20.100000000000001" customHeight="1" x14ac:dyDescent="0.2">
      <c r="D132" s="21" t="str" cm="1">
        <f t="array" ref="D132">Common_InputFunctions.Utility_DisplayArrayInTable(Agresidue_SourceData.CropFractionRemoved_CustomisedData(), Table77[[#Headers],[Crop type c]], 0)</f>
        <v>Forage crops</v>
      </c>
      <c r="E132" t="str" cm="1">
        <f t="array" ref="E132">Common_InputFunctions.Utility_DisplayArrayInTable(Agresidue_SourceData.CropFractionRemoved_CustomisedData(), Table77[[#Headers],[Crop type c]], 0)</f>
        <v>ACT</v>
      </c>
      <c r="F132" cm="1">
        <f t="array" ref="F132">Common_InputFunctions.Utility_DisplayArrayInTable(Agresidue_SourceData.CropFractionRemoved_CustomisedData(), Table77[[#Headers],[Crop type c]], 0)</f>
        <v>0.8</v>
      </c>
      <c r="G132" s="21"/>
      <c r="H132" s="21"/>
      <c r="I132" s="21"/>
      <c r="J132" s="21"/>
      <c r="K132" s="21"/>
      <c r="L132" s="21"/>
    </row>
    <row r="133" spans="4:12" ht="20.100000000000001" customHeight="1" x14ac:dyDescent="0.2">
      <c r="D133" s="21" t="str" cm="1">
        <f t="array" ref="D133">Common_InputFunctions.Utility_DisplayArrayInTable(Agresidue_SourceData.CropFractionRemoved_CustomisedData(), Table77[[#Headers],[Crop type c]], 0)</f>
        <v>Sugar Cane</v>
      </c>
      <c r="E133" t="str" cm="1">
        <f t="array" ref="E133">Common_InputFunctions.Utility_DisplayArrayInTable(Agresidue_SourceData.CropFractionRemoved_CustomisedData(), Table77[[#Headers],[Crop type c]], 0)</f>
        <v>NSW</v>
      </c>
      <c r="F133" cm="1">
        <f t="array" ref="F133">Common_InputFunctions.Utility_DisplayArrayInTable(Agresidue_SourceData.CropFractionRemoved_CustomisedData(), Table77[[#Headers],[Crop type c]], 0)</f>
        <v>0</v>
      </c>
      <c r="G133" s="21"/>
      <c r="H133" s="21"/>
      <c r="I133" s="21"/>
      <c r="J133" s="21"/>
      <c r="K133" s="21"/>
      <c r="L133" s="21"/>
    </row>
    <row r="134" spans="4:12" ht="20.100000000000001" customHeight="1" x14ac:dyDescent="0.2">
      <c r="D134" s="21" t="str" cm="1">
        <f t="array" ref="D134">Common_InputFunctions.Utility_DisplayArrayInTable(Agresidue_SourceData.CropFractionRemoved_CustomisedData(), Table77[[#Headers],[Crop type c]], 0)</f>
        <v>Sugar Cane</v>
      </c>
      <c r="E134" t="str" cm="1">
        <f t="array" ref="E134">Common_InputFunctions.Utility_DisplayArrayInTable(Agresidue_SourceData.CropFractionRemoved_CustomisedData(), Table77[[#Headers],[Crop type c]], 0)</f>
        <v>VIC</v>
      </c>
      <c r="F134" t="str" cm="1">
        <f t="array" ref="F134">Common_InputFunctions.Utility_DisplayArrayInTable(Agresidue_SourceData.CropFractionRemoved_CustomisedData(), Table77[[#Headers],[Crop type c]], 0)</f>
        <v>N/A</v>
      </c>
      <c r="G134" s="21"/>
      <c r="H134" s="21"/>
      <c r="I134" s="21"/>
      <c r="J134" s="21"/>
      <c r="K134" s="21"/>
      <c r="L134" s="21"/>
    </row>
    <row r="135" spans="4:12" ht="20.100000000000001" customHeight="1" x14ac:dyDescent="0.2">
      <c r="D135" s="21" t="str" cm="1">
        <f t="array" ref="D135">Common_InputFunctions.Utility_DisplayArrayInTable(Agresidue_SourceData.CropFractionRemoved_CustomisedData(), Table77[[#Headers],[Crop type c]], 0)</f>
        <v>Sugar Cane</v>
      </c>
      <c r="E135" t="str" cm="1">
        <f t="array" ref="E135">Common_InputFunctions.Utility_DisplayArrayInTable(Agresidue_SourceData.CropFractionRemoved_CustomisedData(), Table77[[#Headers],[Crop type c]], 0)</f>
        <v>QLD</v>
      </c>
      <c r="F135" cm="1">
        <f t="array" ref="F135">Common_InputFunctions.Utility_DisplayArrayInTable(Agresidue_SourceData.CropFractionRemoved_CustomisedData(), Table77[[#Headers],[Crop type c]], 0)</f>
        <v>0.03</v>
      </c>
      <c r="G135" s="21"/>
      <c r="H135" s="21"/>
      <c r="I135" s="21"/>
      <c r="J135" s="21"/>
      <c r="K135" s="21"/>
      <c r="L135" s="21"/>
    </row>
    <row r="136" spans="4:12" ht="20.100000000000001" customHeight="1" x14ac:dyDescent="0.2">
      <c r="D136" s="21" t="str" cm="1">
        <f t="array" ref="D136">Common_InputFunctions.Utility_DisplayArrayInTable(Agresidue_SourceData.CropFractionRemoved_CustomisedData(), Table77[[#Headers],[Crop type c]], 0)</f>
        <v>Sugar Cane</v>
      </c>
      <c r="E136" t="str" cm="1">
        <f t="array" ref="E136">Common_InputFunctions.Utility_DisplayArrayInTable(Agresidue_SourceData.CropFractionRemoved_CustomisedData(), Table77[[#Headers],[Crop type c]], 0)</f>
        <v>SA</v>
      </c>
      <c r="F136" t="str" cm="1">
        <f t="array" ref="F136">Common_InputFunctions.Utility_DisplayArrayInTable(Agresidue_SourceData.CropFractionRemoved_CustomisedData(), Table77[[#Headers],[Crop type c]], 0)</f>
        <v>N/A</v>
      </c>
      <c r="G136" s="21"/>
      <c r="H136" s="21"/>
      <c r="I136" s="21"/>
      <c r="J136" s="21"/>
      <c r="K136" s="21"/>
      <c r="L136" s="21"/>
    </row>
    <row r="137" spans="4:12" ht="20.100000000000001" customHeight="1" x14ac:dyDescent="0.2">
      <c r="D137" s="21" t="str" cm="1">
        <f t="array" ref="D137">Common_InputFunctions.Utility_DisplayArrayInTable(Agresidue_SourceData.CropFractionRemoved_CustomisedData(), Table77[[#Headers],[Crop type c]], 0)</f>
        <v>Sugar Cane</v>
      </c>
      <c r="E137" t="str" cm="1">
        <f t="array" ref="E137">Common_InputFunctions.Utility_DisplayArrayInTable(Agresidue_SourceData.CropFractionRemoved_CustomisedData(), Table77[[#Headers],[Crop type c]], 0)</f>
        <v>WA</v>
      </c>
      <c r="F137" cm="1">
        <f t="array" ref="F137">Common_InputFunctions.Utility_DisplayArrayInTable(Agresidue_SourceData.CropFractionRemoved_CustomisedData(), Table77[[#Headers],[Crop type c]], 0)</f>
        <v>0</v>
      </c>
      <c r="G137" s="21"/>
      <c r="H137" s="21"/>
      <c r="I137" s="21"/>
      <c r="J137" s="21"/>
      <c r="K137" s="21"/>
      <c r="L137" s="21"/>
    </row>
    <row r="138" spans="4:12" ht="20.100000000000001" customHeight="1" x14ac:dyDescent="0.2">
      <c r="D138" s="21" t="str" cm="1">
        <f t="array" ref="D138">Common_InputFunctions.Utility_DisplayArrayInTable(Agresidue_SourceData.CropFractionRemoved_CustomisedData(), Table77[[#Headers],[Crop type c]], 0)</f>
        <v>Sugar Cane</v>
      </c>
      <c r="E138" t="str" cm="1">
        <f t="array" ref="E138">Common_InputFunctions.Utility_DisplayArrayInTable(Agresidue_SourceData.CropFractionRemoved_CustomisedData(), Table77[[#Headers],[Crop type c]], 0)</f>
        <v>TAS</v>
      </c>
      <c r="F138" t="str" cm="1">
        <f t="array" ref="F138">Common_InputFunctions.Utility_DisplayArrayInTable(Agresidue_SourceData.CropFractionRemoved_CustomisedData(), Table77[[#Headers],[Crop type c]], 0)</f>
        <v>N/A</v>
      </c>
      <c r="G138" s="21"/>
      <c r="H138" s="21"/>
      <c r="I138" s="21"/>
      <c r="J138" s="21"/>
      <c r="K138" s="21"/>
      <c r="L138" s="21"/>
    </row>
    <row r="139" spans="4:12" ht="20.100000000000001" customHeight="1" x14ac:dyDescent="0.2">
      <c r="D139" s="21" t="str" cm="1">
        <f t="array" ref="D139">Common_InputFunctions.Utility_DisplayArrayInTable(Agresidue_SourceData.CropFractionRemoved_CustomisedData(), Table77[[#Headers],[Crop type c]], 0)</f>
        <v>Sugar Cane</v>
      </c>
      <c r="E139" t="str" cm="1">
        <f t="array" ref="E139">Common_InputFunctions.Utility_DisplayArrayInTable(Agresidue_SourceData.CropFractionRemoved_CustomisedData(), Table77[[#Headers],[Crop type c]], 0)</f>
        <v>NT</v>
      </c>
      <c r="F139" t="str" cm="1">
        <f t="array" ref="F139">Common_InputFunctions.Utility_DisplayArrayInTable(Agresidue_SourceData.CropFractionRemoved_CustomisedData(), Table77[[#Headers],[Crop type c]], 0)</f>
        <v>N/A</v>
      </c>
      <c r="G139" s="21"/>
      <c r="H139" s="21"/>
      <c r="I139" s="21"/>
      <c r="J139" s="21"/>
      <c r="K139" s="21"/>
      <c r="L139" s="21"/>
    </row>
    <row r="140" spans="4:12" ht="20.100000000000001" customHeight="1" x14ac:dyDescent="0.2">
      <c r="D140" s="21" t="str" cm="1">
        <f t="array" ref="D140">Common_InputFunctions.Utility_DisplayArrayInTable(Agresidue_SourceData.CropFractionRemoved_CustomisedData(), Table77[[#Headers],[Crop type c]], 0)</f>
        <v>Sugar Cane</v>
      </c>
      <c r="E140" t="str" cm="1">
        <f t="array" ref="E140">Common_InputFunctions.Utility_DisplayArrayInTable(Agresidue_SourceData.CropFractionRemoved_CustomisedData(), Table77[[#Headers],[Crop type c]], 0)</f>
        <v>ACT</v>
      </c>
      <c r="F140" t="str" cm="1">
        <f t="array" ref="F140">Common_InputFunctions.Utility_DisplayArrayInTable(Agresidue_SourceData.CropFractionRemoved_CustomisedData(), Table77[[#Headers],[Crop type c]], 0)</f>
        <v>N/A</v>
      </c>
      <c r="G140" s="21"/>
      <c r="H140" s="21"/>
      <c r="I140" s="21"/>
      <c r="J140" s="21"/>
      <c r="K140" s="21"/>
      <c r="L140" s="21"/>
    </row>
    <row r="141" spans="4:12" ht="20.100000000000001" customHeight="1" x14ac:dyDescent="0.2">
      <c r="D141" s="21" t="str" cm="1">
        <f t="array" ref="D141">Common_InputFunctions.Utility_DisplayArrayInTable(Agresidue_SourceData.CropFractionRemoved_CustomisedData(), Table77[[#Headers],[Crop type c]], 0)</f>
        <v>Wheat</v>
      </c>
      <c r="E141" t="str" cm="1">
        <f t="array" ref="E141">Common_InputFunctions.Utility_DisplayArrayInTable(Agresidue_SourceData.CropFractionRemoved_CustomisedData(), Table77[[#Headers],[Crop type c]], 0)</f>
        <v>NSW</v>
      </c>
      <c r="F141" cm="1">
        <f t="array" ref="F141">Common_InputFunctions.Utility_DisplayArrayInTable(Agresidue_SourceData.CropFractionRemoved_CustomisedData(), Table77[[#Headers],[Crop type c]], 0)</f>
        <v>0.05</v>
      </c>
      <c r="G141" s="21"/>
      <c r="H141" s="21"/>
      <c r="I141" s="21"/>
      <c r="J141" s="21"/>
      <c r="K141" s="21"/>
      <c r="L141" s="21"/>
    </row>
    <row r="142" spans="4:12" ht="20.100000000000001" customHeight="1" x14ac:dyDescent="0.2">
      <c r="D142" s="21" t="str" cm="1">
        <f t="array" ref="D142">Common_InputFunctions.Utility_DisplayArrayInTable(Agresidue_SourceData.CropFractionRemoved_CustomisedData(), Table77[[#Headers],[Crop type c]], 0)</f>
        <v>Wheat</v>
      </c>
      <c r="E142" t="str" cm="1">
        <f t="array" ref="E142">Common_InputFunctions.Utility_DisplayArrayInTable(Agresidue_SourceData.CropFractionRemoved_CustomisedData(), Table77[[#Headers],[Crop type c]], 0)</f>
        <v>VIC</v>
      </c>
      <c r="F142" cm="1">
        <f t="array" ref="F142">Common_InputFunctions.Utility_DisplayArrayInTable(Agresidue_SourceData.CropFractionRemoved_CustomisedData(), Table77[[#Headers],[Crop type c]], 0)</f>
        <v>7.0000000000000007E-2</v>
      </c>
      <c r="G142" s="21"/>
      <c r="H142" s="21"/>
      <c r="I142" s="21"/>
      <c r="J142" s="21"/>
      <c r="K142" s="21"/>
      <c r="L142" s="21"/>
    </row>
    <row r="143" spans="4:12" ht="20.100000000000001" customHeight="1" x14ac:dyDescent="0.2">
      <c r="D143" s="21" t="str" cm="1">
        <f t="array" ref="D143">Common_InputFunctions.Utility_DisplayArrayInTable(Agresidue_SourceData.CropFractionRemoved_CustomisedData(), Table77[[#Headers],[Crop type c]], 0)</f>
        <v>Wheat</v>
      </c>
      <c r="E143" t="str" cm="1">
        <f t="array" ref="E143">Common_InputFunctions.Utility_DisplayArrayInTable(Agresidue_SourceData.CropFractionRemoved_CustomisedData(), Table77[[#Headers],[Crop type c]], 0)</f>
        <v>QLD</v>
      </c>
      <c r="F143" cm="1">
        <f t="array" ref="F143">Common_InputFunctions.Utility_DisplayArrayInTable(Agresidue_SourceData.CropFractionRemoved_CustomisedData(), Table77[[#Headers],[Crop type c]], 0)</f>
        <v>0.04</v>
      </c>
      <c r="G143" s="21"/>
      <c r="H143" s="21"/>
      <c r="I143" s="21"/>
      <c r="J143" s="21"/>
      <c r="K143" s="21"/>
      <c r="L143" s="21"/>
    </row>
    <row r="144" spans="4:12" ht="20.100000000000001" customHeight="1" x14ac:dyDescent="0.2">
      <c r="D144" s="21" t="str" cm="1">
        <f t="array" ref="D144">Common_InputFunctions.Utility_DisplayArrayInTable(Agresidue_SourceData.CropFractionRemoved_CustomisedData(), Table77[[#Headers],[Crop type c]], 0)</f>
        <v>Wheat</v>
      </c>
      <c r="E144" t="str" cm="1">
        <f t="array" ref="E144">Common_InputFunctions.Utility_DisplayArrayInTable(Agresidue_SourceData.CropFractionRemoved_CustomisedData(), Table77[[#Headers],[Crop type c]], 0)</f>
        <v>SA</v>
      </c>
      <c r="F144" cm="1">
        <f t="array" ref="F144">Common_InputFunctions.Utility_DisplayArrayInTable(Agresidue_SourceData.CropFractionRemoved_CustomisedData(), Table77[[#Headers],[Crop type c]], 0)</f>
        <v>0.09</v>
      </c>
      <c r="G144" s="21"/>
      <c r="H144" s="21"/>
      <c r="I144" s="21"/>
      <c r="J144" s="21"/>
      <c r="K144" s="21"/>
      <c r="L144" s="21"/>
    </row>
    <row r="145" spans="4:12" ht="20.100000000000001" customHeight="1" x14ac:dyDescent="0.2">
      <c r="D145" s="21" t="str" cm="1">
        <f t="array" ref="D145">Common_InputFunctions.Utility_DisplayArrayInTable(Agresidue_SourceData.CropFractionRemoved_CustomisedData(), Table77[[#Headers],[Crop type c]], 0)</f>
        <v>Wheat</v>
      </c>
      <c r="E145" t="str" cm="1">
        <f t="array" ref="E145">Common_InputFunctions.Utility_DisplayArrayInTable(Agresidue_SourceData.CropFractionRemoved_CustomisedData(), Table77[[#Headers],[Crop type c]], 0)</f>
        <v>WA</v>
      </c>
      <c r="F145" cm="1">
        <f t="array" ref="F145">Common_InputFunctions.Utility_DisplayArrayInTable(Agresidue_SourceData.CropFractionRemoved_CustomisedData(), Table77[[#Headers],[Crop type c]], 0)</f>
        <v>0.11</v>
      </c>
      <c r="G145" s="21"/>
      <c r="H145" s="21"/>
      <c r="I145" s="21"/>
      <c r="J145" s="21"/>
      <c r="K145" s="21"/>
      <c r="L145" s="21"/>
    </row>
    <row r="146" spans="4:12" ht="20.100000000000001" customHeight="1" x14ac:dyDescent="0.2">
      <c r="D146" s="21" t="str" cm="1">
        <f t="array" ref="D146">Common_InputFunctions.Utility_DisplayArrayInTable(Agresidue_SourceData.CropFractionRemoved_CustomisedData(), Table77[[#Headers],[Crop type c]], 0)</f>
        <v>Wheat</v>
      </c>
      <c r="E146" t="str" cm="1">
        <f t="array" ref="E146">Common_InputFunctions.Utility_DisplayArrayInTable(Agresidue_SourceData.CropFractionRemoved_CustomisedData(), Table77[[#Headers],[Crop type c]], 0)</f>
        <v>TAS</v>
      </c>
      <c r="F146" cm="1">
        <f t="array" ref="F146">Common_InputFunctions.Utility_DisplayArrayInTable(Agresidue_SourceData.CropFractionRemoved_CustomisedData(), Table77[[#Headers],[Crop type c]], 0)</f>
        <v>0.16</v>
      </c>
      <c r="G146" s="21"/>
      <c r="H146" s="21"/>
      <c r="I146" s="21"/>
      <c r="J146" s="21"/>
      <c r="K146" s="21"/>
      <c r="L146" s="21"/>
    </row>
    <row r="147" spans="4:12" ht="20.100000000000001" customHeight="1" x14ac:dyDescent="0.2">
      <c r="D147" s="21" t="str" cm="1">
        <f t="array" ref="D147">Common_InputFunctions.Utility_DisplayArrayInTable(Agresidue_SourceData.CropFractionRemoved_CustomisedData(), Table77[[#Headers],[Crop type c]], 0)</f>
        <v>Wheat</v>
      </c>
      <c r="E147" t="str" cm="1">
        <f t="array" ref="E147">Common_InputFunctions.Utility_DisplayArrayInTable(Agresidue_SourceData.CropFractionRemoved_CustomisedData(), Table77[[#Headers],[Crop type c]], 0)</f>
        <v>NT</v>
      </c>
      <c r="F147" cm="1">
        <f t="array" ref="F147">Common_InputFunctions.Utility_DisplayArrayInTable(Agresidue_SourceData.CropFractionRemoved_CustomisedData(), Table77[[#Headers],[Crop type c]], 0)</f>
        <v>0.01</v>
      </c>
      <c r="G147" s="21"/>
      <c r="H147" s="21"/>
      <c r="I147" s="21"/>
      <c r="J147" s="21"/>
      <c r="K147" s="21"/>
      <c r="L147" s="21"/>
    </row>
    <row r="148" spans="4:12" ht="20.100000000000001" customHeight="1" x14ac:dyDescent="0.2">
      <c r="D148" s="21" t="str" cm="1">
        <f t="array" ref="D148">Common_InputFunctions.Utility_DisplayArrayInTable(Agresidue_SourceData.CropFractionRemoved_CustomisedData(), Table77[[#Headers],[Crop type c]], 0)</f>
        <v>Wheat</v>
      </c>
      <c r="E148" t="str" cm="1">
        <f t="array" ref="E148">Common_InputFunctions.Utility_DisplayArrayInTable(Agresidue_SourceData.CropFractionRemoved_CustomisedData(), Table77[[#Headers],[Crop type c]], 0)</f>
        <v>ACT</v>
      </c>
      <c r="F148" cm="1">
        <f t="array" ref="F148">Common_InputFunctions.Utility_DisplayArrayInTable(Agresidue_SourceData.CropFractionRemoved_CustomisedData(), Table77[[#Headers],[Crop type c]], 0)</f>
        <v>0</v>
      </c>
      <c r="G148" s="21"/>
      <c r="H148" s="21"/>
      <c r="I148" s="21"/>
      <c r="J148" s="21"/>
      <c r="K148" s="21"/>
      <c r="L148" s="21"/>
    </row>
    <row r="149" spans="4:12" ht="20.100000000000001" customHeight="1" x14ac:dyDescent="0.2">
      <c r="D149" s="21" t="str" cm="1">
        <f t="array" ref="D149">Common_InputFunctions.Utility_DisplayArrayInTable(Agresidue_SourceData.CropFractionRemoved_CustomisedData(), Table77[[#Headers],[Crop type c]], 0)</f>
        <v>Barley</v>
      </c>
      <c r="E149" t="str" cm="1">
        <f t="array" ref="E149">Common_InputFunctions.Utility_DisplayArrayInTable(Agresidue_SourceData.CropFractionRemoved_CustomisedData(), Table77[[#Headers],[Crop type c]], 0)</f>
        <v>NSW</v>
      </c>
      <c r="F149" cm="1">
        <f t="array" ref="F149">Common_InputFunctions.Utility_DisplayArrayInTable(Agresidue_SourceData.CropFractionRemoved_CustomisedData(), Table77[[#Headers],[Crop type c]], 0)</f>
        <v>0.05</v>
      </c>
      <c r="G149" s="21"/>
      <c r="H149" s="21"/>
      <c r="I149" s="21"/>
      <c r="J149" s="21"/>
      <c r="K149" s="21"/>
      <c r="L149" s="21"/>
    </row>
    <row r="150" spans="4:12" ht="20.100000000000001" customHeight="1" x14ac:dyDescent="0.2">
      <c r="D150" s="21" t="str" cm="1">
        <f t="array" ref="D150">Common_InputFunctions.Utility_DisplayArrayInTable(Agresidue_SourceData.CropFractionRemoved_CustomisedData(), Table77[[#Headers],[Crop type c]], 0)</f>
        <v>Barley</v>
      </c>
      <c r="E150" t="str" cm="1">
        <f t="array" ref="E150">Common_InputFunctions.Utility_DisplayArrayInTable(Agresidue_SourceData.CropFractionRemoved_CustomisedData(), Table77[[#Headers],[Crop type c]], 0)</f>
        <v>VIC</v>
      </c>
      <c r="F150" cm="1">
        <f t="array" ref="F150">Common_InputFunctions.Utility_DisplayArrayInTable(Agresidue_SourceData.CropFractionRemoved_CustomisedData(), Table77[[#Headers],[Crop type c]], 0)</f>
        <v>7.0000000000000007E-2</v>
      </c>
      <c r="G150" s="21"/>
      <c r="H150" s="21"/>
      <c r="I150" s="21"/>
      <c r="J150" s="21"/>
      <c r="K150" s="21"/>
      <c r="L150" s="21"/>
    </row>
    <row r="151" spans="4:12" ht="20.100000000000001" customHeight="1" x14ac:dyDescent="0.2">
      <c r="D151" s="21" t="str" cm="1">
        <f t="array" ref="D151">Common_InputFunctions.Utility_DisplayArrayInTable(Agresidue_SourceData.CropFractionRemoved_CustomisedData(), Table77[[#Headers],[Crop type c]], 0)</f>
        <v>Barley</v>
      </c>
      <c r="E151" t="str" cm="1">
        <f t="array" ref="E151">Common_InputFunctions.Utility_DisplayArrayInTable(Agresidue_SourceData.CropFractionRemoved_CustomisedData(), Table77[[#Headers],[Crop type c]], 0)</f>
        <v>QLD</v>
      </c>
      <c r="F151" cm="1">
        <f t="array" ref="F151">Common_InputFunctions.Utility_DisplayArrayInTable(Agresidue_SourceData.CropFractionRemoved_CustomisedData(), Table77[[#Headers],[Crop type c]], 0)</f>
        <v>0.04</v>
      </c>
      <c r="G151" s="21"/>
      <c r="H151" s="21"/>
      <c r="I151" s="21"/>
      <c r="J151" s="21"/>
      <c r="K151" s="21"/>
      <c r="L151" s="21"/>
    </row>
    <row r="152" spans="4:12" ht="20.100000000000001" customHeight="1" x14ac:dyDescent="0.2">
      <c r="D152" s="21" t="str" cm="1">
        <f t="array" ref="D152">Common_InputFunctions.Utility_DisplayArrayInTable(Agresidue_SourceData.CropFractionRemoved_CustomisedData(), Table77[[#Headers],[Crop type c]], 0)</f>
        <v>Barley</v>
      </c>
      <c r="E152" t="str" cm="1">
        <f t="array" ref="E152">Common_InputFunctions.Utility_DisplayArrayInTable(Agresidue_SourceData.CropFractionRemoved_CustomisedData(), Table77[[#Headers],[Crop type c]], 0)</f>
        <v>SA</v>
      </c>
      <c r="F152" cm="1">
        <f t="array" ref="F152">Common_InputFunctions.Utility_DisplayArrayInTable(Agresidue_SourceData.CropFractionRemoved_CustomisedData(), Table77[[#Headers],[Crop type c]], 0)</f>
        <v>0.09</v>
      </c>
      <c r="G152" s="21"/>
      <c r="H152" s="21"/>
      <c r="I152" s="21"/>
      <c r="J152" s="21"/>
      <c r="K152" s="21"/>
      <c r="L152" s="21"/>
    </row>
    <row r="153" spans="4:12" ht="20.100000000000001" customHeight="1" x14ac:dyDescent="0.2">
      <c r="D153" s="21" t="str" cm="1">
        <f t="array" ref="D153">Common_InputFunctions.Utility_DisplayArrayInTable(Agresidue_SourceData.CropFractionRemoved_CustomisedData(), Table77[[#Headers],[Crop type c]], 0)</f>
        <v>Barley</v>
      </c>
      <c r="E153" t="str" cm="1">
        <f t="array" ref="E153">Common_InputFunctions.Utility_DisplayArrayInTable(Agresidue_SourceData.CropFractionRemoved_CustomisedData(), Table77[[#Headers],[Crop type c]], 0)</f>
        <v>WA</v>
      </c>
      <c r="F153" cm="1">
        <f t="array" ref="F153">Common_InputFunctions.Utility_DisplayArrayInTable(Agresidue_SourceData.CropFractionRemoved_CustomisedData(), Table77[[#Headers],[Crop type c]], 0)</f>
        <v>0.11</v>
      </c>
      <c r="G153" s="21"/>
      <c r="H153" s="21"/>
      <c r="I153" s="21"/>
      <c r="J153" s="21"/>
      <c r="K153" s="21"/>
      <c r="L153" s="21"/>
    </row>
    <row r="154" spans="4:12" ht="20.100000000000001" customHeight="1" x14ac:dyDescent="0.2">
      <c r="D154" s="21" t="str" cm="1">
        <f t="array" ref="D154">Common_InputFunctions.Utility_DisplayArrayInTable(Agresidue_SourceData.CropFractionRemoved_CustomisedData(), Table77[[#Headers],[Crop type c]], 0)</f>
        <v>Barley</v>
      </c>
      <c r="E154" t="str" cm="1">
        <f t="array" ref="E154">Common_InputFunctions.Utility_DisplayArrayInTable(Agresidue_SourceData.CropFractionRemoved_CustomisedData(), Table77[[#Headers],[Crop type c]], 0)</f>
        <v>TAS</v>
      </c>
      <c r="F154" cm="1">
        <f t="array" ref="F154">Common_InputFunctions.Utility_DisplayArrayInTable(Agresidue_SourceData.CropFractionRemoved_CustomisedData(), Table77[[#Headers],[Crop type c]], 0)</f>
        <v>0.16</v>
      </c>
      <c r="G154" s="21"/>
      <c r="H154" s="21"/>
      <c r="I154" s="21"/>
      <c r="J154" s="21"/>
      <c r="K154" s="21"/>
      <c r="L154" s="21"/>
    </row>
    <row r="155" spans="4:12" ht="20.100000000000001" customHeight="1" x14ac:dyDescent="0.2">
      <c r="D155" s="21" t="str" cm="1">
        <f t="array" ref="D155">Common_InputFunctions.Utility_DisplayArrayInTable(Agresidue_SourceData.CropFractionRemoved_CustomisedData(), Table77[[#Headers],[Crop type c]], 0)</f>
        <v>Barley</v>
      </c>
      <c r="E155" t="str" cm="1">
        <f t="array" ref="E155">Common_InputFunctions.Utility_DisplayArrayInTable(Agresidue_SourceData.CropFractionRemoved_CustomisedData(), Table77[[#Headers],[Crop type c]], 0)</f>
        <v>NT</v>
      </c>
      <c r="F155" cm="1">
        <f t="array" ref="F155">Common_InputFunctions.Utility_DisplayArrayInTable(Agresidue_SourceData.CropFractionRemoved_CustomisedData(), Table77[[#Headers],[Crop type c]], 0)</f>
        <v>0.01</v>
      </c>
      <c r="G155" s="21"/>
      <c r="H155" s="21"/>
      <c r="I155" s="21"/>
      <c r="J155" s="21"/>
      <c r="K155" s="21"/>
      <c r="L155" s="21"/>
    </row>
    <row r="156" spans="4:12" ht="20.100000000000001" customHeight="1" x14ac:dyDescent="0.2">
      <c r="D156" s="21" t="str" cm="1">
        <f t="array" ref="D156">Common_InputFunctions.Utility_DisplayArrayInTable(Agresidue_SourceData.CropFractionRemoved_CustomisedData(), Table77[[#Headers],[Crop type c]], 0)</f>
        <v>Barley</v>
      </c>
      <c r="E156" t="str" cm="1">
        <f t="array" ref="E156">Common_InputFunctions.Utility_DisplayArrayInTable(Agresidue_SourceData.CropFractionRemoved_CustomisedData(), Table77[[#Headers],[Crop type c]], 0)</f>
        <v>ACT</v>
      </c>
      <c r="F156" cm="1">
        <f t="array" ref="F156">Common_InputFunctions.Utility_DisplayArrayInTable(Agresidue_SourceData.CropFractionRemoved_CustomisedData(), Table77[[#Headers],[Crop type c]], 0)</f>
        <v>0</v>
      </c>
      <c r="G156" s="21"/>
      <c r="H156" s="21"/>
      <c r="I156" s="21"/>
      <c r="J156" s="21"/>
      <c r="K156" s="21"/>
      <c r="L156" s="21"/>
    </row>
    <row r="157" spans="4:12" ht="20.100000000000001" customHeight="1" x14ac:dyDescent="0.2">
      <c r="D157" s="21" t="str" cm="1">
        <f t="array" ref="D157">Common_InputFunctions.Utility_DisplayArrayInTable(Agresidue_SourceData.CropFractionRemoved_CustomisedData(), Table77[[#Headers],[Crop type c]], 0)</f>
        <v>Maize</v>
      </c>
      <c r="E157" t="str" cm="1">
        <f t="array" ref="E157">Common_InputFunctions.Utility_DisplayArrayInTable(Agresidue_SourceData.CropFractionRemoved_CustomisedData(), Table77[[#Headers],[Crop type c]], 0)</f>
        <v>NSW</v>
      </c>
      <c r="F157" cm="1">
        <f t="array" ref="F157">Common_InputFunctions.Utility_DisplayArrayInTable(Agresidue_SourceData.CropFractionRemoved_CustomisedData(), Table77[[#Headers],[Crop type c]], 0)</f>
        <v>0.05</v>
      </c>
      <c r="G157" s="21"/>
      <c r="H157" s="21"/>
      <c r="I157" s="21"/>
      <c r="J157" s="21"/>
      <c r="K157" s="21"/>
      <c r="L157" s="21"/>
    </row>
    <row r="158" spans="4:12" ht="20.100000000000001" customHeight="1" x14ac:dyDescent="0.2">
      <c r="D158" s="21" t="str" cm="1">
        <f t="array" ref="D158">Common_InputFunctions.Utility_DisplayArrayInTable(Agresidue_SourceData.CropFractionRemoved_CustomisedData(), Table77[[#Headers],[Crop type c]], 0)</f>
        <v>Maize</v>
      </c>
      <c r="E158" t="str" cm="1">
        <f t="array" ref="E158">Common_InputFunctions.Utility_DisplayArrayInTable(Agresidue_SourceData.CropFractionRemoved_CustomisedData(), Table77[[#Headers],[Crop type c]], 0)</f>
        <v>VIC</v>
      </c>
      <c r="F158" cm="1">
        <f t="array" ref="F158">Common_InputFunctions.Utility_DisplayArrayInTable(Agresidue_SourceData.CropFractionRemoved_CustomisedData(), Table77[[#Headers],[Crop type c]], 0)</f>
        <v>7.0000000000000007E-2</v>
      </c>
      <c r="G158" s="21"/>
      <c r="H158" s="21"/>
      <c r="I158" s="21"/>
      <c r="J158" s="21"/>
      <c r="K158" s="21"/>
      <c r="L158" s="21"/>
    </row>
    <row r="159" spans="4:12" ht="20.100000000000001" customHeight="1" x14ac:dyDescent="0.2">
      <c r="D159" s="21" t="str" cm="1">
        <f t="array" ref="D159">Common_InputFunctions.Utility_DisplayArrayInTable(Agresidue_SourceData.CropFractionRemoved_CustomisedData(), Table77[[#Headers],[Crop type c]], 0)</f>
        <v>Maize</v>
      </c>
      <c r="E159" t="str" cm="1">
        <f t="array" ref="E159">Common_InputFunctions.Utility_DisplayArrayInTable(Agresidue_SourceData.CropFractionRemoved_CustomisedData(), Table77[[#Headers],[Crop type c]], 0)</f>
        <v>QLD</v>
      </c>
      <c r="F159" cm="1">
        <f t="array" ref="F159">Common_InputFunctions.Utility_DisplayArrayInTable(Agresidue_SourceData.CropFractionRemoved_CustomisedData(), Table77[[#Headers],[Crop type c]], 0)</f>
        <v>0.04</v>
      </c>
      <c r="G159" s="21"/>
      <c r="H159" s="21"/>
      <c r="I159" s="21"/>
      <c r="J159" s="21"/>
      <c r="K159" s="21"/>
      <c r="L159" s="21"/>
    </row>
    <row r="160" spans="4:12" ht="20.100000000000001" customHeight="1" x14ac:dyDescent="0.2">
      <c r="D160" s="21" t="str" cm="1">
        <f t="array" ref="D160">Common_InputFunctions.Utility_DisplayArrayInTable(Agresidue_SourceData.CropFractionRemoved_CustomisedData(), Table77[[#Headers],[Crop type c]], 0)</f>
        <v>Maize</v>
      </c>
      <c r="E160" t="str" cm="1">
        <f t="array" ref="E160">Common_InputFunctions.Utility_DisplayArrayInTable(Agresidue_SourceData.CropFractionRemoved_CustomisedData(), Table77[[#Headers],[Crop type c]], 0)</f>
        <v>SA</v>
      </c>
      <c r="F160" cm="1">
        <f t="array" ref="F160">Common_InputFunctions.Utility_DisplayArrayInTable(Agresidue_SourceData.CropFractionRemoved_CustomisedData(), Table77[[#Headers],[Crop type c]], 0)</f>
        <v>0.09</v>
      </c>
      <c r="G160" s="21"/>
      <c r="H160" s="21"/>
      <c r="I160" s="21"/>
      <c r="J160" s="21"/>
      <c r="K160" s="21"/>
      <c r="L160" s="21"/>
    </row>
    <row r="161" spans="4:12" ht="20.100000000000001" customHeight="1" x14ac:dyDescent="0.2">
      <c r="D161" s="21" t="str" cm="1">
        <f t="array" ref="D161">Common_InputFunctions.Utility_DisplayArrayInTable(Agresidue_SourceData.CropFractionRemoved_CustomisedData(), Table77[[#Headers],[Crop type c]], 0)</f>
        <v>Maize</v>
      </c>
      <c r="E161" t="str" cm="1">
        <f t="array" ref="E161">Common_InputFunctions.Utility_DisplayArrayInTable(Agresidue_SourceData.CropFractionRemoved_CustomisedData(), Table77[[#Headers],[Crop type c]], 0)</f>
        <v>WA</v>
      </c>
      <c r="F161" cm="1">
        <f t="array" ref="F161">Common_InputFunctions.Utility_DisplayArrayInTable(Agresidue_SourceData.CropFractionRemoved_CustomisedData(), Table77[[#Headers],[Crop type c]], 0)</f>
        <v>0.11</v>
      </c>
      <c r="G161" s="21"/>
      <c r="H161" s="21"/>
      <c r="I161" s="21"/>
      <c r="J161" s="21"/>
      <c r="K161" s="21"/>
      <c r="L161" s="21"/>
    </row>
    <row r="162" spans="4:12" ht="20.100000000000001" customHeight="1" x14ac:dyDescent="0.2">
      <c r="D162" s="21" t="str" cm="1">
        <f t="array" ref="D162">Common_InputFunctions.Utility_DisplayArrayInTable(Agresidue_SourceData.CropFractionRemoved_CustomisedData(), Table77[[#Headers],[Crop type c]], 0)</f>
        <v>Maize</v>
      </c>
      <c r="E162" t="str" cm="1">
        <f t="array" ref="E162">Common_InputFunctions.Utility_DisplayArrayInTable(Agresidue_SourceData.CropFractionRemoved_CustomisedData(), Table77[[#Headers],[Crop type c]], 0)</f>
        <v>TAS</v>
      </c>
      <c r="F162" cm="1">
        <f t="array" ref="F162">Common_InputFunctions.Utility_DisplayArrayInTable(Agresidue_SourceData.CropFractionRemoved_CustomisedData(), Table77[[#Headers],[Crop type c]], 0)</f>
        <v>0.16</v>
      </c>
      <c r="G162" s="21"/>
      <c r="H162" s="21"/>
      <c r="I162" s="21"/>
      <c r="J162" s="21"/>
      <c r="K162" s="21"/>
      <c r="L162" s="21"/>
    </row>
    <row r="163" spans="4:12" ht="20.100000000000001" customHeight="1" x14ac:dyDescent="0.2">
      <c r="D163" s="21" t="str" cm="1">
        <f t="array" ref="D163">Common_InputFunctions.Utility_DisplayArrayInTable(Agresidue_SourceData.CropFractionRemoved_CustomisedData(), Table77[[#Headers],[Crop type c]], 0)</f>
        <v>Maize</v>
      </c>
      <c r="E163" t="str" cm="1">
        <f t="array" ref="E163">Common_InputFunctions.Utility_DisplayArrayInTable(Agresidue_SourceData.CropFractionRemoved_CustomisedData(), Table77[[#Headers],[Crop type c]], 0)</f>
        <v>NT</v>
      </c>
      <c r="F163" cm="1">
        <f t="array" ref="F163">Common_InputFunctions.Utility_DisplayArrayInTable(Agresidue_SourceData.CropFractionRemoved_CustomisedData(), Table77[[#Headers],[Crop type c]], 0)</f>
        <v>0.01</v>
      </c>
      <c r="G163" s="21"/>
      <c r="H163" s="21"/>
      <c r="I163" s="21"/>
      <c r="J163" s="21"/>
      <c r="K163" s="21"/>
      <c r="L163" s="21"/>
    </row>
    <row r="164" spans="4:12" ht="20.100000000000001" customHeight="1" x14ac:dyDescent="0.2">
      <c r="D164" s="21" t="str" cm="1">
        <f t="array" ref="D164">Common_InputFunctions.Utility_DisplayArrayInTable(Agresidue_SourceData.CropFractionRemoved_CustomisedData(), Table77[[#Headers],[Crop type c]], 0)</f>
        <v>Maize</v>
      </c>
      <c r="E164" t="str" cm="1">
        <f t="array" ref="E164">Common_InputFunctions.Utility_DisplayArrayInTable(Agresidue_SourceData.CropFractionRemoved_CustomisedData(), Table77[[#Headers],[Crop type c]], 0)</f>
        <v>ACT</v>
      </c>
      <c r="F164" cm="1">
        <f t="array" ref="F164">Common_InputFunctions.Utility_DisplayArrayInTable(Agresidue_SourceData.CropFractionRemoved_CustomisedData(), Table77[[#Headers],[Crop type c]], 0)</f>
        <v>0</v>
      </c>
      <c r="G164" s="21"/>
      <c r="H164" s="21"/>
      <c r="I164" s="21"/>
      <c r="J164" s="21"/>
      <c r="K164" s="21"/>
      <c r="L164" s="21"/>
    </row>
    <row r="165" spans="4:12" ht="20.100000000000001" customHeight="1" x14ac:dyDescent="0.2">
      <c r="D165" s="21" t="str" cm="1">
        <f t="array" ref="D165">Common_InputFunctions.Utility_DisplayArrayInTable(Agresidue_SourceData.CropFractionRemoved_CustomisedData(), Table77[[#Headers],[Crop type c]], 0)</f>
        <v>Oats</v>
      </c>
      <c r="E165" t="str" cm="1">
        <f t="array" ref="E165">Common_InputFunctions.Utility_DisplayArrayInTable(Agresidue_SourceData.CropFractionRemoved_CustomisedData(), Table77[[#Headers],[Crop type c]], 0)</f>
        <v>NSW</v>
      </c>
      <c r="F165" cm="1">
        <f t="array" ref="F165">Common_InputFunctions.Utility_DisplayArrayInTable(Agresidue_SourceData.CropFractionRemoved_CustomisedData(), Table77[[#Headers],[Crop type c]], 0)</f>
        <v>0.05</v>
      </c>
      <c r="G165" s="21"/>
      <c r="H165" s="21"/>
      <c r="I165" s="21"/>
      <c r="J165" s="21"/>
      <c r="K165" s="21"/>
      <c r="L165" s="21"/>
    </row>
    <row r="166" spans="4:12" ht="20.100000000000001" customHeight="1" x14ac:dyDescent="0.2">
      <c r="D166" s="21" t="str" cm="1">
        <f t="array" ref="D166">Common_InputFunctions.Utility_DisplayArrayInTable(Agresidue_SourceData.CropFractionRemoved_CustomisedData(), Table77[[#Headers],[Crop type c]], 0)</f>
        <v>Oats</v>
      </c>
      <c r="E166" t="str" cm="1">
        <f t="array" ref="E166">Common_InputFunctions.Utility_DisplayArrayInTable(Agresidue_SourceData.CropFractionRemoved_CustomisedData(), Table77[[#Headers],[Crop type c]], 0)</f>
        <v>VIC</v>
      </c>
      <c r="F166" cm="1">
        <f t="array" ref="F166">Common_InputFunctions.Utility_DisplayArrayInTable(Agresidue_SourceData.CropFractionRemoved_CustomisedData(), Table77[[#Headers],[Crop type c]], 0)</f>
        <v>7.0000000000000007E-2</v>
      </c>
      <c r="G166" s="21"/>
      <c r="H166" s="21"/>
      <c r="I166" s="21"/>
      <c r="J166" s="21"/>
      <c r="K166" s="21"/>
      <c r="L166" s="21"/>
    </row>
    <row r="167" spans="4:12" ht="20.100000000000001" customHeight="1" x14ac:dyDescent="0.2">
      <c r="D167" s="21" t="str" cm="1">
        <f t="array" ref="D167">Common_InputFunctions.Utility_DisplayArrayInTable(Agresidue_SourceData.CropFractionRemoved_CustomisedData(), Table77[[#Headers],[Crop type c]], 0)</f>
        <v>Oats</v>
      </c>
      <c r="E167" t="str" cm="1">
        <f t="array" ref="E167">Common_InputFunctions.Utility_DisplayArrayInTable(Agresidue_SourceData.CropFractionRemoved_CustomisedData(), Table77[[#Headers],[Crop type c]], 0)</f>
        <v>QLD</v>
      </c>
      <c r="F167" cm="1">
        <f t="array" ref="F167">Common_InputFunctions.Utility_DisplayArrayInTable(Agresidue_SourceData.CropFractionRemoved_CustomisedData(), Table77[[#Headers],[Crop type c]], 0)</f>
        <v>0.04</v>
      </c>
      <c r="G167" s="21"/>
      <c r="H167" s="21"/>
      <c r="I167" s="21"/>
      <c r="J167" s="21"/>
      <c r="K167" s="21"/>
      <c r="L167" s="21"/>
    </row>
    <row r="168" spans="4:12" ht="20.100000000000001" customHeight="1" x14ac:dyDescent="0.2">
      <c r="D168" s="21" t="str" cm="1">
        <f t="array" ref="D168">Common_InputFunctions.Utility_DisplayArrayInTable(Agresidue_SourceData.CropFractionRemoved_CustomisedData(), Table77[[#Headers],[Crop type c]], 0)</f>
        <v>Oats</v>
      </c>
      <c r="E168" t="str" cm="1">
        <f t="array" ref="E168">Common_InputFunctions.Utility_DisplayArrayInTable(Agresidue_SourceData.CropFractionRemoved_CustomisedData(), Table77[[#Headers],[Crop type c]], 0)</f>
        <v>SA</v>
      </c>
      <c r="F168" cm="1">
        <f t="array" ref="F168">Common_InputFunctions.Utility_DisplayArrayInTable(Agresidue_SourceData.CropFractionRemoved_CustomisedData(), Table77[[#Headers],[Crop type c]], 0)</f>
        <v>0.09</v>
      </c>
      <c r="G168" s="21"/>
      <c r="H168" s="21"/>
      <c r="I168" s="21"/>
      <c r="J168" s="21"/>
      <c r="K168" s="21"/>
      <c r="L168" s="21"/>
    </row>
    <row r="169" spans="4:12" ht="20.100000000000001" customHeight="1" x14ac:dyDescent="0.2">
      <c r="D169" s="21" t="str" cm="1">
        <f t="array" ref="D169">Common_InputFunctions.Utility_DisplayArrayInTable(Agresidue_SourceData.CropFractionRemoved_CustomisedData(), Table77[[#Headers],[Crop type c]], 0)</f>
        <v>Oats</v>
      </c>
      <c r="E169" t="str" cm="1">
        <f t="array" ref="E169">Common_InputFunctions.Utility_DisplayArrayInTable(Agresidue_SourceData.CropFractionRemoved_CustomisedData(), Table77[[#Headers],[Crop type c]], 0)</f>
        <v>WA</v>
      </c>
      <c r="F169" cm="1">
        <f t="array" ref="F169">Common_InputFunctions.Utility_DisplayArrayInTable(Agresidue_SourceData.CropFractionRemoved_CustomisedData(), Table77[[#Headers],[Crop type c]], 0)</f>
        <v>0.11</v>
      </c>
      <c r="G169" s="21"/>
      <c r="H169" s="21"/>
      <c r="I169" s="21"/>
      <c r="J169" s="21"/>
      <c r="K169" s="21"/>
      <c r="L169" s="21"/>
    </row>
    <row r="170" spans="4:12" ht="20.100000000000001" customHeight="1" x14ac:dyDescent="0.2">
      <c r="D170" s="21" t="str" cm="1">
        <f t="array" ref="D170">Common_InputFunctions.Utility_DisplayArrayInTable(Agresidue_SourceData.CropFractionRemoved_CustomisedData(), Table77[[#Headers],[Crop type c]], 0)</f>
        <v>Oats</v>
      </c>
      <c r="E170" t="str" cm="1">
        <f t="array" ref="E170">Common_InputFunctions.Utility_DisplayArrayInTable(Agresidue_SourceData.CropFractionRemoved_CustomisedData(), Table77[[#Headers],[Crop type c]], 0)</f>
        <v>TAS</v>
      </c>
      <c r="F170" cm="1">
        <f t="array" ref="F170">Common_InputFunctions.Utility_DisplayArrayInTable(Agresidue_SourceData.CropFractionRemoved_CustomisedData(), Table77[[#Headers],[Crop type c]], 0)</f>
        <v>0.16</v>
      </c>
      <c r="G170" s="21"/>
      <c r="H170" s="21"/>
      <c r="I170" s="21"/>
      <c r="J170" s="21"/>
      <c r="K170" s="21"/>
      <c r="L170" s="21"/>
    </row>
    <row r="171" spans="4:12" ht="20.100000000000001" customHeight="1" x14ac:dyDescent="0.2">
      <c r="D171" s="21" t="str" cm="1">
        <f t="array" ref="D171">Common_InputFunctions.Utility_DisplayArrayInTable(Agresidue_SourceData.CropFractionRemoved_CustomisedData(), Table77[[#Headers],[Crop type c]], 0)</f>
        <v>Oats</v>
      </c>
      <c r="E171" t="str" cm="1">
        <f t="array" ref="E171">Common_InputFunctions.Utility_DisplayArrayInTable(Agresidue_SourceData.CropFractionRemoved_CustomisedData(), Table77[[#Headers],[Crop type c]], 0)</f>
        <v>NT</v>
      </c>
      <c r="F171" cm="1">
        <f t="array" ref="F171">Common_InputFunctions.Utility_DisplayArrayInTable(Agresidue_SourceData.CropFractionRemoved_CustomisedData(), Table77[[#Headers],[Crop type c]], 0)</f>
        <v>0.01</v>
      </c>
      <c r="G171" s="21"/>
      <c r="H171" s="21"/>
      <c r="I171" s="21"/>
      <c r="J171" s="21"/>
      <c r="K171" s="21"/>
      <c r="L171" s="21"/>
    </row>
    <row r="172" spans="4:12" ht="20.100000000000001" customHeight="1" x14ac:dyDescent="0.2">
      <c r="D172" s="21" t="str" cm="1">
        <f t="array" ref="D172">Common_InputFunctions.Utility_DisplayArrayInTable(Agresidue_SourceData.CropFractionRemoved_CustomisedData(), Table77[[#Headers],[Crop type c]], 0)</f>
        <v>Oats</v>
      </c>
      <c r="E172" t="str" cm="1">
        <f t="array" ref="E172">Common_InputFunctions.Utility_DisplayArrayInTable(Agresidue_SourceData.CropFractionRemoved_CustomisedData(), Table77[[#Headers],[Crop type c]], 0)</f>
        <v>ACT</v>
      </c>
      <c r="F172" cm="1">
        <f t="array" ref="F172">Common_InputFunctions.Utility_DisplayArrayInTable(Agresidue_SourceData.CropFractionRemoved_CustomisedData(), Table77[[#Headers],[Crop type c]], 0)</f>
        <v>0</v>
      </c>
      <c r="G172" s="21"/>
      <c r="H172" s="21"/>
      <c r="I172" s="21"/>
      <c r="J172" s="21"/>
      <c r="K172" s="21"/>
      <c r="L172" s="21"/>
    </row>
    <row r="173" spans="4:12" ht="20.100000000000001" customHeight="1" x14ac:dyDescent="0.2">
      <c r="D173" s="21" t="str" cm="1">
        <f t="array" ref="D173">Common_InputFunctions.Utility_DisplayArrayInTable(Agresidue_SourceData.CropFractionRemoved_CustomisedData(), Table77[[#Headers],[Crop type c]], 0)</f>
        <v>Sorghum</v>
      </c>
      <c r="E173" t="str" cm="1">
        <f t="array" ref="E173">Common_InputFunctions.Utility_DisplayArrayInTable(Agresidue_SourceData.CropFractionRemoved_CustomisedData(), Table77[[#Headers],[Crop type c]], 0)</f>
        <v>NSW</v>
      </c>
      <c r="F173" cm="1">
        <f t="array" ref="F173">Common_InputFunctions.Utility_DisplayArrayInTable(Agresidue_SourceData.CropFractionRemoved_CustomisedData(), Table77[[#Headers],[Crop type c]], 0)</f>
        <v>0.05</v>
      </c>
      <c r="G173" s="21"/>
      <c r="H173" s="21"/>
      <c r="I173" s="21"/>
      <c r="J173" s="21"/>
      <c r="K173" s="21"/>
      <c r="L173" s="21"/>
    </row>
    <row r="174" spans="4:12" ht="20.100000000000001" customHeight="1" x14ac:dyDescent="0.2">
      <c r="D174" s="21" t="str" cm="1">
        <f t="array" ref="D174">Common_InputFunctions.Utility_DisplayArrayInTable(Agresidue_SourceData.CropFractionRemoved_CustomisedData(), Table77[[#Headers],[Crop type c]], 0)</f>
        <v>Sorghum</v>
      </c>
      <c r="E174" t="str" cm="1">
        <f t="array" ref="E174">Common_InputFunctions.Utility_DisplayArrayInTable(Agresidue_SourceData.CropFractionRemoved_CustomisedData(), Table77[[#Headers],[Crop type c]], 0)</f>
        <v>VIC</v>
      </c>
      <c r="F174" cm="1">
        <f t="array" ref="F174">Common_InputFunctions.Utility_DisplayArrayInTable(Agresidue_SourceData.CropFractionRemoved_CustomisedData(), Table77[[#Headers],[Crop type c]], 0)</f>
        <v>7.0000000000000007E-2</v>
      </c>
      <c r="G174" s="21"/>
      <c r="H174" s="21"/>
      <c r="I174" s="21"/>
      <c r="J174" s="21"/>
      <c r="K174" s="21"/>
      <c r="L174" s="21"/>
    </row>
    <row r="175" spans="4:12" ht="20.100000000000001" customHeight="1" x14ac:dyDescent="0.2">
      <c r="D175" s="21" t="str" cm="1">
        <f t="array" ref="D175">Common_InputFunctions.Utility_DisplayArrayInTable(Agresidue_SourceData.CropFractionRemoved_CustomisedData(), Table77[[#Headers],[Crop type c]], 0)</f>
        <v>Sorghum</v>
      </c>
      <c r="E175" t="str" cm="1">
        <f t="array" ref="E175">Common_InputFunctions.Utility_DisplayArrayInTable(Agresidue_SourceData.CropFractionRemoved_CustomisedData(), Table77[[#Headers],[Crop type c]], 0)</f>
        <v>QLD</v>
      </c>
      <c r="F175" cm="1">
        <f t="array" ref="F175">Common_InputFunctions.Utility_DisplayArrayInTable(Agresidue_SourceData.CropFractionRemoved_CustomisedData(), Table77[[#Headers],[Crop type c]], 0)</f>
        <v>0.04</v>
      </c>
      <c r="G175" s="21"/>
      <c r="H175" s="21"/>
      <c r="I175" s="21"/>
      <c r="J175" s="21"/>
      <c r="K175" s="21"/>
      <c r="L175" s="21"/>
    </row>
    <row r="176" spans="4:12" ht="20.100000000000001" customHeight="1" x14ac:dyDescent="0.2">
      <c r="D176" s="21" t="str" cm="1">
        <f t="array" ref="D176">Common_InputFunctions.Utility_DisplayArrayInTable(Agresidue_SourceData.CropFractionRemoved_CustomisedData(), Table77[[#Headers],[Crop type c]], 0)</f>
        <v>Sorghum</v>
      </c>
      <c r="E176" t="str" cm="1">
        <f t="array" ref="E176">Common_InputFunctions.Utility_DisplayArrayInTable(Agresidue_SourceData.CropFractionRemoved_CustomisedData(), Table77[[#Headers],[Crop type c]], 0)</f>
        <v>SA</v>
      </c>
      <c r="F176" cm="1">
        <f t="array" ref="F176">Common_InputFunctions.Utility_DisplayArrayInTable(Agresidue_SourceData.CropFractionRemoved_CustomisedData(), Table77[[#Headers],[Crop type c]], 0)</f>
        <v>0.09</v>
      </c>
      <c r="G176" s="21"/>
      <c r="H176" s="21"/>
      <c r="I176" s="21"/>
      <c r="J176" s="21"/>
      <c r="K176" s="21"/>
      <c r="L176" s="21"/>
    </row>
    <row r="177" spans="4:12" ht="20.100000000000001" customHeight="1" x14ac:dyDescent="0.2">
      <c r="D177" s="21" t="str" cm="1">
        <f t="array" ref="D177">Common_InputFunctions.Utility_DisplayArrayInTable(Agresidue_SourceData.CropFractionRemoved_CustomisedData(), Table77[[#Headers],[Crop type c]], 0)</f>
        <v>Sorghum</v>
      </c>
      <c r="E177" t="str" cm="1">
        <f t="array" ref="E177">Common_InputFunctions.Utility_DisplayArrayInTable(Agresidue_SourceData.CropFractionRemoved_CustomisedData(), Table77[[#Headers],[Crop type c]], 0)</f>
        <v>WA</v>
      </c>
      <c r="F177" cm="1">
        <f t="array" ref="F177">Common_InputFunctions.Utility_DisplayArrayInTable(Agresidue_SourceData.CropFractionRemoved_CustomisedData(), Table77[[#Headers],[Crop type c]], 0)</f>
        <v>0.11</v>
      </c>
      <c r="G177" s="21"/>
      <c r="H177" s="21"/>
      <c r="I177" s="21"/>
      <c r="J177" s="21"/>
      <c r="K177" s="21"/>
      <c r="L177" s="21"/>
    </row>
    <row r="178" spans="4:12" ht="20.100000000000001" customHeight="1" x14ac:dyDescent="0.2">
      <c r="D178" s="21" t="str" cm="1">
        <f t="array" ref="D178">Common_InputFunctions.Utility_DisplayArrayInTable(Agresidue_SourceData.CropFractionRemoved_CustomisedData(), Table77[[#Headers],[Crop type c]], 0)</f>
        <v>Sorghum</v>
      </c>
      <c r="E178" t="str" cm="1">
        <f t="array" ref="E178">Common_InputFunctions.Utility_DisplayArrayInTable(Agresidue_SourceData.CropFractionRemoved_CustomisedData(), Table77[[#Headers],[Crop type c]], 0)</f>
        <v>TAS</v>
      </c>
      <c r="F178" cm="1">
        <f t="array" ref="F178">Common_InputFunctions.Utility_DisplayArrayInTable(Agresidue_SourceData.CropFractionRemoved_CustomisedData(), Table77[[#Headers],[Crop type c]], 0)</f>
        <v>0.16</v>
      </c>
      <c r="G178" s="21"/>
      <c r="H178" s="21"/>
      <c r="I178" s="21"/>
      <c r="J178" s="21"/>
      <c r="K178" s="21"/>
      <c r="L178" s="21"/>
    </row>
    <row r="179" spans="4:12" ht="20.100000000000001" customHeight="1" x14ac:dyDescent="0.2">
      <c r="D179" s="21" t="str" cm="1">
        <f t="array" ref="D179">Common_InputFunctions.Utility_DisplayArrayInTable(Agresidue_SourceData.CropFractionRemoved_CustomisedData(), Table77[[#Headers],[Crop type c]], 0)</f>
        <v>Sorghum</v>
      </c>
      <c r="E179" t="str" cm="1">
        <f t="array" ref="E179">Common_InputFunctions.Utility_DisplayArrayInTable(Agresidue_SourceData.CropFractionRemoved_CustomisedData(), Table77[[#Headers],[Crop type c]], 0)</f>
        <v>NT</v>
      </c>
      <c r="F179" cm="1">
        <f t="array" ref="F179">Common_InputFunctions.Utility_DisplayArrayInTable(Agresidue_SourceData.CropFractionRemoved_CustomisedData(), Table77[[#Headers],[Crop type c]], 0)</f>
        <v>0.01</v>
      </c>
      <c r="G179" s="21"/>
      <c r="H179" s="21"/>
      <c r="I179" s="21"/>
      <c r="J179" s="21"/>
      <c r="K179" s="21"/>
      <c r="L179" s="21"/>
    </row>
    <row r="180" spans="4:12" ht="20.100000000000001" customHeight="1" x14ac:dyDescent="0.2">
      <c r="D180" s="21" t="str" cm="1">
        <f t="array" ref="D180">Common_InputFunctions.Utility_DisplayArrayInTable(Agresidue_SourceData.CropFractionRemoved_CustomisedData(), Table77[[#Headers],[Crop type c]], 0)</f>
        <v>Sorghum</v>
      </c>
      <c r="E180" t="str" cm="1">
        <f t="array" ref="E180">Common_InputFunctions.Utility_DisplayArrayInTable(Agresidue_SourceData.CropFractionRemoved_CustomisedData(), Table77[[#Headers],[Crop type c]], 0)</f>
        <v>ACT</v>
      </c>
      <c r="F180" cm="1">
        <f t="array" ref="F180">Common_InputFunctions.Utility_DisplayArrayInTable(Agresidue_SourceData.CropFractionRemoved_CustomisedData(), Table77[[#Headers],[Crop type c]], 0)</f>
        <v>0</v>
      </c>
      <c r="G180" s="21"/>
      <c r="H180" s="21"/>
      <c r="I180" s="21"/>
      <c r="J180" s="21"/>
      <c r="K180" s="21"/>
      <c r="L180" s="21"/>
    </row>
    <row r="181" spans="4:12" ht="20.100000000000001" customHeight="1" x14ac:dyDescent="0.2">
      <c r="D181" s="21" t="str" cm="1">
        <f t="array" ref="D181">Common_InputFunctions.Utility_DisplayArrayInTable(Agresidue_SourceData.CropFractionRemoved_CustomisedData(), Table77[[#Headers],[Crop type c]], 0)</f>
        <v>Triticale</v>
      </c>
      <c r="E181" t="str" cm="1">
        <f t="array" ref="E181">Common_InputFunctions.Utility_DisplayArrayInTable(Agresidue_SourceData.CropFractionRemoved_CustomisedData(), Table77[[#Headers],[Crop type c]], 0)</f>
        <v>NSW</v>
      </c>
      <c r="F181" cm="1">
        <f t="array" ref="F181">Common_InputFunctions.Utility_DisplayArrayInTable(Agresidue_SourceData.CropFractionRemoved_CustomisedData(), Table77[[#Headers],[Crop type c]], 0)</f>
        <v>0.05</v>
      </c>
      <c r="G181" s="21"/>
      <c r="H181" s="21"/>
      <c r="I181" s="21"/>
      <c r="J181" s="21"/>
      <c r="K181" s="21"/>
      <c r="L181" s="21"/>
    </row>
    <row r="182" spans="4:12" ht="20.100000000000001" customHeight="1" x14ac:dyDescent="0.2">
      <c r="D182" s="21" t="str" cm="1">
        <f t="array" ref="D182">Common_InputFunctions.Utility_DisplayArrayInTable(Agresidue_SourceData.CropFractionRemoved_CustomisedData(), Table77[[#Headers],[Crop type c]], 0)</f>
        <v>Triticale</v>
      </c>
      <c r="E182" t="str" cm="1">
        <f t="array" ref="E182">Common_InputFunctions.Utility_DisplayArrayInTable(Agresidue_SourceData.CropFractionRemoved_CustomisedData(), Table77[[#Headers],[Crop type c]], 0)</f>
        <v>VIC</v>
      </c>
      <c r="F182" cm="1">
        <f t="array" ref="F182">Common_InputFunctions.Utility_DisplayArrayInTable(Agresidue_SourceData.CropFractionRemoved_CustomisedData(), Table77[[#Headers],[Crop type c]], 0)</f>
        <v>7.0000000000000007E-2</v>
      </c>
      <c r="G182" s="21"/>
      <c r="H182" s="21"/>
      <c r="I182" s="21"/>
      <c r="J182" s="21"/>
      <c r="K182" s="21"/>
      <c r="L182" s="21"/>
    </row>
    <row r="183" spans="4:12" ht="20.100000000000001" customHeight="1" x14ac:dyDescent="0.2">
      <c r="D183" s="21" t="str" cm="1">
        <f t="array" ref="D183">Common_InputFunctions.Utility_DisplayArrayInTable(Agresidue_SourceData.CropFractionRemoved_CustomisedData(), Table77[[#Headers],[Crop type c]], 0)</f>
        <v>Triticale</v>
      </c>
      <c r="E183" t="str" cm="1">
        <f t="array" ref="E183">Common_InputFunctions.Utility_DisplayArrayInTable(Agresidue_SourceData.CropFractionRemoved_CustomisedData(), Table77[[#Headers],[Crop type c]], 0)</f>
        <v>QLD</v>
      </c>
      <c r="F183" cm="1">
        <f t="array" ref="F183">Common_InputFunctions.Utility_DisplayArrayInTable(Agresidue_SourceData.CropFractionRemoved_CustomisedData(), Table77[[#Headers],[Crop type c]], 0)</f>
        <v>0.04</v>
      </c>
      <c r="G183" s="21"/>
      <c r="H183" s="21"/>
      <c r="I183" s="21"/>
      <c r="J183" s="21"/>
      <c r="K183" s="21"/>
      <c r="L183" s="21"/>
    </row>
    <row r="184" spans="4:12" ht="20.100000000000001" customHeight="1" x14ac:dyDescent="0.2">
      <c r="D184" s="21" t="str" cm="1">
        <f t="array" ref="D184">Common_InputFunctions.Utility_DisplayArrayInTable(Agresidue_SourceData.CropFractionRemoved_CustomisedData(), Table77[[#Headers],[Crop type c]], 0)</f>
        <v>Triticale</v>
      </c>
      <c r="E184" t="str" cm="1">
        <f t="array" ref="E184">Common_InputFunctions.Utility_DisplayArrayInTable(Agresidue_SourceData.CropFractionRemoved_CustomisedData(), Table77[[#Headers],[Crop type c]], 0)</f>
        <v>SA</v>
      </c>
      <c r="F184" cm="1">
        <f t="array" ref="F184">Common_InputFunctions.Utility_DisplayArrayInTable(Agresidue_SourceData.CropFractionRemoved_CustomisedData(), Table77[[#Headers],[Crop type c]], 0)</f>
        <v>0.09</v>
      </c>
      <c r="G184" s="21"/>
      <c r="H184" s="21"/>
      <c r="I184" s="21"/>
      <c r="J184" s="21"/>
      <c r="K184" s="21"/>
      <c r="L184" s="21"/>
    </row>
    <row r="185" spans="4:12" ht="20.100000000000001" customHeight="1" x14ac:dyDescent="0.2">
      <c r="D185" s="21" t="str" cm="1">
        <f t="array" ref="D185">Common_InputFunctions.Utility_DisplayArrayInTable(Agresidue_SourceData.CropFractionRemoved_CustomisedData(), Table77[[#Headers],[Crop type c]], 0)</f>
        <v>Triticale</v>
      </c>
      <c r="E185" t="str" cm="1">
        <f t="array" ref="E185">Common_InputFunctions.Utility_DisplayArrayInTable(Agresidue_SourceData.CropFractionRemoved_CustomisedData(), Table77[[#Headers],[Crop type c]], 0)</f>
        <v>WA</v>
      </c>
      <c r="F185" cm="1">
        <f t="array" ref="F185">Common_InputFunctions.Utility_DisplayArrayInTable(Agresidue_SourceData.CropFractionRemoved_CustomisedData(), Table77[[#Headers],[Crop type c]], 0)</f>
        <v>0.11</v>
      </c>
      <c r="G185" s="21"/>
      <c r="H185" s="21"/>
      <c r="I185" s="21"/>
      <c r="J185" s="21"/>
      <c r="K185" s="21"/>
      <c r="L185" s="21"/>
    </row>
    <row r="186" spans="4:12" ht="20.100000000000001" customHeight="1" x14ac:dyDescent="0.2">
      <c r="D186" s="21" t="str" cm="1">
        <f t="array" ref="D186">Common_InputFunctions.Utility_DisplayArrayInTable(Agresidue_SourceData.CropFractionRemoved_CustomisedData(), Table77[[#Headers],[Crop type c]], 0)</f>
        <v>Triticale</v>
      </c>
      <c r="E186" t="str" cm="1">
        <f t="array" ref="E186">Common_InputFunctions.Utility_DisplayArrayInTable(Agresidue_SourceData.CropFractionRemoved_CustomisedData(), Table77[[#Headers],[Crop type c]], 0)</f>
        <v>TAS</v>
      </c>
      <c r="F186" cm="1">
        <f t="array" ref="F186">Common_InputFunctions.Utility_DisplayArrayInTable(Agresidue_SourceData.CropFractionRemoved_CustomisedData(), Table77[[#Headers],[Crop type c]], 0)</f>
        <v>0.16</v>
      </c>
      <c r="G186" s="21"/>
      <c r="H186" s="21"/>
      <c r="I186" s="21"/>
      <c r="J186" s="21"/>
      <c r="K186" s="21"/>
      <c r="L186" s="21"/>
    </row>
    <row r="187" spans="4:12" ht="20.100000000000001" customHeight="1" x14ac:dyDescent="0.2">
      <c r="D187" s="21" t="str" cm="1">
        <f t="array" ref="D187">Common_InputFunctions.Utility_DisplayArrayInTable(Agresidue_SourceData.CropFractionRemoved_CustomisedData(), Table77[[#Headers],[Crop type c]], 0)</f>
        <v>Triticale</v>
      </c>
      <c r="E187" t="str" cm="1">
        <f t="array" ref="E187">Common_InputFunctions.Utility_DisplayArrayInTable(Agresidue_SourceData.CropFractionRemoved_CustomisedData(), Table77[[#Headers],[Crop type c]], 0)</f>
        <v>NT</v>
      </c>
      <c r="F187" cm="1">
        <f t="array" ref="F187">Common_InputFunctions.Utility_DisplayArrayInTable(Agresidue_SourceData.CropFractionRemoved_CustomisedData(), Table77[[#Headers],[Crop type c]], 0)</f>
        <v>0.01</v>
      </c>
      <c r="G187" s="21"/>
      <c r="H187" s="21"/>
      <c r="I187" s="21"/>
      <c r="J187" s="21"/>
      <c r="K187" s="21"/>
      <c r="L187" s="21"/>
    </row>
    <row r="188" spans="4:12" ht="20.100000000000001" customHeight="1" x14ac:dyDescent="0.2">
      <c r="D188" s="21" t="str" cm="1">
        <f t="array" ref="D188">Common_InputFunctions.Utility_DisplayArrayInTable(Agresidue_SourceData.CropFractionRemoved_CustomisedData(), Table77[[#Headers],[Crop type c]], 0)</f>
        <v>Triticale</v>
      </c>
      <c r="E188" t="str" cm="1">
        <f t="array" ref="E188">Common_InputFunctions.Utility_DisplayArrayInTable(Agresidue_SourceData.CropFractionRemoved_CustomisedData(), Table77[[#Headers],[Crop type c]], 0)</f>
        <v>ACT</v>
      </c>
      <c r="F188" cm="1">
        <f t="array" ref="F188">Common_InputFunctions.Utility_DisplayArrayInTable(Agresidue_SourceData.CropFractionRemoved_CustomisedData(), Table77[[#Headers],[Crop type c]], 0)</f>
        <v>0</v>
      </c>
      <c r="G188" s="21"/>
      <c r="H188" s="21"/>
      <c r="I188" s="21"/>
      <c r="J188" s="21"/>
      <c r="K188" s="21"/>
      <c r="L188" s="21"/>
    </row>
    <row r="189" spans="4:12" ht="20.100000000000001" customHeight="1" x14ac:dyDescent="0.2">
      <c r="D189" s="21" t="str" cm="1">
        <f t="array" ref="D189">Common_InputFunctions.Utility_DisplayArrayInTable(Agresidue_SourceData.CropFractionRemoved_CustomisedData(), Table77[[#Headers],[Crop type c]], 0)</f>
        <v>Other cereals</v>
      </c>
      <c r="E189" t="str" cm="1">
        <f t="array" ref="E189">Common_InputFunctions.Utility_DisplayArrayInTable(Agresidue_SourceData.CropFractionRemoved_CustomisedData(), Table77[[#Headers],[Crop type c]], 0)</f>
        <v>NSW</v>
      </c>
      <c r="F189" cm="1">
        <f t="array" ref="F189">Common_InputFunctions.Utility_DisplayArrayInTable(Agresidue_SourceData.CropFractionRemoved_CustomisedData(), Table77[[#Headers],[Crop type c]], 0)</f>
        <v>0.05</v>
      </c>
      <c r="G189" s="21"/>
      <c r="H189" s="21"/>
      <c r="I189" s="21"/>
      <c r="J189" s="21"/>
      <c r="K189" s="21"/>
      <c r="L189" s="21"/>
    </row>
    <row r="190" spans="4:12" ht="20.100000000000001" customHeight="1" x14ac:dyDescent="0.2">
      <c r="D190" s="21" t="str" cm="1">
        <f t="array" ref="D190">Common_InputFunctions.Utility_DisplayArrayInTable(Agresidue_SourceData.CropFractionRemoved_CustomisedData(), Table77[[#Headers],[Crop type c]], 0)</f>
        <v>Other cereals</v>
      </c>
      <c r="E190" t="str" cm="1">
        <f t="array" ref="E190">Common_InputFunctions.Utility_DisplayArrayInTable(Agresidue_SourceData.CropFractionRemoved_CustomisedData(), Table77[[#Headers],[Crop type c]], 0)</f>
        <v>VIC</v>
      </c>
      <c r="F190" cm="1">
        <f t="array" ref="F190">Common_InputFunctions.Utility_DisplayArrayInTable(Agresidue_SourceData.CropFractionRemoved_CustomisedData(), Table77[[#Headers],[Crop type c]], 0)</f>
        <v>7.0000000000000007E-2</v>
      </c>
      <c r="G190" s="21"/>
      <c r="H190" s="21"/>
      <c r="I190" s="21"/>
      <c r="J190" s="21"/>
      <c r="K190" s="21"/>
      <c r="L190" s="21"/>
    </row>
    <row r="191" spans="4:12" ht="20.100000000000001" customHeight="1" x14ac:dyDescent="0.2">
      <c r="D191" s="21" t="str" cm="1">
        <f t="array" ref="D191">Common_InputFunctions.Utility_DisplayArrayInTable(Agresidue_SourceData.CropFractionRemoved_CustomisedData(), Table77[[#Headers],[Crop type c]], 0)</f>
        <v>Other cereals</v>
      </c>
      <c r="E191" t="str" cm="1">
        <f t="array" ref="E191">Common_InputFunctions.Utility_DisplayArrayInTable(Agresidue_SourceData.CropFractionRemoved_CustomisedData(), Table77[[#Headers],[Crop type c]], 0)</f>
        <v>QLD</v>
      </c>
      <c r="F191" cm="1">
        <f t="array" ref="F191">Common_InputFunctions.Utility_DisplayArrayInTable(Agresidue_SourceData.CropFractionRemoved_CustomisedData(), Table77[[#Headers],[Crop type c]], 0)</f>
        <v>0.04</v>
      </c>
      <c r="G191" s="21"/>
      <c r="H191" s="21"/>
      <c r="I191" s="21"/>
      <c r="J191" s="21"/>
      <c r="K191" s="21"/>
      <c r="L191" s="21"/>
    </row>
    <row r="192" spans="4:12" ht="20.100000000000001" customHeight="1" x14ac:dyDescent="0.2">
      <c r="D192" s="21" t="str" cm="1">
        <f t="array" ref="D192">Common_InputFunctions.Utility_DisplayArrayInTable(Agresidue_SourceData.CropFractionRemoved_CustomisedData(), Table77[[#Headers],[Crop type c]], 0)</f>
        <v>Other cereals</v>
      </c>
      <c r="E192" t="str" cm="1">
        <f t="array" ref="E192">Common_InputFunctions.Utility_DisplayArrayInTable(Agresidue_SourceData.CropFractionRemoved_CustomisedData(), Table77[[#Headers],[Crop type c]], 0)</f>
        <v>SA</v>
      </c>
      <c r="F192" cm="1">
        <f t="array" ref="F192">Common_InputFunctions.Utility_DisplayArrayInTable(Agresidue_SourceData.CropFractionRemoved_CustomisedData(), Table77[[#Headers],[Crop type c]], 0)</f>
        <v>0.09</v>
      </c>
      <c r="G192" s="21"/>
      <c r="H192" s="21"/>
      <c r="I192" s="21"/>
      <c r="J192" s="21"/>
      <c r="K192" s="21"/>
      <c r="L192" s="21"/>
    </row>
    <row r="193" spans="4:12" ht="20.100000000000001" customHeight="1" x14ac:dyDescent="0.2">
      <c r="D193" s="21" t="str" cm="1">
        <f t="array" ref="D193">Common_InputFunctions.Utility_DisplayArrayInTable(Agresidue_SourceData.CropFractionRemoved_CustomisedData(), Table77[[#Headers],[Crop type c]], 0)</f>
        <v>Other cereals</v>
      </c>
      <c r="E193" t="str" cm="1">
        <f t="array" ref="E193">Common_InputFunctions.Utility_DisplayArrayInTable(Agresidue_SourceData.CropFractionRemoved_CustomisedData(), Table77[[#Headers],[Crop type c]], 0)</f>
        <v>WA</v>
      </c>
      <c r="F193" cm="1">
        <f t="array" ref="F193">Common_InputFunctions.Utility_DisplayArrayInTable(Agresidue_SourceData.CropFractionRemoved_CustomisedData(), Table77[[#Headers],[Crop type c]], 0)</f>
        <v>0.11</v>
      </c>
      <c r="G193" s="21"/>
      <c r="H193" s="21"/>
      <c r="I193" s="21"/>
      <c r="J193" s="21"/>
      <c r="K193" s="21"/>
      <c r="L193" s="21"/>
    </row>
    <row r="194" spans="4:12" ht="20.100000000000001" customHeight="1" x14ac:dyDescent="0.2">
      <c r="D194" s="21" t="str" cm="1">
        <f t="array" ref="D194">Common_InputFunctions.Utility_DisplayArrayInTable(Agresidue_SourceData.CropFractionRemoved_CustomisedData(), Table77[[#Headers],[Crop type c]], 0)</f>
        <v>Other cereals</v>
      </c>
      <c r="E194" t="str" cm="1">
        <f t="array" ref="E194">Common_InputFunctions.Utility_DisplayArrayInTable(Agresidue_SourceData.CropFractionRemoved_CustomisedData(), Table77[[#Headers],[Crop type c]], 0)</f>
        <v>TAS</v>
      </c>
      <c r="F194" cm="1">
        <f t="array" ref="F194">Common_InputFunctions.Utility_DisplayArrayInTable(Agresidue_SourceData.CropFractionRemoved_CustomisedData(), Table77[[#Headers],[Crop type c]], 0)</f>
        <v>0.16</v>
      </c>
      <c r="G194" s="21"/>
      <c r="H194" s="21"/>
      <c r="I194" s="21"/>
      <c r="J194" s="21"/>
      <c r="K194" s="21"/>
      <c r="L194" s="21"/>
    </row>
    <row r="195" spans="4:12" ht="20.100000000000001" customHeight="1" x14ac:dyDescent="0.2">
      <c r="D195" s="21" t="str" cm="1">
        <f t="array" ref="D195">Common_InputFunctions.Utility_DisplayArrayInTable(Agresidue_SourceData.CropFractionRemoved_CustomisedData(), Table77[[#Headers],[Crop type c]], 0)</f>
        <v>Other cereals</v>
      </c>
      <c r="E195" t="str" cm="1">
        <f t="array" ref="E195">Common_InputFunctions.Utility_DisplayArrayInTable(Agresidue_SourceData.CropFractionRemoved_CustomisedData(), Table77[[#Headers],[Crop type c]], 0)</f>
        <v>NT</v>
      </c>
      <c r="F195" cm="1">
        <f t="array" ref="F195">Common_InputFunctions.Utility_DisplayArrayInTable(Agresidue_SourceData.CropFractionRemoved_CustomisedData(), Table77[[#Headers],[Crop type c]], 0)</f>
        <v>0.01</v>
      </c>
      <c r="G195" s="21"/>
      <c r="H195" s="21"/>
      <c r="I195" s="21"/>
      <c r="J195" s="21"/>
      <c r="K195" s="21"/>
      <c r="L195" s="21"/>
    </row>
    <row r="196" spans="4:12" ht="20.100000000000001" customHeight="1" x14ac:dyDescent="0.2">
      <c r="D196" s="21" t="str" cm="1">
        <f t="array" ref="D196">Common_InputFunctions.Utility_DisplayArrayInTable(Agresidue_SourceData.CropFractionRemoved_CustomisedData(), Table77[[#Headers],[Crop type c]], 0)</f>
        <v>Other cereals</v>
      </c>
      <c r="E196" t="str" cm="1">
        <f t="array" ref="E196">Common_InputFunctions.Utility_DisplayArrayInTable(Agresidue_SourceData.CropFractionRemoved_CustomisedData(), Table77[[#Headers],[Crop type c]], 0)</f>
        <v>ACT</v>
      </c>
      <c r="F196" cm="1">
        <f t="array" ref="F196">Common_InputFunctions.Utility_DisplayArrayInTable(Agresidue_SourceData.CropFractionRemoved_CustomisedData(), Table77[[#Headers],[Crop type c]], 0)</f>
        <v>0</v>
      </c>
      <c r="G196" s="21"/>
      <c r="H196" s="21"/>
      <c r="I196" s="21"/>
      <c r="J196" s="21"/>
      <c r="K196" s="21"/>
      <c r="L196" s="21"/>
    </row>
    <row r="197" spans="4:12" ht="20.100000000000001" customHeight="1" x14ac:dyDescent="0.2">
      <c r="D197" s="21" t="str" cm="1">
        <f t="array" ref="D197">Common_InputFunctions.Utility_DisplayArrayInTable(Agresidue_SourceData.CropFractionRemoved_CustomisedData(), Table77[[#Headers],[Crop type c]], 0)</f>
        <v>Pulses</v>
      </c>
      <c r="E197" t="str" cm="1">
        <f t="array" ref="E197">Common_InputFunctions.Utility_DisplayArrayInTable(Agresidue_SourceData.CropFractionRemoved_CustomisedData(), Table77[[#Headers],[Crop type c]], 0)</f>
        <v>NSW</v>
      </c>
      <c r="F197" cm="1">
        <f t="array" ref="F197">Common_InputFunctions.Utility_DisplayArrayInTable(Agresidue_SourceData.CropFractionRemoved_CustomisedData(), Table77[[#Headers],[Crop type c]], 0)</f>
        <v>0.05</v>
      </c>
      <c r="G197" s="21"/>
      <c r="H197" s="21"/>
      <c r="I197" s="21"/>
      <c r="J197" s="21"/>
      <c r="K197" s="21"/>
      <c r="L197" s="21"/>
    </row>
    <row r="198" spans="4:12" ht="20.100000000000001" customHeight="1" x14ac:dyDescent="0.2">
      <c r="D198" s="21" t="str" cm="1">
        <f t="array" ref="D198">Common_InputFunctions.Utility_DisplayArrayInTable(Agresidue_SourceData.CropFractionRemoved_CustomisedData(), Table77[[#Headers],[Crop type c]], 0)</f>
        <v>Pulses</v>
      </c>
      <c r="E198" t="str" cm="1">
        <f t="array" ref="E198">Common_InputFunctions.Utility_DisplayArrayInTable(Agresidue_SourceData.CropFractionRemoved_CustomisedData(), Table77[[#Headers],[Crop type c]], 0)</f>
        <v>VIC</v>
      </c>
      <c r="F198" cm="1">
        <f t="array" ref="F198">Common_InputFunctions.Utility_DisplayArrayInTable(Agresidue_SourceData.CropFractionRemoved_CustomisedData(), Table77[[#Headers],[Crop type c]], 0)</f>
        <v>7.0000000000000007E-2</v>
      </c>
      <c r="G198" s="21"/>
      <c r="H198" s="21"/>
      <c r="I198" s="21"/>
      <c r="J198" s="21"/>
      <c r="K198" s="21"/>
      <c r="L198" s="21"/>
    </row>
    <row r="199" spans="4:12" ht="20.100000000000001" customHeight="1" x14ac:dyDescent="0.2">
      <c r="D199" s="21" t="str" cm="1">
        <f t="array" ref="D199">Common_InputFunctions.Utility_DisplayArrayInTable(Agresidue_SourceData.CropFractionRemoved_CustomisedData(), Table77[[#Headers],[Crop type c]], 0)</f>
        <v>Pulses</v>
      </c>
      <c r="E199" t="str" cm="1">
        <f t="array" ref="E199">Common_InputFunctions.Utility_DisplayArrayInTable(Agresidue_SourceData.CropFractionRemoved_CustomisedData(), Table77[[#Headers],[Crop type c]], 0)</f>
        <v>QLD</v>
      </c>
      <c r="F199" cm="1">
        <f t="array" ref="F199">Common_InputFunctions.Utility_DisplayArrayInTable(Agresidue_SourceData.CropFractionRemoved_CustomisedData(), Table77[[#Headers],[Crop type c]], 0)</f>
        <v>0.04</v>
      </c>
      <c r="G199" s="21"/>
      <c r="H199" s="21"/>
      <c r="I199" s="21"/>
      <c r="J199" s="21"/>
      <c r="K199" s="21"/>
      <c r="L199" s="21"/>
    </row>
    <row r="200" spans="4:12" ht="20.100000000000001" customHeight="1" x14ac:dyDescent="0.2">
      <c r="D200" s="21" t="str" cm="1">
        <f t="array" ref="D200">Common_InputFunctions.Utility_DisplayArrayInTable(Agresidue_SourceData.CropFractionRemoved_CustomisedData(), Table77[[#Headers],[Crop type c]], 0)</f>
        <v>Pulses</v>
      </c>
      <c r="E200" t="str" cm="1">
        <f t="array" ref="E200">Common_InputFunctions.Utility_DisplayArrayInTable(Agresidue_SourceData.CropFractionRemoved_CustomisedData(), Table77[[#Headers],[Crop type c]], 0)</f>
        <v>SA</v>
      </c>
      <c r="F200" cm="1">
        <f t="array" ref="F200">Common_InputFunctions.Utility_DisplayArrayInTable(Agresidue_SourceData.CropFractionRemoved_CustomisedData(), Table77[[#Headers],[Crop type c]], 0)</f>
        <v>0.09</v>
      </c>
      <c r="G200" s="21"/>
      <c r="H200" s="21"/>
      <c r="I200" s="21"/>
      <c r="J200" s="21"/>
      <c r="K200" s="21"/>
      <c r="L200" s="21"/>
    </row>
    <row r="201" spans="4:12" ht="20.100000000000001" customHeight="1" x14ac:dyDescent="0.2">
      <c r="D201" s="21" t="str" cm="1">
        <f t="array" ref="D201">Common_InputFunctions.Utility_DisplayArrayInTable(Agresidue_SourceData.CropFractionRemoved_CustomisedData(), Table77[[#Headers],[Crop type c]], 0)</f>
        <v>Pulses</v>
      </c>
      <c r="E201" t="str" cm="1">
        <f t="array" ref="E201">Common_InputFunctions.Utility_DisplayArrayInTable(Agresidue_SourceData.CropFractionRemoved_CustomisedData(), Table77[[#Headers],[Crop type c]], 0)</f>
        <v>WA</v>
      </c>
      <c r="F201" cm="1">
        <f t="array" ref="F201">Common_InputFunctions.Utility_DisplayArrayInTable(Agresidue_SourceData.CropFractionRemoved_CustomisedData(), Table77[[#Headers],[Crop type c]], 0)</f>
        <v>0.11</v>
      </c>
      <c r="G201" s="21"/>
      <c r="H201" s="21"/>
      <c r="I201" s="21"/>
      <c r="J201" s="21"/>
      <c r="K201" s="21"/>
      <c r="L201" s="21"/>
    </row>
    <row r="202" spans="4:12" ht="20.100000000000001" customHeight="1" x14ac:dyDescent="0.2">
      <c r="D202" s="21" t="str" cm="1">
        <f t="array" ref="D202">Common_InputFunctions.Utility_DisplayArrayInTable(Agresidue_SourceData.CropFractionRemoved_CustomisedData(), Table77[[#Headers],[Crop type c]], 0)</f>
        <v>Pulses</v>
      </c>
      <c r="E202" t="str" cm="1">
        <f t="array" ref="E202">Common_InputFunctions.Utility_DisplayArrayInTable(Agresidue_SourceData.CropFractionRemoved_CustomisedData(), Table77[[#Headers],[Crop type c]], 0)</f>
        <v>TAS</v>
      </c>
      <c r="F202" cm="1">
        <f t="array" ref="F202">Common_InputFunctions.Utility_DisplayArrayInTable(Agresidue_SourceData.CropFractionRemoved_CustomisedData(), Table77[[#Headers],[Crop type c]], 0)</f>
        <v>0.16</v>
      </c>
      <c r="G202" s="21"/>
      <c r="H202" s="21"/>
      <c r="I202" s="21"/>
      <c r="J202" s="21"/>
      <c r="K202" s="21"/>
      <c r="L202" s="21"/>
    </row>
    <row r="203" spans="4:12" ht="20.100000000000001" customHeight="1" x14ac:dyDescent="0.2">
      <c r="D203" s="21" t="str" cm="1">
        <f t="array" ref="D203">Common_InputFunctions.Utility_DisplayArrayInTable(Agresidue_SourceData.CropFractionRemoved_CustomisedData(), Table77[[#Headers],[Crop type c]], 0)</f>
        <v>Pulses</v>
      </c>
      <c r="E203" t="str" cm="1">
        <f t="array" ref="E203">Common_InputFunctions.Utility_DisplayArrayInTable(Agresidue_SourceData.CropFractionRemoved_CustomisedData(), Table77[[#Headers],[Crop type c]], 0)</f>
        <v>NT</v>
      </c>
      <c r="F203" cm="1">
        <f t="array" ref="F203">Common_InputFunctions.Utility_DisplayArrayInTable(Agresidue_SourceData.CropFractionRemoved_CustomisedData(), Table77[[#Headers],[Crop type c]], 0)</f>
        <v>0.01</v>
      </c>
      <c r="G203" s="21"/>
      <c r="H203" s="21"/>
      <c r="I203" s="21"/>
      <c r="J203" s="21"/>
      <c r="K203" s="21"/>
      <c r="L203" s="21"/>
    </row>
    <row r="204" spans="4:12" ht="20.100000000000001" customHeight="1" x14ac:dyDescent="0.2">
      <c r="D204" s="21" t="str" cm="1">
        <f t="array" ref="D204">Common_InputFunctions.Utility_DisplayArrayInTable(Agresidue_SourceData.CropFractionRemoved_CustomisedData(), Table77[[#Headers],[Crop type c]], 0)</f>
        <v>Pulses</v>
      </c>
      <c r="E204" t="str" cm="1">
        <f t="array" ref="E204">Common_InputFunctions.Utility_DisplayArrayInTable(Agresidue_SourceData.CropFractionRemoved_CustomisedData(), Table77[[#Headers],[Crop type c]], 0)</f>
        <v>ACT</v>
      </c>
      <c r="F204" cm="1">
        <f t="array" ref="F204">Common_InputFunctions.Utility_DisplayArrayInTable(Agresidue_SourceData.CropFractionRemoved_CustomisedData(), Table77[[#Headers],[Crop type c]], 0)</f>
        <v>0</v>
      </c>
      <c r="G204" s="21"/>
      <c r="H204" s="21"/>
      <c r="I204" s="21"/>
      <c r="J204" s="21"/>
      <c r="K204" s="21"/>
      <c r="L204" s="21"/>
    </row>
    <row r="205" spans="4:12" ht="20.100000000000001" customHeight="1" x14ac:dyDescent="0.2">
      <c r="D205" s="21" t="str" cm="1">
        <f t="array" ref="D205">Common_InputFunctions.Utility_DisplayArrayInTable(Agresidue_SourceData.CropFractionRemoved_CustomisedData(), Table77[[#Headers],[Crop type c]], 0)</f>
        <v>Peanuts</v>
      </c>
      <c r="E205" t="str" cm="1">
        <f t="array" ref="E205">Common_InputFunctions.Utility_DisplayArrayInTable(Agresidue_SourceData.CropFractionRemoved_CustomisedData(), Table77[[#Headers],[Crop type c]], 0)</f>
        <v>NSW</v>
      </c>
      <c r="F205" cm="1">
        <f t="array" ref="F205">Common_InputFunctions.Utility_DisplayArrayInTable(Agresidue_SourceData.CropFractionRemoved_CustomisedData(), Table77[[#Headers],[Crop type c]], 0)</f>
        <v>0.05</v>
      </c>
      <c r="G205" s="21"/>
      <c r="H205" s="21"/>
      <c r="I205" s="21"/>
      <c r="J205" s="21"/>
      <c r="K205" s="21"/>
      <c r="L205" s="21"/>
    </row>
    <row r="206" spans="4:12" ht="20.100000000000001" customHeight="1" x14ac:dyDescent="0.2">
      <c r="D206" s="21" t="str" cm="1">
        <f t="array" ref="D206">Common_InputFunctions.Utility_DisplayArrayInTable(Agresidue_SourceData.CropFractionRemoved_CustomisedData(), Table77[[#Headers],[Crop type c]], 0)</f>
        <v>Peanuts</v>
      </c>
      <c r="E206" t="str" cm="1">
        <f t="array" ref="E206">Common_InputFunctions.Utility_DisplayArrayInTable(Agresidue_SourceData.CropFractionRemoved_CustomisedData(), Table77[[#Headers],[Crop type c]], 0)</f>
        <v>VIC</v>
      </c>
      <c r="F206" cm="1">
        <f t="array" ref="F206">Common_InputFunctions.Utility_DisplayArrayInTable(Agresidue_SourceData.CropFractionRemoved_CustomisedData(), Table77[[#Headers],[Crop type c]], 0)</f>
        <v>7.0000000000000007E-2</v>
      </c>
      <c r="G206" s="21"/>
      <c r="H206" s="21"/>
      <c r="I206" s="21"/>
      <c r="J206" s="21"/>
      <c r="K206" s="21"/>
      <c r="L206" s="21"/>
    </row>
    <row r="207" spans="4:12" ht="20.100000000000001" customHeight="1" x14ac:dyDescent="0.2">
      <c r="D207" s="21" t="str" cm="1">
        <f t="array" ref="D207">Common_InputFunctions.Utility_DisplayArrayInTable(Agresidue_SourceData.CropFractionRemoved_CustomisedData(), Table77[[#Headers],[Crop type c]], 0)</f>
        <v>Peanuts</v>
      </c>
      <c r="E207" t="str" cm="1">
        <f t="array" ref="E207">Common_InputFunctions.Utility_DisplayArrayInTable(Agresidue_SourceData.CropFractionRemoved_CustomisedData(), Table77[[#Headers],[Crop type c]], 0)</f>
        <v>QLD</v>
      </c>
      <c r="F207" cm="1">
        <f t="array" ref="F207">Common_InputFunctions.Utility_DisplayArrayInTable(Agresidue_SourceData.CropFractionRemoved_CustomisedData(), Table77[[#Headers],[Crop type c]], 0)</f>
        <v>0.04</v>
      </c>
      <c r="G207" s="21"/>
      <c r="H207" s="21"/>
      <c r="I207" s="21"/>
      <c r="J207" s="21"/>
      <c r="K207" s="21"/>
      <c r="L207" s="21"/>
    </row>
    <row r="208" spans="4:12" ht="20.100000000000001" customHeight="1" x14ac:dyDescent="0.2">
      <c r="D208" s="21" t="str" cm="1">
        <f t="array" ref="D208">Common_InputFunctions.Utility_DisplayArrayInTable(Agresidue_SourceData.CropFractionRemoved_CustomisedData(), Table77[[#Headers],[Crop type c]], 0)</f>
        <v>Peanuts</v>
      </c>
      <c r="E208" t="str" cm="1">
        <f t="array" ref="E208">Common_InputFunctions.Utility_DisplayArrayInTable(Agresidue_SourceData.CropFractionRemoved_CustomisedData(), Table77[[#Headers],[Crop type c]], 0)</f>
        <v>SA</v>
      </c>
      <c r="F208" cm="1">
        <f t="array" ref="F208">Common_InputFunctions.Utility_DisplayArrayInTable(Agresidue_SourceData.CropFractionRemoved_CustomisedData(), Table77[[#Headers],[Crop type c]], 0)</f>
        <v>0.09</v>
      </c>
      <c r="G208" s="21"/>
      <c r="H208" s="21"/>
      <c r="I208" s="21"/>
      <c r="J208" s="21"/>
      <c r="K208" s="21"/>
      <c r="L208" s="21"/>
    </row>
    <row r="209" spans="4:12" ht="20.100000000000001" customHeight="1" x14ac:dyDescent="0.2">
      <c r="D209" s="21" t="str" cm="1">
        <f t="array" ref="D209">Common_InputFunctions.Utility_DisplayArrayInTable(Agresidue_SourceData.CropFractionRemoved_CustomisedData(), Table77[[#Headers],[Crop type c]], 0)</f>
        <v>Peanuts</v>
      </c>
      <c r="E209" t="str" cm="1">
        <f t="array" ref="E209">Common_InputFunctions.Utility_DisplayArrayInTable(Agresidue_SourceData.CropFractionRemoved_CustomisedData(), Table77[[#Headers],[Crop type c]], 0)</f>
        <v>WA</v>
      </c>
      <c r="F209" cm="1">
        <f t="array" ref="F209">Common_InputFunctions.Utility_DisplayArrayInTable(Agresidue_SourceData.CropFractionRemoved_CustomisedData(), Table77[[#Headers],[Crop type c]], 0)</f>
        <v>0.11</v>
      </c>
      <c r="G209" s="21"/>
      <c r="H209" s="21"/>
      <c r="I209" s="21"/>
      <c r="J209" s="21"/>
      <c r="K209" s="21"/>
      <c r="L209" s="21"/>
    </row>
    <row r="210" spans="4:12" ht="20.100000000000001" customHeight="1" x14ac:dyDescent="0.2">
      <c r="D210" s="21" t="str" cm="1">
        <f t="array" ref="D210">Common_InputFunctions.Utility_DisplayArrayInTable(Agresidue_SourceData.CropFractionRemoved_CustomisedData(), Table77[[#Headers],[Crop type c]], 0)</f>
        <v>Peanuts</v>
      </c>
      <c r="E210" t="str" cm="1">
        <f t="array" ref="E210">Common_InputFunctions.Utility_DisplayArrayInTable(Agresidue_SourceData.CropFractionRemoved_CustomisedData(), Table77[[#Headers],[Crop type c]], 0)</f>
        <v>TAS</v>
      </c>
      <c r="F210" cm="1">
        <f t="array" ref="F210">Common_InputFunctions.Utility_DisplayArrayInTable(Agresidue_SourceData.CropFractionRemoved_CustomisedData(), Table77[[#Headers],[Crop type c]], 0)</f>
        <v>0.16</v>
      </c>
      <c r="G210" s="21"/>
      <c r="H210" s="21"/>
      <c r="I210" s="21"/>
      <c r="J210" s="21"/>
      <c r="K210" s="21"/>
      <c r="L210" s="21"/>
    </row>
    <row r="211" spans="4:12" ht="20.100000000000001" customHeight="1" x14ac:dyDescent="0.2">
      <c r="D211" s="21" t="str" cm="1">
        <f t="array" ref="D211">Common_InputFunctions.Utility_DisplayArrayInTable(Agresidue_SourceData.CropFractionRemoved_CustomisedData(), Table77[[#Headers],[Crop type c]], 0)</f>
        <v>Peanuts</v>
      </c>
      <c r="E211" t="str" cm="1">
        <f t="array" ref="E211">Common_InputFunctions.Utility_DisplayArrayInTable(Agresidue_SourceData.CropFractionRemoved_CustomisedData(), Table77[[#Headers],[Crop type c]], 0)</f>
        <v>NT</v>
      </c>
      <c r="F211" cm="1">
        <f t="array" ref="F211">Common_InputFunctions.Utility_DisplayArrayInTable(Agresidue_SourceData.CropFractionRemoved_CustomisedData(), Table77[[#Headers],[Crop type c]], 0)</f>
        <v>0.01</v>
      </c>
      <c r="G211" s="21"/>
      <c r="H211" s="21"/>
      <c r="I211" s="21"/>
      <c r="J211" s="21"/>
      <c r="K211" s="21"/>
      <c r="L211" s="21"/>
    </row>
    <row r="212" spans="4:12" ht="20.100000000000001" customHeight="1" x14ac:dyDescent="0.2">
      <c r="D212" s="21" t="str" cm="1">
        <f t="array" ref="D212">Common_InputFunctions.Utility_DisplayArrayInTable(Agresidue_SourceData.CropFractionRemoved_CustomisedData(), Table77[[#Headers],[Crop type c]], 0)</f>
        <v>Peanuts</v>
      </c>
      <c r="E212" t="str" cm="1">
        <f t="array" ref="E212">Common_InputFunctions.Utility_DisplayArrayInTable(Agresidue_SourceData.CropFractionRemoved_CustomisedData(), Table77[[#Headers],[Crop type c]], 0)</f>
        <v>ACT</v>
      </c>
      <c r="F212" cm="1">
        <f t="array" ref="F212">Common_InputFunctions.Utility_DisplayArrayInTable(Agresidue_SourceData.CropFractionRemoved_CustomisedData(), Table77[[#Headers],[Crop type c]], 0)</f>
        <v>0</v>
      </c>
      <c r="G212" s="21"/>
      <c r="H212" s="21"/>
      <c r="I212" s="21"/>
      <c r="J212" s="21"/>
      <c r="K212" s="21"/>
      <c r="L212" s="21"/>
    </row>
    <row r="213" spans="4:12" ht="20.100000000000001" customHeight="1" x14ac:dyDescent="0.2">
      <c r="D213" s="21" t="str" cm="1">
        <f t="array" ref="D213">Common_InputFunctions.Utility_DisplayArrayInTable(Agresidue_SourceData.CropFractionRemoved_CustomisedData(), Table77[[#Headers],[Crop type c]], 0)</f>
        <v>Oilseeds</v>
      </c>
      <c r="E213" t="str" cm="1">
        <f t="array" ref="E213">Common_InputFunctions.Utility_DisplayArrayInTable(Agresidue_SourceData.CropFractionRemoved_CustomisedData(), Table77[[#Headers],[Crop type c]], 0)</f>
        <v>NSW</v>
      </c>
      <c r="F213" cm="1">
        <f t="array" ref="F213">Common_InputFunctions.Utility_DisplayArrayInTable(Agresidue_SourceData.CropFractionRemoved_CustomisedData(), Table77[[#Headers],[Crop type c]], 0)</f>
        <v>0.05</v>
      </c>
      <c r="G213" s="21"/>
      <c r="H213" s="21"/>
      <c r="I213" s="21"/>
      <c r="J213" s="21"/>
      <c r="K213" s="21"/>
      <c r="L213" s="21"/>
    </row>
    <row r="214" spans="4:12" ht="20.100000000000001" customHeight="1" x14ac:dyDescent="0.2">
      <c r="D214" s="21" t="str" cm="1">
        <f t="array" ref="D214">Common_InputFunctions.Utility_DisplayArrayInTable(Agresidue_SourceData.CropFractionRemoved_CustomisedData(), Table77[[#Headers],[Crop type c]], 0)</f>
        <v>Oilseeds</v>
      </c>
      <c r="E214" t="str" cm="1">
        <f t="array" ref="E214">Common_InputFunctions.Utility_DisplayArrayInTable(Agresidue_SourceData.CropFractionRemoved_CustomisedData(), Table77[[#Headers],[Crop type c]], 0)</f>
        <v>VIC</v>
      </c>
      <c r="F214" cm="1">
        <f t="array" ref="F214">Common_InputFunctions.Utility_DisplayArrayInTable(Agresidue_SourceData.CropFractionRemoved_CustomisedData(), Table77[[#Headers],[Crop type c]], 0)</f>
        <v>7.0000000000000007E-2</v>
      </c>
      <c r="G214" s="21"/>
      <c r="H214" s="21"/>
      <c r="I214" s="21"/>
      <c r="J214" s="21"/>
    </row>
    <row r="215" spans="4:12" ht="20.100000000000001" customHeight="1" x14ac:dyDescent="0.2">
      <c r="D215" s="21" t="str" cm="1">
        <f t="array" ref="D215">Common_InputFunctions.Utility_DisplayArrayInTable(Agresidue_SourceData.CropFractionRemoved_CustomisedData(), Table77[[#Headers],[Crop type c]], 0)</f>
        <v>Oilseeds</v>
      </c>
      <c r="E215" t="str" cm="1">
        <f t="array" ref="E215">Common_InputFunctions.Utility_DisplayArrayInTable(Agresidue_SourceData.CropFractionRemoved_CustomisedData(), Table77[[#Headers],[Crop type c]], 0)</f>
        <v>QLD</v>
      </c>
      <c r="F215" cm="1">
        <f t="array" ref="F215">Common_InputFunctions.Utility_DisplayArrayInTable(Agresidue_SourceData.CropFractionRemoved_CustomisedData(), Table77[[#Headers],[Crop type c]], 0)</f>
        <v>0.04</v>
      </c>
      <c r="G215" s="21"/>
      <c r="H215" s="21"/>
      <c r="I215" s="21"/>
      <c r="J215" s="21"/>
    </row>
    <row r="216" spans="4:12" ht="20.100000000000001" customHeight="1" x14ac:dyDescent="0.2">
      <c r="D216" s="21" t="str" cm="1">
        <f t="array" ref="D216">Common_InputFunctions.Utility_DisplayArrayInTable(Agresidue_SourceData.CropFractionRemoved_CustomisedData(), Table77[[#Headers],[Crop type c]], 0)</f>
        <v>Oilseeds</v>
      </c>
      <c r="E216" t="str" cm="1">
        <f t="array" ref="E216">Common_InputFunctions.Utility_DisplayArrayInTable(Agresidue_SourceData.CropFractionRemoved_CustomisedData(), Table77[[#Headers],[Crop type c]], 0)</f>
        <v>SA</v>
      </c>
      <c r="F216" cm="1">
        <f t="array" ref="F216">Common_InputFunctions.Utility_DisplayArrayInTable(Agresidue_SourceData.CropFractionRemoved_CustomisedData(), Table77[[#Headers],[Crop type c]], 0)</f>
        <v>0.09</v>
      </c>
      <c r="G216" s="21"/>
      <c r="H216" s="21"/>
      <c r="I216" s="21"/>
      <c r="J216" s="21"/>
    </row>
    <row r="217" spans="4:12" ht="20.100000000000001" customHeight="1" x14ac:dyDescent="0.2">
      <c r="D217" s="21" t="str" cm="1">
        <f t="array" ref="D217">Common_InputFunctions.Utility_DisplayArrayInTable(Agresidue_SourceData.CropFractionRemoved_CustomisedData(), Table77[[#Headers],[Crop type c]], 0)</f>
        <v>Oilseeds</v>
      </c>
      <c r="E217" t="str" cm="1">
        <f t="array" ref="E217">Common_InputFunctions.Utility_DisplayArrayInTable(Agresidue_SourceData.CropFractionRemoved_CustomisedData(), Table77[[#Headers],[Crop type c]], 0)</f>
        <v>WA</v>
      </c>
      <c r="F217" cm="1">
        <f t="array" ref="F217">Common_InputFunctions.Utility_DisplayArrayInTable(Agresidue_SourceData.CropFractionRemoved_CustomisedData(), Table77[[#Headers],[Crop type c]], 0)</f>
        <v>0.11</v>
      </c>
      <c r="G217" s="21"/>
      <c r="H217" s="21"/>
      <c r="I217" s="21"/>
      <c r="J217" s="21"/>
    </row>
    <row r="218" spans="4:12" ht="20.100000000000001" customHeight="1" x14ac:dyDescent="0.2">
      <c r="D218" s="21" t="str" cm="1">
        <f t="array" ref="D218">Common_InputFunctions.Utility_DisplayArrayInTable(Agresidue_SourceData.CropFractionRemoved_CustomisedData(), Table77[[#Headers],[Crop type c]], 0)</f>
        <v>Oilseeds</v>
      </c>
      <c r="E218" t="str" cm="1">
        <f t="array" ref="E218">Common_InputFunctions.Utility_DisplayArrayInTable(Agresidue_SourceData.CropFractionRemoved_CustomisedData(), Table77[[#Headers],[Crop type c]], 0)</f>
        <v>TAS</v>
      </c>
      <c r="F218" cm="1">
        <f t="array" ref="F218">Common_InputFunctions.Utility_DisplayArrayInTable(Agresidue_SourceData.CropFractionRemoved_CustomisedData(), Table77[[#Headers],[Crop type c]], 0)</f>
        <v>0.16</v>
      </c>
      <c r="G218" s="21"/>
      <c r="H218" s="21"/>
      <c r="I218" s="21"/>
      <c r="J218" s="21"/>
    </row>
    <row r="219" spans="4:12" ht="20.100000000000001" customHeight="1" x14ac:dyDescent="0.2">
      <c r="D219" s="21" t="str" cm="1">
        <f t="array" ref="D219">Common_InputFunctions.Utility_DisplayArrayInTable(Agresidue_SourceData.CropFractionRemoved_CustomisedData(), Table77[[#Headers],[Crop type c]], 0)</f>
        <v>Oilseeds</v>
      </c>
      <c r="E219" t="str" cm="1">
        <f t="array" ref="E219">Common_InputFunctions.Utility_DisplayArrayInTable(Agresidue_SourceData.CropFractionRemoved_CustomisedData(), Table77[[#Headers],[Crop type c]], 0)</f>
        <v>NT</v>
      </c>
      <c r="F219" cm="1">
        <f t="array" ref="F219">Common_InputFunctions.Utility_DisplayArrayInTable(Agresidue_SourceData.CropFractionRemoved_CustomisedData(), Table77[[#Headers],[Crop type c]], 0)</f>
        <v>0.01</v>
      </c>
      <c r="G219" s="21"/>
      <c r="H219" s="21"/>
      <c r="I219" s="21"/>
      <c r="J219" s="21"/>
    </row>
    <row r="220" spans="4:12" ht="20.100000000000001" customHeight="1" x14ac:dyDescent="0.2">
      <c r="D220" s="21" t="str" cm="1">
        <f t="array" ref="D220">Common_InputFunctions.Utility_DisplayArrayInTable(Agresidue_SourceData.CropFractionRemoved_CustomisedData(), Table77[[#Headers],[Crop type c]], 0)</f>
        <v>Oilseeds</v>
      </c>
      <c r="E220" t="str" cm="1">
        <f t="array" ref="E220">Common_InputFunctions.Utility_DisplayArrayInTable(Agresidue_SourceData.CropFractionRemoved_CustomisedData(), Table77[[#Headers],[Crop type c]], 0)</f>
        <v>ACT</v>
      </c>
      <c r="F220" cm="1">
        <f t="array" ref="F220">Common_InputFunctions.Utility_DisplayArrayInTable(Agresidue_SourceData.CropFractionRemoved_CustomisedData(), Table77[[#Headers],[Crop type c]], 0)</f>
        <v>0</v>
      </c>
      <c r="G220" s="21"/>
      <c r="H220" s="21"/>
      <c r="I220" s="21"/>
      <c r="J220" s="21"/>
    </row>
    <row r="221" spans="4:12" ht="20.100000000000001" customHeight="1" x14ac:dyDescent="0.2">
      <c r="D221" s="21" t="str" cm="1">
        <f t="array" ref="D221">Common_InputFunctions.Utility_DisplayArrayInTable(Agresidue_SourceData.CropFractionRemoved_CustomisedData(), Table77[[#Headers],[Crop type c]], 0)</f>
        <v>Other annual crops</v>
      </c>
      <c r="E221" t="str" cm="1">
        <f t="array" ref="E221">Common_InputFunctions.Utility_DisplayArrayInTable(Agresidue_SourceData.CropFractionRemoved_CustomisedData(), Table77[[#Headers],[Crop type c]], 0)</f>
        <v>NSW</v>
      </c>
      <c r="F221" cm="1">
        <f t="array" ref="F221">Common_InputFunctions.Utility_DisplayArrayInTable(Agresidue_SourceData.CropFractionRemoved_CustomisedData(), Table77[[#Headers],[Crop type c]], 0)</f>
        <v>0.05</v>
      </c>
      <c r="G221" s="21"/>
      <c r="H221" s="21"/>
      <c r="I221" s="21"/>
      <c r="J221" s="21"/>
    </row>
    <row r="222" spans="4:12" ht="20.100000000000001" customHeight="1" x14ac:dyDescent="0.2">
      <c r="D222" s="21" t="str" cm="1">
        <f t="array" ref="D222">Common_InputFunctions.Utility_DisplayArrayInTable(Agresidue_SourceData.CropFractionRemoved_CustomisedData(), Table77[[#Headers],[Crop type c]], 0)</f>
        <v>Other annual crops</v>
      </c>
      <c r="E222" t="str" cm="1">
        <f t="array" ref="E222">Common_InputFunctions.Utility_DisplayArrayInTable(Agresidue_SourceData.CropFractionRemoved_CustomisedData(), Table77[[#Headers],[Crop type c]], 0)</f>
        <v>VIC</v>
      </c>
      <c r="F222" cm="1">
        <f t="array" ref="F222">Common_InputFunctions.Utility_DisplayArrayInTable(Agresidue_SourceData.CropFractionRemoved_CustomisedData(), Table77[[#Headers],[Crop type c]], 0)</f>
        <v>7.0000000000000007E-2</v>
      </c>
      <c r="G222" s="21"/>
      <c r="H222" s="21"/>
      <c r="I222" s="21"/>
      <c r="J222" s="21"/>
    </row>
    <row r="223" spans="4:12" ht="20.100000000000001" customHeight="1" x14ac:dyDescent="0.2">
      <c r="D223" s="21" t="str" cm="1">
        <f t="array" ref="D223">Common_InputFunctions.Utility_DisplayArrayInTable(Agresidue_SourceData.CropFractionRemoved_CustomisedData(), Table77[[#Headers],[Crop type c]], 0)</f>
        <v>Other annual crops</v>
      </c>
      <c r="E223" t="str" cm="1">
        <f t="array" ref="E223">Common_InputFunctions.Utility_DisplayArrayInTable(Agresidue_SourceData.CropFractionRemoved_CustomisedData(), Table77[[#Headers],[Crop type c]], 0)</f>
        <v>QLD</v>
      </c>
      <c r="F223" cm="1">
        <f t="array" ref="F223">Common_InputFunctions.Utility_DisplayArrayInTable(Agresidue_SourceData.CropFractionRemoved_CustomisedData(), Table77[[#Headers],[Crop type c]], 0)</f>
        <v>0.04</v>
      </c>
      <c r="G223" s="21"/>
      <c r="H223" s="21"/>
      <c r="I223" s="21"/>
      <c r="J223" s="21"/>
    </row>
    <row r="224" spans="4:12" ht="20.100000000000001" customHeight="1" x14ac:dyDescent="0.2">
      <c r="D224" s="21" t="str" cm="1">
        <f t="array" ref="D224">Common_InputFunctions.Utility_DisplayArrayInTable(Agresidue_SourceData.CropFractionRemoved_CustomisedData(), Table77[[#Headers],[Crop type c]], 0)</f>
        <v>Other annual crops</v>
      </c>
      <c r="E224" t="str" cm="1">
        <f t="array" ref="E224">Common_InputFunctions.Utility_DisplayArrayInTable(Agresidue_SourceData.CropFractionRemoved_CustomisedData(), Table77[[#Headers],[Crop type c]], 0)</f>
        <v>SA</v>
      </c>
      <c r="F224" cm="1">
        <f t="array" ref="F224">Common_InputFunctions.Utility_DisplayArrayInTable(Agresidue_SourceData.CropFractionRemoved_CustomisedData(), Table77[[#Headers],[Crop type c]], 0)</f>
        <v>0.09</v>
      </c>
      <c r="G224" s="21"/>
      <c r="H224" s="21"/>
      <c r="I224" s="21"/>
      <c r="J224" s="21"/>
    </row>
    <row r="225" spans="4:10" ht="20.100000000000001" customHeight="1" x14ac:dyDescent="0.2">
      <c r="D225" s="21" t="str" cm="1">
        <f t="array" ref="D225">Common_InputFunctions.Utility_DisplayArrayInTable(Agresidue_SourceData.CropFractionRemoved_CustomisedData(), Table77[[#Headers],[Crop type c]], 0)</f>
        <v>Other annual crops</v>
      </c>
      <c r="E225" t="str" cm="1">
        <f t="array" ref="E225">Common_InputFunctions.Utility_DisplayArrayInTable(Agresidue_SourceData.CropFractionRemoved_CustomisedData(), Table77[[#Headers],[Crop type c]], 0)</f>
        <v>WA</v>
      </c>
      <c r="F225" cm="1">
        <f t="array" ref="F225">Common_InputFunctions.Utility_DisplayArrayInTable(Agresidue_SourceData.CropFractionRemoved_CustomisedData(), Table77[[#Headers],[Crop type c]], 0)</f>
        <v>0.11</v>
      </c>
      <c r="G225" s="21"/>
      <c r="H225" s="21"/>
      <c r="I225" s="21"/>
      <c r="J225" s="21"/>
    </row>
    <row r="226" spans="4:10" ht="20.100000000000001" customHeight="1" x14ac:dyDescent="0.2">
      <c r="D226" s="21" t="str" cm="1">
        <f t="array" ref="D226">Common_InputFunctions.Utility_DisplayArrayInTable(Agresidue_SourceData.CropFractionRemoved_CustomisedData(), Table77[[#Headers],[Crop type c]], 0)</f>
        <v>Other annual crops</v>
      </c>
      <c r="E226" t="str" cm="1">
        <f t="array" ref="E226">Common_InputFunctions.Utility_DisplayArrayInTable(Agresidue_SourceData.CropFractionRemoved_CustomisedData(), Table77[[#Headers],[Crop type c]], 0)</f>
        <v>TAS</v>
      </c>
      <c r="F226" cm="1">
        <f t="array" ref="F226">Common_InputFunctions.Utility_DisplayArrayInTable(Agresidue_SourceData.CropFractionRemoved_CustomisedData(), Table77[[#Headers],[Crop type c]], 0)</f>
        <v>0.16</v>
      </c>
      <c r="G226" s="21"/>
      <c r="H226" s="21"/>
      <c r="I226" s="21"/>
      <c r="J226" s="21"/>
    </row>
    <row r="227" spans="4:10" ht="20.100000000000001" customHeight="1" x14ac:dyDescent="0.2">
      <c r="D227" s="21" t="str" cm="1">
        <f t="array" ref="D227">Common_InputFunctions.Utility_DisplayArrayInTable(Agresidue_SourceData.CropFractionRemoved_CustomisedData(), Table77[[#Headers],[Crop type c]], 0)</f>
        <v>Other annual crops</v>
      </c>
      <c r="E227" t="str" cm="1">
        <f t="array" ref="E227">Common_InputFunctions.Utility_DisplayArrayInTable(Agresidue_SourceData.CropFractionRemoved_CustomisedData(), Table77[[#Headers],[Crop type c]], 0)</f>
        <v>NT</v>
      </c>
      <c r="F227" cm="1">
        <f t="array" ref="F227">Common_InputFunctions.Utility_DisplayArrayInTable(Agresidue_SourceData.CropFractionRemoved_CustomisedData(), Table77[[#Headers],[Crop type c]], 0)</f>
        <v>0.01</v>
      </c>
      <c r="G227" s="21"/>
      <c r="H227" s="21"/>
      <c r="I227" s="21"/>
      <c r="J227" s="21"/>
    </row>
    <row r="228" spans="4:10" ht="20.100000000000001" customHeight="1" x14ac:dyDescent="0.2">
      <c r="D228" s="21" t="str" cm="1">
        <f t="array" ref="D228">Common_InputFunctions.Utility_DisplayArrayInTable(Agresidue_SourceData.CropFractionRemoved_CustomisedData(), Table77[[#Headers],[Crop type c]], 0)</f>
        <v>Other annual crops</v>
      </c>
      <c r="E228" t="str" cm="1">
        <f t="array" ref="E228">Common_InputFunctions.Utility_DisplayArrayInTable(Agresidue_SourceData.CropFractionRemoved_CustomisedData(), Table77[[#Headers],[Crop type c]], 0)</f>
        <v>ACT</v>
      </c>
      <c r="F228" cm="1">
        <f t="array" ref="F228">Common_InputFunctions.Utility_DisplayArrayInTable(Agresidue_SourceData.CropFractionRemoved_CustomisedData(), Table77[[#Headers],[Crop type c]], 0)</f>
        <v>0</v>
      </c>
      <c r="G228" s="21"/>
      <c r="H228" s="21"/>
    </row>
    <row r="229" spans="4:10" ht="20.100000000000001" customHeight="1" x14ac:dyDescent="0.2">
      <c r="D229" s="21" t="str" cm="1">
        <f t="array" ref="D229">Common_InputFunctions.Utility_DisplayArrayInTable(Agresidue_SourceData.CropFractionRemoved_CustomisedData(), Table77[[#Headers],[Crop type c]], 0)</f>
        <v>Other perennial crops</v>
      </c>
      <c r="E229" t="str" cm="1">
        <f t="array" ref="E229">Common_InputFunctions.Utility_DisplayArrayInTable(Agresidue_SourceData.CropFractionRemoved_CustomisedData(), Table77[[#Headers],[Crop type c]], 0)</f>
        <v>NSW</v>
      </c>
      <c r="F229" cm="1">
        <f t="array" ref="F229">Common_InputFunctions.Utility_DisplayArrayInTable(Agresidue_SourceData.CropFractionRemoved_CustomisedData(), Table77[[#Headers],[Crop type c]], 0)</f>
        <v>0.05</v>
      </c>
      <c r="G229" s="21"/>
    </row>
    <row r="230" spans="4:10" ht="20.100000000000001" customHeight="1" x14ac:dyDescent="0.2">
      <c r="D230" s="21" t="str" cm="1">
        <f t="array" ref="D230">Common_InputFunctions.Utility_DisplayArrayInTable(Agresidue_SourceData.CropFractionRemoved_CustomisedData(), Table77[[#Headers],[Crop type c]], 0)</f>
        <v>Other perennial crops</v>
      </c>
      <c r="E230" t="str" cm="1">
        <f t="array" ref="E230">Common_InputFunctions.Utility_DisplayArrayInTable(Agresidue_SourceData.CropFractionRemoved_CustomisedData(), Table77[[#Headers],[Crop type c]], 0)</f>
        <v>VIC</v>
      </c>
      <c r="F230" cm="1">
        <f t="array" ref="F230">Common_InputFunctions.Utility_DisplayArrayInTable(Agresidue_SourceData.CropFractionRemoved_CustomisedData(), Table77[[#Headers],[Crop type c]], 0)</f>
        <v>7.0000000000000007E-2</v>
      </c>
      <c r="G230" s="21"/>
    </row>
    <row r="231" spans="4:10" ht="20.100000000000001" customHeight="1" x14ac:dyDescent="0.2">
      <c r="D231" s="21" t="str" cm="1">
        <f t="array" ref="D231">Common_InputFunctions.Utility_DisplayArrayInTable(Agresidue_SourceData.CropFractionRemoved_CustomisedData(), Table77[[#Headers],[Crop type c]], 0)</f>
        <v>Other perennial crops</v>
      </c>
      <c r="E231" t="str" cm="1">
        <f t="array" ref="E231">Common_InputFunctions.Utility_DisplayArrayInTable(Agresidue_SourceData.CropFractionRemoved_CustomisedData(), Table77[[#Headers],[Crop type c]], 0)</f>
        <v>QLD</v>
      </c>
      <c r="F231" cm="1">
        <f t="array" ref="F231">Common_InputFunctions.Utility_DisplayArrayInTable(Agresidue_SourceData.CropFractionRemoved_CustomisedData(), Table77[[#Headers],[Crop type c]], 0)</f>
        <v>0.04</v>
      </c>
      <c r="G231" s="21"/>
    </row>
    <row r="232" spans="4:10" ht="20.100000000000001" customHeight="1" x14ac:dyDescent="0.2">
      <c r="D232" s="21" t="str" cm="1">
        <f t="array" ref="D232">Common_InputFunctions.Utility_DisplayArrayInTable(Agresidue_SourceData.CropFractionRemoved_CustomisedData(), Table77[[#Headers],[Crop type c]], 0)</f>
        <v>Other perennial crops</v>
      </c>
      <c r="E232" t="str" cm="1">
        <f t="array" ref="E232">Common_InputFunctions.Utility_DisplayArrayInTable(Agresidue_SourceData.CropFractionRemoved_CustomisedData(), Table77[[#Headers],[Crop type c]], 0)</f>
        <v>SA</v>
      </c>
      <c r="F232" cm="1">
        <f t="array" ref="F232">Common_InputFunctions.Utility_DisplayArrayInTable(Agresidue_SourceData.CropFractionRemoved_CustomisedData(), Table77[[#Headers],[Crop type c]], 0)</f>
        <v>0.09</v>
      </c>
      <c r="G232" s="21"/>
    </row>
    <row r="233" spans="4:10" ht="20.100000000000001" customHeight="1" x14ac:dyDescent="0.2">
      <c r="D233" s="21" t="str" cm="1">
        <f t="array" ref="D233">Common_InputFunctions.Utility_DisplayArrayInTable(Agresidue_SourceData.CropFractionRemoved_CustomisedData(), Table77[[#Headers],[Crop type c]], 0)</f>
        <v>Other perennial crops</v>
      </c>
      <c r="E233" t="str" cm="1">
        <f t="array" ref="E233">Common_InputFunctions.Utility_DisplayArrayInTable(Agresidue_SourceData.CropFractionRemoved_CustomisedData(), Table77[[#Headers],[Crop type c]], 0)</f>
        <v>WA</v>
      </c>
      <c r="F233" cm="1">
        <f t="array" ref="F233">Common_InputFunctions.Utility_DisplayArrayInTable(Agresidue_SourceData.CropFractionRemoved_CustomisedData(), Table77[[#Headers],[Crop type c]], 0)</f>
        <v>0.11</v>
      </c>
      <c r="G233" s="21"/>
    </row>
    <row r="234" spans="4:10" ht="20.100000000000001" customHeight="1" x14ac:dyDescent="0.2">
      <c r="D234" s="21" t="str" cm="1">
        <f t="array" ref="D234">Common_InputFunctions.Utility_DisplayArrayInTable(Agresidue_SourceData.CropFractionRemoved_CustomisedData(), Table77[[#Headers],[Crop type c]], 0)</f>
        <v>Other perennial crops</v>
      </c>
      <c r="E234" t="str" cm="1">
        <f t="array" ref="E234">Common_InputFunctions.Utility_DisplayArrayInTable(Agresidue_SourceData.CropFractionRemoved_CustomisedData(), Table77[[#Headers],[Crop type c]], 0)</f>
        <v>TAS</v>
      </c>
      <c r="F234" cm="1">
        <f t="array" ref="F234">Common_InputFunctions.Utility_DisplayArrayInTable(Agresidue_SourceData.CropFractionRemoved_CustomisedData(), Table77[[#Headers],[Crop type c]], 0)</f>
        <v>0.16</v>
      </c>
      <c r="G234" s="21"/>
    </row>
    <row r="235" spans="4:10" ht="20.100000000000001" customHeight="1" x14ac:dyDescent="0.2">
      <c r="D235" s="21" t="str" cm="1">
        <f t="array" ref="D235">Common_InputFunctions.Utility_DisplayArrayInTable(Agresidue_SourceData.CropFractionRemoved_CustomisedData(), Table77[[#Headers],[Crop type c]], 0)</f>
        <v>Other perennial crops</v>
      </c>
      <c r="E235" t="str" cm="1">
        <f t="array" ref="E235">Common_InputFunctions.Utility_DisplayArrayInTable(Agresidue_SourceData.CropFractionRemoved_CustomisedData(), Table77[[#Headers],[Crop type c]], 0)</f>
        <v>NT</v>
      </c>
      <c r="F235" cm="1">
        <f t="array" ref="F235">Common_InputFunctions.Utility_DisplayArrayInTable(Agresidue_SourceData.CropFractionRemoved_CustomisedData(), Table77[[#Headers],[Crop type c]], 0)</f>
        <v>0.01</v>
      </c>
      <c r="G235" s="21"/>
    </row>
  </sheetData>
  <phoneticPr fontId="23" type="noConversion"/>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A3638-5724-4FD8-8944-B854D71A049A}">
  <sheetPr>
    <tabColor theme="2" tint="-0.499984740745262"/>
  </sheetPr>
  <dimension ref="A1:BY297"/>
  <sheetViews>
    <sheetView showGridLines="0" topLeftCell="A239" zoomScaleNormal="100" workbookViewId="0">
      <selection activeCell="I279" sqref="I279"/>
    </sheetView>
  </sheetViews>
  <sheetFormatPr defaultColWidth="9.140625" defaultRowHeight="20.100000000000001" customHeight="1" x14ac:dyDescent="0.2"/>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69</v>
      </c>
    </row>
    <row r="2" spans="1:65" s="9" customFormat="1" ht="20.100000000000001" customHeight="1" x14ac:dyDescent="0.2">
      <c r="A2"/>
    </row>
    <row r="3" spans="1:65" ht="20.100000000000001" customHeight="1" x14ac:dyDescent="0.2">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
      <c r="A4"/>
      <c r="BM4" s="3"/>
    </row>
    <row r="5" spans="1:65" ht="20.100000000000001" customHeight="1" x14ac:dyDescent="0.2">
      <c r="A5"/>
      <c r="D5" s="6" t="str" cm="1">
        <f t="array" ref="D5">Common_SourceData.Common_SourceData_AustralianStatesTerritories_Title()</f>
        <v>Australian states and territories</v>
      </c>
      <c r="BM5" s="3"/>
    </row>
    <row r="6" spans="1:65" ht="20.100000000000001" customHeight="1" x14ac:dyDescent="0.2">
      <c r="A6" s="141" t="s">
        <v>1</v>
      </c>
      <c r="D6" s="36" t="s">
        <v>16</v>
      </c>
      <c r="E6" s="36" t="s">
        <v>17</v>
      </c>
      <c r="F6" s="36" t="s">
        <v>18</v>
      </c>
    </row>
    <row r="7" spans="1:65" ht="20.100000000000001" customHeight="1" x14ac:dyDescent="0.2">
      <c r="A7" s="128" t="str">
        <f>HYPERLINK("#'Constants - Common'!A1", "Constants - Common")</f>
        <v>Constants - Common</v>
      </c>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
      <c r="A8" s="17" t="str">
        <f>HYPERLINK("#'Acknowledgements'!A1", "Acknowledgements")</f>
        <v>Acknowledgements</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
      <c r="A15"/>
    </row>
    <row r="16" spans="1:65" ht="20.100000000000001" customHeight="1" x14ac:dyDescent="0.2">
      <c r="A16"/>
    </row>
    <row r="17" spans="1:4" ht="20.100000000000001" customHeight="1" x14ac:dyDescent="0.2">
      <c r="A17"/>
    </row>
    <row r="18" spans="1:4" ht="20.100000000000001" customHeight="1" x14ac:dyDescent="0.2">
      <c r="A18"/>
      <c r="D18" s="6" t="str" cm="1">
        <f t="array" ref="D18">Common_SourceData.Common_SourceData_WASA4Areas_Title()</f>
        <v>ABS Statistcal Areas Level 4 - Western Australia</v>
      </c>
    </row>
    <row r="19" spans="1:4" ht="20.100000000000001" customHeight="1" x14ac:dyDescent="0.2">
      <c r="A19"/>
      <c r="D19" s="5" t="str" cm="1">
        <f t="array" ref="D19">Common_SourceData.Common_SourceData_WASA4Areas_Source()</f>
        <v>Australian Bureau of Statistics (ABS) - Statistical Areas Level 2 - 2021 - Shapefile</v>
      </c>
    </row>
    <row r="20" spans="1:4" ht="20.100000000000001" customHeight="1" x14ac:dyDescent="0.2">
      <c r="A20"/>
      <c r="D20" s="36" t="s">
        <v>19</v>
      </c>
    </row>
    <row r="21" spans="1:4" ht="20.100000000000001" customHeight="1" x14ac:dyDescent="0.2">
      <c r="A21"/>
      <c r="D21" s="36" t="str" cm="1">
        <f t="array" ref="D21">Common_InputFunctions.Utility_DisplayArrayInTable(Common_SourceData.Common_SourceData_WASA4Areas_Data(), Table_WASA4Areas[[#Headers],[SA 4 Name]], 0)</f>
        <v>Bunbury</v>
      </c>
    </row>
    <row r="22" spans="1:4" ht="20.100000000000001" customHeight="1" x14ac:dyDescent="0.2">
      <c r="A22"/>
      <c r="D22" s="36" t="str" cm="1">
        <f t="array" ref="D22">Common_InputFunctions.Utility_DisplayArrayInTable(Common_SourceData.Common_SourceData_WASA4Areas_Data(), Table_WASA4Areas[[#Headers],[SA 4 Name]], 0)</f>
        <v>Mandurah</v>
      </c>
    </row>
    <row r="23" spans="1:4" ht="20.100000000000001" customHeight="1" x14ac:dyDescent="0.2">
      <c r="A23"/>
      <c r="D23" s="36" t="str" cm="1">
        <f t="array" ref="D23">Common_InputFunctions.Utility_DisplayArrayInTable(Common_SourceData.Common_SourceData_WASA4Areas_Data(), Table_WASA4Areas[[#Headers],[SA 4 Name]], 0)</f>
        <v>Perth - Inner</v>
      </c>
    </row>
    <row r="24" spans="1:4" ht="20.100000000000001" customHeight="1" x14ac:dyDescent="0.2">
      <c r="A24"/>
      <c r="D24" s="36" t="str" cm="1">
        <f t="array" ref="D24">Common_InputFunctions.Utility_DisplayArrayInTable(Common_SourceData.Common_SourceData_WASA4Areas_Data(), Table_WASA4Areas[[#Headers],[SA 4 Name]], 0)</f>
        <v>Perth - North East</v>
      </c>
    </row>
    <row r="25" spans="1:4" ht="20.100000000000001" customHeight="1" x14ac:dyDescent="0.2">
      <c r="A25"/>
      <c r="D25" s="36" t="str" cm="1">
        <f t="array" ref="D25">Common_InputFunctions.Utility_DisplayArrayInTable(Common_SourceData.Common_SourceData_WASA4Areas_Data(), Table_WASA4Areas[[#Headers],[SA 4 Name]], 0)</f>
        <v>Perth - North West</v>
      </c>
    </row>
    <row r="26" spans="1:4" ht="20.100000000000001" customHeight="1" x14ac:dyDescent="0.2">
      <c r="A26"/>
      <c r="D26" s="36" t="str" cm="1">
        <f t="array" ref="D26">Common_InputFunctions.Utility_DisplayArrayInTable(Common_SourceData.Common_SourceData_WASA4Areas_Data(), Table_WASA4Areas[[#Headers],[SA 4 Name]], 0)</f>
        <v>Perth - South East</v>
      </c>
    </row>
    <row r="27" spans="1:4" ht="20.100000000000001" customHeight="1" x14ac:dyDescent="0.2">
      <c r="A27"/>
      <c r="D27" s="36" t="str" cm="1">
        <f t="array" ref="D27">Common_InputFunctions.Utility_DisplayArrayInTable(Common_SourceData.Common_SourceData_WASA4Areas_Data(), Table_WASA4Areas[[#Headers],[SA 4 Name]], 0)</f>
        <v>Perth - South West</v>
      </c>
    </row>
    <row r="28" spans="1:4" ht="20.100000000000001" customHeight="1" x14ac:dyDescent="0.2">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
      <c r="A31"/>
    </row>
    <row r="32" spans="1:4" ht="20.100000000000001" customHeight="1" x14ac:dyDescent="0.2">
      <c r="A32"/>
    </row>
    <row r="33" spans="1:8" ht="20.100000000000001" customHeight="1" x14ac:dyDescent="0.2">
      <c r="A33"/>
    </row>
    <row r="34" spans="1:8" ht="20.100000000000001" customHeight="1" x14ac:dyDescent="0.2">
      <c r="A34"/>
      <c r="D34" s="6" t="str" cm="1">
        <f t="array" ref="D34">Common_SourceData.Common_SourceData_GWP_Title()</f>
        <v>Global warming potential for greenhouse gases</v>
      </c>
    </row>
    <row r="35" spans="1:8" ht="20.100000000000001" customHeight="1" x14ac:dyDescent="0.2">
      <c r="A35"/>
      <c r="D35" s="5" t="str" cm="1">
        <f t="array" ref="D35">Common_SourceData.Common_SourceData_GWP_Source()</f>
        <v>XXXXXXX</v>
      </c>
    </row>
    <row r="36" spans="1:8" ht="20.100000000000001" customHeight="1" x14ac:dyDescent="0.2">
      <c r="A36"/>
      <c r="D36" s="36" t="s">
        <v>22</v>
      </c>
      <c r="E36" s="36" t="s">
        <v>23</v>
      </c>
    </row>
    <row r="37" spans="1:8" ht="20.100000000000001" customHeight="1" x14ac:dyDescent="0.2">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
      <c r="A44"/>
    </row>
    <row r="45" spans="1:8" ht="20.100000000000001" customHeight="1" x14ac:dyDescent="0.2">
      <c r="A45"/>
      <c r="D45" s="6" t="str" cm="1">
        <f t="array" ref="D45">Common_SourceData.Common_SourceData_ConvertGasElementalToMolecular_Title()</f>
        <v>Factor to convert elemental mass of gas to molecular mass</v>
      </c>
    </row>
    <row r="46" spans="1:8" ht="20.100000000000001" customHeight="1" x14ac:dyDescent="0.2">
      <c r="A46"/>
      <c r="D46" s="5" t="str" cm="1">
        <f t="array" ref="D46">Common_SourceData.Common_SourceData_ConvertGasElementalToMolecular_Source()</f>
        <v>XXXXXXX</v>
      </c>
    </row>
    <row r="47" spans="1:8" ht="20.100000000000001" customHeight="1" x14ac:dyDescent="0.2">
      <c r="A47"/>
      <c r="D47" s="36" t="s">
        <v>22</v>
      </c>
      <c r="E47" s="36" t="s">
        <v>25</v>
      </c>
      <c r="F47" s="36" t="s">
        <v>26</v>
      </c>
      <c r="G47" s="36" t="s">
        <v>27</v>
      </c>
      <c r="H47" s="36" t="s">
        <v>28</v>
      </c>
    </row>
    <row r="48" spans="1:8" ht="20.100000000000001" customHeight="1" x14ac:dyDescent="0.2">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100000000000001" customHeight="1" x14ac:dyDescent="0.2">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100000000000001" customHeight="1" x14ac:dyDescent="0.2">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100000000000001" customHeight="1" x14ac:dyDescent="0.2">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100000000000001" customHeight="1" x14ac:dyDescent="0.2">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100000000000001" customHeight="1" x14ac:dyDescent="0.2">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100000000000001" customHeight="1" x14ac:dyDescent="0.2">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100000000000001" customHeight="1" x14ac:dyDescent="0.2">
      <c r="A55"/>
    </row>
    <row r="56" spans="1:8" ht="20.100000000000001" customHeight="1" x14ac:dyDescent="0.2">
      <c r="A56"/>
    </row>
    <row r="57" spans="1:8" ht="20.100000000000001" customHeight="1" x14ac:dyDescent="0.2">
      <c r="A57"/>
      <c r="D57" s="6" t="str" cm="1">
        <f t="array" ref="D57">Common_SourceData.Common_SourceData_WetAndDryZones_Title()</f>
        <v>VEERG Australian wet and dry zones</v>
      </c>
    </row>
    <row r="58" spans="1:8" ht="20.100000000000001" customHeight="1" x14ac:dyDescent="0.2">
      <c r="A58"/>
      <c r="D58" s="5" t="str" cm="1">
        <f t="array" ref="D58">Common_SourceData.Common_SourceData_WetAndDryZones_Source()</f>
        <v>VEERG 2026: Table 1.2: Translating climate zones to wet and dry zones</v>
      </c>
    </row>
    <row r="59" spans="1:8" ht="20.100000000000001" customHeight="1" x14ac:dyDescent="0.2">
      <c r="A59"/>
      <c r="D59" s="52" t="str" cm="1">
        <f t="array" ref="D59:D61">"⚠️" &amp; Common_SourceData.Common_SourceData_WetAndDryZones_Variation()</f>
        <v>⚠️VARIATION OF SOURCE DATA:</v>
      </c>
    </row>
    <row r="60" spans="1:8" ht="20.100000000000001" customHeight="1" x14ac:dyDescent="0.2">
      <c r="A60"/>
      <c r="D60" s="52" t="str">
        <v>⚠️Added warm / cool temperate moist / dry - low frost and high temp classes to accommodate climate scenarios excluded by VEERG criteria.</v>
      </c>
    </row>
    <row r="61" spans="1:8" ht="20.100000000000001" customHeight="1" x14ac:dyDescent="0.2">
      <c r="A61"/>
      <c r="D61" s="52" t="str">
        <v>⚠️Fixed typo - Changed 'Fry' to 'Dry'.</v>
      </c>
    </row>
    <row r="62" spans="1:8" ht="20.100000000000001" customHeight="1" x14ac:dyDescent="0.2">
      <c r="A62"/>
    </row>
    <row r="63" spans="1:8" ht="20.100000000000001" customHeight="1" x14ac:dyDescent="0.2">
      <c r="A63"/>
      <c r="D63" s="36" t="s">
        <v>7</v>
      </c>
      <c r="E63" s="36" t="s">
        <v>43</v>
      </c>
    </row>
    <row r="64" spans="1:8" ht="20.100000000000001" customHeight="1" x14ac:dyDescent="0.2">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100000000000001" customHeight="1" x14ac:dyDescent="0.2">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100000000000001" customHeight="1" x14ac:dyDescent="0.2">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100000000000001" customHeight="1" x14ac:dyDescent="0.2">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100000000000001" customHeight="1" x14ac:dyDescent="0.2">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100000000000001" customHeight="1" x14ac:dyDescent="0.2">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100000000000001" customHeight="1" x14ac:dyDescent="0.2">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100000000000001" customHeight="1" x14ac:dyDescent="0.2">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100000000000001" customHeight="1" x14ac:dyDescent="0.2">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100000000000001" customHeight="1" x14ac:dyDescent="0.2">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100000000000001" customHeight="1" x14ac:dyDescent="0.2">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100000000000001" customHeight="1" x14ac:dyDescent="0.2">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100000000000001" customHeight="1" x14ac:dyDescent="0.2">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100000000000001" customHeight="1" x14ac:dyDescent="0.2">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100000000000001" customHeight="1" x14ac:dyDescent="0.2">
      <c r="A78"/>
    </row>
    <row r="79" spans="1:5" ht="20.100000000000001" customHeight="1" x14ac:dyDescent="0.2">
      <c r="A79"/>
    </row>
    <row r="80" spans="1:5" ht="20.100000000000001" customHeight="1" x14ac:dyDescent="0.2">
      <c r="A80"/>
    </row>
    <row r="81" spans="1:20" ht="20.100000000000001" customHeight="1" x14ac:dyDescent="0.2">
      <c r="A81"/>
      <c r="D81" s="6" t="str" cm="1">
        <f t="array" ref="D81">Common_SourceData.Common_SourceData_ClimateZones_Title()</f>
        <v>VEERG Australian climate zones</v>
      </c>
    </row>
    <row r="82" spans="1:20" ht="20.100000000000001" customHeight="1" x14ac:dyDescent="0.2">
      <c r="A82"/>
      <c r="D82" s="5" t="str" cm="1">
        <f t="array" ref="D82">Common_SourceData.Common_SourceData_ClimateZones_Source()</f>
        <v>VEERG 2026: Table 1.3: Climate and Rainfall zone classifications and definitions</v>
      </c>
    </row>
    <row r="83" spans="1:20" ht="20.100000000000001" customHeight="1" x14ac:dyDescent="0.2">
      <c r="A83"/>
      <c r="D83" s="52" t="str" cm="1">
        <f t="array" ref="D83:D87">"⚠️" &amp; Common_SourceData.Common_SourceData_ClimateZones_Variation()</f>
        <v>⚠️VARIATION OF SOURCE DATA:</v>
      </c>
    </row>
    <row r="84" spans="1:20" ht="20.100000000000001" customHeight="1" x14ac:dyDescent="0.2">
      <c r="A84"/>
      <c r="D84" s="52" t="str">
        <v>⚠️Added warm / cool temperate moist / dry - low frost and high temp classes to accommodate climate scenarios excluded by VEERG criteria.</v>
      </c>
    </row>
    <row r="85" spans="1:20" ht="20.100000000000001" customHeight="1" x14ac:dyDescent="0.2">
      <c r="A85"/>
      <c r="D85" s="52" t="str">
        <v>⚠️Fixed typo in MAT value for warm temperate dry - changed 10 to 11.</v>
      </c>
    </row>
    <row r="86" spans="1:20" ht="20.100000000000001" customHeight="1" x14ac:dyDescent="0.2">
      <c r="A86"/>
      <c r="D86" s="52" t="str">
        <v>⚠️Added min and max columns for MAT, MAP, frost days per year, elevation, MAP:PET to calculate zones from real climate data.</v>
      </c>
    </row>
    <row r="87" spans="1:20" ht="20.100000000000001" customHeight="1" x14ac:dyDescent="0.2">
      <c r="A87"/>
      <c r="D87" s="52" t="str">
        <v>⚠️GAF accepts rainfall as a proxy for precipitation.</v>
      </c>
    </row>
    <row r="88" spans="1:20" ht="20.100000000000001" customHeight="1" x14ac:dyDescent="0.2">
      <c r="A88"/>
    </row>
    <row r="89" spans="1:20" ht="20.100000000000001" customHeight="1" x14ac:dyDescent="0.2">
      <c r="A89"/>
      <c r="D89" s="36" t="s">
        <v>7</v>
      </c>
      <c r="E89" s="36" t="s">
        <v>31</v>
      </c>
      <c r="F89" s="36" t="s">
        <v>32</v>
      </c>
      <c r="G89" s="36" t="s">
        <v>33</v>
      </c>
      <c r="H89" s="36" t="s">
        <v>34</v>
      </c>
      <c r="I89" s="36" t="s">
        <v>35</v>
      </c>
      <c r="J89" s="36" t="s">
        <v>36</v>
      </c>
      <c r="K89" s="36" t="s">
        <v>37</v>
      </c>
      <c r="L89" s="36" t="s">
        <v>38</v>
      </c>
      <c r="M89" s="36" t="s">
        <v>39</v>
      </c>
      <c r="N89" s="36" t="s">
        <v>40</v>
      </c>
      <c r="O89" s="36" t="s">
        <v>44</v>
      </c>
      <c r="P89" s="36" t="s">
        <v>41</v>
      </c>
      <c r="Q89" s="36" t="s">
        <v>45</v>
      </c>
      <c r="R89" s="36" t="s">
        <v>42</v>
      </c>
      <c r="S89" s="36" t="s">
        <v>46</v>
      </c>
      <c r="T89" s="36"/>
    </row>
    <row r="90" spans="1:20" ht="20.100000000000001" customHeight="1" x14ac:dyDescent="0.2">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100000000000001" customHeight="1" x14ac:dyDescent="0.2">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100000000000001" customHeight="1" x14ac:dyDescent="0.2">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100000000000001" customHeight="1" x14ac:dyDescent="0.2">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100000000000001" customHeight="1" x14ac:dyDescent="0.2">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100000000000001" customHeight="1" x14ac:dyDescent="0.2">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100000000000001" customHeight="1" x14ac:dyDescent="0.2">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100000000000001" customHeight="1" x14ac:dyDescent="0.2">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100000000000001" customHeight="1" x14ac:dyDescent="0.2">
      <c r="A98"/>
    </row>
    <row r="99" spans="1:20" ht="20.100000000000001" customHeight="1" x14ac:dyDescent="0.2">
      <c r="A99"/>
      <c r="D99" s="51" t="str" cm="1">
        <f t="array" ref="D99:D102">Common_SourceData.Common_SourceData_ClimateZones_Appendices()</f>
        <v>Note:</v>
      </c>
    </row>
    <row r="100" spans="1:20" ht="20.100000000000001" customHeight="1" x14ac:dyDescent="0.2">
      <c r="A100"/>
      <c r="D100" s="51" t="str">
        <v>MAT = mean annual temperature</v>
      </c>
    </row>
    <row r="101" spans="1:20" ht="20.100000000000001" customHeight="1" x14ac:dyDescent="0.2">
      <c r="A101"/>
      <c r="D101" s="51" t="str">
        <v>MAP = mean annual precipitation</v>
      </c>
    </row>
    <row r="102" spans="1:20" ht="20.100000000000001" customHeight="1" x14ac:dyDescent="0.2">
      <c r="A102"/>
      <c r="D102" s="51" t="str">
        <v>PET = potential evapotranspiration</v>
      </c>
    </row>
    <row r="103" spans="1:20" ht="20.100000000000001" customHeight="1" x14ac:dyDescent="0.2">
      <c r="A103"/>
      <c r="D103" s="51"/>
    </row>
    <row r="104" spans="1:20" ht="20.100000000000001" customHeight="1" x14ac:dyDescent="0.2">
      <c r="A104"/>
    </row>
    <row r="105" spans="1:20" ht="20.100000000000001" customHeight="1" x14ac:dyDescent="0.2">
      <c r="A105"/>
      <c r="D105" s="6" t="str" cm="1">
        <f t="array" ref="D105">Common_SourceData.Common_SourceData_TemperatureZones_Title()</f>
        <v>VEERG Australian temperature zones</v>
      </c>
    </row>
    <row r="106" spans="1:20" ht="20.100000000000001" customHeight="1" x14ac:dyDescent="0.2">
      <c r="A106"/>
      <c r="D106" s="5" t="str" cm="1">
        <f t="array" ref="D106">Common_SourceData.Common_SourceData_TemperatureZones_Source()</f>
        <v>VEERG 2026: Table 1.3: Climate and Rainfall zone classifications and definitions</v>
      </c>
    </row>
    <row r="107" spans="1:20" ht="20.100000000000001" customHeight="1" x14ac:dyDescent="0.2">
      <c r="A107"/>
      <c r="D107" s="52"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
      <c r="A108"/>
    </row>
    <row r="109" spans="1:20" ht="20.100000000000001" customHeight="1" x14ac:dyDescent="0.2">
      <c r="A109"/>
      <c r="D109" s="36" t="s">
        <v>50</v>
      </c>
      <c r="E109" s="36" t="s">
        <v>31</v>
      </c>
      <c r="F109" s="36" t="s">
        <v>51</v>
      </c>
      <c r="G109" s="36" t="s">
        <v>52</v>
      </c>
    </row>
    <row r="110" spans="1:20" ht="20.100000000000001" customHeight="1" x14ac:dyDescent="0.2">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100000000000001" customHeight="1" x14ac:dyDescent="0.2">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100000000000001" customHeight="1" x14ac:dyDescent="0.2">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100000000000001" customHeight="1" x14ac:dyDescent="0.2">
      <c r="A113"/>
    </row>
    <row r="114" spans="1:66" ht="20.100000000000001" customHeight="1" x14ac:dyDescent="0.2">
      <c r="A114"/>
    </row>
    <row r="115" spans="1:66" ht="20.100000000000001" customHeight="1" x14ac:dyDescent="0.2">
      <c r="A115"/>
      <c r="D115" s="6" t="str" cm="1">
        <f t="array" ref="D115">Common_SourceData.Common_SourceData_RainfallZones_Title()</f>
        <v>VEERG Australian rainfall zones</v>
      </c>
      <c r="BN115" s="7"/>
    </row>
    <row r="116" spans="1:66" ht="20.100000000000001" customHeight="1" x14ac:dyDescent="0.2">
      <c r="A116"/>
      <c r="D116" s="5" t="str" cm="1">
        <f t="array" ref="D116">Common_SourceData.Common_SourceData_RainfallZones_Source()</f>
        <v>VEERG 2026: Table 1.3: Climate and Rainfall zone classifications and definitions</v>
      </c>
      <c r="BN116" s="7"/>
    </row>
    <row r="117" spans="1:66" ht="20.100000000000001" customHeight="1" x14ac:dyDescent="0.2">
      <c r="A117"/>
      <c r="D117" s="52"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
      <c r="A118"/>
      <c r="BN118" s="7"/>
    </row>
    <row r="119" spans="1:66" ht="20.100000000000001" customHeight="1" x14ac:dyDescent="0.2">
      <c r="A119"/>
      <c r="D119" s="36" t="s">
        <v>53</v>
      </c>
      <c r="E119" s="36" t="s">
        <v>54</v>
      </c>
      <c r="F119" s="36" t="s">
        <v>38</v>
      </c>
      <c r="G119" s="36" t="s">
        <v>39</v>
      </c>
      <c r="BN119" s="7"/>
    </row>
    <row r="120" spans="1:66" ht="20.100000000000001" customHeight="1" x14ac:dyDescent="0.2">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100000000000001" customHeight="1" x14ac:dyDescent="0.2">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100000000000001" customHeight="1" x14ac:dyDescent="0.2">
      <c r="A122"/>
      <c r="BN122" s="7"/>
    </row>
    <row r="123" spans="1:66" ht="20.100000000000001" customHeight="1" x14ac:dyDescent="0.2">
      <c r="A123"/>
    </row>
    <row r="124" spans="1:66" ht="20.100000000000001" customHeight="1" x14ac:dyDescent="0.2">
      <c r="A124"/>
      <c r="D124" s="6" t="str" cm="1">
        <f t="array" ref="D124">Common_SourceData.Common_SourceData_LeachingZones_Title()</f>
        <v>VEERG Australian leaching zones</v>
      </c>
    </row>
    <row r="125" spans="1:66" ht="20.100000000000001" customHeight="1" x14ac:dyDescent="0.2">
      <c r="A125"/>
      <c r="D125" s="5" t="str" cm="1">
        <f t="array" ref="D125">Common_SourceData.Common_SourceData_LeachingZones_Source()</f>
        <v>VEERG 2026: Table 1.3: Climate and Rainfall zone classifications and definitions</v>
      </c>
    </row>
    <row r="126" spans="1:66" ht="20.100000000000001" customHeight="1" x14ac:dyDescent="0.2">
      <c r="A126"/>
    </row>
    <row r="127" spans="1:66" ht="20.100000000000001" customHeight="1" x14ac:dyDescent="0.2">
      <c r="A127"/>
      <c r="D127" s="36" t="s">
        <v>60</v>
      </c>
      <c r="E127" s="36" t="s">
        <v>61</v>
      </c>
    </row>
    <row r="128" spans="1:66" ht="20.100000000000001" customHeight="1" x14ac:dyDescent="0.2">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
      <c r="A130"/>
    </row>
    <row r="131" spans="1:77" ht="20.100000000000001" customHeight="1" x14ac:dyDescent="0.2">
      <c r="A131"/>
    </row>
    <row r="132" spans="1:77" ht="20.100000000000001" customHeight="1" x14ac:dyDescent="0.2">
      <c r="A132"/>
      <c r="D132" s="6" t="str" cm="1">
        <f t="array" ref="D132">Common_SourceData.Common_SourceData_FracWET_Title()</f>
        <v>Fraction of N that is available for leaching and runoff</v>
      </c>
      <c r="E132" s="21"/>
    </row>
    <row r="133" spans="1:77" ht="20.100000000000001" customHeight="1" x14ac:dyDescent="0.2">
      <c r="A133"/>
      <c r="D133" s="5" t="str" cm="1">
        <f t="array" ref="D133">Common_SourceData.Common_SourceData_FracWET_Source()</f>
        <v>VEERG 2026:5.5.2.3 Constant Parameters</v>
      </c>
      <c r="E133" s="21"/>
    </row>
    <row r="134" spans="1:77" ht="20.100000000000001" customHeight="1" x14ac:dyDescent="0.2">
      <c r="A134"/>
      <c r="D134" t="s">
        <v>73</v>
      </c>
      <c r="E134" t="s">
        <v>74</v>
      </c>
    </row>
    <row r="135" spans="1:77" ht="20.100000000000001" customHeight="1" x14ac:dyDescent="0.2">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100000000000001" customHeight="1" x14ac:dyDescent="0.2">
      <c r="A137"/>
    </row>
    <row r="138" spans="1:77" ht="20.100000000000001" customHeight="1" x14ac:dyDescent="0.2">
      <c r="A138"/>
      <c r="BN138" s="7"/>
      <c r="BO138" s="7"/>
      <c r="BP138" s="7"/>
      <c r="BQ138" s="7"/>
      <c r="BR138" s="7"/>
      <c r="BS138" s="7"/>
      <c r="BT138" s="7"/>
      <c r="BU138" s="7"/>
      <c r="BV138" s="7"/>
      <c r="BW138" s="7"/>
      <c r="BX138" s="7"/>
      <c r="BY138" s="7"/>
    </row>
    <row r="139" spans="1:77" ht="20.100000000000001" customHeight="1" x14ac:dyDescent="0.2">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
      <c r="A141"/>
      <c r="D141" s="52"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
      <c r="A142"/>
      <c r="D142" s="36" t="s">
        <v>90</v>
      </c>
      <c r="E142" s="36" t="s">
        <v>74</v>
      </c>
      <c r="BN142" s="7"/>
    </row>
    <row r="143" spans="1:77" ht="20.100000000000001" customHeight="1" x14ac:dyDescent="0.2">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100000000000001" customHeight="1" x14ac:dyDescent="0.2">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100000000000001" customHeight="1" x14ac:dyDescent="0.2">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100000000000001" customHeight="1" x14ac:dyDescent="0.2">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100000000000001" customHeight="1" x14ac:dyDescent="0.2">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100000000000001" customHeight="1" x14ac:dyDescent="0.2">
      <c r="A148"/>
      <c r="BN148" s="7"/>
    </row>
    <row r="149" spans="1:66" ht="20.100000000000001" customHeight="1" x14ac:dyDescent="0.2">
      <c r="A149"/>
      <c r="BN149" s="7"/>
    </row>
    <row r="150" spans="1:66" ht="20.100000000000001" customHeight="1" x14ac:dyDescent="0.2">
      <c r="A150"/>
      <c r="D150" s="6" t="str" cm="1">
        <f t="array" ref="D150">Common_SourceData.Common_SourceData_DataScores_Scope3_Title()</f>
        <v>Australian data scores for scope 3</v>
      </c>
      <c r="BN150" s="7"/>
    </row>
    <row r="151" spans="1:66" ht="20.100000000000001" customHeight="1" x14ac:dyDescent="0.2">
      <c r="A151"/>
      <c r="D151" s="5" t="str" cm="1">
        <f t="array" ref="D151">Common_SourceData.Common_SourceData_DataScores_Scope3_Source()</f>
        <v>VEERG 2026: XXXXXXXX</v>
      </c>
      <c r="BN151" s="7"/>
    </row>
    <row r="152" spans="1:66" ht="20.100000000000001" customHeight="1" x14ac:dyDescent="0.2">
      <c r="A152"/>
      <c r="BN152" s="7"/>
    </row>
    <row r="153" spans="1:66" ht="20.100000000000001" customHeight="1" x14ac:dyDescent="0.2">
      <c r="A153"/>
      <c r="D153" s="36" t="s">
        <v>62</v>
      </c>
      <c r="E153" s="36" t="s">
        <v>63</v>
      </c>
      <c r="BC153" s="3"/>
      <c r="BD153" s="3"/>
      <c r="BE153" s="3"/>
      <c r="BF153" s="3"/>
      <c r="BG153" s="3"/>
      <c r="BH153" s="3"/>
      <c r="BI153" s="3"/>
      <c r="BJ153" s="3"/>
      <c r="BK153" s="3"/>
      <c r="BL153" s="3"/>
      <c r="BM153" s="3"/>
    </row>
    <row r="154" spans="1:66" ht="20.100000000000001" customHeight="1" x14ac:dyDescent="0.2">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100000000000001" customHeight="1" x14ac:dyDescent="0.2">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100000000000001" customHeight="1" x14ac:dyDescent="0.2">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100000000000001" customHeight="1" x14ac:dyDescent="0.2">
      <c r="A159"/>
    </row>
    <row r="160" spans="1:66" ht="20.100000000000001" customHeight="1" x14ac:dyDescent="0.2">
      <c r="A160"/>
    </row>
    <row r="161" spans="4:68" ht="20.100000000000001" customHeight="1" x14ac:dyDescent="0.2">
      <c r="D161" s="6" t="str" cm="1">
        <f t="array" ref="D161">Common_SourceData.Common_SourceData_FracLEACH_Title()</f>
        <v>Fraction of N that is available for leaching and runoff</v>
      </c>
      <c r="E161" s="21"/>
    </row>
    <row r="162" spans="4:68" ht="20.100000000000001" customHeight="1" x14ac:dyDescent="0.2">
      <c r="D162" s="5" t="str" cm="1">
        <f t="array" ref="D162">Common_SourceData.Common_SourceData_FracLEACH_Source()</f>
        <v>VEERG 2026:5.5.2.3 Constant Parameters</v>
      </c>
      <c r="E162" s="21"/>
    </row>
    <row r="163" spans="4:68" ht="20.100000000000001" customHeight="1" x14ac:dyDescent="0.2">
      <c r="D163" s="5" t="str" cm="1">
        <f t="array" ref="D163">Common_SourceData.Common_SourceData_FracLEACH_NIRReference()</f>
        <v>National Inventory Report Volume 1: Leaching and runoff (3.D.b.2)</v>
      </c>
      <c r="E163" s="21"/>
    </row>
    <row r="164" spans="4:68" ht="20.100000000000001" customHeight="1" x14ac:dyDescent="0.2">
      <c r="D164" s="21" t="str" cm="1">
        <f t="array" ref="D164:E164">Common_SourceData.Common_SourceData_FracLEACH_Data()</f>
        <v>FracLEACH</v>
      </c>
      <c r="E164" s="21">
        <v>0.24</v>
      </c>
    </row>
    <row r="165" spans="4:68" ht="20.100000000000001" customHeight="1" x14ac:dyDescent="0.2">
      <c r="BN165" s="7"/>
      <c r="BO165" s="7"/>
      <c r="BP165" s="7"/>
    </row>
    <row r="166" spans="4:68" ht="20.100000000000001" customHeight="1" x14ac:dyDescent="0.2">
      <c r="BN166" s="7"/>
      <c r="BO166" s="7"/>
      <c r="BP166" s="7"/>
    </row>
    <row r="167" spans="4:68" ht="20.100000000000001" customHeight="1" x14ac:dyDescent="0.2">
      <c r="D167" s="6" t="str" cm="1">
        <f t="array" ref="D167">Common_SourceData.Common_SourceData_EFleach_Title()</f>
        <v>Emission factor for nitrogen leaching and runoff</v>
      </c>
      <c r="BN167" s="7"/>
      <c r="BO167" s="7"/>
      <c r="BP167" s="7"/>
    </row>
    <row r="168" spans="4:68" ht="20.100000000000001" customHeight="1" x14ac:dyDescent="0.2">
      <c r="D168" s="5" t="str" cm="1">
        <f t="array" ref="D168">Common_SourceData.Common_SourceData_EFleach_Source()</f>
        <v>VEERG 2026:5.5.2.3 Constant Parameters</v>
      </c>
      <c r="BN168" s="7"/>
      <c r="BO168" s="7"/>
      <c r="BP168" s="7"/>
    </row>
    <row r="169" spans="4:68" ht="20.100000000000001" customHeight="1" x14ac:dyDescent="0.2">
      <c r="D169" s="5" t="str" cm="1">
        <f t="array" ref="D169">Common_SourceData.Common_SourceData_EFleach_NIRReference()</f>
        <v>National Inventory Report Volume 1: Equation 3.D.B_10</v>
      </c>
      <c r="BN169" s="7"/>
      <c r="BO169" s="7"/>
      <c r="BP169" s="7"/>
    </row>
    <row r="170" spans="4:68" ht="20.100000000000001" customHeight="1" x14ac:dyDescent="0.2">
      <c r="D170" s="1" t="str" cm="1">
        <f t="array" ref="D170:E170">Common_SourceData.Common_SourceData_EFleach_Data()</f>
        <v>EFleach</v>
      </c>
      <c r="E170" s="1">
        <v>1.0999999999999999E-2</v>
      </c>
      <c r="BN170" s="7"/>
      <c r="BO170" s="7"/>
      <c r="BP170" s="7"/>
    </row>
    <row r="171" spans="4:68" ht="20.100000000000001" customHeight="1" x14ac:dyDescent="0.2">
      <c r="BN171" s="7"/>
      <c r="BO171" s="7"/>
      <c r="BP171" s="7"/>
    </row>
    <row r="172" spans="4:68" ht="20.100000000000001" customHeight="1" x14ac:dyDescent="0.2">
      <c r="BN172" s="7"/>
      <c r="BO172" s="7"/>
      <c r="BP172" s="7"/>
    </row>
    <row r="173" spans="4:68" ht="20.100000000000001" customHeight="1" x14ac:dyDescent="0.2">
      <c r="D173" s="6" t="str" cm="1">
        <f t="array" ref="D173">Common_SourceData.Common_SourceData_DensityOfMethane_Title()</f>
        <v>p = density of methane</v>
      </c>
      <c r="BN173" s="7"/>
      <c r="BO173" s="7"/>
      <c r="BP173" s="7"/>
    </row>
    <row r="174" spans="4:68" ht="20.100000000000001" customHeight="1" x14ac:dyDescent="0.2">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
      <c r="D175" s="1" cm="1">
        <f t="array" ref="D175">Common_SourceData.Common_SourceData_DensityOfMethane_Data()</f>
        <v>0.6784</v>
      </c>
      <c r="E175" s="51" t="str" cm="1">
        <f t="array" ref="E175">Common_SourceData.Common_SourceData_DensityOfMethane_Unit()</f>
        <v>kg/m3</v>
      </c>
      <c r="BN175" s="7"/>
      <c r="BO175" s="7"/>
      <c r="BP175" s="7"/>
    </row>
    <row r="176" spans="4:68" ht="20.100000000000001" customHeight="1" x14ac:dyDescent="0.2">
      <c r="BN176" s="7"/>
      <c r="BO176" s="7"/>
      <c r="BP176" s="7"/>
    </row>
    <row r="177" spans="4:68" ht="20.100000000000001" customHeight="1" x14ac:dyDescent="0.2">
      <c r="BN177" s="7"/>
      <c r="BO177" s="7"/>
      <c r="BP177" s="7"/>
    </row>
    <row r="178" spans="4:68" ht="20.100000000000001" customHeight="1" x14ac:dyDescent="0.2">
      <c r="D178" s="6" t="str" cm="1">
        <f t="array" ref="D178">Common_SourceData.Common_SourceData_EFN2O_Title()</f>
        <v>Nitrous oxide emission factors for inorganic fertiliser application</v>
      </c>
      <c r="BN178" s="7"/>
      <c r="BO178" s="7"/>
      <c r="BP178" s="7"/>
    </row>
    <row r="179" spans="4:68" ht="20.100000000000001" customHeight="1" x14ac:dyDescent="0.2">
      <c r="D179" s="5" t="str" cm="1">
        <f t="array" ref="D179">Common_SourceData.Common_SourceData_EFN2O_Source()</f>
        <v>VEERG 2026: Table A.2.2.1</v>
      </c>
      <c r="BN179" s="7"/>
      <c r="BO179" s="7"/>
      <c r="BP179" s="7"/>
    </row>
    <row r="180" spans="4:68" ht="20.100000000000001" customHeight="1" x14ac:dyDescent="0.2">
      <c r="D180" s="51" t="str" cm="1">
        <f t="array" ref="D180">Common_SourceData.Common_SourceData_EFN2O_Unit()</f>
        <v>(kg N2O-N / kg N</v>
      </c>
    </row>
    <row r="181" spans="4:68" ht="20.100000000000001" customHeight="1" x14ac:dyDescent="0.2">
      <c r="D181" s="52" t="str" cm="1">
        <f t="array" ref="D181:D185">Common_SourceData.Common_SourceData_EFN2O_Variation()</f>
        <v>VARIATION OF SOURCE DATA:</v>
      </c>
    </row>
    <row r="182" spans="4:68" ht="20.100000000000001" customHeight="1" x14ac:dyDescent="0.2">
      <c r="D182" s="52" t="str">
        <v>Removed duplicate 'Aquaculture' row.</v>
      </c>
    </row>
    <row r="183" spans="4:68" ht="20.100000000000001" customHeight="1" x14ac:dyDescent="0.2">
      <c r="D183" s="52" t="str">
        <v>Removed asterisks to aid lookup.</v>
      </c>
    </row>
    <row r="184" spans="4:68" ht="20.100000000000001" customHeight="1" x14ac:dyDescent="0.2">
      <c r="D184" s="52" t="str">
        <v>Added 'production system only', 'rainfall zone' and 'irrigation method' columns to aid lookup.</v>
      </c>
    </row>
    <row r="185" spans="4:68" ht="20.100000000000001" customHeight="1" x14ac:dyDescent="0.2">
      <c r="D185" s="52" t="str">
        <v>Duplicated 'non-irrigated pasture' row with same EF for low and high rainfall zones to aid lookup.</v>
      </c>
    </row>
    <row r="186" spans="4:68" ht="20.100000000000001" customHeight="1" x14ac:dyDescent="0.2">
      <c r="D186" s="36" t="s">
        <v>82</v>
      </c>
      <c r="E186" s="36" t="s">
        <v>83</v>
      </c>
      <c r="F186" s="36" t="s">
        <v>84</v>
      </c>
      <c r="G186" s="36" t="s">
        <v>85</v>
      </c>
      <c r="H186" s="36" t="s">
        <v>30</v>
      </c>
    </row>
    <row r="187" spans="4:68" ht="20.100000000000001" customHeight="1" x14ac:dyDescent="0.2">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ht="20.100000000000001" customHeight="1" x14ac:dyDescent="0.2">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ht="20.100000000000001" customHeight="1" x14ac:dyDescent="0.2">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ht="20.100000000000001" customHeight="1" x14ac:dyDescent="0.2">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0.100000000000001" customHeight="1" x14ac:dyDescent="0.2">
      <c r="D202" s="6" t="str" cm="1">
        <f t="array" ref="D202">Common_SourceData.Common_SourceData_EFPastureRangeAndPaddock_Title()</f>
        <v>Emission factor for urine and dung deposited on pasture, range or paddock</v>
      </c>
    </row>
    <row r="203" spans="4:8" ht="20.100000000000001" customHeight="1" x14ac:dyDescent="0.2">
      <c r="D203" s="5" t="str" cm="1">
        <f t="array" ref="D203">Common_SourceData.Common_SourceData_EFPastureRangeAndPaddock_Source()</f>
        <v>VEERG 2026: Table A.2.2.2</v>
      </c>
    </row>
    <row r="204" spans="4:8" ht="20.100000000000001" customHeight="1" x14ac:dyDescent="0.2">
      <c r="D204" s="52" t="str" cm="1">
        <f t="array" ref="D204">Common_SourceData.Common_SourceData_EFPastureRangeAndPaddock_Variation()</f>
        <v>VARIATION FROM SOURCE DATA: Changed 'Dry climate zones' to singular 'Dry climate zone' to aid lookup.</v>
      </c>
    </row>
    <row r="205" spans="4:8" ht="20.100000000000001" customHeight="1" x14ac:dyDescent="0.2">
      <c r="D205" s="51" t="str" cm="1">
        <f t="array" ref="D205">Common_SourceData.Common_SourceData_EFPastureRangeAndPaddock_Unit()</f>
        <v>kg N2O - N / kg N</v>
      </c>
    </row>
    <row r="206" spans="4:8" ht="20.100000000000001" customHeight="1" x14ac:dyDescent="0.2">
      <c r="D206" s="36" t="s">
        <v>7</v>
      </c>
      <c r="E206" s="36" t="s">
        <v>92</v>
      </c>
    </row>
    <row r="207" spans="4:8" ht="20.100000000000001" customHeight="1" x14ac:dyDescent="0.2">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ht="20.100000000000001" customHeight="1" x14ac:dyDescent="0.2">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ht="20.100000000000001" customHeight="1" x14ac:dyDescent="0.2">
      <c r="D211" s="1" t="str" cm="1">
        <f t="array" ref="D211">Common_SourceData.Common_SourceData_MonthsToSeasons_Title()</f>
        <v>Months to Seasons Mapping</v>
      </c>
    </row>
    <row r="212" spans="4:5" ht="20.100000000000001" customHeight="1" x14ac:dyDescent="0.2">
      <c r="D212" s="36" t="s">
        <v>89</v>
      </c>
      <c r="E212" s="36" t="s">
        <v>97</v>
      </c>
    </row>
    <row r="213" spans="4:5" ht="20.100000000000001" customHeight="1" x14ac:dyDescent="0.2">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ht="20.100000000000001" customHeight="1" x14ac:dyDescent="0.2">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ht="20.100000000000001" customHeight="1" x14ac:dyDescent="0.2">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ht="20.100000000000001" customHeight="1" x14ac:dyDescent="0.2">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ht="20.100000000000001" customHeight="1" x14ac:dyDescent="0.2">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ht="20.100000000000001" customHeight="1" x14ac:dyDescent="0.2">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ht="20.100000000000001" customHeight="1" x14ac:dyDescent="0.2">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ht="20.100000000000001" customHeight="1" x14ac:dyDescent="0.2">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ht="20.100000000000001" customHeight="1" x14ac:dyDescent="0.2">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ht="20.100000000000001" customHeight="1" x14ac:dyDescent="0.2">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ht="20.100000000000001" customHeight="1" x14ac:dyDescent="0.2">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ht="20.100000000000001" customHeight="1" x14ac:dyDescent="0.2">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0.100000000000001" customHeight="1" x14ac:dyDescent="0.2">
      <c r="D227" s="6" t="str" cm="1">
        <f t="array" ref="D227">Common_SourceData.Common_SourceData_MCFTemperatureZone_Title()</f>
        <v>Manure Management – Methane conversion factor per temperature zone (fraction) (MCFim)</v>
      </c>
    </row>
    <row r="228" spans="4:19" ht="20.100000000000001" customHeight="1" x14ac:dyDescent="0.2">
      <c r="D228" s="5" t="str" cm="1">
        <f t="array" ref="D228">Common_SourceData.Common_SourceData_MCFTemperatureZone_Source()</f>
        <v>VEERG 2026: Table A.1.8.1</v>
      </c>
    </row>
    <row r="229" spans="4:19" ht="20.100000000000001" customHeight="1" x14ac:dyDescent="0.2">
      <c r="D229" s="5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ht="20.100000000000001" customHeight="1" x14ac:dyDescent="0.2">
      <c r="D231" s="36" t="s">
        <v>47</v>
      </c>
      <c r="E231" s="36" t="s">
        <v>111</v>
      </c>
      <c r="F231" s="35" t="s">
        <v>112</v>
      </c>
      <c r="G231" s="36" t="s">
        <v>103</v>
      </c>
      <c r="H231" s="36" t="s">
        <v>113</v>
      </c>
      <c r="I231" s="36" t="s">
        <v>114</v>
      </c>
      <c r="J231" s="36" t="s">
        <v>102</v>
      </c>
      <c r="K231" s="36" t="s">
        <v>101</v>
      </c>
      <c r="L231" s="36" t="s">
        <v>115</v>
      </c>
      <c r="M231" s="36" t="s">
        <v>116</v>
      </c>
      <c r="N231" s="36" t="s">
        <v>100</v>
      </c>
      <c r="O231" s="36" t="s">
        <v>117</v>
      </c>
      <c r="P231" s="36" t="s">
        <v>105</v>
      </c>
      <c r="Q231" s="36" t="s">
        <v>106</v>
      </c>
      <c r="R231" s="36" t="s">
        <v>104</v>
      </c>
      <c r="S231" s="36" t="s">
        <v>118</v>
      </c>
    </row>
    <row r="232" spans="4:19" ht="20.100000000000001" customHeight="1" x14ac:dyDescent="0.2">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ht="20.100000000000001" customHeight="1" x14ac:dyDescent="0.2">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ht="20.100000000000001" customHeight="1" x14ac:dyDescent="0.2">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ht="20.100000000000001" customHeight="1" x14ac:dyDescent="0.2">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ht="20.100000000000001" customHeight="1" x14ac:dyDescent="0.2">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ht="20.100000000000001" customHeight="1" x14ac:dyDescent="0.2">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ht="20.100000000000001" customHeight="1" x14ac:dyDescent="0.2">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ht="20.100000000000001" customHeight="1" x14ac:dyDescent="0.2">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ht="20.100000000000001" customHeight="1" x14ac:dyDescent="0.2">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ht="20.100000000000001" customHeight="1" x14ac:dyDescent="0.2">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ht="20.100000000000001" customHeight="1" x14ac:dyDescent="0.2">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ht="20.100000000000001" customHeight="1" x14ac:dyDescent="0.2">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ht="20.100000000000001" customHeight="1" x14ac:dyDescent="0.2">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ht="20.100000000000001" customHeight="1" x14ac:dyDescent="0.2">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ht="20.100000000000001" customHeight="1" x14ac:dyDescent="0.2">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ht="20.100000000000001" customHeight="1" x14ac:dyDescent="0.2">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ht="20.100000000000001" customHeight="1" x14ac:dyDescent="0.2">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ht="20.100000000000001" customHeight="1" x14ac:dyDescent="0.2">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ht="20.100000000000001" customHeight="1" x14ac:dyDescent="0.2">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0.100000000000001" customHeight="1" x14ac:dyDescent="0.2">
      <c r="D253" s="6" t="str" cm="1">
        <f t="array" ref="D253">Common_SourceData.Common_SourceData_EFOrganicFertiliserAndCropResidues_Title()</f>
        <v>Emission factor for organic fertiliser and crop residues returned to the soil</v>
      </c>
    </row>
    <row r="254" spans="4:19" ht="20.100000000000001" customHeight="1" x14ac:dyDescent="0.2">
      <c r="D254" s="5" t="str" cm="1">
        <f t="array" ref="D254">Common_SourceData.Common_SourceData_EFOrganicFertiliserAndCropResidues_Source()</f>
        <v>VEERG 2026: Table A.2.1.4</v>
      </c>
    </row>
    <row r="255" spans="4:19" ht="20.100000000000001" customHeight="1" x14ac:dyDescent="0.2">
      <c r="D255" s="1" t="str" cm="1">
        <f t="array" ref="D255">Common_SourceData.Common_SourceData_EFOrganicFertiliserAndCropResidues_Variable()</f>
        <v>EFNi &amp; EFN2Oi</v>
      </c>
    </row>
    <row r="256" spans="4:19" ht="20.100000000000001" customHeight="1" x14ac:dyDescent="0.2">
      <c r="D256" s="51" t="str" cm="1">
        <f t="array" ref="D256">Common_SourceData.Common_SourceData_EFOrganicFertiliserAndCropResidues_Unit()</f>
        <v>kg N2O - N / kg N</v>
      </c>
    </row>
    <row r="257" spans="4:6" ht="20.100000000000001" customHeight="1" x14ac:dyDescent="0.2">
      <c r="D257" s="36" t="s">
        <v>119</v>
      </c>
      <c r="E257" s="36" t="s">
        <v>120</v>
      </c>
    </row>
    <row r="258" spans="4:6" ht="20.100000000000001" customHeight="1" x14ac:dyDescent="0.2">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6" ht="20.100000000000001" customHeight="1" x14ac:dyDescent="0.2">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row r="263" spans="4:6" ht="20.100000000000001" customHeight="1" x14ac:dyDescent="0.2">
      <c r="D263" s="6" t="s">
        <v>235</v>
      </c>
    </row>
    <row r="264" spans="4:6" ht="20.100000000000001" customHeight="1" x14ac:dyDescent="0.2">
      <c r="D264" s="1" t="s">
        <v>236</v>
      </c>
    </row>
    <row r="265" spans="4:6" ht="20.100000000000001" customHeight="1" x14ac:dyDescent="0.2">
      <c r="D265" s="36" t="s">
        <v>237</v>
      </c>
      <c r="E265" s="36" t="s">
        <v>238</v>
      </c>
      <c r="F265" s="36" t="s">
        <v>239</v>
      </c>
    </row>
    <row r="266" spans="4:6" ht="20.100000000000001" customHeight="1" x14ac:dyDescent="0.2">
      <c r="D266" s="36" t="s">
        <v>240</v>
      </c>
      <c r="E266" s="36" t="s">
        <v>241</v>
      </c>
      <c r="F266" s="36">
        <v>5</v>
      </c>
    </row>
    <row r="267" spans="4:6" ht="20.100000000000001" customHeight="1" x14ac:dyDescent="0.2">
      <c r="D267" s="36" t="s">
        <v>242</v>
      </c>
      <c r="E267" s="36" t="s">
        <v>243</v>
      </c>
      <c r="F267" s="36">
        <v>4</v>
      </c>
    </row>
    <row r="268" spans="4:6" ht="20.100000000000001" customHeight="1" x14ac:dyDescent="0.2">
      <c r="D268" s="36" t="s">
        <v>244</v>
      </c>
      <c r="E268" s="36" t="s">
        <v>245</v>
      </c>
      <c r="F268" s="36">
        <v>3</v>
      </c>
    </row>
    <row r="269" spans="4:6" ht="20.100000000000001" customHeight="1" x14ac:dyDescent="0.2">
      <c r="D269" s="36" t="s">
        <v>246</v>
      </c>
      <c r="E269" s="36" t="s">
        <v>247</v>
      </c>
      <c r="F269" s="36">
        <v>2</v>
      </c>
    </row>
    <row r="270" spans="4:6" ht="20.100000000000001" customHeight="1" x14ac:dyDescent="0.2">
      <c r="D270" s="36" t="s">
        <v>248</v>
      </c>
      <c r="E270" s="36" t="s">
        <v>249</v>
      </c>
      <c r="F270" s="36">
        <v>1</v>
      </c>
    </row>
    <row r="273" spans="4:6" ht="20.100000000000001" customHeight="1" x14ac:dyDescent="0.2">
      <c r="D273" s="1" t="s">
        <v>250</v>
      </c>
    </row>
    <row r="274" spans="4:6" ht="20.100000000000001" customHeight="1" x14ac:dyDescent="0.2">
      <c r="D274" s="36" t="s">
        <v>237</v>
      </c>
      <c r="E274" s="36" t="s">
        <v>238</v>
      </c>
      <c r="F274" s="36" t="s">
        <v>239</v>
      </c>
    </row>
    <row r="275" spans="4:6" ht="20.100000000000001" customHeight="1" x14ac:dyDescent="0.2">
      <c r="D275" s="36" t="s">
        <v>251</v>
      </c>
      <c r="E275" s="36" t="s">
        <v>252</v>
      </c>
      <c r="F275" s="36">
        <v>5</v>
      </c>
    </row>
    <row r="276" spans="4:6" ht="20.100000000000001" customHeight="1" x14ac:dyDescent="0.2">
      <c r="D276" s="36" t="s">
        <v>253</v>
      </c>
      <c r="E276" s="36" t="s">
        <v>254</v>
      </c>
      <c r="F276" s="36">
        <v>4</v>
      </c>
    </row>
    <row r="277" spans="4:6" ht="20.100000000000001" customHeight="1" x14ac:dyDescent="0.2">
      <c r="D277" s="36" t="s">
        <v>255</v>
      </c>
      <c r="E277" s="36" t="s">
        <v>256</v>
      </c>
      <c r="F277" s="36">
        <v>3</v>
      </c>
    </row>
    <row r="278" spans="4:6" ht="20.100000000000001" customHeight="1" x14ac:dyDescent="0.2">
      <c r="D278" s="36" t="s">
        <v>257</v>
      </c>
      <c r="E278" s="36" t="s">
        <v>258</v>
      </c>
      <c r="F278" s="36">
        <v>2</v>
      </c>
    </row>
    <row r="279" spans="4:6" ht="20.100000000000001" customHeight="1" x14ac:dyDescent="0.2">
      <c r="D279" s="36" t="s">
        <v>259</v>
      </c>
      <c r="E279" s="36" t="s">
        <v>260</v>
      </c>
      <c r="F279" s="36">
        <v>1</v>
      </c>
    </row>
    <row r="282" spans="4:6" ht="20.100000000000001" customHeight="1" x14ac:dyDescent="0.2">
      <c r="D282" s="1" t="s">
        <v>261</v>
      </c>
    </row>
    <row r="283" spans="4:6" ht="20.100000000000001" customHeight="1" x14ac:dyDescent="0.2">
      <c r="D283" s="36" t="s">
        <v>237</v>
      </c>
      <c r="E283" s="36" t="s">
        <v>238</v>
      </c>
      <c r="F283" s="36" t="s">
        <v>239</v>
      </c>
    </row>
    <row r="284" spans="4:6" ht="20.100000000000001" customHeight="1" x14ac:dyDescent="0.2">
      <c r="D284" s="36" t="s">
        <v>262</v>
      </c>
      <c r="E284" s="36" t="s">
        <v>263</v>
      </c>
      <c r="F284" s="36">
        <v>5</v>
      </c>
    </row>
    <row r="285" spans="4:6" ht="20.100000000000001" customHeight="1" x14ac:dyDescent="0.2">
      <c r="D285" s="36" t="s">
        <v>264</v>
      </c>
      <c r="E285" s="36" t="s">
        <v>265</v>
      </c>
      <c r="F285" s="36">
        <v>4</v>
      </c>
    </row>
    <row r="286" spans="4:6" ht="20.100000000000001" customHeight="1" x14ac:dyDescent="0.2">
      <c r="D286" s="36" t="s">
        <v>266</v>
      </c>
      <c r="E286" s="36" t="s">
        <v>267</v>
      </c>
      <c r="F286" s="36">
        <v>3</v>
      </c>
    </row>
    <row r="287" spans="4:6" ht="20.100000000000001" customHeight="1" x14ac:dyDescent="0.2">
      <c r="D287" s="36" t="s">
        <v>268</v>
      </c>
      <c r="E287" s="36" t="s">
        <v>269</v>
      </c>
      <c r="F287" s="36">
        <v>2</v>
      </c>
    </row>
    <row r="288" spans="4:6" ht="20.100000000000001" customHeight="1" x14ac:dyDescent="0.2">
      <c r="D288" s="36" t="s">
        <v>270</v>
      </c>
      <c r="E288" s="36" t="s">
        <v>271</v>
      </c>
      <c r="F288" s="36">
        <v>1</v>
      </c>
    </row>
    <row r="291" spans="4:6" ht="20.100000000000001" customHeight="1" x14ac:dyDescent="0.2">
      <c r="D291" s="1" t="s">
        <v>272</v>
      </c>
    </row>
    <row r="292" spans="4:6" ht="20.100000000000001" customHeight="1" x14ac:dyDescent="0.2">
      <c r="D292" s="36" t="s">
        <v>237</v>
      </c>
      <c r="E292" s="36" t="s">
        <v>238</v>
      </c>
      <c r="F292" s="36" t="s">
        <v>239</v>
      </c>
    </row>
    <row r="293" spans="4:6" ht="20.100000000000001" customHeight="1" x14ac:dyDescent="0.2">
      <c r="D293" s="36" t="s">
        <v>273</v>
      </c>
      <c r="E293" s="36" t="s">
        <v>274</v>
      </c>
      <c r="F293" s="36">
        <v>5</v>
      </c>
    </row>
    <row r="294" spans="4:6" ht="20.100000000000001" customHeight="1" x14ac:dyDescent="0.2">
      <c r="D294" s="36" t="s">
        <v>275</v>
      </c>
      <c r="E294" s="36" t="s">
        <v>276</v>
      </c>
      <c r="F294" s="36">
        <v>4</v>
      </c>
    </row>
    <row r="295" spans="4:6" ht="20.100000000000001" customHeight="1" x14ac:dyDescent="0.2">
      <c r="D295" s="36" t="s">
        <v>277</v>
      </c>
      <c r="E295" s="36" t="s">
        <v>278</v>
      </c>
      <c r="F295" s="36">
        <v>3</v>
      </c>
    </row>
    <row r="296" spans="4:6" ht="20.100000000000001" customHeight="1" x14ac:dyDescent="0.2">
      <c r="D296" s="36" t="s">
        <v>279</v>
      </c>
      <c r="E296" s="36" t="s">
        <v>280</v>
      </c>
      <c r="F296" s="36">
        <v>2</v>
      </c>
    </row>
    <row r="297" spans="4:6" ht="20.100000000000001" customHeight="1" x14ac:dyDescent="0.2">
      <c r="D297" s="36" t="s">
        <v>281</v>
      </c>
      <c r="E297" s="36" t="s">
        <v>282</v>
      </c>
      <c r="F297" s="36">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gBlAHIAdABpAGwAaQBzAGUAcgBfAEUAcQB1AGEAdABpAG8AbgBzAF8ASQBuAG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EAXwBfADEAXwBJAG4AbwByAGcAYQBuAGkAYwBGAGUAcgB0AGkAbABpAHMAZQByAEEAcABwAGwAaQBjAGEAdABpAG8AbgBOADIATwBFAG0AaQBzAHMAaQBvAG4AcwBcAG4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BuAEUAXwBOADIATwBcAG4AdAAgAE4AMgBPAFwAbgBcAFwAcwB1AG0AXwB7AGoAfQBcAFwAcwB1AG0AXwB7AGYAfQAoACgATQBOAF8AewBqAGYAfQBcAFwAdABpAG0AZQBzACAARQBGAF8AewBqACwATgAyAE8AfQBcAFwAdABpAG0AZQBzACAAQwBfAHsATgAyAE8AfQApAFwAXAB0AGkAbQBlAHMAIAAxADAAXgB7AC0AMwB9ACkAXABuAE0ATgBfAGoAZgBcAG4ARQBGAF8AagBOADIATwBcAG4AQwBfAE4AMgBPAFwAbgBqAFwAbgBmAFwAbgAtAC0ALQAtAC0ALQAtAC0ALQAtAC0ALQAtAC0ALQAtAC0ALQAtAC0ALQAtAC0ALQAtAC0ALQAtAC0ALQAtAC0ALQAtAC0ALQAtAC0AXABuACoALwBcAG4AXABuAFYARQBFAFIARwBfADUAXwAxAF8AMQBfADEAXwBfADEAXwBJAG4AbwByAGcAYQBuAGkAYwBGAGUAcgB0AGkAbABpAHMAZQByAEEAcABwAGwAaQBjAGEAdABpAG8AbgBOADIATwBFAG0AaQBzAHMAaQBvAG4AcwBcAG4AIAAgAD0ATABBAE0AQgBEAEEAKABcAG4AIAAgACAAIABNAE4AXwBqAGYALAAgAEUARgBfAGoATgAyAE8ALAAgAEMAXwBOADIATwAsAFwAbgAgACAAIAAgACgATQBOAF8AagBmACAAKgAgAEUARgBfAGoATgAyAE8AIAAqACAAQwBfAE4AMgBPACkAIAAqACAAMQAwACAAXgAgAC0AMwBcAG4AIAAgACkAOwBcAG4AXABuAFYARQBFAFIARwBfADUAXwAxAF8AMQBfADEAXwBfADEAXwBJAG4Ab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AiACkAOwBcAG4AXABuAFYARQBFAFIARwBfADUAXwAxAF8AMQBfADEAXwBfADEAXwBJAG4AbwByAGcAYQBuAGkAYwBGAGUAcgB0AGkAbABpAHMAZQByAEEAcABwAGwAaQBjAGEAdABpAG8AbgBOADIATwBFAG0AaQBzAHMAaQBvAG4AcwBfAFYAYQByAGkAYQBiAGwAZQBcAG4AIAAgAD0ATABBAE0AQgBEAEEAKABcACIARQBfAE4AMgBPAFwAIgApADsAXABuAFwAbgBWAEUARQBSAEcAXwA1AF8AMQBfADEAXwAxAF8AXwAxAF8ASQBuAG8AcgBnAGEAbgBpAGMARgBlAHIAdABpAGwAaQBzAGUAcgBBAHAAcABsAGkAYwBhAHQAaQBvAG4ATgAyAE8ARQBtAGkAcwBzAGkAbwBuAHMAXwBVAG4AaQB0AFwAbgAgACAAPQBMAEEATQBCAEQAQQAoAFwAIgB0ACAATgAyAE8AXAAiACkAOwBcAG4AXABuAFYARQBFAFIARwBfADUAXwAxAF8AMQBfADEAXwBfADEAXwBJAG4AbwByAGcAYQBuAGkAYwBGAGUAcgB0AGkAbABpAHMAZQByAEEAcABwAGwAaQBjAGEAdABpAG8AbgBOADIATwBFAG0AaQBzAHMAaQBvAG4AcwBfAFMAbwB1AHIAYwBlAFwAbgAgACAAPQBMAEEATQBCAEQAQQAoAFwAIgBWAEUARQBSAEcAIAAyADAAMgA2ADoAIAA1AC4AMQAuADEALgAxACwAIABFAHEAdQBhAHQAaQBvAG4AIAAoADEAKQBcACIAKQA7AFwAbgBcAG4AVgBFAEUAUgBHAF8ANQBfADEAXwAxAF8AMQBfAF8AMQBfAEkAbgBvAHIAZwBhAG4AaQBjAEYAZQByAHQAaQBsAGkAcwBlAHIAQQBwAHAAbABpAGMAYQB0AGkAbwBuAE4AMgBPAEUAbQBpAHMAcwBpAG8AbgBzAF8ATgBJAFIAUgBlAGYAZQByAGUAbgBjAGUAXABuACAAIAA9AEwAQQBNAEIARABBACgAXAAiAFwAIgApADsAXABuAFwAbgBWAEUARQBSAEcAXwA1AF8AMQBfADEAXwAxAF8AXwAxAF8ASQBuAG8AcgBnAGEAbgBpAGMARgBlAHIAdABpAGwAaQBzAGUAcgBBAHAAcABsAGkAYwBhAHQAaQBvAG4ATgAyAE8ARQBtAGkAcwBzAGkAbwBuAHMAXwBMAGEAdABlAHgARQBxAHUAYQB0AGkAbwBuAFwAbgAgACAAPQBMAEEATQBCAEQAQQAoAFwAIgBFAF8AewBOADIATwB9AD0AXABcAHMAdQBtAF8AewBqAH0AXABcAHMAdQBtAF8AewBmAH0AKAAoAE0ATgBfAHsAagBmAH0AXABcAHQAaQBtAGUAcwAgAEUARgBfAHsAagAsAE4AMgBPAH0AXABcAHQAaQBtAGUAcwAgAEMAXwB7AE4AMgBPAH0AKQBcAFwAdABpAG0AZQBzACAAMQAwAF4AewAtADMAfQApAFwAIgApADsAXABuAFwAbgBWAEUARQBSAEcAXwA1AF8AMQBfADEAXwAxAF8AXwAxAF8ASQBuAG8AcgBnAGEAbgBpAGMARgBlAHIAdABpAGwAaQBzAGUAcgBBAHAAcABsAGkAYwBhAHQAaQBvAG4ATgAyAE8ARQBtAGkAcwBzAGkAbwBuAHMAXwBBAHIAZwB1AG0AZQBuAHQAcwBcAG4AIAAgAD0ATABBAE0AQgBEAEEAKABcAG4AIAAgACAAIABNAEEASwBFAEEAUgBSAEEAWQAoADc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VgBFAEUAUgBHAF8ANQBfADEAXwAxAF8AMQBfAF8AMQBfAEkAbgBvAHIAZwBhAG4AaQBjAEYAZQByAHQAaQBsAGkAcwBlAHIAQQBwAHAAbABpAGMAYQB0AGkAbwBuAE4AMgBPAEUAbQBpAHMAcwBpAG8AbgBzAF8AQQByAGcAdQBtAGUAbgB0AHMAXwBNAGUAdABoAG8AZAAyAFwAbgAgACAAPQBMAEEATQBCAEQAQQAoAFwAbgAgACAAIAAgAE0AQQBLAEUAQQBSAFIAQQBZACgAOA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hAGwAYwB1AGwAYQB0AGUAZAAgAGYAcgBvAG0AIAA1AC4AMQAuADEALgAyACAAKAAxACkAKAAyACkAKAAzACk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MAXAAiACwAXAAiAEMAcgBvAHAAIAB0AHkAcABl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EAXwAxAF8AMQBfAF8AMgBfAE0AYQBzAHMATwBmAE4AaQB0AHIAbwBnAGUAbgBJAG4ASQBuAG8AcgBnAGEAbgBpAGMARgBlAHIAdABpAGwAaQBzAGUAcgBcAG4ATQBhAHMAcwAgAG8AZgAgAG4AaQB0AHIAbwBnAGUAbgAgAGkAbgAgAGkAbgBvAHIAZwBhAG4AaQBjACAAZgBlAHIAdABpAGwAaQBzAGUAcgAgAGEAcABwAGwAaQBlAGQAIAB0AG8AIABwAHIAbwBkAHUAYwB0AGkAbwBuACAAcwB5AHMAdABlAG0AXABuAE0ATgBfAGoAZgBcAG4AawBnACAATgBcAG4AewBNAE4AfQBfAHsAagBmAH0APQBUAE0AXwB7AGoAZgB9AFwAXAB0AGkAbQBlAHMAIABGAE4AXwB7AGkAbgBvAHIAZwBhAG4AaQBjACwAZgB9AFwAbgBUAE0AXwBqAGYAXABuAEYATgBfAGkAbgBvAHIAZwBhAG4AaQBjAGYAXABuAGoAXABuAGkAbgBvAHIAZwBhAG4AaQBjAFwAbgBmAFwAbgAtAC0ALQAtAC0ALQAtAC0ALQAtAC0ALQAtAC0ALQAtAC0ALQAtAC0ALQAtAC0ALQAtAC0ALQAtAC0ALQAtAC0ALQAtAC0ALQAtAC0AXABuACoALwBcAG4AXABuAFYARQBFAFIARwBfADUAXwAxAF8AMQBfADEAXwBfADIAXwBNAGEAcwBzAE8AZgBOAGkAdAByAG8AZwBlAG4ASQBuAEkAbgBvAHIAZwBhAG4AaQBjAEYAZQByAHQAaQBsAGkAcwBlAHIAXABuACAAIAA9AEwAQQBNAEIARABBACgAXABuACAAIAAgACAAVABNAF8AagBmACwAIABGAE4AXwBpAG4AbwByAGcAYQBuAGkAYwBmACwAXABuACAAIAAgACAAVABNAF8AagBmACAAKgAgAEYATgBfAGkAbgBvAHIAZwBhAG4AaQBjAGYAXABuACAAIAApADsAXABuAFwAbgBWAEUARQBSAEcAXwA1AF8AMQBfADEAXwAxAF8AXwAyAF8ATQBhAHMAcwBPAGYATgBpAHQAcgBvAGcAZQBuAEkAbgBJAG4AbwByAGcAYQBuAGkAYwBGAGUAcgB0AGkAbABpAHMAZQByAF8AVABpAHQAbABlAFwAbgAgACAAPQBMAEEATQBCAEQAQQAoAFwAIgBNAGEAcwBzACAAbwBmACAAbgBpAHQAcgBvAGcAZQBuACAAaQBuACAAaQBuAG8AcgBnAGEAbgBpAGMAIABmAGUAcgB0AGkAbABpAHMAZQByACAAYQBwAHAAbABpAGUAZAAgAHQAbwAgAHAAcgBvAGQAdQBjAHQAaQBvAG4AIABzAHkAcwB0AGUAbQBcACIAKQA7AFwAbgBcAG4AVgBFAEUAUgBHAF8ANQBfADEAXwAxAF8AMQBfAF8AMgBfAE0AYQBzAHMATwBmAE4AaQB0AHIAbwBnAGUAbgBJAG4ASQBuAG8AcgBnAGEAbgBpAGMARgBlAHIAdABpAGwAaQBzAGUAcgBfAFYAYQByAGkAYQBiAGwAZQBcAG4AIAAgAD0ATABBAE0AQgBEAEEAKABcACIATQBOAF8AagBmAFwAIgApADsAXABuAFwAbgBWAEUARQBSAEcAXwA1AF8AMQBfADEAXwAxAF8AXwAyAF8ATQBhAHMAcwBPAGYATgBpAHQAcgBvAGcAZQBuAEkAbgBJAG4AbwByAGcAYQBuAGkAYwBGAGUAcgB0AGkAbABpAHMAZQByAF8AVQBuAGkAdABcAG4AIAAgAD0ATABBAE0AQgBEAEEAKABcACIAawBnACAATgBcACIAKQA7AFwAbgBcAG4AVgBFAEUAUgBHAF8ANQBfADEAXwAxAF8AMQBfAF8AMgBfAE0AYQBzAHMATwBmAE4AaQB0AHIAbwBnAGUAbgBJAG4ASQBuAG8AcgBnAGEAbgBpAGMARgBlAHIAdABpAGwAaQBzAGUAcgBfAFMAbwB1AHIAYwBlAFwAbgAgACAAPQBMAEEATQBCAEQAQQAoAFwAIgBWAEUARQBSAEcAIAAyADAAMgA2ADoAIAA1AC4AMQAuADEALgAxACwAIABFAHEAdQBhAHQAaQBvAG4AIAAoADIAKQBcACIAKQA7AFwAbgBcAG4AVgBFAEUAUgBHAF8ANQBfADEAXwAxAF8AMQBfAF8AMgBfAE0AYQBzAHMATwBmAE4AaQB0AHIAbwBnAGUAbgBJAG4ASQBuAG8AcgBnAGEAbgBpAGMARgBlAHIAdABpAGwAaQBzAGUAcgBfAE4ASQBSAFIAZQBmAGUAcgBlAG4AYwBlAFwAbgAgACAAPQBMAEEATQBCAEQAQQAoAFwAIgBcACIAKQA7AFwAbgBcAG4AVgBFAEUAUgBHAF8ANQBfADEAXwAxAF8AMQBfAF8AMgBfAE0AYQBzAHMATwBmAE4AaQB0AHIAbwBnAGUAbgBJAG4ASQBuAG8AcgBnAGEAbgBpAGMARgBlAHIAdABpAGwAaQBzAGUAcgBfAEwAYQB0AGUAeABFAHEAdQBhAHQAaQBvAG4AXABuACAAIAA9AEwAQQBNAEIARABBACgAXAAiAHsATQBOAH0AXwB7AGoAZgB9AD0AVABNAF8AewBqAGYAfQBcAFwAdABpAG0AZQBzACAARgBOAF8AewBpAG4AbwByAGcAYQBuAGkAYwAsAGYAfQBcACIAKQA7AFwAbgBcAG4AVgBFAEUAUgBHAF8ANQBfADEAXwAxAF8AMQBfAF8AMgBfAE0AYQBzAHMATwBmAE4AaQB0AHIAbwBnAGUAbg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AgAFwAIgBrAGcAXAAiACwAIABcACIASQBuAHAAdQB0AFwAIgA7AFwAbgAgACAAIAAgACAAIAAgACAAIAAgAFwAIgBGAE4AXwBpAG4AbwByAGcAYQBuAGkAYwBmAFwAIgAsAFwAIgBmAHIAYQBjAHQAaQBvAG4AIABvAGYAIABuAGkAdAByAG8AZwBlAG4AIABpAG4AIABpAG4AbwByAGcAYQBuAGkAYwAgAGYAZQByAHQAaQBsAGkAcwBlAHIAIAB0AHkAcABlACAAZgAgAFwAIgAsACAAXAAiAGsAZwAgAE4ALwBrAGc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IAXwBfADEAXwBFAG0AaQBzAHMAaQBvAG4ARgBhAGMAdABvAHIASQByAHIAaQBnAGEAdABlAGQATQBhAGkAegBlAFwAbgBFAG0AaQBzAHMAaQBvAG4AIABmAGEAYwB0AG8AcgAgAGYAbwByACAAbgBpAHQAcgBvAHUAcwAgAG8AeABpAGQAZQAgAGYAbwByACAAaQByAHIAaQBnAGEAdABlAGQAIABtAGEAaQB6AGUAXABuAEUARgBfAGYAagBJAHIAcgBpAGcAYQB0AGUAZABNAGEAaQB6AGUATgAyAE8AXABuAGsAZwAgAE4AMgBPAC0ATgAvAGsAZwAgAE4AIABhAHAAcABsAGkAZQBkAFwAbgBFAEYAXwB7AGYAagA9AGkAcgByAGkAZwBhAHQAZQBkAG0AYQBpAHoAZQAsAE4AMgBPAH0APQAoAC0AMAAuADEANAA3ADQAKwAoADAALgAwADAANgAxAFwAXAB0AGkAbQBlAHMAIABOAF8AewBmAGoAPQBpAHIAcgBpAGcAYQB0AGUAZABtAGEAaQB6AGUAfQApACkAXABcAHQAaQBtAGUAcwAgADEAMABeAHsALQAyAH0AXABuAE4AXwBmAGoASQByAHIAaQBnAGEAdABlAGQATQBhAGkAegBlAFwAbgBmAFwAbgAtAC0ALQAtAC0ALQAtAC0ALQAtAC0ALQAtAC0ALQAtAC0ALQAtAC0ALQAtAC0ALQAtAC0ALQAtAC0ALQAtAC0ALQAtAC0ALQAtAC0AXABuACoALwBcAG4AXABuAFYARQBFAFIARwBfADUAXwAxAF8AMQBfADIAXwBfADEAXwBFAG0AaQBzAHMAaQBvAG4ARgBhAGMAdABvAHIASQByAHIAaQBnAGEAdABlAGQATQBhAGkAegBlAFwAbgAgACAAPQBMAEEATQBCAEQAQQAoAFwAbgAgACAAIAAgAE4AXwBmAGoASQByAHIAaQBnAGEAdABlAGQATQBhAGkAegBlACwAXABuACAAIAAgACAAKAAtADAALgAxADQANwA0ACAAKwAgACgAMAAuADAAMAA2ADEAIAAqACAATgBfAGYAagBJAHIAcgBpAGcAYQB0AGUAZABNAGEAaQB6AGUAKQApACAAKgAgADEAMAAgAF4AIAAtADIAXABuACAAIAApADsAXABuAFwAbgBWAEUARQBSAEcAXwA1AF8AMQBfADEAXwAyAF8AXwAxAF8ARQBtAGkAcwBzAGkAbwBuAEYAYQBjAHQAbwByAEkAcgByAGkAZwBhAHQAZQBkAE0AYQBpAHoAZQBfAFQAaQB0AGwAZQBcAG4AIAAgAD0ATABBAE0AQgBEAEEAKABcACIARQBtAGkAcwBzAGkAbwBuACAAZgBhAGMAdABvAHIAIABmAG8AcgAgAG4AaQB0AHIAbwB1AHMAIABvAHgAaQBkAGUAIABmAG8AcgAgAGkAcgByAGkAZwBhAHQAZQBkACAAbQBhAGkAegBlAFwAIgApADsAXABuAFwAbgBWAEUARQBSAEcAXwA1AF8AMQBfADEAXwAyAF8AXwAxAF8ARQBtAGkAcwBzAGkAbwBuAEYAYQBjAHQAbwByAEkAcgByAGkAZwBhAHQAZQBkAE0AYQBpAHoAZQBfAFYAYQByAGkAYQBiAGwAZQBcAG4AIAAgAD0ATABBAE0AQgBEAEEAKABcACIARQBGAF8AZgBqAEkAcgByAGkAZwBhAHQAZQBkAE0AYQBpAHoAZQBOADIATwBcACIAKQA7AFwAbgBcAG4AVgBFAEUAUgBHAF8ANQBfADEAXwAxAF8AMgBfAF8AMQBfAEUAbQBpAHMAcwBpAG8AbgBGAGEAYwB0AG8AcgBJAHIAcgBpAGcAYQB0AGUAZABNAGEAaQB6AGUAXwBVAG4AaQB0AFwAbgAgACAAPQBMAEEATQBCAEQAQQAoAFwAIgBrAGcAIABOADIATwAtAE4ALwBrAGcAIABOACAAYQBwAHAAbABpAGUAZABcACIAKQA7AFwAbgBcAG4AVgBFAEUAUgBHAF8ANQBfADEAXwAxAF8AMgBfAF8AMQBfAEUAbQBpAHMAcwBpAG8AbgBGAGEAYwB0AG8AcgBJAHIAcgBpAGcAYQB0AGUAZABNAGEAaQB6AGUAXwBTAG8AdQByAGMAZQBcAG4AIAAgAD0ATABBAE0AQgBEAEEAKABcACIAVgBFAEUAUgBHACAAMgAwADIANgA6ACAANQAuADEALgAxAC4AMgAsACAARQBxAHUAYQB0AGkAbwBuACAAKAAxACkAXAAiACkAOwBcAG4AXABuAFYARQBFAFIARwBfADUAXwAxAF8AMQBfADIAXwBfADEAXwBFAG0AaQBzAHMAaQBvAG4ARgBhAGMAdABvAHIASQByAHIAaQBnAGEAdABlAGQATQBhAGkAegBlAF8ATgBJAFIAUgBlAGYAZQByAGUAbgBjAGUAXABuACAAIAA9AEwAQQBNAEIARABBACgAXAAiAFwAIgApADsAXABuAFwAbgBWAEUARQBSAEcAXwA1AF8AMQBfADEAXwAyAF8AXwAxAF8ARQBtAGkAcwBzAGkAbwBuAEYAYQBjAHQAbwByAEkAcgByAGkAZwBhAHQAZQBkAE0AYQBpAHoAZQBfAEwAYQB0AGUAeABFAHEAdQBhAHQAaQBvAG4AXABuACAAIAA9AEwAQQBNAEIARABBACgAXAAiAEUARgBfAHsAZgBqAD0AaQByAHIAaQBnAGEAdABlAGQAbQBhAGkAegBlACwATgAyAE8AfQA9ACgALQAwAC4AMQA0ADcANAArACgAMAAuADAAMAA2ADEAXABcAHQAaQBtAGUAcwAgAE4AXwB7AGYAagA9AGkAcgByAGkAZwBhAHQAZQBkAG0AYQBpAHoAZQB9ACkAKQBcAFwAdABpAG0AZQBzACAAMQAwAF4AewAtADIAfQBcACIAKQA7AFwAbgBcAG4AVgBFAEUAUgBHAF8ANQBfADEAXwAxAF8AMgBfAF8AMQBfAEUAbQBpAHMAcwBpAG8AbgBGAGEAYwB0AG8AcgBJAHIAcgBpAGcAYQB0AGUAZABNAGEAaQB6AGUAXwBBAHIAZwB1AG0AZQBuAHQAcwBcAG4AIAAgAD0ATABBAE0AQgBEAEEAKABcAG4AIAAgACAAIABNAEEASwBFAEEAUgBSAEEAWQAoADIALAAgADQALAAgAFwAbgAgACAAIAAgACAAIABMAEEATQBCAEQAQQAoAHIALABjACwAIABcAG4AIAAgACAAIAAgACAAIAAgAEkATgBEAEUAWAAoAHsAXABuACAAIAAgACAAIAAgACAAIAAgACAAXAAiAE4AXwBmAGoASQByAHIAaQBnAGEAdABlAGQATQBhAGkAegBlAFwAIgAsAFwAIgBhAHAAcABsAGkAYwBhAHQAaQBvAG4AIAByAGEAdABlACAAbwBmACAAaQBuAG8AcgBnAGEAbgBpAGMAIABmAGUAcgB0AGkAbABpAHMAZQByACAAdAB5AHAAZQAgAGYAIABpAG4AIAB0AGgAZQAgAGkAcgByAGkAZwBhAHQAZQBkACAAbQBhAGkAegBl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yAF8ARQBtAGkAcwBzAGkAbwBuAEYAYQBjAHQAbwByAE4AbwBuAEkAcgByAGkAZwBhAHQAZQBkAEcAcgBhAGkAbgBzAEgAaQBnAGgAUgBhAGkAbgBmAGEAbABsAFwAbgBFAG0AaQBzAHMAaQBvAG4AIABmAGEAYwB0AG8AcgAgAGYAbwByACAAbgBpAHQAcgBvAHUAcwAgAG8AeABpAGQAZQAgAGYAbwByACAAbgBvAG4ALQBpAHIAcgBpAGcAYQB0AGUAZAAgAGcAcgBhAGkAbgBzACAAaQBuACAAaABpAGcAaAAgAHIAYQBpAG4AZgBhAGwAbAAgAHoAbwBuAGUAXABuAEUARgBfAGYAagBOAG8AbgBJAHIAcgBpAGcAYQB0AGUAZABHAHIAYQBpAG4AcwBOADIATwBcAG4AawBnACAATgAyAE8ALQBOAC8AawBnACAATgAgAGEAcABwAGwAaQBlAGQAXABuAEUARgBfAHsAZgBqAD0AbgBvAG4AaQByAHIAaQBnAGEAdABlAGQAZwByAGEAaQBuAHMALABOADIATwB9AD0AKAAwAC4AMAA3ADgAMQArACgAMAAuADAAMAA3ADUAXABcAHQAaQBtAGUAcwAgAE4AXwB7AGYAagA9AG4AbwBuAGkAcgByAGkAZwBhAHQAZQBkAGcAcgBhAGkAbgBzAH0AKQApAFwAXAB0AGkAbQBlAHMAIAAxADAAXgB7AC0AMgB9AFwAbgBOAF8AZgBqAE4AbwBuAEkAcgByAGkAZwBhAHQAZQBkAEcAcgBhAGkAbgBzAFwAbgBmAFwAbgAtAC0ALQAtAC0ALQAtAC0ALQAtAC0ALQAtAC0ALQAtAC0ALQAtAC0ALQAtAC0ALQAtAC0ALQAtAC0ALQAtAC0ALQAtAC0ALQAtAC0AXABuACoALwBcAG4AXABuAFYARQBFAFIARwBfADUAXwAxAF8AMQBfADIAXwBfADIAXwBFAG0AaQBzAHMAaQBvAG4ARgBhAGMAdABvAHIATgBvAG4ASQByAHIAaQBnAGEAdABlAGQARwByAGEAaQBuAHMASABpAGcAaABSAGEAaQBuAGYAYQBsAGwAXABuACAAIAA9AEwAQQBNAEIARABBACgAXABuACAAIAAgACAATgBfAGYAagBOAG8AbgBJAHIAcgBpAGcAYQB0AGUAZABHAHIAYQBpAG4AcwAsAFwAbgAgACAAIAAgACgAMAAuADAANwA4ADEAIAArACAAKAAwAC4AMAAwADcANQAgACoAIABOAF8AZgBqAE4AbwBuAEkAcgByAGkAZwBhAHQAZQBkAEcAcgBhAGkAbgBzACkAKQAgACoAIAAxADAAIABeACAALQAyAFwAbgAgACAAKQA7AFwAbgBcAG4AVgBFAEUAUgBHAF8ANQBfADEAXwAxAF8AMgBfAF8AMgBfAEUAbQBpAHMAcwBpAG8AbgBGAGEAYwB0AG8AcgBOAG8AbgBJAHIAcgBpAGcAYQB0AGUAZABHAHIAYQBpAG4AcwBIAGkAZwBoAFIAYQBpAG4AZgBhAGwAbABfAFQAaQB0AGwAZQBcAG4AIAAgAD0ATABBAE0AQgBEAEEAKABcACIARQBtAGkAcwBzAGkAbwBuACAAZgBhAGMAdABvAHIAIABmAG8AcgAgAG4AaQB0AHIAbwB1AHMAIABvAHgAaQBkAGUAIABmAG8AcgAgAG4AbwBuAC0AaQByAHIAaQBnAGEAdABlAGQAIABnAHIAYQBpAG4AcwAgAGkAbgAgAGgAaQBnAGgAIAByAGEAaQBuAGYAYQBsAGwAIAB6AG8AbgBlAFwAIgApADsAXABuAFwAbgBWAEUARQBSAEcAXwA1AF8AMQBfADEAXwAyAF8AXwAyAF8ARQBtAGkAcwBzAGkAbwBuAEYAYQBjAHQAbwByAE4AbwBuAEkAcgByAGkAZwBhAHQAZQBkAEcAcgBhAGkAbgBzAEgAaQBnAGgAUgBhAGkAbgBmAGEAbABsAF8AVgBhAHIAaQBhAGIAbABlAFwAbgAgACAAPQBMAEEATQBCAEQAQQAoAFwAIgBFAEYAXwBmAGoATgBvAG4ASQByAHIAaQBnAGEAdABlAGQARwByAGEAaQBuAHMATgAyAE8AXAAiACkAOwBcAG4AXABuAFYARQBFAFIARwBfADUAXwAxAF8AMQBfADIAXwBfADIAXwBFAG0AaQBzAHMAaQBvAG4ARgBhAGMAdABvAHIATgBvAG4ASQByAHIAaQBnAGEAdABlAGQARwByAGEAaQBuAHMASABpAGcAaABSAGEAaQBuAGYAYQBsAGwAXwBVAG4AaQB0AFwAbgAgACAAPQBMAEEATQBCAEQAQQAoAFwAIgBrAGcAIABOADIATwAtAE4ALwBrAGcAIABOACAAYQBwAHAAbABpAGUAZABcACIAKQA7AFwAbgBcAG4AVgBFAEUAUgBHAF8ANQBfADEAXwAxAF8AMgBfAF8AMgBfAEUAbQBpAHMAcwBpAG8AbgBGAGEAYwB0AG8AcgBOAG8AbgBJAHIAcgBpAGcAYQB0AGUAZABHAHIAYQBpAG4AcwBIAGkAZwBoAFIAYQBpAG4AZgBhAGwAbABfAFMAbwB1AHIAYwBlAFwAbgAgACAAPQBMAEEATQBCAEQAQQAoAFwAIgBWAEUARQBSAEcAIAAyADAAMgA2ADoAIAA1AC4AMQAuADEALgAyACwAIABFAHEAdQBhAHQAaQBvAG4AIAAoADIAKQBcACIAKQA7AFwAbgBcAG4AVgBFAEUAUgBHAF8ANQBfADEAXwAxAF8AMgBfAF8AMgBfAEUAbQBpAHMAcwBpAG8AbgBGAGEAYwB0AG8AcgBOAG8AbgBJAHIAcgBpAGcAYQB0AGUAZABHAHIAYQBpAG4AcwBIAGkAZwBoAFIAYQBpAG4AZgBhAGwAbABfAE4ASQBSAFIAZQBmAGUAcgBlAG4AYwBlAFwAbgAgACAAPQBMAEEATQBCAEQAQQAoAFwAIgBcACIAKQA7AFwAbgBcAG4AVgBFAEUAUgBHAF8ANQBfADEAXwAxAF8AMgBfAF8AMgBfAEUAbQBpAHMAcwBpAG8AbgBGAGEAYwB0AG8AcgBOAG8AbgBJAHIAcgBpAGcAYQB0AGUAZABHAHIAYQBpAG4AcwBIAGkAZwBoAFIAYQBpAG4AZgBhAGwAbABfAEwAYQB0AGUAeABFAHEAdQBhAHQAaQBvAG4AXABuACAAIAA9AEwAQQBNAEIARABBACgAXAAiAEUARgBfAHsAZgBqAD0AbgBvAG4AaQByAHIAaQBnAGEAdABlAGQAZwByAGEAaQBuAHMALABOADIATwB9AD0AKAAwAC4AMAA3ADgAMQArACgAMAAuADAAMAA3ADUAXABcAHQAaQBtAGUAcwAgAE4AXwB7AGYAagA9AG4AbwBuAGkAcgByAGkAZwBhAHQAZQBkAGcAcgBhAGkAbgBzAH0AKQApAFwAXAB0AGkAbQBlAHMAIAAxADAAXgB7AC0AMgB9AFwAIgApADsAXABuAFwAbgBWAEUARQBSAEcAXwA1AF8AMQBfADEAXwAyAF8AXwAyAF8ARQBtAGkAcwBzAGkAbwBuAEYAYQBjAHQAbwByAE4AbwBuAEkAcgByAGkAZwBhAHQAZQBkAEcAcgBhAGkAbgBzAEgAaQBnAGgAUgBhAGkAbgBmAGEAbABsAF8AQQByAGcAdQBtAGUAbgB0AHMAXABuACAAIAA9AEwAQQBNAEIARABBACgAXABuACAAIAAgACAATQBBAEsARQBBAFIAUgBBAFkAKAAyACwAIAA0ACwAIABcAG4AIAAgACAAIAAgACAATABBAE0AQgBEAEEAKAByACwAYwAsACAAXABuACAAIAAgACAAIAAgACAAIABJAE4ARABFAFgAKAB7AFwAbgAgACAAIAAgACAAIAAgACAAIAAgAFwAIgBOAF8AZgBqAE4AbwBuAEkAcgByAGkAZwBhAHQAZQBkAEcAcgBhAGkAbgBzAFwAIgAsAFwAIgBhAHAAcABsAGkAYwBhAHQAaQBvAG4AIAByAGEAdABlACAAbwBmACAAaQBuAG8AcgBnAGEAbgBpAGMAIABmAGUAcgB0AGkAbABpAHMAZQByACAAdAB5AHAAZQAgAGYAIABpAG4AIAB0AGgAZQAgAGcAcgBhAGkAbgBz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zAF8ARQBtAGkAcwBzAGkAbwBuAEYAYQBjAHQAbwByAEMAbwB0AHQAbwBuAFwAbgBFAG0AaQBzAHMAaQBvAG4AIABmAGEAYwB0AG8AcgAgAGYAbwByACAAbgBpAHQAcgBvAHUAcwAgAG8AeABpAGQAZQAgAGYAbwByACAAYwBvAHQAdABvAG4AXABuAEUARgBfAGYAagBDAG8AdAB0AG8AbgBOADIATwBcAG4AawBnACAATgAyAE8ALQBOAC8AawBnACAATgAgAGEAcABwAGwAaQBlAGQAXABuAEUARgBfAHsAZgBqAD0AYwBvAHQAdABvAG4ALABOADIATwB9AD0AXABcAG0AaQBuAFwAXABsAGUAZgB0ACgAKAAwAC4AMAAxAFwAXAB0AGkAbQBlAHMAKAAwAC4AMgA5ACsAMAAuADAAMAA3AFwAXAB0AGkAbQBlAHMAKAAoAGUAXgB7ACgAMAAuADAAMwA3AFwAXAB0AGkAbQBlAHMAIABOAF8AewBmAGoAPQBjAG8AdAB0AG8AbgB9ACkAfQAtADEAKQAvAE4AXwB7AGYAagA9AGMAbwB0AHQAbwBuAH0AKQApACkAXABcAHQAaQBtAGUAcwAgADEAMABeAHsALQAyAH0ALAAwAC4AMAAxADgAMwBcAFwAcgBpAGcAaAB0ACkAXABuAE4AXwBmAGoAQwBvAHQAdABvAG4AXABuAGYAXABuAC0ALQAtAC0ALQAtAC0ALQAtAC0ALQAtAC0ALQAtAC0ALQAtAC0ALQAtAC0ALQAtAC0ALQAtAC0ALQAtAC0ALQAtAC0ALQAtAC0ALQBcAG4AKgAvAFwAbgBcAG4AVgBFAEUAUgBHAF8ANQBfADEAXwAxAF8AMgBfAF8AMwBfAEUAbQBpAHMAcwBpAG8AbgBGAGEAYwB0AG8AcgBDAG8AdAB0AG8AbgBcAG4AIAAgAD0ATABBAE0AQgBEAEEAKABcAG4AIAAgACAAIABOAF8AZgBqAEMAbwB0AHQAbwBuACwAXABuACAAIAAgACAAKAAwAC4AMAAxACAAKgAgACgAMAAuADIAOQAgACsAIAAoACAAIAAoADAALgAwADAANwAgACoAIAAoAEUAWABQACgAMAAuADAAMwA3ACAAKgAgAE4AXwBmAGoAQwBvAHQAdABvAG4AKQAgAC0AIAAxACkAKQAgAC8AIABOAF8AZgBqAEMAbwB0AHQAbwBuACAAIAApACAAKQApACAAKgAgADEAMAAgAF4AIAAtADIAXABuACAAIAApADsAXABuAFwAbgBWAEUARQBSAEcAXwA1AF8AMQBfADEAXwAyAF8AXwAzAF8ARQBtAGkAcwBzAGkAbwBuAEYAYQBjAHQAbwByAEMAbwB0AHQAbwBuAF8AVABpAHQAbABlAFwAbgAgACAAPQBMAEEATQBCAEQAQQAoAFwAIgBFAG0AaQBzAHMAaQBvAG4AIABmAGEAYwB0AG8AcgAgAGYAbwByACAAbgBpAHQAcgBvAHUAcwAgAG8AeABpAGQAZQAgAGYAbwByACAAYwBvAHQAdABvAG4AXAAiACkAOwBcAG4AXABuAFYARQBFAFIARwBfADUAXwAxAF8AMQBfADIAXwBfADMAXwBFAG0AaQBzAHMAaQBvAG4ARgBhAGMAdABvAHIAQwBvAHQAdABvAG4AXwBWAGEAcgBpAGEAYgBsAGUAXABuACAAIAA9AEwAQQBNAEIARABBACgAXAAiAEUARgBfAGYAagBDAG8AdAB0AG8AbgBOADIATwBcACIAKQA7AFwAbgBcAG4AVgBFAEUAUgBHAF8ANQBfADEAXwAxAF8AMgBfAF8AMwBfAEUAbQBpAHMAcwBpAG8AbgBGAGEAYwB0AG8AcgBDAG8AdAB0AG8AbgBfAFUAbgBpAHQAXABuACAAIAA9AEwAQQBNAEIARABBACgAXAAiAGsAZwAgAE4AMgBPAC0ATgAvAGsAZwAgAE4AIABhAHAAcABsAGkAZQBkAFwAIgApADsAXABuAFwAbgBWAEUARQBSAEcAXwA1AF8AMQBfADEAXwAyAF8AXwAzAF8ARQBtAGkAcwBzAGkAbwBuAEYAYQBjAHQAbwByAEMAbwB0AHQAbwBuAF8AUwBvAHUAcgBjAGUAXABuACAAIAA9AEwAQQBNAEIARABBACgAXAAiAFYARQBFAFIARwAgADIAMAAyADYAOgAgADUALgAxAC4AMQAuADIALAAgAEUAcQB1AGEAdABpAG8AbgAgACgAMwApAFwAIgApADsAXABuAFwAbgBWAEUARQBSAEcAXwA1AF8AMQBfADEAXwAyAF8AXwAzAF8ARQBtAGkAcwBzAGkAbwBuAEYAYQBjAHQAbwByAEMAbwB0AHQAbwBuAF8ATgBJAFIAUgBlAGYAZQByAGUAbgBjAGUAXABuACAAIAA9AEwAQQBNAEIARABBACgAXAAiAFwAIgApADsAXABuAFwAbgBWAEUARQBSAEcAXwA1AF8AMQBfADEAXwAyAF8AXwAzAF8ARQBtAGkAcwBzAGkAbwBuAEYAYQBjAHQAbwByAEMAbwB0AHQAbwBuAF8ATABhAHQAZQB4AEUAcQB1AGEAdABpAG8AbgBcAG4AIAAgAD0ATABBAE0AQgBEAEEAKABcACIARQBGAF8AewBmAGoAPQBjAG8AdAB0AG8AbgAsAE4AMgBPAH0APQAoADAALgAwADEAIABcAFwAdABpAG0AZQBzACAAKAAwAC4AMgA5ACAAKwAgAFwAXABmAHIAYQBjAHsAMAAuADAAMAA3ACgAZQBeAHsAMAAuADAAMwA3ACAAXABcAHQAaQBtAGUAcwAgAE4AXwB7AGYAagA9AGMAbwB0AHQAbwBuAH0AfQAtADEAKQB9AHsATgBfAHsAZgBqAD0AYwBvAHQAdABvAG4AfQB9ACkAKQAgAFwAXAB0AGkAbQBlAHMAIAAxADAAXgB7AC0AMgB9AFwAbgBcACIAKQA7AFwAbgBcAG4AVgBFAEUAUgBHAF8ANQBfADEAXwAxAF8AMgBfAF8AMwBfAEUAbQBpAHMAcwBpAG8AbgBGAGEAYwB0AG8AcgBDAG8AdAB0AG8AbgBfAEEAcgBnAHUAbQBlAG4AdABzAFwAbgAgACAAPQBMAEEATQBCAEQAQQAoAFwAbgAgACAAIAAgAE0AQQBLAEUAQQBSAFIAQQBZACgAMgAsACAANAAsACAAXABuACAAIAAgACAAIAAgAEwAQQBNAEIARABBACgAcgAsAGMALAAgAFwAbgAgACAAIAAgACAAIAAgACAASQBOAEQARQBYACgAewBcAG4AIAAgACAAIAAgACAAIAAgACAAIABcACIATgBfAGYAagBDAG8AdAB0AG8AbgBcACIALABcACIAYQBwAHAAbABpAGMAYQB0AGkAbwBuACAAcgBhAHQAZQAgAG8AZgAgAGkAbgBvAHIAZwBhAG4AaQBjACAAZgBlAHIAdABpAGwAaQBzAGUAcgAgAHQAeQBwAGUAIABmACAAaQBuACAAdABoAGUAIABjAG8AdAB0AG8Abg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JAG4AbwByAGcAYQBuAGkAYwBDAE8AM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wBfAF8AMQBfAEkAbgBvAHIAZwBhAG4AaQBjAEYAZQByAHQAaQBsAGkAcwBlAHIAQQBwAHAAbABpAGMAYQB0AGkAbwBuAEMATwAyAEUAbQBpAHMAcwBpAG8AbgBzAFwAbgBDAGEAcgBiAG8AbgAgAGQAaQBvAHgAaQBkAGUAIABlAG0AaQBzAHMAaQBvAG4AcwAgAHIAZQBzAHUAbAB0AGkAbgBnACAAZgByAG8AbQAgAHQAaABlACAAdQBzAGUAIABvAGYAIABhAGwAbAAgAGkAbgBvAHIAZwBhAG4AaQBjACwAIAB1AHIAZQBhAC0AYgBhAHMAZQBkACAAZgBlAHIAdABpAGwAaQBzAGUAcgBzAFwAbgBFAF8AQwBPADIAXABuAHQAIABDAE8AMgBcAG4ARQBfAHsAQwBPADIAfQA9AFwAXABzAHUAbQBfAHsAagB9AFwAXABzAHUAbQBfAHsAZgB9ACgAKABNAFUAXwB7AGoAZgB9AFwAXAB0AGkAbQBlAHMAIABFAEYAXwB7AHUAcgBlAGEALABDAE8AMgB9AFwAXAB0AGkAbQBlAHMAIABDAF8AewBDAE8AMgB9ACkAXABcAHQAaQBtAGUAcwAgADEAMABeAHsALQAzAH0AKQBcAG4ATQBVAF8AagBmAFwAbgBFAEYAXwB1AHIAZQBhAEMATwAyAFwAbgBDAF8AQwBPADIAXABuAGoAXABuAGYAXABuAC0ALQAtAC0ALQAtAC0ALQAtAC0ALQAtAC0ALQAtAC0ALQAtAC0ALQAtAC0ALQAtAC0ALQAtAC0ALQAtAC0ALQAtAC0ALQAtAC0ALQBcAG4AKgAvAFwAbgBcAG4AVgBFAEUAUgBHAF8ANQBfADEAXwAxAF8AMwBfAF8AMQBfAEkAbgBvAHIAZwBhAG4AaQBjAEYAZQByAHQAaQBsAGkAcwBlAHIAQQBwAHAAbABpAGMAYQB0AGkAbwBuAEMATwAyAEUAbQBpAHMAcwBpAG8AbgBzAFwAbgAgACAAPQBMAEEATQBCAEQAQQAoAFwAbgAgACAAIAAgAE0AVQBfAGoAZgAsACAARQBGAF8AdQByAGUAYQBDAE8AMgAsACAAQwBfAEMATwAyACwAXABuACAAIAAgACAAKABNAFUAXwBqAGYAIAAqACAARQBGAF8AdQByAGUAYQBDAE8AMgAgACoAIABDAF8AQwBPADIAKQAgACoAIAAxADAAIABeACAALQAzAFwAbgAgACAAKQA7AFwAbgBcAG4AVgBFAEUAUgBHAF8ANQBfADEAXwAxAF8AMwBfAF8AMQBfAEkAbgBvAHIAZwBhAG4AaQBjAEYAZQByAHQAaQBsAGkAcwBlAHIAQQBwAHAAbABpAGMAYQB0AGkAbwBuAEMATwAyAEUAbQBpAHMAcwBpAG8AbgBzAF8AVABpAHQAbABlAFwAbgAgACAAPQBMAEEATQBCAEQAQQAoAFwAIgBDAGEAcgBiAG8AbgAgAGQAaQBvAHgAaQBkAGUAIABlAG0AaQBzAHMAaQBvAG4AcwAgAHIAZQBzAHUAbAB0AGkAbgBnACAAZgByAG8AbQAgAHQAaABlACAAdQBzAGUAIABvAGYAIABhAGwAbAAgAGkAbgBvAHIAZwBhAG4AaQBjACwAIAB1AHIAZQBhAC0AYgBhAHMAZQBkACAAZgBlAHIAdABpAGwAaQBzAGUAcgBzAFwAIgApADsAXABuAFwAbgBWAEUARQBSAEcAXwA1AF8AMQBfADEAXwAzAF8AXwAxAF8ASQBuAG8AcgBnAGEAbgBpAGMARgBlAHIAdABpAGwAaQBzAGUAcgBBAHAAcABsAGkAYwBhAHQAaQBvAG4AQwBPADIARQBtAGkAcwBzAGkAbwBuAHMAXwBWAGEAcgBpAGEAYgBsAGUAXABuACAAIAA9AEwAQQBNAEIARABBACgAXAAiAEUAXwBDAE8AMgBcACIAKQA7AFwAbgBcAG4AVgBFAEUAUgBHAF8ANQBfADEAXwAxAF8AMwBfAF8AMQBfAEkAbgBvAHIAZwBhAG4AaQBjAEYAZQByAHQAaQBsAGkAcwBlAHIAQQBwAHAAbABpAGMAYQB0AGkAbwBuAEMATwAyAEUAbQBpAHMAcwBpAG8AbgBzAF8AVQBuAGkAdABcAG4AIAAgAD0ATABBAE0AQgBEAEEAKABcACIAdAAgAEMATwAyAFwAIgApADsAXABuAFwAbgBWAEUARQBSAEcAXwA1AF8AMQBfADEAXwAzAF8AXwAxAF8ASQBuAG8AcgBnAGEAbgBpAGMARgBlAHIAdABpAGwAaQBzAGUAcgBBAHAAcABsAGkAYwBhAHQAaQBvAG4AQwBPADIARQBtAGkAcwBzAGkAbwBuAHMAXwBTAG8AdQByAGMAZQBcAG4AIAAgAD0ATABBAE0AQgBEAEEAKABcACIAVgBFAEUAUgBHACAAMgAwADIANgA6ACAANQAuADEALgAxAC4AMwAsACAARQBxAHUAYQB0AGkAbwBuACAAKAAxACkAXAAiACkAOwBcAG4AXABuAFYARQBFAFIARwBfADUAXwAxAF8AMQBfADMAXwBfADEAXwBJAG4AbwByAGcAYQBuAGkAYwBGAGUAcgB0AGkAbABpAHMAZQByAEEAcABwAGwAaQBjAGEAdABpAG8AbgBDAE8AMgBFAG0AaQBzAHMAaQBvAG4AcwBfAE4ASQBSAFIAZQBmAGUAcgBlAG4AYwBlAFwAbgAgACAAPQBMAEEATQBCAEQAQQAoAFwAIgBcACIAKQA7AFwAbgBcAG4AVgBFAEUAUgBHAF8ANQBfADEAXwAxAF8AMwBfAF8AMQBfAEkAbgBvAHIAZwBhAG4AaQBjAEYAZQByAHQAaQBsAGkAcwBlAHIAQQBwAHAAbABpAGMAYQB0AGkAbwBuAEMATwAyAEUAbQBpAHMAcwBpAG8AbgBzAF8ATABhAHQAZQB4AEUAcQB1AGEAdABpAG8AbgBcAG4AIAAgAD0ATABBAE0AQgBEAEEAKABcACIARQBfAHsAQwBPADIAfQA9AFwAXABzAHUAbQBfAHsAagB9AFwAXABzAHUAbQBfAHsAZgB9ACgAKABNAFUAXwB7AGoAZgB9AFwAXAB0AGkAbQBlAHMAIABFAEYAXwB7AHUAcgBlAGEALABDAE8AMgB9AFwAXAB0AGkAbQBlAHMAIABDAF8AewBDAE8AMgB9ACkAXABcAHQAaQBtAGUAcwAgADEAMABeAHsALQAzAH0AKQBcACIAKQA7AFwAbgBcAG4AVgBFAEUAUgBHAF8ANQBfADEAXwAxAF8AMwBfAF8AMQBfAEkAbgBvAHIAZwBhAG4AaQBjAEYAZQByAHQAaQBsAGkAcwBlAHIAQQBwAHAAbABpAGMAYQB0AGkAbwBuAEMATwAy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FUAXwBqAGYAXAAiACwAXAAiAG0AYQBzAHMAIABvAGYAIAB1AHIAZQBhACAAbwBmACAAaQBuAG8AcgBnAGEAbgBpAGMAIABmAGUAcgB0AGkAbABpAHMAZQByACAAdAB5AHAAZQAgAGYAIABhAHAAcABsAGkAZQBkACAAdABvACAAcAByAG8AZAB1AGMAdABpAG8AbgAgAHMAeQBzAHQAZQBtACAAagBcACIALAAgAFwAIgBrAGcAIAB1AHIAZQBhAFwAIgAsACAAXAAiAEMAYQBsAGMAdQBsAGEAdABlAGQAXAAiADsAXABuACAAIAAgACAAIAAgACAAIAAgACAAXAAiAEUARgBfAHUAcgBlAGEAQwBPADIAXAAiACwAXAAiAGUAbQBpAHMAcwBpAG8AbgAgAGYAYQBjAHQAbwByACAAZgBvAHIAIABjAGEAcgBiAG8AbgAgAGUAbQBpAHMAcwBpAG8AbgBzACAAZgByAG8AbQAgAHUAcgBlAGEALQBiAGEAcwBlAGQAIABmAGUAcgB0AGkAbABpAHMAZQByAHMAXAAiACwAIABcACIAawBnACAAQwAvAGsAZwAgAHUAcgBlAGEAXAAiACwAIABcACIAQwBvAG4AcwB0AGEAbgB0AFwAIgA7AFwAbgAgACAAIAAgACAAIAAgACAAIAAgAFwAIgBDAF8AQwBPADIAXAAiACwAXAAiAGYAYQBjAHQAbwByACAAdABvACAAYwBvAG4AdgBlAHIAdAAgAGUAbABlAG0AZQBuAHQAYQBsACAAbQBhAHMAcwAgAG8AZgAgAGMAYQByAGIAbwBuACAAdABvACAAbQBvAGwAZQBjAHUAbABhAHIAIABtAGEAcwBzACAAbwBmACAAYwBhAHIAYgBvAG4AIABkAGkAbwB4AGkAZABl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MAG8AbwBrAHUAcABcACIAXABuACAAIAAgACAAIAAgACAAIAB9ACwAIAByACwAIABjACkAXABuACAAIAAgACAAIAAgACkAXABuACAAIAAgACAAKQBcAG4AIAAgACkAOwBcAG4AXABuAC8AKgAgAFwAbgAtAC0ALQAtAC0ALQAtAC0ALQAtAC0ALQAtAC0ALQAtAC0ALQAtAC0ALQAtAC0ALQAtAC0ALQAtAC0ALQAtAC0ALQAtAC0ALQAtAC0AXABuAFYARQBFAFIARwBfADUAXwAxAF8AMQBfADMAXwBfADIAXwBNAGEAcwBzAE8AZgBVAHIAZQBhAEkAbgBJAG4AbwByAGcAYQBuAGkAYwBGAGUAcgB0AGkAbABpAHMAZQByAFwAbgBNAGEAcwBzACAAbwBmACAAdQByAGUAYQAgAGEAcABwAGwAaQBlAGQAIAB0AG8AIABwAHIAbwBkAHUAYwB0AGkAbwBuACAAcwB5AHMAdABlAG0AXABuAE0AVQBfAGoAZgBcAG4AawBnACAAdQByAGUAYQBcAG4AewBNAFUAfQBfAHsAagBmAH0APQBUAE0AXwB7AGoAZgB9AFwAXAB0AGkAbQBlAHMAIABGAFUAXwBmAFwAbgBUAE0AXwBqAGYAXABuAEYAVQBfAGYAXABuAGoAXABuAGYAXABuAC0ALQAtAC0ALQAtAC0ALQAtAC0ALQAtAC0ALQAtAC0ALQAtAC0ALQAtAC0ALQAtAC0ALQAtAC0ALQAtAC0ALQAtAC0ALQAtAC0ALQBcAG4AKgAvAFwAbgBcAG4AVgBFAEUAUgBHAF8ANQBfADEAXwAxAF8AMwBfAF8AMgBfAE0AYQBzAHMATwBmAFUAcgBlAGEASQBuAEkAbgBvAHIAZwBhAG4AaQBjAEYAZQByAHQAaQBsAGkAcwBlAHIAXABuACAAIAA9AEwAQQBNAEIARABBACgAXABuACAAIAAgACAAVABNAF8AagBmACwAIABGAFUAXwBmACwAXABuACAAIAAgACAAVABNAF8AagBmACAAKgAgAEYAVQBfAGYAXABuACAAIAApADsAXABuAFwAbgBWAEUARQBSAEcAXwA1AF8AMQBfADEAXwAzAF8AXwAyAF8ATQBhAHMAcwBPAGYAVQByAGUAYQBJAG4ASQBuAG8AcgBnAGEAbgBpAGMARgBlAHIAdABpAGwAaQBzAGUAcgBfAFQAaQB0AGwAZQBcAG4AIAAgAD0ATABBAE0AQgBEAEEAKABcACIATQBhAHMAcwAgAG8AZgAgAHUAcgBlAGEAIABhAHAAcABsAGkAZQBkACAAdABvACAAcAByAG8AZAB1AGMAdABpAG8AbgAgAHMAeQBzAHQAZQBtAFwAIgApADsAXABuAFwAbgBWAEUARQBSAEcAXwA1AF8AMQBfADEAXwAzAF8AXwAyAF8ATQBhAHMAcwBPAGYAVQByAGUAYQBJAG4ASQBuAG8AcgBnAGEAbgBpAGMARgBlAHIAdABpAGwAaQBzAGUAcgBfAFYAYQByAGkAYQBiAGwAZQBcAG4AIAAgAD0ATABBAE0AQgBEAEEAKABcACIATQBVAF8AagBmAFwAIgApADsAXABuAFwAbgBWAEUARQBSAEcAXwA1AF8AMQBfADEAXwAzAF8AXwAyAF8ATQBhAHMAcwBPAGYAVQByAGUAYQBJAG4ASQBuAG8AcgBnAGEAbgBpAGMARgBlAHIAdABpAGwAaQBzAGUAcgBfAFUAbgBpAHQAXABuACAAIAA9AEwAQQBNAEIARABBACgAXAAiAGsAZwAgAHUAcgBlAGEAXAAiACkAOwBcAG4AXABuAFYARQBFAFIARwBfADUAXwAxAF8AMQBfADMAXwBfADIAXwBNAGEAcwBzAE8AZgBVAHIAZQBhAEkAbgBJAG4AbwByAGcAYQBuAGkAYwBGAGUAcgB0AGkAbABpAHMAZQByAF8AUwBvAHUAcgBjAGUAXABuACAAIAA9AEwAQQBNAEIARABBACgAXAAiAFYARQBFAFIARwAgADIAMAAyADYAOgAgADUALgAxAC4AMQAuADMALAAgAEUAcQB1AGEAdABpAG8AbgAgACgAMgApAFwAIgApADsAXABuAFwAbgBWAEUARQBSAEcAXwA1AF8AMQBfADEAXwAzAF8AXwAyAF8ATQBhAHMAcwBPAGYAVQByAGUAYQBJAG4ASQBuAG8AcgBnAGEAbgBpAGMARgBlAHIAdABpAGwAaQBzAGUAcgBfAE4ASQBSAFIAZQBmAGUAcgBlAG4AYwBlAFwAbgAgACAAPQBMAEEATQBCAEQAQQAoAFwAIgBcACIAKQA7AFwAbgBcAG4AVgBFAEUAUgBHAF8ANQBfADEAXwAxAF8AMwBfAF8AMgBfAE0AYQBzAHMATwBmAFUAcgBlAGEASQBuAEkAbgBvAHIAZwBhAG4AaQBjAEYAZQByAHQAaQBsAGkAcwBlAHIAXwBMAGEAdABlAHgARQBxAHUAYQB0AGkAbwBuAFwAbgAgACAAPQBMAEEATQBCAEQAQQAoAFwAIgB7AE0AVQB9AF8AewBqAGYAfQA9AFQATQBfAHsAagBmAH0AXABcAHQAaQBtAGUAcwAgAEYAVQBfAGYAXAAiACkAOwBcAG4AXABuAFYARQBFAFIARwBfADUAXwAxAF8AMQBfADMAXwBfADIAXwBNAGEAcwBzAE8AZgBVAHIAZQBh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FwAIgBrAGcAXAAiACwAIABcACIASQBuAHAAdQB0AFwAIgA7AFwAbgAgACAAIAAgACAAIAAgACAAIAAgAFwAIgBGAFUAXwBmAFwAIgAsAFwAIgBmAHIAYQBjAHQAaQBvAG4AIABvAGYAIAB1AHIAZQBhACAAaQBuACAAZgBlAHIAdABpAGwAaQBzAGUAcgAgAHQAeQBwAGUAIABmAFwAIgAsAFwAIgBrAGcAIAB1AHIAZQBhAC8AawBnAFwAIgAsACAAXAAiAEwAbwBvAGsAdQBwAFwAIgBcAG4AIAAgACAAIAAgACAAIAAgAH0ALAAgAHIALAAgAGMAKQBcAG4AIAAgACAAIAAgACAAKQBcAG4AIAAgACAAIAApAFwAbgAgACAAKQA7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wAaQBtAGU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zACAATABpAG0AZQ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wBfADEAXwAxAF8AXwAxAF8ATABpAG0AZQBBAHAAcABsAGkAYwBhAHQAaQBvAG4AQwBPADIARQBtAGkAcwBzAGkAbwBuAHMAXABuAEUAbQBpAHMAcwBpAG8AbgBzACAAZgByAG8AbQAgAHQAaABlACAAYQBwAHAAbABpAGMAYQB0AGkAbwBuACAAbwBmACAAbABpAG0AZQAgAGEAbgBkACAAZABvAGwAbwBtAGkAdABlACAAdABvACAAcAByAG8AZAB1AGMAdABpAG8AbgAgAHMAeQBzAHQAZQBtAHMAXABuAEUAXwBsAGkAbQBlAFwAbgB0ACAAQwBPADIAXABu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BuAE0AXwBsAGkAbQBlAFwAbgBGAHIAYQBjAEwAaQBtAGUAXABuAFAAXwBsAGkAbQBlAFwAbgBFAEYAXwBsAGkAbQBlAFwAbgBGAHIAYQBjAEQAbwBsAFwAbgBQAF8AZABvAGwAXABuAEUARgBfAGQAbwBsAFwAbgBDAF8AQwBPADIAXABuAC0ALQAtAC0ALQAtAC0ALQAtAC0ALQAtAC0ALQAtAC0ALQAtAC0ALQAtAC0ALQAtAC0ALQAtAC0ALQAtAC0ALQAtAC0ALQAtAC0ALQBcAG4AKgAvAFwAbgBcAG4AVgBFAEUAUgBHAF8ANQBfADMAXwAxAF8AMQBfAF8AMQBfAEwAaQBtAGUAQQBwAHAAbABpAGMAYQB0AGkAbwBuAEMATwAyAEUAbQBpAHMAcwBpAG8AbgBzAFwAbgAgACAAPQBMAEEATQBCAEQAQQAoAFwAbgAgACAAIAAgAE0AXwBsAGkAbQBlACwAIABGAHIAYQBjAEwAaQBtAGUALAAgAFAAXwBsAGkAbQBlACwAIABFAEYAXwBsAGkAbQBlACwAIABGAHIAYQBjAEQAbwBsACwAIABQAF8AZABvAGwALAAgAEUARgBfAGQAbwBsACwAIABDAF8AQwBPADIALABcAG4AIAAgACAAIAAoACgATQBfAGwAaQBtAGUAIAAqACAARgByAGEAYwBMAGkAbQBlACAAKgAgAFAAXwBsAGkAbQBlACAAKgAgAEUARgBfAGwAaQBtAGUAKQAgACsAIAAoAE0AXwBsAGkAbQBlACAAKgAgAEYAcgBhAGMARABvAGwAIAAqACAAUABfAGQAbwBsACAAKgAgAEUARgBfAGQAbwBsACkAKQAgACoAIABDAF8AQwBPADIAIAAqACAAMQAwACAAXgAgAC0AMwBcAG4AIAAgACkAOwBcAG4AXABuAFYARQBFAFIARwBfADUAXwAzAF8AMQBfADEAXwBfADEAXwBMAGkAbQBlAEEAcABwAGwAaQBjAGEAdABpAG8AbgBDAE8AMgBFAG0AaQBzAHMAaQBvAG4AcwBfAFQAaQB0AGwAZQBcAG4AIAAgAD0ATABBAE0AQgBEAEEAKABcACIARQBtAGkAcwBzAGkAbwBuAHMAIABmAHIAbwBtACAAdABoAGUAIABhAHAAcABsAGkAYwBhAHQAaQBvAG4AIABvAGYAIABsAGkAbQBlACAAYQBuAGQAIABkAG8AbABvAG0AaQB0AGUAIAB0AG8AIABwAHIAbwBkAHUAYwB0AGkAbwBuACAAcwB5AHMAdABlAG0AcwBcACIAKQA7AFwAbgBcAG4AVgBFAEUAUgBHAF8ANQBfADMAXwAxAF8AMQBfAF8AMQBfAEwAaQBtAGUAQQBwAHAAbABpAGMAYQB0AGkAbwBuAEMATwAyAEUAbQBpAHMAcwBpAG8AbgBzAF8AVgBhAHIAaQBhAGIAbABlAFwAbgAgACAAPQBMAEEATQBCAEQAQQAoAFwAIgBFAF8AbABpAG0AZQBcACIAKQA7AFwAbgBcAG4AVgBFAEUAUgBHAF8ANQBfADMAXwAxAF8AMQBfAF8AMQBfAEwAaQBtAGUAQQBwAHAAbABpAGMAYQB0AGkAbwBuAEMATwAyAEUAbQBpAHMAcwBpAG8AbgBzAF8AVQBuAGkAdABcAG4AIAAgAD0ATABBAE0AQgBEAEEAKABcACIAdAAgAEMATwAyAFwAIgApADsAXABuAFwAbgBWAEUARQBSAEcAXwA1AF8AMwBfADEAXwAxAF8AXwAxAF8ATABpAG0AZQBBAHAAcABsAGkAYwBhAHQAaQBvAG4AQwBPADIARQBtAGkAcwBzAGkAbwBuAHMAXwBTAG8AdQByAGMAZQBcAG4AIAAgAD0ATABBAE0AQgBEAEEAKABcACIAVgBFAEUAUgBHACAAMgAwADIANgA6ACAANQAuADMALgAxAC4AMQAsACAARQBxAHUAYQB0AGkAbwBuACAAKAAxACkAXAAiACkAOwBcAG4AXABuAFYARQBFAFIARwBfADUAXwAzAF8AMQBfADEAXwBfADEAXwBMAGkAbQBlAEEAcABwAGwAaQBjAGEAdABpAG8AbgBDAE8AMgBFAG0AaQBzAHMAaQBvAG4AcwBfAE4ASQBSAFIAZQBmAGUAcgBlAG4AYwBlAFwAbgAgACAAPQBMAEEATQBCAEQAQQAoAFwAIgBcACIAKQA7AFwAbgBcAG4AVgBFAEUAUgBHAF8ANQBfADMAXwAxAF8AMQBfAF8AMQBfAEwAaQBtAGUAQQBwAHAAbABpAGMAYQB0AGkAbwBuAEMATwAyAEUAbQBpAHMAcwBpAG8AbgBzAF8ATABhAHQAZQB4AEUAcQB1AGEAdABpAG8AbgBcAG4AIAAgAD0ATABBAE0AQgBEAEEAKABcACI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CIAKQA7AFwAbgBcAG4AVgBFAEUAUgBHAF8ANQBfADMAXwAxAF8AMQBfAF8AMQBfAEwAaQBtAGUAQQBwAHAAbABpAGMAYQB0AGkAbwBuAEMATwAyAEUAbQBpAHMAcwBpAG8AbgBzAF8AQQByAGcAdQBtAGUAbgB0AHMAXABuACAAIAA9AEwAQQBNAEIARABBACgAXABuACAAIAAgACAATQBBAEsARQBBAFIAUgBBAFkAKAA4ACwAIAA0ACwAIABcAG4AIAAgACAAIAAgACAATABBAE0AQgBEAEEAKAByACwAYwAsACAAXABuACAAIAAgACAAIAAgACAAIABJAE4ARABFAFgAKAB7AFwAbgAgACAAIAAgACAAIAAgACAAIAAgAFwAIgBNAF8AbABpAG0AZQBcACIALABcACIAdABvAHQAYQBsACAAbQBhAHMAcwAgAG8AZgAgAGwAaQBtAGUAIABhAHAAcABsAGkAZQBkACAAdABvACAAcAByAG8AZAB1AGMAdABpAG8AbgAgAHMAeQBzAHQAZQBtAFwAIgAsACAAXAAiAGsAZwBcACIALAAgAFwAIgBJAG4AcAB1AHQAXAAiADsAXABuACAAIAAgACAAIAAgACAAIAAgACAAXAAiAEYAcgBhAGMATABpAG0AZQBcACIALABcACIAZgByAGEAYwB0AGkAbwBuACAAbwBmACAAbABpAG0AZQAgAGEAcwAgAGwAaQBtAGUAcwB0AG8AbgBlACAAKABDAGEAQwBPADMAKQBcACIALAAgAFwAIgBmAHIAYQBjAHQAaQBvAG4AXAAiACwAIABcACIASQBuAHAAdQB0AFwAIgA7AFwAbgAgACAAIAAgACAAIAAgACAAIAAgAFwAIgBQAF8AbABpAG0AZQBcACIALABcACIAZgByAGEAYwB0AGkAbwBuAGEAbAAgAHAAdQByAGkAdAB5ACAAbwBmACAAbABpAG0AZQBzAHQAbwBuAGUAXAAiACwAIABcACIAZgByAGEAYwB0AGkAbwBuAFwAIgAsACAAXAAiAEMAbwBuAHMAdABhAG4AdABcACIAOwBcAG4AIAAgACAAIAAgACAAIAAgACAAIABcACIARQBGAF8AbABpAG0AZQBcACIALABcACIAZQBtAGkAcwBzAGkAbwBuACAAZgBhAGMAdABvAHIAIABmAG8AcgAgAGwAaQBtAGUAcwB0AG8AbgBlACAAZgByAGEAYwB0AGkAbwBuACAAbwBmACAAbABpAG0AZQBcACIALAAgAFwAIgBrAGcAIABDAC8AawBnAFwAIgAsACAAXAAiAEMAbwBuAHMAdABhAG4AdABcACIAOwBcAG4AIAAgACAAIAAgACAAIAAgACAAIABcACIARgByAGEAYwBEAG8AbABcACIALABcACIAZgByAGEAYwB0AGkAbwBuACAAbwBmACAAbABpAG0AZQAgAGEAcwAgAGQAbwBsAG8AbQBpAHQAZQBcACIALAAgAFwAIgBmAHIAYQBjAHQAaQBvAG4AXAAiACwAIABcACIASQBuAHAAdQB0AFwAIgA7AFwAbgAgACAAIAAgACAAIAAgACAAIAAgAFwAIgBQAF8AZABvAGwAXAAiACwAXAAiAGYAcgBhAGMAdABpAG8AbgBhAGwAIABwAHUAcgBpAHQAeQAgAG8AZgAgAGQAbwBsAG8AbQBpAHQAZQBcACIALAAgAFwAIgBmAHIAYQBjAHQAaQBvAG4AXAAiACwAIABcACIAQwBvAG4AcwB0AGEAbgB0AFwAIgA7AFwAbgAgACAAIAAgACAAIAAgACAAIAAgAFwAIgBFAEYAXwBkAG8AbABcACIALABcACIAZQBtAGkAcwBzAGkAbwBuACAAZgBhAGMAdABvAHIAIABmAG8AcgAgAGQAbwBsAG8AbQBpAHQAZQAgAGYAcgBhAGMAdABpAG8AbgAgAG8AZgAgAGwAaQBtAGUAXAAiACwAIABcACIAawBnACAAQwAvAGsAZwBcACIALAAgAFwAIgBDAG8AbgBzAHQAYQBuAHQAXAAiADsAXABuACAAIAAgACAAIAAgACAAIAAgACAAXAAiAEMAXwBDAE8AMgBcACIALABcACIAZgBhAGMAdABvAHIAIAB0AG8AIABjAG8AbgB2AGUAcgB0ACAAZQBsAGUAbQBlAG4AdABhAGwAIABtAGEAcwBzACAAbwBmACAAYwBhAHIAYgBvAG4AIABkAGkAbwB4AGkAZABlACAAdABvACAAbQBvAGwAZQBjAHUAbABhAHIAIABtAGEAcwBzAFwAIgAsACAAXAAiAFwAIgAsACAAXAAiAEMAbwBuAHMAdABhAG4AdABcACIAXABuACAAIAAgACAAIAAgACAAIAB9ACwAIAByACwAIABjACkAXABuACAAIAAgACAAIAAgACkAXABuACAAIAAgACAAKQBcAG4AIAAgACkAOwBcAG4AXABu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AsAHsAIgBwAGEAdABoACIAOgAiAC8AcAByAG8AagBlAGMAdABzAC8AQQBnAHIAZQBzAGkAZAB1AGUAXwBTAG8AdQByAGMAZQBEAGEAdABhACIALAAiAHQAZQB4AHQAIgA6ACIALwAqAFwAbgA9AD0APQA9AD0APQA9AD0APQA9AD0APQA9AD0APQA9AD0APQA9AD0APQA9AD0APQA9AD0APQA9AD0APQA9AD0APQA9AD0APQA9AD0APQA9AD0APQA9AD0APQA9AD0APQA9AD0APQA9AD0APQA9AD0APQA9AD0APQA9AD0APQA9AD0APQA9AD0APQA9AD0APQA9AD0APQA9AFwAbgBDAHIAbwBwACAAcAB1AHIAcABvAHMAZQAgAGEAbgBkACAAeQBpAGUAbABkAFwAbgA9AD0APQA9AD0APQA9AD0APQA9AD0APQA9AD0APQA9AD0APQA9AD0APQA9AD0APQA9AD0APQA9AD0APQA9AD0APQA9AD0APQA9AD0APQA9AD0APQA9AD0APQA9AD0APQA9AD0APQA9AD0APQA9AD0APQA9AD0APQA9AD0APQA9AD0APQA9AD0APQA9AD0APQA9AD0APQA9AFwAbgAqAC8AXABuAFwAbgBDAHIAbwBwAFAAdQByAHAAbwBzAGUAQQBuAGQAWQBpAGUAbABkAF8AVABpAHQAbABlAFwAbgA9AEwAQQBNAEIARABBACgAKABcACIAQwByAG8AcAAgAHAAdQByAHAAbwBzAGUAIABhAG4AZAAgAHkAaQBlAGwAZABcACIAKQApADsAXABuAFwAbgBDAHIAbwBwAFAAdQByAHAAbwBzAGUAQQBuAGQAWQBpAGUAbABkAF8ARABhAHQAYQBcAG4APQBMAEEATQBCAEQAQQAoAFwAbgAgACAATQBBAEsARQBBAFIAUgBBAFkAKAA0ACwAIAA4ACwAXABuACAAIAAgACAATABBAE0AQgBEAEEAKAByACwAYwAsAFwAbgAgACAAIAAgACAAIABJAE4ARABFAFgAKAB7AFwAbgAgACAAIAAgACAAIAAgACAAXAAiAFAAdQByAHAAbwBzAGUAXAAiACwAIABcACIAUABlAHIAIABoAGUAYwB0AGEAcgBlACAAdQBuAGkAdABcACIALAAgAFwAIgBoAGEAcgB2AGUAcwB0ACAAdABlAHIAbQBcACIALAAgAFwAIgBoAGEAcgB2AGUAcwB0ACAAZQBuAGQAcABvAGkAbgB0AFwAIgAsACAAXAAiAEgAYQByAHYAZQBzAHQAIAB1AGkAdABcACIALAAgAFwAIgBZAGkAZQBsAGQAIABuAG8AdABlAFwAIgAsACAAXAAiAFIAZQBzAGkAZAB1AGUAIABjAHIAbwBwACAAcgBhAHQAaQBvACAAbgBvAHQAZQBcACIALAAgAFwAIgBUAG8AdABhAGwAIABwAHIAbwBkAHUAYwB0AGkAbwBuACAAbgBvAHQAZQBcACIAOwBcAG4AIAAgACAAIAAgACAAIAAgAFwAIgBDAGEAcwBoACAAZwByAGEAaQBuACAAYwByAG8AcABcACIALAAgAFwAIgBnAHIAYQBpAG4AXAAiACwAIABcACIAeQBpAGUAbABkAFwAIgAsACAAXAAiAGgAYQByAHYAZQBzAHQAXAAiACwAIABcACIAZwByAGEAaQBuAFwAIgAsACAAXAAiAFkAaQBlAGwAZAAgAGkAcwAgAHQAaABlACAAZwByAGEAaQBuACAAaABhAHIAdgBlAHMAdABlAGQAIABmAHIAbwBtACAAdABoAGUAIABwAGwAYQBuAHQAXAAiACwAIABcACIAUgBlAHMAaQBkAHUAZQAgAHQAbwAgAGMAcgBvAHAAIAByAGEAdABpAG8AIABpAHMAIABwAHIAbwB2AGkAZABlAGQAIABmAHIAbwBtACAAZABlAGYAYQB1AGwAdAAgAHYAYQBsAHUAZQBzAFwAIgAsACAAXAAiAFQAbwB0AGEAbAAgAHAAcgBvAGQAdQBjAHQAaQBvAG4AIABpAHMAIAB0AGgAZQAgAHQAbwB0AGEAbAAgAGcAcgBhAGkAbgAgAGgAYQByAHYAZQBzAHQAZQBkAFwAIgA7AFwAbgAgACAAIAAgACAAIAAgACAAXAAiAEMAYQBzAGgAIABjAHIAbwBwACAAZgBvAHIAIABoAGEAeQAvAHMAaQBsAGEAZwBlAFwAIgAsACAAXAAiAGEAYgBvAHYAZQAgAGcAcgBvAHUAbgBkACAAYgBpAG8AbQBhAHMAcwBcACIALAAgAFwAIgB5AGkAZQBsAGQAXAAiACwAIABcACIAaABhAHIAdgBlAHMAdABcACIALAAgAFwAIgBwAGwAYQBuAHQAIABiAGkAbwBtAGEAcwBzAFwAIgAsACAAXAAiAFkAaQBlAGwAZAAgAGkAcwAgAHQAaABlACAAdwBoAG8AbABlACAAcABsAGEAbgB0ACAAaABhAHIAdgBlAHMAdABlAGQAIABmAG8AcgAgAGgAYQB5AC8AcwBpAGwAYQBnAGUAXAAiACwAIABcACIAUgBlAHMAaQBkAHUAZQAgAHQAbwAgAGMAcgBvAHAAIAByAGEAdABpAG8AIABpAHMAIAAwACAAYQBzAHMAdQBtAGkAbgBnACAAdABoAGUAIAB3AGgAbwBsAGUAIABwAGwAYQBuAHQAIABpAHMAIABoAGEAcgB2AGUAcwB0AGUAZAAgAGYAbwByACAAaABhAHkALwBzAGkAbABhAGcAZQBcACIALAAgAFwAIgBUAG8AdABhAGwAIABwAHIAbwBkAHUAYwB0AGkAbwBuACAAaQBzACAAdABoAGUAIAB0AG8AdABhAGwAIAB3AGgAbwBsAGUAIABwAGwAYQBuAHQAIABiAGkAbwBtAGEAcwBzACAAaABhAHIAdgBlAHMAdABlAGQAIABhAHMAIABoAGEAeQAvAHMAaQBsAGEAZwBlAFwAIgA7AFwAbgAgACAAIAAgACAAIAAgACAAXAAiAEMAbwB2AGUAcgAgAGMAcgBvAHAAXAAiACwAIABcACIAYQBiAG8AdgBlACAAZwByAG8AdQBuAGQAIABiAGkAbwBtAGEAcwBzAFwAIgAsACAAXAAiAG0AYQBzAHMAXAAiACwAIABcACIAZQBuAGQAIABvAGYAIABjAHIAbwBwACAAYwB5AGMAbABlAFwAIgAsACAAXAAiAGEAYgBvAHYAZQAgAGcAcgBvAHUAbgBkACAAYgBpAG8AbQBhAHMAcwBcACIALAAgAFwAIgBZAGkAZQBsAGQAIABpAHMAIAB0AGgAZQAgAHcAaABvAGwAZQAgAHAAbABhAG4AdAAgAGsAZQBwAHQAIABhAHMAIABjAG8AdgBlAHIAIABjAHIAbwBwAFwAIgAsACAAXAAiAFIAZQBzAGkAZAB1AGUAIAB0AG8AIABjAHIAbwBwACAAcgBhAHQAaQBvACAAaQBzACAAMQAgAGEAcwBzAHUAbQBpAG4AZwAgAHQAaABlACAAdwBoAG8AbABlACAAcABsAGEAbgB0ACAAaQBzACAAawBlAHAAdAAgAGEAcwAgAGMAbwB2AGUAcgAgAGMAcgBvAHAAXAAiACwAIABcACIAVABvAHQAYQBsACAAcAByAG8AZAB1AGMAdABpAG8AbgAgAGkAcwAgAHQAaABlACAAdABvAHQAYQBsACAAdwBoAG8AbABlACAAcABsAGEAbgB0ACAAYgBpAG8AbQBhAHMAcwAgAGsAZQBwAHQAIABhAHMAIABjAG8AdgBlAHIAIABjAHIAbwBw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DAHIAbwBwACAAYQB0AHQAcgBpAGIAdQB0AGUAcwBcAG4APQA9AD0APQA9AD0APQA9AD0APQA9AD0APQA9AD0APQA9AD0APQA9AD0APQA9AD0APQA9AD0APQA9AD0APQA9AD0APQA9AD0APQA9AD0APQA9AD0APQA9AD0APQA9AD0APQA9AD0APQA9AD0APQA9AD0APQA9AD0APQA9AD0APQA9AD0APQA9AD0APQA9AD0APQA9AD0APQBcAG4AKgAvAFwAbgBcAG4AQwByAG8AcABBAHQAdAByAGkAYgB1AHQAZQBzAF8AVABpAHQAbABlAFwAbgA9AEwAQQBNAEIARABBACgAKABcACIAVABhAGIAbABlACAAQQAuADIALgAxAC4AMQA6ACAAQwByAG8AcAAgAGEAdAB0AHIAaQBiAHUAdABlAHMAXAAiACkAKQA7AFwAbgBcAG4AQwByAG8AcABBAHQAdAByAGkAYgB1AHQAZQBzAF8ARABlAHMAYwByAGkAcAB0AGkAbwBuAFwAbgA9AEwAQQBNAEIARABBACgAKABcACIAQwByAG8AcAAgAGEAdAB0AHIAaQBiAHUAdABlAHMAXAAiACkAKQA7AFwAbgBcAG4AQwByAG8AcABBAHQAdAByAGkAYgB1AHQAZQBzAF8AUwBvAHUAcgBjAGUAXABuAD0ATABBAE0AQgBEAEEAKAAoAFwAIgBWAEUARQBSAEcAIAAyADAAMgA2ADoAIABUAGEAYgBsAGUAIABBAC4AMgAuADEALgAxADoAIABDAHIAbwBwACAAYQB0AHQAcgBpAGIAdQB0AGUAcwBcACIAKQApADsAXABuAFwAbgBDAHIAbwBwAEEAdAB0AHIAaQBiAHUAdABlAHMAXwBEAGEAdABhAFwAbgA9AEwAQQBNAEIARABBACgAXABuACAAIABNAEEASwBFAEEAUgBSAEEAWQAoADIAMAAsACAAOQAsAFwAbgAgACAAIAAgAEwAQQBNAEIARABBACgAcgAsAGMALABcAG4AIAAgACAAIAAgACAASQBOAEQARQBYACgAewBcAG4AIAAgACAAIAAgACAAIAAgAFwAIgBDAHIAbwBwACAAdAB5AHAAZQBcACIALAAgAFwAIgBSAGUAcwBpAGQAdQBlADoAIABDAHIAbwBwACAAcgBhAHQAaQBvAFwAIgAsACAAXAAiAEIAZQBsAG8AdwAtAGcAcgBvAHUAbgBkADoAIABhAGIAbwB2AGUALQBnAHIAbwB1AG4AZAAgAHIAZQBzAGkAZAB1AGUAIAByAGEAdABpAG8AXAAiACwAIABcACIARAByAHkAIABtAGEAdAB0AGUAcgAgAGMAbwBuAHQAZQBuAHQAXAAiACwAIABcACIAQwBhAHIAYgBvAG4AIABmAHIAYQBjAHQAaQBvAG4AIABpAG4AIABkAHIAeQAgAG0AYQB0AHQAZQByAFwAIgAsACAAXAAiAE4AIABjAG8AbgB0AGUAbgB0ACAAYQBiAG8AdgBlAC0AZwByAG8AdQBuAGQAXAAiACwAIABcACIATgAgAGMAbwBuAHQAZQBuAHQAIABiAGUAbABvAHcALQBnAHIAbwB1AG4AZABcACIALAAgAFwAIgBGAHIAYQBjAHQAaQBvAG4AIABvAGYAIAByAGUAcwBpAGQAdQBlACAAcgBlAG0AYQBpAG4AaQBuAGcAIABhAHQAIAB0AGkAbQBlACAAbwBmACAAYgB1AHIAbgBpAG4AZwBcACIALAAgAFwAIgBCAHUAcgBuAGkAbgBnACAAZQBmAGYAaQBjAGkAZQBuAGMAeQB0AFwAIgA7AFwAbgAgACAAIAAgACAAIAAgACAAXAAiAGMAXAAiACwAIABcACIAUgBBAEcAYwBcACIALAAgAFwAIgBSAEIARwBjAFwAIgAsACAAXAAiAEQATQBjAFwAIgAsACAAXAAiAEMAQwBjAFwAIgAsACAAXAAiAE4AQwBBAEcAYwBcACIALAAgAFwAIgBOAEMAQgBHAGMAXAAiACwAIABcACIAUwBjAFwAIgAsACAAXAAiAFoAYwBcACIAOwBcAG4AIAAgACAAIAAgACAAIAAgAFwAIgBXAGgAZQBhAHQAXAAiACwAIAAxAC4ANQAwACwAIAAwAC4AMgA5ACwAIAAwAC4AOAA4ACwAIAAwAC4ANAAwACwAIAAwAC4AMAAwADYALAAgADAALgAwADEAMAAsACAAMAAuADUALAAgADAALgA5ADAAOwBcAG4AIAAgACAAIAAgACAAIAAgAFwAIgBCAGEAcgBsAGUAeQBcACIALAAgADEALgAyADQALAAgADAALgAzADIALAAgADAALgA4ADgALAAgADAALgA0ADAALAAgADAALgAwADAANwAsACAAMAAuADAAMQAwACwAIAAwAC4ANQAsACAAMAAuADgANQA7AFwAbgAgACAAIAAgACAAIAAgACAAXAAiAE0AYQBpAHoAZQBcACIALAAgADAALgA4ADEALAAgADAALgAzADkALAAgADAALgA4ADUALAAgADAALgA0ADIALAAgADAALgAwADAANQAsACAAMAAuADAAMAA3ACwAIAAxAC4AMAAsACAAMAAuADgAMAA7AFwAbgAgACAAIAAgACAAIAAgACAAXAAiAE8AYQB0AHMAXAAiACwAIAAxAC4ANAAyACwAIAAwAC4ANAAzACwAIAAwAC4AOAA4ACwAIAAwAC4ANAAwACwAIAAwAC4AMAAwADYALAAgADAALgAwADEAMAAsACAAMAAuADUALAAgADAALgA4ADUAOwBcAG4AIAAgACAAIAAgACAAIAAgAFwAIgBSAGkAYwBlAFwAIgAsACAAMQAuADMAMQAsACAAMAAuADEANgAsACAAMAAuADgAMAAsACAAMAAuADQAMgAsACAAMAAuADAAMAA3ACwAIAAwAC4AMAAxADAALAAgADEALgAwACwAIAAwAC4AOAAwADsAXABuACAAIAAgACAAIAAgACAAIABcACIAUwBvAHIAZwBoAHUAbQBcACIALAAgADEALgA1ADAALAAgADAALgAyADIALAAgADAALgA4ADAALAAgADAALgA0ADAALAAgADAALgAwADAAOAAsACAAMAAuADAAMAA3ACwAIAAwAC4ANQAsACAAMAAuADgANQA7AFwAbgAgACAAIAAgACAAIAAgACAAXAAiAFQAcgBpAHQAaQBjAGEAbABlAFwAIgAsACAAMQAuADUAMAAsACAAMAAuADQAMgAsACAAMAAuADgAOAAsACAAMAAuADQAMAAsACAAMAAuADAAMAA2ACwAIAAwAC4AMAAxADAALAAgADAALgA1ACwAIAAwAC4AOAA1ADsAXABuACAAIAAgACAAIAAgACAAIABcACIATwB0AGgAZQByACAAYwBlAHIAZQBhAGwAcwBcACIALAAgADEALgA0ADYALAAgADAALgAzADYALAAgADAALgA4ADgALAAgADAALgA0ADAALAAgADAALgAwADAANgAsACAAMAAuADAAMQAwACwAIAAwAC4ANQAsACAAMAAuADgANQA7AFwAbgAgACAAIAAgACAAIAAgACAAXAAiAFAAdQBsAHMAZQBzAFwAIgAsACAAMQAuADMANwAsACAAMAAuADUAMQAsACAAMAAuADgANwAsACAAMAAuADQAMAAsACAAMAAuADAAMAA5ACwAIAAwAC4AMAAxADAALAAgADAALgA1ACwAIAAwAC4AOAA1ADsAXABuACAAIAAgACAAIAAgACAAIABcACIAVAB1AGIAZQByAHMAIABhAG4AZAAgAHIAbwBvAHQAcwBcACIALAAgADAALgAzADQALAAgADAALgA0ADMALAAgADAALgAyADUALAAgADAALgA0ADAALAAgADAALgAwADIAMAAsACAAMAAuADAAMQAwACwAIABcACIAbgAvAGEAXAAiACwAIAAwAC4AOAA1ADsAXABuACAAIAAgACAAIAAgACAAIABcACIAUABlAGEAbgB1AHQAcwBcACIALAAgADEALgAwADcALAAgADAALgAyADAALAAgADAALgA4ADAALAAgADAALgA0ADIALAAgADAALgAwADEANgAsACAAMAAuADAAMQA0ACwAIAAwAC4ANQAsACAAMAAuADgANQA7AFwAbgAgACAAIAAgACAAIAAgACAAXAAiAFMAdQBnAGEAcgAgAGMAYQBuAGUAXAAiACwAIAAwAC4AMgA1ACwAIAAwAC4ANAA1ACwAIAAwAC4AMgAwACwAIAAwAC4ANAAwACwAIAAwAC4AMAAwADUALAAgADAALgAwADAANwAsACAAMQAuADAALAAgADAALgA4ADAAOwBcAG4AIAAgACAAIAAgACAAIAAgAFwAIgBDAG8AdAB0AG8AbgBcACIALAAgADEALgA5ADAALAAgADAALgAzADAALAAgADAALgA5ADAALAAgADAALgA0ADAALAAgADAALgAwADEALAAgADAALgAwADEALAAgAFwAIgBuAC8AYQBcACIALAAgADAALgA4ADUAOwBcAG4AIAAgACAAIAAgACAAIAAgAFwAIgBIAG8AcABzAFwAIgAsACAAMQAuADUAMAAsACAAMAAuADIAOQAsACAAMAAuADgAOAAsACAAMAAuADQAMAAsACAAMAAuADAAMAA2ACwAIABcACIAbgAvAGEAXAAiACwAIABcACIAbgAvAGEAXAAiACwAIAAwAC4AOAA1ADsAXABuACAAIAAgACAAIAAgACAAIABcACIATwBpAGwAcwBlAGUAZABzAFwAIgAsACAAMgAuADAAOAAsACAAMAAuADMAMwAsACAAMAAuADkANgAsACAAMAAuADQAMAAsACAAMAAuADAAMAA5ACwAIAAwAC4AMAAxADAALAAgADAALgA1ACwAIAAwAC4AOAA1ADsAXABuACAAIAAgACAAIAAgACAAIABcACIARgBvAHIAYQBnAGUAIABjAHIAbwBwAHMAXAAiACwAIAAxAC4AMwA0ACwAIAAwAC4AMwA3ACwAIAAwAC4AOAA4ACwAIAAwAC4ANAAwACwAIAAwAC4AMAAwADYALAAgADAALgAwADEAMAAsACAAXAAiAG4ALwBhAFwAIgAsACAAMAAuADgANQA7AFwAbgAgACAAIAAgACAAIAAgACAAXAAiAE8AdABoAGUAcgAgAGEAbgBuAHUAYQBsACAAYwByAG8AcABzAFwAIgAsACAAMQAuADAAMAAsACAAMAAuADIAMgAsACAAMAAuADgANQAsACAAMAAuADQAMAAsACAAMAAuADAAMAA4ACwAIAAwAC4AMAAwADkALAAgAFwAIgBuAC8AYQBcACIALAAgAFwAIgBuAC8AYQBcACIAOwBcAG4AIAAgACAAIAAgACAAIAAgAFwAIgBPAHQAaABlAHIAIABwAGUAcgBlAG4AbgBpAGEAbAAgAGMAcgBvAHAAcwBcACIALAAgADEALgA1ACwAIAAwAC4AMgA5ACwAIAAwAC4AOAA4ACwAIAAwAC4ANAAsACAAMAAuADAAMAA2ACwAIABcACIAbgAvAGEAXAAiACwAIABcACIAbgAvAGEAXAAiACwAIABcACIAbgAvAGEAXAAiAFwAbgAgACAAIAAgACAAIAB9ACwAIAByACwAIABjACkAXABuACkAKQApADsAXABuAFwAbgBDAHIAbwBwAEEAdAB0AHIAaQBiAHUAdABlAHMAXwBWAGEAcgBpAGEAdABpAG8AbgBcAG4APQBMAEEATQBCAEQAQQAoACgAXAAiAFYAQQBSAEkAQQBUAEkATwBOACAARgBSAE8ATQAgAFMATwBVAFIAQwBFADoAIABcAHUAMAAwADIANwBOAC8AQQBcAHUAMAAwADIANwAgAHYAYQBsAHUAZQBzACAAcABhAHMAcwBlAGQAIABhAHMAIAB6AGUAcgBvACAAZgBvAHIAIABjAGEAbABjAHUAbABhAHQAaQBvAG4AcwAuAFwAIgApACkAOwBcAG4AXABuAC8AKgBcAG4APQA9AD0APQA9AD0APQA9AD0APQA9AD0APQA9AD0APQA9AD0APQA9AD0APQA9AD0APQA9AD0APQA9AD0APQA9AD0APQA9AD0APQA9AD0APQA9AD0APQA9AD0APQA9AD0APQA9AD0APQA9AD0APQA9AD0APQA9AD0APQA9AD0APQA9AD0APQA9AD0APQA9AD0APQA9AD0APQBcAG4AQwByAG8AcAAgAGEAdAB0AHIAaQBiAHUAdABlAHMAIAAtACAARgByAGEAYwB0AGkAbwBuACAAcgBlAG0AbwB2AGUAZAAgACgARgBGAE8ARABjACkAXABuAD0APQA9AD0APQA9AD0APQA9AD0APQA9AD0APQA9AD0APQA9AD0APQA9AD0APQA9AD0APQA9AD0APQA9AD0APQA9AD0APQA9AD0APQA9AD0APQA9AD0APQA9AD0APQA9AD0APQA9AD0APQA9AD0APQA9AD0APQA9AD0APQA9AD0APQA9AD0APQA9AD0APQA9AD0APQA9AD0AXABuACoALwBcAG4AXABuAEMAcgBvAHAARgByAGEAYwB0AGkAbwBuAFIAZQBtAG8AdgBlAGQAXwBUAGkAdABsAGUAXABuAD0ATABBAE0AQgBEAEEAKAAoAFwAIgBUAGEAYgBsAGUAIABBAC4AMgAuADEALgAyADoAIABDAHIAbwBwACAAYQB0AHQAcgBpAGIAdQB0AGUAcwAgAC0AIABGAHIAYQBjAHQAaQBvAG4AIAByAGUAbQBvAHYAZQBkACAAKABGAEYATwBEAGMAKQBcACIAKQApADsAXABuAFwAbgBDAHIAbwBwAEYAcgBhAGMAdABpAG8AbgBSAGUAbQBvAHYAZQBkAF8ARABlAHMAYwByAGkAcAB0AGkAbwBuAFwAbgA9AEwAQQBNAEIARABBACgAKABcACIAQwByAG8AcAAgAGEAdAB0AHIAaQBiAHUAdABlAHMAIAAtACAARgByAGEAYwB0AGkAbwBuACAAcgBlAG0AbwB2AGUAZAAgACgARgBGAE8ARABjACkAXAAiACkAKQA7AFwAbgBcAG4AQwByAG8AcABGAHIAYQBjAHQAaQBvAG4AUgBlAG0AbwB2AGUAZABfAFMAbwB1AHIAYwBlAFwAbgA9AEwAQQBNAEIARABBACgAKABcACIAVgBFAEUAUgBHACAAMgAwADIANgA6ACAAVABhAGIAbABlACAAQQAuADIALgAxAC4AMgA6ACAAQwByAG8AcAAgAGEAdAB0AHIAaQBiAHUAdABlAHMAIAAtACAARgByAGEAYwB0AGkAbwBuACAAcgBlAG0AbwB2AGUAZAAgACgARgBGAE8ARABjACkAXAAiACkAKQA7AFwAbgBcAG4AQwByAG8AcABGAHIAYQBjAHQAaQBvAG4AUgBlAG0AbwB2AGUAZABfAEQAYQB0AGEAXABuAD0ATABBAE0AQgBEAEEAKABcAG4AIAAgAE0AQQBLAEUAQQBSAFIAQQBZACgAMQA3ACwAIAAzACwAXABuACAAIAAgACAATABBAE0AQgBEAEEAKAByACwAYwAsAFwAbgAgACAAIAAgACAAIABJAE4ARABFAFgAKAB7AFwAbgAgACAAIAAgACAAIAAgACAAXAAiAEMAcgBvAHAAIAB0AHkAcABlACAAYwBcACIALAAgAFwAIgBTAHQAYQB0AGUAXAAiACwAIABcACIARgByAGEAYwB0AGkAbwBuACAAcgBlAG0AbwB2AGUAZAAgAEYARgBPAEQAYwBcACIAOwBcAG4AIAAgACAAIAAgACAAIAAgAFwAIgBSAGkAYwBlAFwAIgAsACAAXAAiAEEAbABsACAAcwB0AGEAdABlAHMAXAAiACwAIAAwAC4AMAA2ADsAXABuACAAIAAgACAAIAAgACAAIABcACIAVAB1AGIAZQByAHMAIABhAG4AZAAgAHIAbwBvAHQAcwBcACIALAAgAFwAIgBBAGwAbAAgAHMAdABhAHQAZQBzAFwAIgAsACAAMQA7AFwAbgAgACAAIAAgACAAIAAgACAAXAAiAEMAbwB0AHQAbwBuAFwAIgAsACAAXAAiAEEAbABsACAAcwB0AGEAdABlAHMAXAAiACwAIAAwADsAXABuACAAIAAgACAAIAAgACAAIABcACIASABvAHAAcwBcACIALAAgAFwAIgBBAGwAbAAgAHMAdABhAHQAZQBzAFwAIgAsACAAMAA7AFwAbgAgACAAIAAgACAAIAAgACAAXAAiAEYAbwByAGEAZwBlACAAYwByAG8AcABzAFwAIgAsACAAXAAiAEEAbABsACAAcwB0AGEAdABlAHMAXAAiACwAIAAwAC4AOAA7AFwAbgAgACAAIAAgACAAIAAgACAAXAAiAFMAdQBnAGEAcgAgAEMAYQBuAGUAXAAiACwAIABcACIATgBTAFcAXAAiACwAIAAwADsAXABuACAAIAAgACAAIAAgACAAIABcACIAUwB1AGcAYQByACAAQwBhAG4AZQBcACIALAAgAFwAIgBRAEwARABcACIALAAgADAALgAwADMAOwBcAG4AIAAgACAAIAAgACAAIAAgAFwAIgBTAHUAZwBhAHIAIABDAGEAbgBlAFwAIgAsACAAXAAiAFcAQQBcACIALAAgADAAOwBcAG4AIAAgACAAIAAgACAAIAAgAFwAIgBBAGwAbAAgAG8AdABoAGUAcgAgAGMAcgBvAHAAIAB0AHkAcABlAHMAXAAiACwAIABcACIATgBTAFcAXAAiACwAIAAwAC4AMAA1ADsAXABuACAAIAAgACAAIAAgACAAIABcACIAQQBsAGwAIABvAHQAaABlAHIAIABjAHIAbwBwACAAdAB5AHAAZQBzAFwAIgAsACAAXAAiAFYASQBDAFwAIgAsACAAMAAuADAANwA7AFwAbgAgACAAIAAgACAAIAAgACAAXAAiAEEAbABsACAAbwB0AGgAZQByACAAYwByAG8AcAAgAHQAeQBwAGUAcwBcACIALAAgAFwAIgBRAEwARABcACIALAAgADAALgAwADQAOwBcAG4AIAAgACAAIAAgACAAIAAgAFwAIgBBAGwAbAAgAG8AdABoAGUAcgAgAGMAcgBvAHAAIAB0AHkAcABlAHMAXAAiACwAIABcACIAUwBBAFwAIgAsACAAMAAuADAAOQA7AFwAbgAgACAAIAAgACAAIAAgACAAXAAiAEEAbABsACAAbwB0AGgAZQByACAAYwByAG8AcAAgAHQAeQBwAGUAcwBcACIALAAgAFwAIgBXAEEAXAAiACwAIAAwAC4AMQAxADsAXABuACAAIAAgACAAIAAgACAAIABcACIAQQBsAGwAIABvAHQAaABlAHIAIABjAHIAbwBwACAAdAB5AHAAZQBzAFwAIgAsACAAXAAiAFQAQQBTAFwAIgAsACAAMAAuADEANgA7AFwAbgAgACAAIAAgACAAIAAgACAAXAAiAEEAbABsACAAbwB0AGgAZQByACAAYwByAG8AcAAgAHQAeQBwAGUAcwBcACIALAAgAFwAIgBOAFQAXAAiACwAIAAwAC4AMAAxADsAXABuACAAIAAgACAAIAAgACAAIABcACIAQQBsAGwAIABvAHQAaABlAHIAIABjAHIAbwBwACAAdAB5AHAAZQBzAFwAIgAsACAAXAAiAEEAQwBUAFwAIgAsACAAMAAuADAAMABcAG4AIAAgACAAIAAgACAAfQAsACAAcgAsACAAYwApAFwAbgApACkAKQA7AFwAbgBcAG4AQwByAG8AcABGAHIAYQBjAHQAaQBvAG4AUgBlAG0AbwB2AGUAZABfAEMAdQBzAHQAbwBtAGkAcwBlAGQARABhAHQAYQBcAG4APQBMAEEATQBCAEQAQQAoAFwAbgAgACAATQBBAEsARQBBAFIAUgBBAFkAKAAxADQANAAsACAAMwAsAFwAbgAgACAAIAAgAEwAQQBNAEIARABBACgAcgAsAGMALABcAG4AIAAgACAAIAAgACAASQBOAEQARQBYACgAewBcAG4AIAAgACAAIAAgACAAIAAgAFwAIgBDAHIAbwBwACAAdAB5AHAAZQAgAGMAXAAiACwAIABcACIAUwB0AGEAdABlAFwAIgAsACAAXAAiAEYAcgBhAGMAdABpAG8AbgAgAHIAZQBtAG8AdgBlAGQAIABGAEYATwBEAGMAXAAiADsAXABuACAAIAAgACAAIAAgACAAIABcACIAUgBpAGMAZQBcACIALAAgAFwAIgBOAFMAVwBcACIALAAgADAALgAwADYAOwBcAG4AIAAgACAAIAAgACAAIAAgAFwAIgBSAGkAYwBlAFwAIgAsACAAXAAiAFYASQBDAFwAIgAsACAAMAAuADAANgA7AFwAbgAgACAAIAAgACAAIAAgACAAXAAiAFIAaQBjAGUAXAAiACwAIABcACIAUQBMAEQAXAAiACwAIAAwAC4AMAA2ADsAXABuACAAIAAgACAAIAAgACAAIABcACIAUgBpAGMAZQBcACIALAAgAFwAIgBTAEEAXAAiACwAIAAwAC4AMAA2ADsAXABuACAAIAAgACAAIAAgACAAIABcACIAUgBpAGMAZQBcACIALAAgAFwAIgBXAEEAXAAiACwAIAAwAC4AMAA2ADsAXABuACAAIAAgACAAIAAgACAAIABcACIAUgBpAGMAZQBcACIALAAgAFwAIgBUAEEAUwBcACIALAAgADAALgAwADYAOwBcAG4AIAAgACAAIAAgACAAIAAgAFwAIgBSAGkAYwBlAFwAIgAsACAAXAAiAE4AVABcACIALAAgADAALgAwADYAOwBcAG4AIAAgACAAIAAgACAAIAAgAFwAIgBSAGkAYwBlAFwAIgAsACAAXAAiAEEAQwBUAFwAIgAsACAAMAAuADAANgA7AFwAbgAgACAAIAAgACAAIAAgACAAXAAiAFQAdQBiAGUAcgBzACAAYQBuAGQAIAByAG8AbwB0AHMAXAAiACwAIABcACIATgBTAFcAXAAiACwAIAAxADsAXABuACAAIAAgACAAIAAgACAAIABcACIAVAB1AGIAZQByAHMAIABhAG4AZAAgAHIAbwBvAHQAcwBcACIALAAgAFwAIgBWAEkAQwBcACIALAAgADEAOwBcAG4AIAAgACAAIAAgACAAIAAgAFwAIgBUAHUAYgBlAHIAcwAgAGEAbgBkACAAcgBvAG8AdABzAFwAIgAsACAAXAAiAFEATABEAFwAIgAsACAAMQA7AFwAbgAgACAAIAAgACAAIAAgACAAXAAiAFQAdQBiAGUAcgBzACAAYQBuAGQAIAByAG8AbwB0AHMAXAAiACwAIABcACIAUwBBAFwAIgAsACAAMQA7AFwAbgAgACAAIAAgACAAIAAgACAAXAAiAFQAdQBiAGUAcgBzACAAYQBuAGQAIAByAG8AbwB0AHMAXAAiACwAIABcACIAVwBBAFwAIgAsACAAMQA7AFwAbgAgACAAIAAgACAAIAAgACAAXAAiAFQAdQBiAGUAcgBzACAAYQBuAGQAIAByAG8AbwB0AHMAXAAiACwAIABcACIAVABBAFMAXAAiACwAIAAxADsAXABuACAAIAAgACAAIAAgACAAIABcACIAVAB1AGIAZQByAHMAIABhAG4AZAAgAHIAbwBvAHQAcwBcACIALAAgAFwAIgBOAFQAXAAiACwAIAAxADsAXABuACAAIAAgACAAIAAgACAAIABcACIAVAB1AGIAZQByAHMAIABhAG4AZAAgAHIAbwBvAHQAcwBcACIALAAgAFwAIgBBAEMAVABcACIALAAgADEAOwBcAG4AIAAgACAAIAAgACAAIAAgAFwAIgBDAG8AdAB0AG8AbgBcACIALAAgAFwAIgBOAFMAVwBcACIALAAgADAAOwBcAG4AIAAgACAAIAAgACAAIAAgAFwAIgBDAG8AdAB0AG8AbgBcACIALAAgAFwAIgBWAEkAQwBcACIALAAgADAAOwBcAG4AIAAgACAAIAAgACAAIAAgAFwAIgBDAG8AdAB0AG8AbgBcACIALAAgAFwAIgBRAEwARABcACIALAAgADAAOwBcAG4AIAAgACAAIAAgACAAIAAgAFwAIgBDAG8AdAB0AG8AbgBcACIALAAgAFwAIgBTAEEAXAAiACwAIAAwADsAXABuACAAIAAgACAAIAAgACAAIABcACIAQwBvAHQAdABvAG4AXAAiACwAIABcACIAVwBBAFwAIgAsACAAMAA7AFwAbgAgACAAIAAgACAAIAAgACAAXAAiAEMAbwB0AHQAbwBuAFwAIgAsACAAXAAiAFQAQQBTAFwAIgAsACAAMAA7AFwAbgAgACAAIAAgACAAIAAgACAAXAAiAEMAbwB0AHQAbwBuAFwAIgAsACAAXAAiAE4AVABcACIALAAgADAAOwBcAG4AIAAgACAAIAAgACAAIAAgAFwAIgBDAG8AdAB0AG8AbgBcACIALAAgAFwAIgBBAEMAVABcACIALAAgADAAOwBcAG4AIAAgACAAIAAgACAAIAAgAFwAIgBIAG8AcABzAFwAIgAsACAAXAAiAE4AUwBXAFwAIgAsACAAMAA7AFwAbgAgACAAIAAgACAAIAAgACAAXAAiAEgAbwBwAHMAXAAiACwAIABcACIAVgBJAEMAXAAiACwAIAAwADsAXABuACAAIAAgACAAIAAgACAAIABcACIASABvAHAAcwBcACIALAAgAFwAIgBRAEwARABcACIALAAgADAAOwBcAG4AIAAgACAAIAAgACAAIAAgAFwAIgBIAG8AcABzAFwAIgAsACAAXAAiAFMAQQBcACIALAAgADAAOwBcAG4AIAAgACAAIAAgACAAIAAgAFwAIgBIAG8AcABzAFwAIgAsACAAXAAiAFcAQQBcACIALAAgADAAOwBcAG4AIAAgACAAIAAgACAAIAAgAFwAIgBIAG8AcABzAFwAIgAsACAAXAAiAFQAQQBTAFwAIgAsACAAMAA7AFwAbgAgACAAIAAgACAAIAAgACAAXAAiAEgAbwBwAHMAXAAiACwAIABcACIATgBUAFwAIgAsACAAMAA7AFwAbgAgACAAIAAgACAAIAAgACAAXAAiAEgAbwBwAHMAXAAiACwAIABcACIAQQBDAFQAXAAiACwAIAAwADsAXABuACAAIAAgACAAIAAgACAAIABcACIARgBvAHIAYQBnAGUAIABjAHIAbwBwAHMAXAAiACwAIABcACIATgBTAFcAXAAiACwAIAAwAC4AOAA7AFwAbgAgACAAIAAgACAAIAAgACAAXAAiAEYAbwByAGEAZwBlACAAYwByAG8AcABzAFwAIgAsACAAXAAiAFYASQBDAFwAIgAsACAAMAAuADgAOwBcAG4AIAAgACAAIAAgACAAIAAgAFwAIgBGAG8AcgBhAGcAZQAgAGMAcgBvAHAAcwBcACIALAAgAFwAIgBRAEwARABcACIALAAgADAALgA4ADsAXABuACAAIAAgACAAIAAgACAAIABcACIARgBvAHIAYQBnAGUAIABjAHIAbwBwAHMAXAAiACwAIABcACIAUwBBAFwAIgAsACAAMAAuADgAOwBcAG4AIAAgACAAIAAgACAAIAAgAFwAIgBGAG8AcgBhAGcAZQAgAGMAcgBvAHAAcwBcACIALAAgAFwAIgBXAEEAXAAiACwAIAAwAC4AOAA7AFwAbgAgACAAIAAgACAAIAAgACAAXAAiAEYAbwByAGEAZwBlACAAYwByAG8AcABzAFwAIgAsACAAXAAiAFQAQQBTAFwAIgAsACAAMAAuADgAOwBcAG4AIAAgACAAIAAgACAAIAAgAFwAIgBGAG8AcgBhAGcAZQAgAGMAcgBvAHAAcwBcACIALAAgAFwAIgBOAFQAXAAiACwAIAAwAC4AOAA7AFwAbgAgACAAIAAgACAAIAAgACAAXAAiAEYAbwByAGEAZwBlACAAYwByAG8AcABzAFwAIgAsACAAXAAiAEEAQwBUAFwAIgAsACAAMAAuADgAOwBcAG4AIAAgACAAIAAgACAAIAAgAFwAIgBTAHUAZwBhAHIAIABDAGEAbgBlAFwAIgAsACAAXAAiAE4AUwBXAFwAIgAsACAAMAA7AFwAbgAgACAAIAAgACAAIAAgACAAXAAiAFMAdQBnAGEAcgAgAEMAYQBuAGUAXAAiACwAIABcACIAVgBJAEMAXAAiACwAIABcACIATgAvAEEAXAAiADsAXABuACAAIAAgACAAIAAgACAAIABcACIAUwB1AGcAYQByACAAQwBhAG4AZQBcACIALAAgAFwAIgBRAEwARABcACIALAAgADAALgAwADMAOwBcAG4AIAAgACAAIAAgACAAIAAgAFwAIgBTAHUAZwBhAHIAIABDAGEAbgBlAFwAIgAsACAAXAAiAFMAQQBcACIALAAgAFwAIgBOAC8AQQBcACIAOwBcAG4AIAAgACAAIAAgACAAIAAgAFwAIgBTAHUAZwBhAHIAIABDAGEAbgBlAFwAIgAsACAAXAAiAFcAQQBcACIALAAgADAAOwBcAG4AIAAgACAAIAAgACAAIAAgAFwAIgBTAHUAZwBhAHIAIABDAGEAbgBlAFwAIgAsACAAXAAiAFQAQQBTAFwAIgAsACAAXAAiAE4ALwBBAFwAIgA7AFwAbgAgACAAIAAgACAAIAAgACAAXAAiAFMAdQBnAGEAcgAgAEMAYQBuAGUAXAAiACwAIABcACIATgBUAFwAIgAsACAAXAAiAE4ALwBBAFwAIgA7AFwAbgAgACAAIAAgACAAIAAgACAAXAAiAFMAdQBnAGEAcgAgAEMAYQBuAGUAXAAiACwAIABcACIAQQBDAFQAXAAiACwAIABcACIATgAvAEEAXAAiADsAXABuACAAIAAgACAAIAAgACAAIABcACIAVwBoAGUAYQB0AFwAIgAsACAAXAAiAE4AUwBXAFwAIgAsACAAMAAuADAANQA7AFwAbgAgACAAIAAgACAAIAAgACAAXAAiAFcAaABlAGEAdABcACIALAAgAFwAIgBWAEkAQwBcACIALAAgADAALgAwADcAOwBcAG4AIAAgACAAIAAgACAAIAAgAFwAIgBXAGgAZQBhAHQAXAAiACwAIABcACIAUQBMAEQAXAAiACwAIAAwAC4AMAA0ADsAXABuACAAIAAgACAAIAAgACAAIABcACIAVwBoAGUAYQB0AFwAIgAsACAAXAAiAFMAQQBcACIALAAgADAALgAwADkAOwBcAG4AIAAgACAAIAAgACAAIAAgAFwAIgBXAGgAZQBhAHQAXAAiACwAIABcACIAVwBBAFwAIgAsACAAMAAuADEAMQA7AFwAbgAgACAAIAAgACAAIAAgACAAXAAiAFcAaABlAGEAdABcACIALAAgAFwAIgBUAEEAUwBcACIALAAgADAALgAxADYAOwBcAG4AIAAgACAAIAAgACAAIAAgAFwAIgBXAGgAZQBhAHQAXAAiACwAIABcACIATgBUAFwAIgAsACAAMAAuADAAMQA7AFwAbgAgACAAIAAgACAAIAAgACAAXAAiAFcAaABlAGEAdABcACIALAAgAFwAIgBBAEMAVABcACIALAAgADAALgAwADAAOwBcAG4AIAAgACAAIAAgACAAIAAgAFwAIgBCAGEAcgBsAGUAeQBcACIALAAgAFwAIgBOAFMAVwBcACIALAAgADAALgAwADUAOwBcAG4AIAAgACAAIAAgACAAIAAgAFwAIgBCAGEAcgBsAGUAeQBcACIALAAgAFwAIgBWAEkAQwBcACIALAAgADAALgAwADcAOwBcAG4AIAAgACAAIAAgACAAIAAgAFwAIgBCAGEAcgBsAGUAeQBcACIALAAgAFwAIgBRAEwARABcACIALAAgADAALgAwADQAOwBcAG4AIAAgACAAIAAgACAAIAAgAFwAIgBCAGEAcgBsAGUAeQBcACIALAAgAFwAIgBTAEEAXAAiACwAIAAwAC4AMAA5ADsAXABuACAAIAAgACAAIAAgACAAIABcACIAQgBhAHIAbABlAHkAXAAiACwAIABcACIAVwBBAFwAIgAsACAAMAAuADEAMQA7AFwAbgAgACAAIAAgACAAIAAgACAAXAAiAEIAYQByAGwAZQB5AFwAIgAsACAAXAAiAFQAQQBTAFwAIgAsACAAMAAuADEANgA7AFwAbgAgACAAIAAgACAAIAAgACAAXAAiAEIAYQByAGwAZQB5AFwAIgAsACAAXAAiAE4AVABcACIALAAgADAALgAwADEAOwBcAG4AIAAgACAAIAAgACAAIAAgAFwAIgBCAGEAcgBsAGUAeQBcACIALAAgAFwAIgBBAEMAVABcACIALAAgADAALgAwADAAOwBcAG4AIAAgACAAIAAgACAAIAAgAFwAIgBNAGEAaQB6AGUAXAAiACwAIABcACIATgBTAFcAXAAiACwAIAAwAC4AMAA1ADsAXABuACAAIAAgACAAIAAgACAAIABcACIATQBhAGkAegBlAFwAIgAsACAAXAAiAFYASQBDAFwAIgAsACAAMAAuADAANwA7AFwAbgAgACAAIAAgACAAIAAgACAAXAAiAE0AYQBpAHoAZQBcACIALAAgAFwAIgBRAEwARABcACIALAAgADAALgAwADQAOwBcAG4AIAAgACAAIAAgACAAIAAgAFwAIgBNAGEAaQB6AGUAXAAiACwAIABcACIAUwBBAFwAIgAsACAAMAAuADAAOQA7AFwAbgAgACAAIAAgACAAIAAgACAAXAAiAE0AYQBpAHoAZQBcACIALAAgAFwAIgBXAEEAXAAiACwAIAAwAC4AMQAxADsAXABuACAAIAAgACAAIAAgACAAIABcACIATQBhAGkAegBlAFwAIgAsACAAXAAiAFQAQQBTAFwAIgAsACAAMAAuADEANgA7AFwAbgAgACAAIAAgACAAIAAgACAAXAAiAE0AYQBpAHoAZQBcACIALAAgAFwAIgBOAFQAXAAiACwAIAAwAC4AMAAxADsAXABuACAAIAAgACAAIAAgACAAIABcACIATQBhAGkAegBlAFwAIgAsACAAXAAiAEEAQwBUAFwAIgAsACAAMAAuADAAMAA7AFwAbgAgACAAIAAgACAAIAAgACAAXAAiAE8AYQB0AHMAXAAiACwAIABcACIATgBTAFcAXAAiACwAIAAwAC4AMAA1ADsAXABuACAAIAAgACAAIAAgACAAIABcACIATwBhAHQAcwBcACIALAAgAFwAIgBWAEkAQwBcACIALAAgADAALgAwADcAOwBcAG4AIAAgACAAIAAgACAAIAAgAFwAIgBPAGEAdABzAFwAIgAsACAAXAAiAFEATABEAFwAIgAsACAAMAAuADAANAA7AFwAbgAgACAAIAAgACAAIAAgACAAXAAiAE8AYQB0AHMAXAAiACwAIABcACIAUwBBAFwAIgAsACAAMAAuADAAOQA7AFwAbgAgACAAIAAgACAAIAAgACAAXAAiAE8AYQB0AHMAXAAiACwAIABcACIAVwBBAFwAIgAsACAAMAAuADEAMQA7AFwAbgAgACAAIAAgACAAIAAgACAAXAAiAE8AYQB0AHMAXAAiACwAIABcACIAVABBAFMAXAAiACwAIAAwAC4AMQA2ADsAXABuACAAIAAgACAAIAAgACAAIABcACIATwBhAHQAcwBcACIALAAgAFwAIgBOAFQAXAAiACwAIAAwAC4AMAAxADsAXABuACAAIAAgACAAIAAgACAAIABcACIATwBhAHQAcwBcACIALAAgAFwAIgBBAEMAVABcACIALAAgADAALgAwADAAOwBcAG4AIAAgACAAIAAgACAAIAAgAFwAIgBTAG8AcgBnAGgAdQBtAFwAIgAsACAAXAAiAE4AUwBXAFwAIgAsACAAMAAuADAANQA7AFwAbgAgACAAIAAgACAAIAAgACAAXAAiAFMAbwByAGcAaAB1AG0AXAAiACwAIABcACIAVgBJAEMAXAAiACwAIAAwAC4AMAA3ADsAXABuACAAIAAgACAAIAAgACAAIABcACIAUwBvAHIAZwBoAHUAbQBcACIALAAgAFwAIgBRAEwARABcACIALAAgADAALgAwADQAOwBcAG4AIAAgACAAIAAgACAAIAAgAFwAIgBTAG8AcgBnAGgAdQBtAFwAIgAsACAAXAAiAFMAQQBcACIALAAgADAALgAwADkAOwBcAG4AIAAgACAAIAAgACAAIAAgAFwAIgBTAG8AcgBnAGgAdQBtAFwAIgAsACAAXAAiAFcAQQBcACIALAAgADAALgAxADEAOwBcAG4AIAAgACAAIAAgACAAIAAgAFwAIgBTAG8AcgBnAGgAdQBtAFwAIgAsACAAXAAiAFQAQQBTAFwAIgAsACAAMAAuADEANgA7AFwAbgAgACAAIAAgACAAIAAgACAAXAAiAFMAbwByAGcAaAB1AG0AXAAiACwAIABcACIATgBUAFwAIgAsACAAMAAuADAAMQA7AFwAbgAgACAAIAAgACAAIAAgACAAXAAiAFMAbwByAGcAaAB1AG0AXAAiACwAIABcACIAQQBDAFQAXAAiACwAIAAwAC4AMAAwADsAXABuACAAIAAgACAAIAAgACAAIABcACIAVAByAGkAdABpAGMAYQBsAGUAXAAiACwAIABcACIATgBTAFcAXAAiACwAIAAwAC4AMAA1ADsAXABuACAAIAAgACAAIAAgACAAIABcACIAVAByAGkAdABpAGMAYQBsAGUAXAAiACwAIABcACIAVgBJAEMAXAAiACwAIAAwAC4AMAA3ADsAXABuACAAIAAgACAAIAAgACAAIABcACIAVAByAGkAdABpAGMAYQBsAGUAXAAiACwAIABcACIAUQBMAEQAXAAiACwAIAAwAC4AMAA0ADsAXABuACAAIAAgACAAIAAgACAAIABcACIAVAByAGkAdABpAGMAYQBsAGUAXAAiACwAIABcACIAUwBBAFwAIgAsACAAMAAuADAAOQA7AFwAbgAgACAAIAAgACAAIAAgACAAXAAiAFQAcgBpAHQAaQBjAGEAbABlAFwAIgAsACAAXAAiAFcAQQBcACIALAAgADAALgAxADEAOwBcAG4AIAAgACAAIAAgACAAIAAgAFwAIgBUAHIAaQB0AGkAYwBhAGwAZQBcACIALAAgAFwAIgBUAEEAUwBcACIALAAgADAALgAxADYAOwBcAG4AIAAgACAAIAAgACAAIAAgAFwAIgBUAHIAaQB0AGkAYwBhAGwAZQBcACIALAAgAFwAIgBOAFQAXAAiACwAIAAwAC4AMAAxADsAXABuACAAIAAgACAAIAAgACAAIABcACIAVAByAGkAdABpAGMAYQBsAGUAXAAiACwAIABcACIAQQBDAFQAXAAiACwAIAAwAC4AMAAwADsAXABuACAAIAAgACAAIAAgACAAIABcACIATwB0AGgAZQByACAAYwBlAHIAZQBhAGwAcwBcACIALAAgAFwAIgBOAFMAVwBcACIALAAgADAALgAwADUAOwBcAG4AIAAgACAAIAAgACAAIAAgAFwAIgBPAHQAaABlAHIAIABjAGUAcgBlAGEAbABzAFwAIgAsACAAXAAiAFYASQBDAFwAIgAsACAAMAAuADAANwA7AFwAbgAgACAAIAAgACAAIAAgACAAXAAiAE8AdABoAGUAcgAgAGMAZQByAGUAYQBsAHMAXAAiACwAIABcACIAUQBMAEQAXAAiACwAIAAwAC4AMAA0ADsAXABuACAAIAAgACAAIAAgACAAIABcACIATwB0AGgAZQByACAAYwBlAHIAZQBhAGwAcwBcACIALAAgAFwAIgBTAEEAXAAiACwAIAAwAC4AMAA5ADsAXABuACAAIAAgACAAIAAgACAAIABcACIATwB0AGgAZQByACAAYwBlAHIAZQBhAGwAcwBcACIALAAgAFwAIgBXAEEAXAAiACwAIAAwAC4AMQAxADsAXABuACAAIAAgACAAIAAgACAAIABcACIATwB0AGgAZQByACAAYwBlAHIAZQBhAGwAcwBcACIALAAgAFwAIgBUAEEAUwBcACIALAAgADAALgAxADYAOwBcAG4AIAAgACAAIAAgACAAIAAgAFwAIgBPAHQAaABlAHIAIABjAGUAcgBlAGEAbABzAFwAIgAsACAAXAAiAE4AVABcACIALAAgADAALgAwADEAOwBcAG4AIAAgACAAIAAgACAAIAAgAFwAIgBPAHQAaABlAHIAIABjAGUAcgBlAGEAbABzAFwAIgAsACAAXAAiAEEAQwBUAFwAIgAsACAAMAAuADAAMAA7AFwAbgAgACAAIAAgACAAIAAgACAAXAAiAFAAdQBsAHMAZQBzAFwAIgAsACAAXAAiAE4AUwBXAFwAIgAsACAAMAAuADAANQA7AFwAbgAgACAAIAAgACAAIAAgACAAXAAiAFAAdQBsAHMAZQBzAFwAIgAsACAAXAAiAFYASQBDAFwAIgAsACAAMAAuADAANwA7AFwAbgAgACAAIAAgACAAIAAgACAAXAAiAFAAdQBsAHMAZQBzAFwAIgAsACAAXAAiAFEATABEAFwAIgAsACAAMAAuADAANAA7AFwAbgAgACAAIAAgACAAIAAgACAAXAAiAFAAdQBsAHMAZQBzAFwAIgAsACAAXAAiAFMAQQBcACIALAAgADAALgAwADkAOwBcAG4AIAAgACAAIAAgACAAIAAgAFwAIgBQAHUAbABzAGUAcwBcACIALAAgAFwAIgBXAEEAXAAiACwAIAAwAC4AMQAxADsAXABuACAAIAAgACAAIAAgACAAIABcACIAUAB1AGwAcwBlAHMAXAAiACwAIABcACIAVABBAFMAXAAiACwAIAAwAC4AMQA2ADsAXABuACAAIAAgACAAIAAgACAAIABcACIAUAB1AGwAcwBlAHMAXAAiACwAIABcACIATgBUAFwAIgAsACAAMAAuADAAMQA7AFwAbgAgACAAIAAgACAAIAAgACAAXAAiAFAAdQBsAHMAZQBzAFwAIgAsACAAXAAiAEEAQwBUAFwAIgAsACAAMAAuADAAMAA7AFwAbgAgACAAIAAgACAAIAAgACAAXAAiAFAAZQBhAG4AdQB0AHMAXAAiACwAIABcACIATgBTAFcAXAAiACwAIAAwAC4AMAA1ADsAXABuACAAIAAgACAAIAAgACAAIABcACIAUABlAGEAbgB1AHQAcwBcACIALAAgAFwAIgBWAEkAQwBcACIALAAgADAALgAwADcAOwBcAG4AIAAgACAAIAAgACAAIAAgAFwAIgBQAGUAYQBuAHUAdABzAFwAIgAsACAAXAAiAFEATABEAFwAIgAsACAAMAAuADAANAA7AFwAbgAgACAAIAAgACAAIAAgACAAXAAiAFAAZQBhAG4AdQB0AHMAXAAiACwAIABcACIAUwBBAFwAIgAsACAAMAAuADAAOQA7AFwAbgAgACAAIAAgACAAIAAgACAAXAAiAFAAZQBhAG4AdQB0AHMAXAAiACwAIABcACIAVwBBAFwAIgAsACAAMAAuADEAMQA7AFwAbgAgACAAIAAgACAAIAAgACAAXAAiAFAAZQBhAG4AdQB0AHMAXAAiACwAIABcACIAVABBAFMAXAAiACwAIAAwAC4AMQA2ADsAXABuACAAIAAgACAAIAAgACAAIABcACIAUABlAGEAbgB1AHQAcwBcACIALAAgAFwAIgBOAFQAXAAiACwAIAAwAC4AMAAxADsAXABuACAAIAAgACAAIAAgACAAIABcACIAUABlAGEAbgB1AHQAcwBcACIALAAgAFwAIgBBAEMAVABcACIALAAgADAALgAwADAAOwBcAG4AIAAgACAAIAAgACAAIAAgAFwAIgBPAGkAbABzAGUAZQBkAHMAXAAiACwAIABcACIATgBTAFcAXAAiACwAIAAwAC4AMAA1ADsAXABuACAAIAAgACAAIAAgACAAIABcACIATwBpAGwAcwBlAGUAZABzAFwAIgAsACAAXAAiAFYASQBDAFwAIgAsACAAMAAuADAANwA7AFwAbgAgACAAIAAgACAAIAAgACAAXAAiAE8AaQBsAHMAZQBlAGQAcwBcACIALAAgAFwAIgBRAEwARABcACIALAAgADAALgAwADQAOwBcAG4AIAAgACAAIAAgACAAIAAgAFwAIgBPAGkAbABzAGUAZQBkAHMAXAAiACwAIABcACIAUwBBAFwAIgAsACAAMAAuADAAOQA7AFwAbgAgACAAIAAgACAAIAAgACAAXAAiAE8AaQBsAHMAZQBlAGQAcwBcACIALAAgAFwAIgBXAEEAXAAiACwAIAAwAC4AMQAxADsAXABuACAAIAAgACAAIAAgACAAIABcACIATwBpAGwAcwBlAGUAZABzAFwAIgAsACAAXAAiAFQAQQBTAFwAIgAsACAAMAAuADEANgA7AFwAbgAgACAAIAAgACAAIAAgACAAXAAiAE8AaQBsAHMAZQBlAGQAcwBcACIALAAgAFwAIgBOAFQAXAAiACwAIAAwAC4AMAAxADsAXABuACAAIAAgACAAIAAgACAAIABcACIATwBpAGwAcwBlAGUAZABzAFwAIgAsACAAXAAiAEEAQwBUAFwAIgAsACAAMAAuADAAMAA7AFwAbgAgACAAIAAgACAAIAAgACAAXAAiAE8AdABoAGUAcgAgAGEAbgBuAHUAYQBsACAAYwByAG8AcABzAFwAIgAsACAAXAAiAE4AUwBXAFwAIgAsACAAMAAuADAANQA7AFwAbgAgACAAIAAgACAAIAAgACAAXAAiAE8AdABoAGUAcgAgAGEAbgBuAHUAYQBsACAAYwByAG8AcABzAFwAIgAsACAAXAAiAFYASQBDAFwAIgAsACAAMAAuADAANwA7AFwAbgAgACAAIAAgACAAIAAgACAAXAAiAE8AdABoAGUAcgAgAGEAbgBuAHUAYQBsACAAYwByAG8AcABzAFwAIgAsACAAXAAiAFEATABEAFwAIgAsACAAMAAuADAANAA7AFwAbgAgACAAIAAgACAAIAAgACAAXAAiAE8AdABoAGUAcgAgAGEAbgBuAHUAYQBsACAAYwByAG8AcABzAFwAIgAsACAAXAAiAFMAQQBcACIALAAgADAALgAwADkAOwBcAG4AIAAgACAAIAAgACAAIAAgAFwAIgBPAHQAaABlAHIAIABhAG4AbgB1AGEAbAAgAGMAcgBvAHAAcwBcACIALAAgAFwAIgBXAEEAXAAiACwAIAAwAC4AMQAxADsAXABuACAAIAAgACAAIAAgACAAIABcACIATwB0AGgAZQByACAAYQBuAG4AdQBhAGwAIABjAHIAbwBwAHMAXAAiACwAIABcACIAVABBAFMAXAAiACwAIAAwAC4AMQA2ADsAXABuACAAIAAgACAAIAAgACAAIABcACIATwB0AGgAZQByACAAYQBuAG4AdQBhAGwAIABjAHIAbwBwAHMAXAAiACwAIABcACIATgBUAFwAIgAsACAAMAAuADAAMQA7AFwAbgAgACAAIAAgACAAIAAgACAAXAAiAE8AdABoAGUAcgAgAGEAbgBuAHUAYQBsACAAYwByAG8AcABzAFwAIgAsACAAXAAiAEEAQwBUAFwAIgAsACAAMAAuADAAMAA7AFwAbgAgACAAIAAgACAAIAAgACAAXAAiAE8AdABoAGUAcgAgAHAAZQByAGUAbgBuAGkAYQBsACAAYwByAG8AcABzAFwAIgAsACAAXAAiAE4AUwBXAFwAIgAsACAAMAAuADAANQA7AFwAbgAgACAAIAAgACAAIAAgACAAXAAiAE8AdABoAGUAcgAgAHAAZQByAGUAbgBuAGkAYQBsACAAYwByAG8AcABzAFwAIgAsACAAXAAiAFYASQBDAFwAIgAsACAAMAAuADAANwA7AFwAbgAgACAAIAAgACAAIAAgACAAXAAiAE8AdABoAGUAcgAgAHAAZQByAGUAbgBuAGkAYQBsACAAYwByAG8AcABzAFwAIgAsACAAXAAiAFEATABEAFwAIgAsACAAMAAuADAANAA7AFwAbgAgACAAIAAgACAAIAAgACAAXAAiAE8AdABoAGUAcgAgAHAAZQByAGUAbgBuAGkAYQBsACAAYwByAG8AcABzAFwAIgAsACAAXAAiAFMAQQBcACIALAAgADAALgAwADkAOwBcAG4AIAAgACAAIAAgACAAIAAgAFwAIgBPAHQAaABlAHIAIABwAGUAcgBlAG4AbgBpAGEAbAAgAGMAcgBvAHAAcwBcACIALAAgAFwAIgBXAEEAXAAiACwAIAAwAC4AMQAxADsAXABuACAAIAAgACAAIAAgACAAIABcACIATwB0AGgAZQByACAAcABlAHIAZQBuAG4AaQBhAGwAIABjAHIAbwBwAHMAXAAiACwAIABcACIAVABBAFMAXAAiACwAIAAwAC4AMQA2ADsAXABuACAAIAAgACAAIAAgACAAIABcACIATwB0AGgAZQByACAAcABlAHIAZQBuAG4AaQBhAGwAIABjAHIAbwBwAHMAXAAiACwAIABcACIATgBUAFwAIgAsACAAMAAuADAAMQA7AFwAbgAgACAAIAAgACAAIAAgACAAXAAiAE8AdABoAGUAcgAgAHAAZQByAGUAbgBuAGkAYQBsACAAYwByAG8AcABzAFwAIgAsACAAXAAiAEEAQwBUAFwAIgAsACAAMAAuADAAMABcAG4AIAAgACAAIAAgACAAfQAsACAAcgAsACAAYwApAFwAbgApACkAKQA7AFwAbgBcAG4AQwByAG8AcABGAHIAYQBjAHQAaQBvAG4AUgBlAG0AbwB2AGUAZABfAFYAYQByAGkAYQB0AGkAbwBuAFwAbgA9AEwAQQBNAEIARABBACgAKABcACIAVgBBAFIASQBBAFQASQBPAE4AIABPAEYAIABTAE8AVQBSAEMARQAgAEQAQQBUAEEAOgAgAFMAcABsAGkAdAAgAFwAdQAwADAAMgA3AEEAbABsACAAbwB0AGgAZQByACAAYwByAG8AcAAgAHQAeQBwAGUAcwBcAHUAMAAwADIANwAgAGkAbgB0AG8AIABpAG4AZABpAHYAaQBkAHUAYQBsACAAYwByAG8AcAAgAHQAeQBwAGUAcwAgAGYAbwByACAAZQBhAGMAaAAgAHMAdABhAHQAZQAuACAATABpAHMAdABlAGQAIABhAGwAbAAgAHMAdABhAHQAZQBzACAAZgBvAHIAIABTAHUAZwBhAHIAIABDAGEAbgBlACwAIAB3AGkAdABoACAAXAB1ADAAMAAyADcATgAvAEEAXAB1ADAAMAAyADcAIABmAG8AcgAgAHMAdABhAHQAZQBzACAAdwBoAGUAcgBlACAAaQB0ACAAaQBzACAAbgBvAHQAIABnAHIAbwB3AG4ALgBcACIAKQApADsAXABuAFwAbgBcAG4ALwAqAFwAbgA9AD0APQA9AD0APQA9AD0APQA9AD0APQA9AD0APQA9AD0APQA9AD0APQA9AD0APQA9AD0APQA9AD0APQA9AD0APQA9AD0APQA9AD0APQA9AD0APQA9AD0APQA9AD0APQA9AD0APQA9AD0APQA9AD0APQA9AD0APQA9AD0APQA9AD0APQA9AD0APQA9AD0APQA9AD0APQA9AFwAbgBQAGEAcwB0AHUAcgBlACAAYQB0AHQAcgBpAGIAdQB0AGUAcwBcAG4APQA9AD0APQA9AD0APQA9AD0APQA9AD0APQA9AD0APQA9AD0APQA9AD0APQA9AD0APQA9AD0APQA9AD0APQA9AD0APQA9AD0APQA9AD0APQA9AD0APQA9AD0APQA9AD0APQA9AD0APQA9AD0APQA9AD0APQA9AD0APQA9AD0APQA9AD0APQA9AD0APQA9AD0APQA9AD0APQBcAG4AKgAvAFwAbgBcAG4AUABhAHMAdAB1AHIAZQBBAHQAdAByAGkAYgB1AHQAZQBzAF8AVABpAHQAbABlAFwAbgA9AEwAQQBNAEIARABBACgAKABcACIAVABhAGIAbABlACAAQQAuADIALgAxAC4AMwAgAFAAYQBzAHQAdQByAGUAIABhAHQAdAByAGkAYgB1AHQAZQBzAFwAIgApACkAOwBcAG4AXABuAFAAYQBzAHQAdQByAGUAQQB0AHQAcgBpAGIAdQB0AGUAcwBfAEQAZQBzAGMAcgBpAHAAdABpAG8AbgBcAG4APQBMAEEATQBCAEQAQQAoACgAXAAiAFAAYQBzAHQAdQByAGUAIABhAHQAdAByAGkAYgB1AHQAZQBzAFwAIgApACkAOwBcAG4AXABuAFAAYQBzAHQAdQByAGUAQQB0AHQAcgBpAGIAdQB0AGUAcwBfAFMAbwB1AHIAYwBlAFwAbgA9AEwAQQBNAEIARABBACgAKABcACIAVgBFAEUAUgBHACAAMgAwADIANgA6ACAAVABhAGIAbABlACAAQQAuADIALgAxAC4AMwA6ACAAUABhAHMAdAB1AHIAZQAgAGEAdAB0AHIAaQBiAHUAdABlAHMAXAAiACkAKQA7AFwAbgBcAG4AUABhAHMAdAB1AHIAZQBBAHQAdAByAGkAYgB1AHQAZQBzAF8ARABhAHQAYQBcAG4APQBMAEEATQBCAEQAQQAoAFwAbgAgACAATQBBAEsARQBBAFIAUgBBAFkAKAA2ACwAIAA2ACwAXABuACAAIAAgACAATABBAE0AQgBEAEEAKAByACwAYwAsAFwAbgAgACAAIAAgACAAIABJAE4ARABFAFgAKAB7AFwAbgAgACAAIAAgACAAIAAgACAAXAAiAFAAYQBzAHQAdQByAGUAIAB0AHkAcABlAFwAIgAsACAAXAAiAEEAdgBlAHIAYQBnAGUAIABZAGkAZQBsAGQAIAAoAHQAIABEAE0AIABoAGEAKQAgAFkAcABcACIALAAgAFwAIgBCAGUAbABvAHcALQBnAHIAbwB1AG4AZAA6ACAAYQBiAG8AdgBlAC0AZwByAG8AdQBuAGQAIAByAGUAcwBpAGQAdQBlACAAcgBhAHQAaQBvACAAUgBCAEcAcABcACIALAAgAFwAIgBOACAAYwBvAG4AdABlAG4AdAAgAEEAYgBvAHYAZQAtAGcAcgBvAHUAbgBkACAATgBDAEEARwBwAFwAIgAsACAAXAAiAE4AIABjAG8AbgB0AGUAbgB0ACAAQgBlAGwAbwB3AC0AZwByAG8AdQBuAGQAIABOAEMAQgBHAHAAXAAiACwAIABcACIARgByAGEAYwB0AGkAbwBuACAAbwBmACAAcABhAHMAdAB1AHIAZQAgAHkAaQBlAGwAZAAgAHQAaABhAHQAIABpAHMAIAByAGUAbQBvAHYAZQBkACAARgBGAE8ARABwAFwAIgA7AFwAbgAgACAAIAAgACAAIAAgACAAXAAiAEEAbgBuAHUAYQBsACAAZwByAGEAcwBzAFwAIgAsACAANAAuADQAMQAsACAAMAAuADQALAAgADAALgAwADEANQAsACAAMAAuADAAMQAyACwAIAAwAC4AOAA7AFwAbgAgACAAIAAgACAAIAAgACAAXAAiAEcAcgBhAHMAcwAgAGMAbABvAHYAZQByACAAbQBpAHgAdAB1AHIAZQBcACIALAAgADgALgAzADQALAAgADAALgA4ACwAIAAwAC4AMAAyADUALAAgADAALgAwADEANgAsACAAMAAuADgAOwBcAG4AIAAgACAAIAAgACAAIAAgAFwAIgBMAHUAYwBlAHIAbgBlAFwAIgAsACAAOAAuADYAMgAsACAAMAAuADQALAAgADAALgAwADIANwAsACAAMAAuADAAMQA5ACwAIAAwAC4AOAA7AFwAbgAgACAAIAAgACAAIAAgACAAXAAiAE8AdABoAGUAcgAgAGwAZQBnAHUAbQBlAFwAIgAsACAANQAuADYAMgAsACAAMAAuADQALAAgADAALgAwADIANwAsACAAMAAuADAAMgAyACwAIAAwAC4AOAA7AFwAbgAgACAAIAAgACAAIAAgACAAXAAiAFAAZQByAGUAbgBuAGkAYQBsACAAcABhAHMAdAB1AHIAZQBcACIALAAgADgALgAzADUALAAgADAALgA4ACwAIAAwAC4AMAAxADUALAAgADAALgAwADEAMgAsACAAMAAuADg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QAYQBiAGwAZQAgADUALgAzADEAIABCAHUAcgBuAGkAbgBnACAAbwBmACAAYQBnAHIAaQBjAHUAbAB0AHUAcgBhAGwAIAByAGUAcwBpAGQAdQBlAHMAIAAtACAARQBGAHMAXABuAD0APQA9AD0APQA9AD0APQA9AD0APQA9AD0APQA9AD0APQA9AD0APQA9AD0APQA9AD0APQA9AD0APQA9AD0APQA9AD0APQA9AD0APQA9AD0APQA9AD0APQA9AD0APQA9AD0APQA9AD0APQA9AD0APQA9AD0APQA9AD0APQA9AD0APQA9AD0APQA9AD0APQA9AD0APQA9AD0AXABuACoALwBcAG4AXABuAEIAdQByAG4AaQBuAGcATwBmAEEAZwByAGkAYwB1AGwAdAB1AHIAYQBsAFIAZQBzAGkAZAB1AGUAcwBFAEYAcwBfAFQAaQB0AGwAZQBcAG4APQBMAEEATQBCAEQAQQAoACgAXAAiAFQAYQBiAGwAZQAgADUALgAzADEAIABCAHUAcgBuAGkAbgBnACAAbwBmACAAYQBnAHIAaQBjAHUAbAB0AHUAcgBhAGwAIAByAGUAcwBpAGQAdQBlAHMAIAAtACAARQBGAHMAXAAiACkAKQA7AFwAbgBcAG4AQgB1AHIAbgBpAG4AZwBPAGYAQQBnAHIAaQBjAHUAbAB0AHUAcgBhAGwAUgBlAHMAaQBkAHUAZQBzAEUARgBzAF8ARABlAHMAYwByAGkAcAB0AGkAbwBuAFwAbgA9AEwAQQBNAEIARABBACgAKABcACIAQgB1AHIAbgBpAG4AZwAgAG8AZgAgAGEAZwByAGkAYwB1AGwAdAB1AHIAYQBsACAAcgBlAHMAaQBkAHUAZQBzACAALQAgAEUARgBzAFwAIgApACkAOwBcAG4AXABuAEIAdQByAG4AaQBuAGcATwBmAEEAZwByAGkAYwB1AGwAdAB1AHIAYQBsAFIAZQBzAGkAZAB1AGUAcwBFAEYAcwBfAFMAbwB1AHIAYwBlAFwAbgA9AEwAQQBNAEIARABBACgAKABcACIATgBhAHQAaQBvAG4AYQBsACAASQBuAHYAZQBuAHQAbwByAHkAIABSAGUAcABvAHIAdAAgADIAMAAyADMAIAB2AG8AbAB1AG0AZQAgADIAOgAgAFQAYQBiAGwAZQAgADUALgAzADEAOgAgAEIAdQByAG4AaQBuAGcAIABvAGYAIABhAGcAcgBpAGMAdQBsAHQAdQByAGEAbAAgAHIAZQBzAGkAZAB1AGUAcwAgAC0AIABFAEYAcwBcACIAKQApADsAXABuAFwAbgBCAHUAcgBuAGkAbgBnAE8AZgBBAGcAcgBpAGMAdQBsAHQAdQByAGEAbABSAGUAcwBpAGQAdQBlAHMARQBGAHMAXwBEAGEAdABhAFwAbgA9AEwAQQBNAEIARABBACgAXABuACAAIABNAEEASwBFAEEAUgBSAEEAWQAoADYALAAgADMALABcAG4AIAAgACAAIABMAEEATQBCAEQAQQAoAHIALABjACwAXABuACAAIAAgACAAIAAgAEkATgBEAEUAWAAoAHsAXABuACAAIAAgACAAIAAgACAAIABcACIARwBhAHMAIABzAHAAZQBjAGkAZQBzAFwAIgAsACAAXAAiAEUAbQBpAHMAcwBpAG8AbgAgAGYAYQBjAHQAbwByACAARQBGAGcAIAAoAEcAZwAgAGUAbABlAG0AZQBuAHQAIABpAG4AIABzAHAAZQBjAGkAZQBzAC8AIABHAGcAIABlAGwAZQBtAGUAbgB0ACAAaQBuACAAZgB1AGUAbAAgAGIAdQByAG4AdAApAFwAIgAsACAAXAAiAEUAbABlAG0AZQBuAHQAYQBsACAAdABvACAAbQBvAGwAZQBjAHUAbABhAHIAIABtAGEAcwBzACAAYwBvAG4AdgBlAHIAcwBpAG8AbgAgAGYAYQBjAHQAbwByACAAKABDAGcAKQBcACIAOwBcAG4AIAAgACAAIAAgACAAIAAgAFwAIgBDAEgANABcACIALAAgADAALgAwADAAMwA1ACwAIABcACIAMQA2AC8AMQAyAFwAIgA7AFwAbgAgACAAIAAgACAAIAAgACAAXAAiAE4AMgBPAFwAIgAsACAAMAAuADAAMAA3ADYALAAgAFwAIgA0ADQALwAyADgAXAAiADsAXABuACAAIAAgACAAIAAgACAAIABcACIATgBPAHgAXAAiACwAIAAwAC4AMgAxADAAMAAsACAAXAAiADQANgAvADEANABcACIAOwBcAG4AIAAgACAAIAAgACAAIAAgAFwAIgBDAE8AXAAiACwAIAAwAC4AMAA3ADgAMAAsACAAXAAiADIAOAAvADEAMgBcACIAOwBcAG4AIAAgACAAIAAgACAAIAAgAFwAIgBOAE0AVgBPAEMAXAAiACwAIAAwAC4AMAAwADkAMQAsACAAXAAiADEANAAvADEAMgBcACIAXABuACAAIAAgACAAIAAgAH0ALAAgAHIALAAgAGMAKQBcAG4AKQApACkAOwBcAG4AXABuAFwAbgAvACoAIABcAG4ALQAtAC0ALQAtAC0ALQAtAC0ALQAtAC0ALQAtAC0ALQAtAC0ALQAtAC0ALQAtAC0ALQAtAC0ALQAtAC0ALQAtAC0ALQAtAC0ALQAtAFwAbgBOADIATwBFAEYATwByAGcAYQBuAGkAYwBGAGUAcgB0AGkAbABpAHMAZQByAFwAbgBWAEUARQBSAEcAIAAyADAAMgA2ADoAIABUAGEAYgBsAGUAIABBAC4AMgAuADEALgA0ACAARQBtAGkAcwBzAGkAbwBuACAAZgBhAGMAdABvAHIAIABmAG8AcgAgAG8AcgBnAGEAbgBpAGMAIABmAGUAcgB0AGkAbABpAHMAZQByACAAYQBuAGQAIABjAHIAbwBwACAAcgBlAHMAaQBkAHUAZQBzACAAcgBlAHQAdQByAG4AZQBkACAAdABvACAAdABoAGUAIABzAG8AaQBsAFwAbgAtAC0ALQAtAC0ALQAtAC0ALQAtAC0ALQAtAC0ALQAtAC0ALQAtAC0ALQAtAC0ALQAtAC0ALQAtAC0ALQAtAC0ALQAtAC0ALQAtAC0AXABuACoALwBcAG4AXABuAE4AMgBPAEUARgBPAHIAZwBhAG4AaQBjAEYAZQByAHQAaQBsAGkAcwBlAHI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TgAyAE8ARQBGAE8AcgBnAGEAbgBpAGMARgBlAHIAdABpAGwAaQBzAGUAcgBfAFUAbgBpAHQAXABuACAAIAA9AEwAQQBNAEIARABBACgAXAAiAGsAZwAgAE4AMgBPACAALQAgAE4AIAAvACAAawBnACAATgBcACIAKQA7AFwAbgBcAG4ATgAyAE8ARQBGAE8AcgBnAGEAbgBpAGMARgBlAHIAdABpAGwAaQBzAGUAcgBfAFMAbwB1AHIAYwBlAFwAbgAgACAAPQBMAEEATQBCAEQAQQAoAFwAIgBWAEUARQBSAEcAIAAyADAAMgA2ADoAIABUAGEAYgBsAGUAIABBAC4AMgAuADEALgA0AFwAIgApADsAXABuAFwAbgBOADIATwBFAEYATwByAGcAYQBuAGkAYwBGAGUAcgB0AGkAbABpAHMAZQByAF8ATgBJAFIAUgBlAGYAZQByAGUAbgBjAGUAXABuACAAIAA9AEwAQQBNAEIARABBACgAXAAiAEkAUABDAEMAIAAyADAAMQA5ACAAUgBlAGYAaQBuAGUAbQBlAG4AdAAgAFYAbwBsAHUAbQBlACAANAAgAFQAYQBiAGwAZQAgADEAMQAuADEAIABbADEALAAgAHAALgAgADEAMQBdAFwAIgApADsAXABuAFwAbgBOADIATwBFAEYATwByAGcAYQBuAGkAYwBGAGUAcgB0AGkAbABpAHMAZQByAF8ARABhAHQAYQBcAG4AIAAgAD0ATABBAE0AQgBEAEEAKABcAG4AIAAgACAAIABNAEEASwBFAEEAUgBSAEEAWQAoADMALAAgADIALAAgAFwAbgAgACAAIAAgACAAIABMAEEATQBCAEQAQQAoAHIALABjACwAIABcAG4AIAAgACAAIAAgACAAIAAgAEkATgBEAEUAWAAoAHsAXABuACAAIAAgACAAIAAgACAAIAAgACAAXAAiAEMAbABpAG0AYQB0AGUAIAB6AG8AbgBlACAAaQBcACIALAAgAFwAIgBFAEYAIABpACAATgAyAE8AXAAiADsAXABuACAAIAAgACAAIAAgACAAIAAgACAAIAAgAFwAIgBXAGUAdAAgAGMAbABpAG0AYQB0AGUAIAB6AG8AbgBlAFwAIgAsACAAMAAuADAAMAA2ADsAXABuACAAIAAgACAAIAAgACAAIAAgACAAIAAgAFwAIgBEAHIAeQAgAGMAbABpAG0AYQB0AGUAIAB6AG8AbgBlAFwAIgAsACAAMAAuADAAMAA1AFwAbgAgACAAIAAgACAAIAAgACAAfQAsACAAcgAsACAAYwApAFwAbgAgACAAIAAgACAAIAApAFwAbgAgACAAIAAgACkAXABuACAAIAApADsAXABuAFwAbgBcAG4AXABuACIAfQAsAHsAIgBwAGEAdABoACIAOgAiAC8AcAByAG8AagBlAGMAdABzAC8AQQBnAFIAZQBzAGkAZAB1AGUAXwBFAHEAdQBhAHQAaQBvAG4AcwBfAEMAcgBvAHAAUgBlAHMAaQBkAHUAZQAiACwAIgB0AGUAeAB0ACIAOgAiAC8AKgAgAFwAbgAtAC0ALQAtAC0ALQAtAC0ALQAtAC0ALQAtAC0ALQAtAC0ALQAtAC0ALQAtAC0ALQAtAC0ALQAtAC0ALQAtAC0ALQAtAC0ALQAtAC0AXABuAFYARQBFAFIARwBfADYAXwAxAF8AMQBfADEAXwBfADEAXwBfAE4AaQB0AHIAbwB1AHMATwB4AGkAZABlAEUAbQBpAHMAcwBpAG8AbgBzAEYAcgBvAG0AQwByAG8AcABSAGUAcwBpAGQAdQBlAHMAXABuAE4AaQB0AHIAbwB1AHMAIABvAHgAaQBkAGUAIABlAG0AaQBzAHMAaQBvAG4AcwAgAGYAcgBvAG0AIAB0AGgAZQAgAHIAZQB0AHUAcgBuACAAbwBmACAAYwByAG8AcAAgAHIAZQBzAGkAZAB1AGUAcwAgAGEAYwByAG8AcwBzACAAYQBsAGwAIABjAHIAbwBwAHMAIABjACAAdABvACAAdABoAGUAIABzAG8AaQBsAFwAbgBFAFwAbgB0ACAATgAyAE8AXABuAEUAPQBcAFwAcwB1AG0AXwB7AGMAfQB7AE0AXwB7AGMAfQBcAFwAdABpAG0AZQBzACAARQBGAF8AewBOAH0AXABcAHQAaQBtAGUAcwAgAEMAXwB7AGcALABOADIATwB9AFwAXAB0AGkAbQBlAHMAIAAxADAAXgB7AC0AMwB9AH0AXABuAE0AYwAgAD0AIABtAGEAcwBzACAAbwBmACAAbgBpAHQAcgBvAGcAZQBuACAAaQBuACAAYwByAG8AcAAgAGMAIAByAGUAcwBpAGQAdQBlAHMAIAByAGUAdAB1AHIAbgBlAGQAIAB0AG8AIAB0AGgAZQAgAHMAbwBpAGwAIAAoAGsAZwAgAE4AKQBcAG4ARQBGAE4AaQAgAD0AIABlAG0AaQBzAHMAaQBvAG4AIABmAGEAYwB0AG8AcgAgAGYAbwByACAAYwByAG8AcAAgAHIAZQBzAGkAZAB1AGUAcwAgAHIAZQB0AHUAcgBuAGUAZAAgAHQAbwAgAHQAaABlACAAcwBvAGkAbAAgACgAawBnACAATgAyAE8ALQBOAC8AawBnACAATgApAFwAbgBDAGcATgAyAE8AIAA9ACAAZgBhAGMAdABvAHIAIAB0AG8AIABjAG8AbgB2AGUAcgB0ACAAZQBsAGUAbQBlAG4AdABhAGwAIABtAGEAcwBzACAAbwBmACAAbgBpAHQAcgBvAHUAcwAgAG8AeABpAGQ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xAF8AMQBfADEAXwBfADEAXwBfAE4AaQB0AHIAbwB1AHMATwB4AGkAZABlAEUAbQBpAHMAcwBpAG8AbgBzAEYAcgBvAG0AQwByAG8AcABSAGUAcwBpAGQAdQBlAHMAXABuACAAIAA9AEwAQQBNAEIARABBACgAXABuACAAIAAgACAATQBfAGMALAAgAEUARgBfAE4AaQAsACAAQwBfAE4AMgBPACwAXABuACAAIAAgACAATQBfAGMAIAAqACAARQBGAF8ATgBpACAAKgAgAEMAXwBOADIATwAgACoAIAAxADAAXgAoAC0AMwApAFwAbgAgACAAKQBcAG4AOwBcAG4AXABuAFYARQBFAFIARwBfADYAXwAxAF8AMQBfADEAXwBfADEAXwBfAE4AaQB0AHIAbwB1AHMATwB4AGkAZABlAEUAbQBpAHMAcwBpAG8AbgBzAEYAcgBvAG0AQwByAG8AcABSAGUAcwBpAGQAdQBlAHMAXwBGAHUAbgBjAHQAaQBvAG4ATgBhAG0AZQBcAG4AIAAgAD0ATABBAE0AQgBEAEEAKABcACIAVgBFAEUAUgBHAF8ANgBfADEAXwAxAF8AMQBfAF8AMQBfAF8ATgBpAHQAcgBvAHUAcwBPAHgAaQBkAGUARQBtAGkAcwBzAGkAbwBuAHMARgByAG8AbQBDAHIAbwBwAFIAZQBzAGkAZAB1AGUAcwBcACIAKQA7AFwAbgBcAG4AVgBFAEUAUgBHAF8ANgBfADEAXwAxAF8AMQBfAF8AMQBfAF8ATgBpAHQAcgBvAHUAcwBPAHgAaQBkAGUARQBtAGkAcwBzAGkAbwBuAHMARgByAG8AbQBDAHIAbwBwAFIAZQBzAGkAZAB1AGUAcwBfAFQAaQB0AGwAZQBcAG4AIAAgAD0ATABBAE0AQgBEAEEAKABcACIATgBpAHQAcgBvAHUAcwAgAG8AeABpAGQAZQAgAGUAbQBpAHMAcwBpAG8AbgBzACAAZgByAG8AbQAgAHQAaABlACAAcgBlAHQAdQByAG4AIABvAGYAIABjAHIAbwBwACAAcgBlAHMAaQBkAHUAZQBzACAAYQBjAHIAbwBzAHMAIABhAGwAbAAgAGMAcgBvAHAAcwAgAGMAIAB0AG8AIAB0AGgAZQAgAHMAbwBpAGwAXAAiACkAOwBcAG4AXABuAFYARQBFAFIARwBfADYAXwAxAF8AMQBfADEAXwBfADEAXwBfAE4AaQB0AHIAbwB1AHMATwB4AGkAZABlAEUAbQBpAHMAcwBpAG8AbgBzAEYAcgBvAG0AQwByAG8AcABSAGUAcwBpAGQAdQBlAHMAXwBWAGEAcgBpAGEAYgBsAGUAXABuACAAIAA9AEwAQQBNAEIARABBACgAXAAiAEUAXAAiACkAOwBcAG4AXABuAFYARQBFAFIARwBfADYAXwAxAF8AMQBfADEAXwBfADEAXwBfAE4AaQB0AHIAbwB1AHMATwB4AGkAZABlAEUAbQBpAHMAcwBpAG8AbgBzAEYAcgBvAG0AQwByAG8AcABSAGUAcwBpAGQAdQBlAHMAXwBVAG4AaQB0AFwAbgAgACAAPQBMAEEATQBCAEQAQQAoAFwAIgB0ACAATgAyAE8AXAAiACkAOwBcAG4AXABuAFYARQBFAFIARwBfADYAXwAxAF8AMQBfADEAXwBfADEAXwBfAE4AaQB0AHIAbwB1AHMATwB4AGkAZABlAEUAbQBpAHMAcwBpAG8AbgBzAEYAcgBvAG0AQwByAG8AcABSAGUAcwBpAGQAdQBlAHMAXwBTAG8AdQByAGMAZQBcAG4AIAAgAD0ATABBAE0AQgBEAEEAKABcACIAVgBFAEUAUgBHACAAMgAwADIANgA6ACAANgAuADEALgAxAC4AMQAsACAARQBxAHUAYQB0AGkAbwBuACAAKAAxACkAXAAiACkAOwBcAG4AXABuAFYARQBFAFIARwBfADYAXwAxAF8AMQBfADEAXwBfADEAXwBfAE4AaQB0AHIAbwB1AHMATwB4AGkAZABlAEUAbQBpAHMAcwBpAG8AbgBzAEYAcgBvAG0AQwByAG8AcABSAGUAcwBpAGQAdQBlAHMAXwBOAEkAUgBSAGUAZgBlAHIAZQBuAGMAZQBcAG4AIAAgAD0ATABBAE0AQgBEAEEAKABcACIAXAAiACkAOwBcAG4AXABuAFYARQBFAFIARwBfADYAXwAxAF8AMQBfADEAXwBfADEAXwBfAE4AaQB0AHIAbwB1AHMATwB4AGkAZABlAEUAbQBpAHMAcwBpAG8AbgBzAEYAcgBvAG0AQwByAG8AcABSAGUAcwBpAGQAdQBlAHMAXwBMAGEAdABlAHgARQBxAHUAYQB0AGkAbwBuAFwAbgAgACAAPQBMAEEATQBCAEQAQQAoAFwAIgBFAD0AXABcAHMAdQBtAFwAXABuAG8AbABpAG0AaQB0AHMAXwBjAFwAXABsAGUAZgB0ACgATQBfAHsAYwB9AFwAXAB0AGkAbQBlAHMAIABFAEYAXwB7AE4AfQBcAFwAcgBpAGcAaAB0ACkAXABcAHQAaQBtAGUAcwAgAEMAXwB7AGcALABOADIATwB9AFwAXAB0AGkAbQBlAHMAIAAxADAAXgB7AC0AMwB9AFwAIgApADsAXABuAFwAbgBWAEUARQBSAEcAXwA2AF8AMQBfADEAXwAxAF8AXwAxAF8AXwBOAGkAdAByAG8AdQBzAE8AeABpAGQAZQBFAG0AaQBzAHMAaQBvAG4AcwBGAHIAbwBtAEMAcgBvAHAAUgBlAHMAaQBkAHUAZQBzAF8AQQByAGcAdQBtAGUAbgB0AHMAXABuACAAIAA9AEwAQQBNAEIARABBACgAXABuACAAIAAgACAATQBBAEsARQBBAFIAUgBBAFkAKAA1ACwAIAA0ACwAIABcAG4AIAAgACAAIAAgACAATABBAE0AQgBEAEEAKAByACwAYwAsACAAXABuACAAIAAgACAAIAAgACAAIABJAE4ARABFAFgAKAB7AFwAbgAgACAAIAAgACAAIAAgACAAIAAgAFwAIgBNAF8AYwBcACIALABcACIAbQBhAHMAcwAgAG8AZgAgAG4AaQB0AHIAbwBnAGUAbgAgAGkAbgAgAGMAcgBvAHAAIABjACAAcgBlAHMAaQBkAHUAZQBzACAAcgBlAHQAdQByAG4AZQBkACAAdABvACAAdABoAGUAIABzAG8AaQBsAFwAIgAsACAAXAAiAGsAZwAgAE4AXAAiACwAIABcACIAQwBhAGwAYwB1AGwAYQB0AGUAZAAgAGYAcgBvAG0AIAA2AC4AMQAuADEALgAxACAAKAAyACkAXAAiADsAXABuACAAIAAgACAAIAAgACAAIAAgACAAXAAiAEUARgBfAE4AaQBcACIALABcACIAZQBtAGkAcwBzAGkAbwBuACAAZgBhAGMAdABvAHIAIABmAG8AcgAgAGMAcgBvAHAAIAByAGUAcwBpAGQAdQBlAHMAIAByAGUAdAB1AHIAbgBlAGQAIAB0AG8AIAB0AGgAZQAgAHMAbwBpAGw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QAeQBwAGUAXAAiACwAIABcACIAXAAiACwAIABcACIASQBuAHAAdQB0AFwAIgA7AFwAbgAgACAAIAAgACAAIAAgACAAIAAgAFwAIgBpAFwAIgAsAFwAIgBXAGUAdAAgAG8AcgAgAGQAcgB5ACAAYwBsAGkAbQBhAHQAZQ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EAXwAxAF8AMQBfAF8AMgBfAF8ATQBhAHMAcwBPAGYATgBpAHQAcgBvAGcAZQBuAEkAbgBDAHIAbwBwAFIAZQBzAGkAZAB1AGUAcwBcAG4ATQBhAHMAcwAgAG8AZgAgAG4AaQB0AHIAbwBnAGUAbgAgAGkAbgAgAGMAcgBvAHAAIAByAGUAcwBpAGQAdQBlAHMAIAByAGUAdAB1AHIAbgBlAGQAIAB0AG8AIAB0AGgAZQAgAHMAbwBpAGwAXABuAE0AYwBcAG4AawBnACAATgBcAG4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G4AUABjACAAPQAgAGEAbgBuAHUAYQBsACAAcAByAG8AZAB1AGMAdABpAG8AbgAgAG8AZgAgAGMAcgBvAHAAIABjACAAKABrAGcAKQBcAG4AUgBBAEcAYwAgAD0AIAByAGUAcwBpAGQAdQBlACAAdABvACAAYwByAG8AcAAgAHIAYQB0AGkAbwAgAGYAbwByACAAYwByAG8AcAAgAGMAIAAoAGQAaQBtAGUAbgBzAGkAbwBuAGwAZQBzAHMAKQBcAG4AUgBCAEcAYwAgAD0AIABiAGUAbABvAHcAIABnAHIAbwB1AG4AZAAtAHIAZQBzAGkAZAB1AGUAIAB0AG8AIABhAGIAbwB2AGUAIABnAHIAbwB1AG4AZAAgAHIAZQBzAGkAZAB1AGUAIAByAGEAdABpAG8AIABmAG8AcgAgAGMAcgBvAHAAIABjACAAKABkAGkAbQBlAG4AcwBpAG8AbgBsAGUAcwBzACkAXABuAEYAYwAgAD0AIABmAHIAYQBjAHQAaQBvAG4AIABvAGYAIABjAHIAbwBwACAAcgBlAHMAaQBkAHUAZQAgAHQAaABhAHQAIABpAHMAIABiAHUAcgBuAHQAIABmAG8AcgAgAGMAcgBvAHAAIABjACAAKABkAGkAbQBlAG4AcwBpAG8AbgBsAGUAcwBzACkAXABuAEYARgBPAEQAYwAgAD0AIABmAHIAYQBjAHQAaQBvAG4AIABvAGYAIAB0AGgAZQAgAGMAcgBvAHAAIAByAGUAcwBpAGQAdQBlACAAdABoAGEAdAAgAGkAcwAgAHIAZQBtAG8AdgBlAGQAIABmAG8AcgAgAGMAcgBvAHAAIABjACAAKABkAGkAbQBlAG4AcwBpAG8AbgBsAGUAcwBzACkAXABuAEQATQBjACAAPQAgAGQAcgB5ACAAbQBhAHQAdABlAHIAIABjAG8AbgB0AGUAbgB0ACAAbwBmACAAYwByAG8AcAAgAGMAIAAoAGsAZwAgAGQAcgB5ACAAdwBlAGkAZwBoAHQALwBrAGcAIABjAHIAbwBwACAAcgBlAHMAaQBkAHUAZQApAFwAbgBOAEMAQQBHAGMAIAA9ACAAbgBpAHQAcgBvAGcAZQBuACAAYwBvAG4AdABlAG4AdAAgAG8AZgAgAGEAYgBvAHYAZQAtAGcAcgBvAHUAbgBkACAAYwByAG8AcAAgAHIAZQBzAGkAZAB1AGUAIABvAGYAIABjAHIAbwBwACAAYwAgACgAawBnACAATgAvAGsAZwAgAEQATQApAFwAbgBOAEMAQgBHAGMAIAA9ACAAbgBpAHQAcgBvAGcAZQBuACAAYwBvAG4AdABlAG4AdAAgAG8AZgAgAGIAZQBsAG8AdwAtAGcAcgBvAHUAbgBkACAAYwByAG8AcAAgAHIAZQBzAGkAZAB1AGUAIABvAGYAIABjAHIAbwBwACAAYwAgACgAawBnACAATgAvAGsAZwAgAEQATQApAFwAbgBjACAAPQAgAEMAcgBvAHAAIAB0AHkAcABlAFwAbgAtAC0ALQAtAC0ALQAtAC0ALQAtAC0ALQAtAC0ALQAtAC0ALQAtAC0ALQAtAC0ALQAtAC0ALQAtAC0ALQAtAC0ALQAtAC0ALQAtAC0AXABuACoALwBcAG4AXABuAFYARQBFAFIARwBfADYAXwAxAF8AMQBfADEAXwBfADIAXwBfAE0AYQBzAHMATwBmAE4AaQB0AHIAbwBnAGUAbgBJAG4AQwByAG8AcABSAGUAcwBpAGQAdQBlAHMAXABuACAAIAA9AEwAQQBNAEIARABBACgAXABuACAAIAAgACAAUABfAGMALAAgAFIAXwBBAEcAYwAsACAARgBfAGMALAAgAEYARgBPAEQAXwBjACwAIABEAE0AXwBjACwAIABOAEMAXwBBAEcAYwAsACAAUgBfAEIARwBjACwAIABOAEMAXwBCAEcAYwAsAFwAbgAgACAAIAAgACgAUABfAGMAIAAqACAAUgBfAEEARwBjACAAKgAgACgAMQAgAC0AIABGAF8AYwAgAC0AIABGAEYATwBEAF8AYwApACAAKgAgAEQATQBfAGMAIAAqACAATgBDAF8AQQBHAGMAKQAgACsAIAAoAFAAXwBjACAAKgAgAFIAXwBBAEcAYwAgACoAIABSAF8AQgBHAGMAIAAqACAARABNAF8AYwAgACoAIABOAEMAXwBCAEcAYwApAFwAbgAgACAAKQBcAG4AOwBcAG4AXABuAFYARQBFAFIARwBfADYAXwAxAF8AMQBfADEAXwBfADIAXwBfAE0AYQBzAHMATwBmAE4AaQB0AHIAbwBnAGUAbgBJAG4AQwByAG8AcABSAGUAcwBpAGQAdQBlAHMAXwBUAGkAdABsAGUAXABuACAAIAA9AEwAQQBNAEIARABBACgAXAAiAE0AYQBzAHMAIABvAGYAIABuAGkAdAByAG8AZwBlAG4AIABpAG4AIABjAHIAbwBwACAAcgBlAHMAaQBkAHUAZQBzACAAcgBlAHQAdQByAG4AZQBkACAAdABvACAAdABoAGUAIABzAG8AaQBsAFwAIgApADsAXABuAFwAbgBWAEUARQBSAEcAXwA2AF8AMQBfADEAXwAxAF8AXwAyAF8AXwBNAGEAcwBzAE8AZgBOAGkAdAByAG8AZwBlAG4ASQBuAEMAcgBvAHAAUgBlAHMAaQBkAHUAZQBzAF8AVgBhAHIAaQBhAGIAbABlAFwAbgAgACAAPQBMAEEATQBCAEQAQQAoAFwAIgBNAF8AYwBcACIAKQA7AFwAbgBcAG4AVgBFAEUAUgBHAF8ANgBfADEAXwAxAF8AMQBfAF8AMgBfAF8ATQBhAHMAcwBPAGYATgBpAHQAcgBvAGcAZQBuAEkAbgBDAHIAbwBwAFIAZQBzAGkAZAB1AGUAcwBfAFUAbgBpAHQAXABuACAAIAA9AEwAQQBNAEIARABBACgAXAAiAGsAZwAgAE4AXAAiACkAOwBcAG4AXABuAFYARQBFAFIARwBfADYAXwAxAF8AMQBfADEAXwBfADIAXwBfAE0AYQBzAHMATwBmAE4AaQB0AHIAbwBnAGUAbgBJAG4AQwByAG8AcABSAGUAcwBpAGQAdQBlAHMAXwBTAG8AdQByAGMAZQBcAG4AIAAgAD0ATABBAE0AQgBEAEEAKABcACIAVgBFAEUAUgBHACAAMgAwADIANgA6ACAANgAuADEALgAxAC4AMQAsACAARQBxAHUAYQB0AGkAbwBuACAAKAAyACkAXAAiACkAOwBcAG4AXABuAFYARQBFAFIARwBfADYAXwAxAF8AMQBfADEAXwBfADIAXwBfAE0AYQBzAHMATwBmAE4AaQB0AHIAbwBnAGUAbgBJAG4AQwByAG8AcABSAGUAcwBpAGQAdQBlAHMAXwBOAEkAUgBSAGUAZgBlAHIAZQBuAGMAZQBcAG4AIAAgAD0ATABBAE0AQgBEAEEAKABcACIAXAAiACkAOwBcAG4AXABuAFYARQBFAFIARwBfADYAXwAxAF8AMQBfADEAXwBfADIAXwBfAE0AYQBzAHMATwBmAE4AaQB0AHIAbwBnAGUAbgBJAG4AQwByAG8AcABSAGUAcwBpAGQAdQBlAHMAXwBMAGEAdABlAHgARQBxAHUAYQB0AGkAbwBuAFwAbgAgACAAPQBMAEEATQBCAEQAQQAoAFwAIgBNAF8AewBjAH0APQAoAFAAXwB7AGMAfQBcAFwAdABpAG0AZQBzACAAUgBfAHsAQQBHAGMAfQBcAFwAdABpAG0AZQBzACgAMQAtAEYAXwB7AGMAfQAtAEYARgBPAEQAXwB7AGMAfQApAFwAXAB0AGkAbQBlAHMAIABEAE0AXwB7AGMAfQBcAFwAdABpAG0AZQBzACAATgBDAF8AewBBAEcAYwB9ACkAKwAoAFAAXwB7AGMAfQBcAFwAdABpAG0AZQBzACAAUgBfAHsAQQBHAGMAfQBcAFwAdABpAG0AZQBzACAAUgBfAHsAQgBHAGMAfQBcAFwAdABpAG0AZQBzACAARABNAF8AewBjAH0AXABcAHQAaQBtAGUAcwAgAE4AQwBfAHsAQgBHAGMAfQApAFwAIgApADsAXABuAFwAbgBWAEUARQBSAEcAXwA2AF8AMQBfADEAXwAxAF8AXwAyAF8AXwBNAGEAcwBzAE8AZgBOAGkAdAByAG8AZwBlAG4ASQBuAEMAcgBvAHAAUgBlAHMAaQBkAHUAZQBzAF8AQQByAGcAdQBtAGUAbgB0AHM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cACIALAAgAFwAIgBDAG8AbgBzAHQAYQBuAHQAXAAiADsAXABuACAAIAAgACAAIAAgACAAIAAgACAAXAAiAEYAXwBjAFwAIgAsAFwAIgBmAHIAYQBjAHQAaQBvAG4AIABvAGYAIABjAHIAbwBwACAAcgBlAHMAaQBkAHUAZQAgAHQAaABhAHQAIABpAHMAIABiAHUAcgBuAHQAIABmAG8AcgAgAGMAcgBvAHAAIABjAFwAIgAsACAAXAAiAGYAcgBhAGMAdABpAG8AbgBcACIALAAgAFwAIgBJAG4AcAB1AHQAXAAiADsAXABuACAAIAAgACAAIAAgACAAIAAgACAAXAAiAEYARgBPAEQAXwBjAFwAIgAsAFwAIgBmAHIAYQBjAHQAaQBvAG4AIABvAGYAIAB0AGgAZQAgAGMAcgBvAHAAIAByAGUAcwBpAGQAdQBlACAAdABoAGEAdAAgAGkAcwAgAHIAZQBtAG8AdgBlAGQAIABmAG8AcgAgAGMAcgBvAHAAIABjAFwAIgAsACAAXAAiAGYAcgBhAGMAdABpAG8AbgBcACIALAAgAFwAIgBDAG8AbgBzAHQAYQBuAHQAXAAiADsAXABuACAAIAAgACAAIAAgACAAIAAgACAAXAAiAEQATQBfAGMAXAAiACwAXAAiAGQAcgB5ACAAbQBhAHQAdABlAHIAIABjAG8AbgB0AGUAbgB0ACAAbwBmACAAYwByAG8AcAAgAGMAXAAiACwAIABcACIAawBnACAAZAByAHkAIAB3AGUAaQBnAGgAdAAvAGsAZwAgAGMAcgBvAHAAIAByAGUAcwBpAGQAdQBlAFwAIgAsACAAXAAiAEMAbwBuAHMAdABhAG4AdABcACIAOwBcAG4AIAAgACAAIAAgACAAIAAgACAAIABcACIATgBDAF8AQQBHAGMAXAAiACwAXAAiAG4AaQB0AHIAbwBnAGUAbgAgAGMAbwBuAHQAZQBuAHQAIABvAGYAIABhAGIAbwB2AGUALQBnAHIAbwB1AG4AZAAgAGMAcgBvAHAAIAByAGUAcwBpAGQAdQBlACAAbwBmACAAYwByAG8AcAAgAGMAXAAiACwAIABcACIAawBnACAATgAvAGsAZwAgAEQATQBcACIALAAgAFwAIgBDAG8AbgBzAHQAYQBuAHQAXAAiADsAXABuACAAIAAgACAAIAAgACAAIAAgACAAXAAiAE4AQwBfAEIARwBjAFwAIgAsAFwAIgBuAGkAdAByAG8AZwBlAG4AIABjAG8AbgB0AGUAbgB0ACAAbwBmACAAYgBlAGwAbwB3AC0AZwByAG8AdQBuAGQAIABjAHIAbwBwACAAcgBlAHMAaQBkAHUAZQAgAG8AZgAgAGMAcgBvAHAAIABjAFwAIgAsACAAXAAiAGsAZwAgAE4ALwBrAGcAIABEAE0AXAAiACwAIABcACIAQwBvAG4AcwB0AGEAbgB0AFwAIgA7AFwAbgAgACAAIAAgACAAIAAgACAAIAAgAFwAIgBjAFwAIgAsAFwAIgBDAHIAbwBwACAAdAB5AHAAZQBcACIALAAgAFwAIgBcACIALAAgAFwAIgBJAG4AcAB1AHQAXAAiADsAXABuACAAIAAgACAAIAAgACAAIAAgACAAXAAiAFMAdABhAHQAZQBcACIALABcACIAUwB0AGEAdABlACAAbwByACAAdABlAHIAcgBpAHQAbwByAHkAXAAiACwAIABcACIAXAAiACwAIABcACIASQBuAHAAdQB0AFwAIgBcAG4AIAAgACAAIAAgACAAIAAgAH0ALAAgAHIALAAgAGMAKQBcAG4AIAAgACAAIAAgACAAKQBcAG4AIAAgACAAIAApAFwAbgAgACAAKQA7AFwAbgBcAG4AVgBFAEUAUgBHAF8ANgBfADEAXwAxAF8AMQBfAF8AMgBfAF8ATQBhAHMAcwBPAGYATgBpAHQAcgBvAGcAZQBuAEkAbgBDAHIAbwBwAFIAZQBzAGkAZAB1AGUAcwBfAEEAcgBnAHUAbQBlAG4AdABzAF8ATQBlAHQAaABvAGQAMgBcAG4AIAAgAD0ATABBAE0AQgBEAEEAKABcAG4AIAAgACAAIABNAEEASwBFAEEAUgBSAEEAWQAoADEAMAAsACAANAAsACAAXABuACAAIAAgACAAIAAgAEwAQQBNAEIARABBACgAcgAsAGMALAAgAFwAbgAgACAAIAAgACAAIAAgACAASQBOAEQARQBYACgAewBcAG4AIAAgACAAIAAgACAAIAAgACAAIABcACIAUABfAGMAXAAiACwAXAAiAGEAbgBuAHUAYQBsACAAcAByAG8AZAB1AGMAdABpAG8AbgAgAG8AZgAgAGMAcgBvAHAAIABjAFwAIgAsACAAXAAiAGsAZwBcACIALAAgAFwAIgBJAG4AcAB1AHQAXAAiADsAXABuACAAIAAgACAAIAAgACAAIAAgACAAXAAiAFIAXwBBAEcAYwBcACIALABcACIAcgBlAHMAaQBkAHUAZQAgAHQAbwAgAGMAcgBvAHAAIAByAGEAdABpAG8AIABmAG8AcgAgAGMAcgBvAHAAIABjAFwAIgAsACAAXAAiAFwAIgAsACAAXAAiAEMAbwBuAHMAdABhAG4AdABcACIAOwBcAG4AIAAgACAAIAAgACAAIAAgACAAIABcACIAUgBfAEIARwBjAFwAIgAsAFwAIgBiAGUAbABvAHcAIABnAHIAbwB1AG4AZAAtAHIAZQBzAGkAZAB1AGUAIAB0AG8AIABhAGIAbwB2AGUAIABnAHIAbwB1AG4AZAAgAHIAZQBzAGkAZAB1AGUAIAByAGEAdABpAG8AIABmAG8AcgAgAGMAcgBvAHAAIABjAFwAIgAsACAAXAAiAFwAIgAsACAAXAAiAEMAbwBuAHMAdABhAG4AdABcACIAOwBcAG4AIAAgACAAIAAgACAAIAAgACAAIABcACIARgBfAGMAXAAiACwAXAAiAGYAcgBhAGMAdABpAG8AbgAgAG8AZgAgAGMAcgBvAHAAIAByAGUAcwBpAGQAdQBlACAAdABoAGEAdAAgAGkAcwAgAGIAdQByAG4AdAAgAGYAbwByACAAYwByAG8AcAAgAGMAXAAiACwAIABcACIAZgByAGEAYwB0AGkAbwBuAFwAIgAsACAAXAAiAEkAbgBwAHUAdABcACIAOwBcAG4AIAAgACAAIAAgACAAIAAgACAAIABcACIARgBGAE8ARABfAGMAXAAiACwAXAAiAGYAcgBhAGMAdABpAG8AbgAgAG8AZgAgAHQAaABlACAAYwByAG8AcAAgAHIAZQBzAGkAZAB1AGUAIAB0AGgAYQB0ACAAaQBzACAAcgBlAG0AbwB2AGUAZAAgAGYAbwByACAAYwByAG8AcAAgAGMAXAAiACwAIABcACIAZgByAGEAYwB0AGkAbwBuAFwAIgAsACAAXAAiAEMAYQBsAGMAdQBsAGEAdABlAGQAIABmAHIAbwBtACAANgAuADEALgAxAC4AMgAgACgAMQAp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IAXwBfADEAXwBfAEYAcgBhAGMAdABpAG8AbgBPAGYAQwByAG8AcABSAGUAcwBpAGQAdQBlAFIAZQBtAG8AdgBlAGQAQgBhAGwAZQBkAFwAbgBGAHIAYQBjAHQAaQBvAG4AIABvAGYAIABjAHIAbwBwACAAcgBlAHMAaQBkAHUAZQAgAHQAaABhAHQAIABpAHMAIAByAGUAbQBvAHYAZQBkACAAZgBvAHIAIABjAHIAbwBwACAAYwAsACAAYwBhAGwAYwB1AGwAYQB0AGUAZAAgAHcAaABlAHIAZQAgAHIAZQBzAGkAZAB1AGUAcwAgAGEAcgBlACAAYgBhAGwAZQBkAFwAbgBGAEYATwBEAGMAXABuAGQAaQBtAGUAbgBzAGkAbwBuAGwAZQBzAHMAXABuAEYARgBPAEQAXwB7AGMAfQA9AFwAXABmAHIAYQBjAHsAQgBcAFwAdABpAG0AZQBzACAATQBfAHsAQgB9AH0AewBQAF8AewBjAH0AXABcAHQAaQBtAGUAcwAgAFIAXwB7AEEARwAsAGMAfQB9AFwAbgBCACAAPQAgAG4AdQBtAGIAZQByACAAbwBmACAAYgBhAGwAZQBzACAAZwBlAG4AZQByAGEAdABlAGQAIAAoAG4AdQBtAGIAZQByACkAXABuAE0AQgAgAD0AIABtAGEAcwBzACAAbwBmACAAZQBhAGMAaAAgAGIAYQBsAGUAIAAoAGsAZwApAFwAbgBQAGMAIAA9ACAAYQBuAG4AdQBhAGwAIABwAHIAbwBkAHUAYwB0AGkAbwBuACAAbwBmACAAYwByAG8AcAAgAGMAIAAoAGsAZwApAFwAbgBSAEEARwBjACAAPQAgAHIAZQBzAGkAZAB1AGUAIAB0AG8AIABjAHIAbwBwACAAcgBhAHQAaQBvACAAZgBvAHIAIABjAHIAbwBwACAAYwAgACgAZgByAGEAYwB0AGkAbwBuACkAXABuAGMAIAA9ACAAQwByAG8AcAAgAHQAeQBwAGUAXABuAC0ALQAtAC0ALQAtAC0ALQAtAC0ALQAtAC0ALQAtAC0ALQAtAC0ALQAtAC0ALQAtAC0ALQAtAC0ALQAtAC0ALQAtAC0ALQAtAC0ALQBcAG4AKgAvAFwAbgBcAG4AVgBFAEUAUgBHAF8ANgBfADEAXwAxAF8AMgBfAF8AMQBfAF8ARgByAGEAYwB0AGkAbwBuAE8AZgBDAHIAbwBwAFIAZQBzAGkAZAB1AGUAUgBlAG0AbwB2AGUAZABCAGEAbABlAGQAXABuACAAIAA9AEwAQQBNAEIARABBACgAXABuACAAIAAgACAAQgAsACAATQBfAEIALAAgAFAAXwBjACwAIABSAF8AQQBHAGMALABcAG4AIAAgACAAIABJAEYARQBSAFIATwBSACgAKABCACAAKgAgAE0AXwBCACkAIAAvACAAKABQAF8AYwAgACoAIABSAF8AQQBHAGMAKQAsACAAMAApAFwAbgAgACAAKQBcAG4AOwBcAG4AXABuAFYARQBFAFIARwBfADYAXwAxAF8AMQBfADIAXwBfADEAXwBfAEYAcgBhAGMAdABpAG8AbgBPAGYAQwByAG8AcABSAGUAcwBpAGQAdQBlAFIAZQBtAG8AdgBlAGQAQgBhAGwAZQBkAF8AVABpAHQAbABlAFwAbgAgACAAPQBMAEEATQBCAEQAQQAoAFwAIgBGAHIAYQBjAHQAaQBvAG4AIABvAGYAIABjAHIAbwBwACAAcgBlAHMAaQBkAHUAZQAgAHQAaABhAHQAIABpAHMAIAByAGUAbQBvAHYAZQBkACAAZgBvAHIAIABjAHIAbwBwACAAYwAsACAAYwBhAGwAYwB1AGwAYQB0AGUAZAAgAHcAaABlAHIAZQAgAHIAZQBzAGkAZAB1AGUAcwAgAGEAcgBlACAAYgBhAGwAZQBkAFwAIgApADsAXABuAFwAbgBWAEUARQBSAEcAXwA2AF8AMQBfADEAXwAyAF8AXwAxAF8AXwBGAHIAYQBjAHQAaQBvAG4ATwBmAEMAcgBvAHAAUgBlAHMAaQBkAHUAZQBSAGUAbQBvAHYAZQBkAEIAYQBsAGUAZABfAFYAYQByAGkAYQBiAGwAZQBcAG4AIAAgAD0ATABBAE0AQgBEAEEAKABcACIARgBGAE8ARABfAGMAXAAiACkAOwBcAG4AXABuAFYARQBFAFIARwBfADYAXwAxAF8AMQBfADIAXwBfADEAXwBfAEYAcgBhAGMAdABpAG8AbgBPAGYAQwByAG8AcABSAGUAcwBpAGQAdQBlAFIAZQBtAG8AdgBlAGQAQgBhAGwAZQBkAF8AVQBuAGkAdABcAG4AIAAgAD0ATABBAE0AQgBEAEEAKABcACIAZgByAGEAYwB0AGkAbwBuAFwAIgApADsAXABuAFwAbgBWAEUARQBSAEcAXwA2AF8AMQBfADEAXwAyAF8AXwAxAF8AXwBGAHIAYQBjAHQAaQBvAG4ATwBmAEMAcgBvAHAAUgBlAHMAaQBkAHUAZQBSAGUAbQBvAHYAZQBkAEIAYQBsAGUAZABfAFMAbwB1AHIAYwBlAFwAbgAgACAAPQBMAEEATQBCAEQAQQAoAFwAIgBWAEUARQBSAEcAIAAyADAAMgA2ADoAIAA2AC4AMQAuADEALgAyACwAIABFAHEAdQBhAHQAaQBvAG4AIAAoADEAKQBcACIAKQA7AFwAbgBcAG4AVgBFAEUAUgBHAF8ANgBfADEAXwAxAF8AMgBfAF8AMQBfAF8ARgByAGEAYwB0AGkAbwBuAE8AZgBDAHIAbwBwAFIAZQBzAGkAZAB1AGUAUgBlAG0AbwB2AGUAZABCAGEAbABlAGQAXwBOAEkAUgBSAGUAZgBlAHIAZQBuAGMAZQBcAG4AIAAgAD0ATABBAE0AQgBEAEEAKABcACIAXAAiACkAOwBcAG4AXABuAFYARQBFAFIARwBfADYAXwAxAF8AMQBfADIAXwBfADEAXwBfAEYAcgBhAGMAdABpAG8AbgBPAGYAQwByAG8AcABSAGUAcwBpAGQAdQBlAFIAZQBtAG8AdgBlAGQAQgBhAGwAZQBkAF8ATABhAHQAZQB4AEUAcQB1AGEAdABpAG8AbgBcAG4AIAAgAD0ATABBAE0AQgBEAEEAKABcACIARgBGAE8ARABfAHsAYwB9AD0AXABcAGYAcgBhAGMAewBCAFwAXAB0AGkAbQBlAHMAIABNAF8AewBCAH0AfQB7AFAAXwB7AGMAfQBcAFwAdABpAG0AZQBzACAAUgBfAHsAQQBHACwAYwB9AH0AXAAiACkAOwBcAG4AXABuAFYARQBFAFIARwBfADYAXwAxAF8AMQBfADIAXwBfADEAXwBfAEYAcgBhAGMAdABpAG8AbgBPAGYAQwByAG8AcABSAGUAcwBpAGQAdQBlAFIAZQBtAG8AdgBlAGQAQgBhAGwAZQBkAF8AQQByAGcAdQBtAGUAbgB0AHMAXABuACAAIAA9AEwAQQBNAEIARABBACgAXABuACAAIAAgACAATQBBAEsARQBBAFIAUgBBAFkAKAA1ACwAIAA0ACwAIABcAG4AIAAgACAAIAAgACAATABBAE0AQgBEAEEAKAByACwAYwAsACAAXABuACAAIAAgACAAIAAgACAAIABJAE4ARABFAFgAKAB7AFwAbgAgACAAIAAgACAAIAAgACAAIAAgAFwAIgBCAFwAIgAsAFwAIgBuAHUAbQBiAGUAcgAgAG8AZgAgAGIAYQBsAGUAcwAgAGcAZQBuAGUAcgBhAHQAZQBkAFwAIgAsACAAXAAiAFwAIgAsACAAXAAiAEkAbgBwAHUAdABcACIAOwBcAG4AIAAgACAAIAAgACAAIAAgACAAIABcACIATQBfAEIAXAAiACwAXAAiAG0AYQBzAHMAIABvAGYAIABlAGEAYwBoACAAYgBhAGwAZQBcACIALAAgAFwAIgBrAGcAXAAiACwAIABcACIASQBuAHAAdQB0AFwAIgA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XABuAFwAbgBWAEUARQBSAEcAXwA2AF8AMQBfADEAXwAyAF8AXwAxAF8AXwBGAHIAYQBjAHQAaQBvAG4ATwBmAEMAcgBvAHAAUgBlAHMAaQBkAHUAZQBSAGUAbQBvAHYAZQBkAEIAYQBsAGUAZABfAFYAYQByAGkAYQB0AGkAbwBuAFwAbgAgACAAPQBMAEEATQBCAEQAQQAoAFwAIgBcACIAKQA7AFwAbgBcAG4AXABuAFwAbgAvACoAIABcAG4ALQAtAC0ALQAtAC0ALQAtAC0ALQAtAC0ALQAtAC0ALQAtAC0ALQAtAC0ALQAtAC0ALQAtAC0ALQAtAC0ALQAtAC0ALQAtAC0ALQAtAFwAbgBWAEUARQBSAEcAXwA2AF8AMQBfADEAXwAyAF8AXwAxAGEAXwBfAEYAcgBhAGMAdABpAG8AbgBPAGYAQwByAG8AcABSAGUAcwBpAGQAdQBlAFIAZQBtAG8AdgBlAGQAXABuAEYAcgBhAGMAdABpAG8AbgAgAG8AZgAgAGMAcgBvAHAAIAByAGUAcwBpAGQAdQBlACAAdABoAGEAdAAgAGkAcwAgAHIAZQBtAG8AdgBlAGQAIABmAG8AcgAgAGMAcgBvAHAAIABjAFwAbgBGAEYATwBEAGMAXABuAGQAaQBtAGUAbgBzAGkAbwBuAGwAZQBzAHMAXABuAFwAbgAtAC0ALQAtAC0ALQAtAC0ALQAtAC0ALQAtAC0ALQAtAC0ALQAtAC0ALQAtAC0ALQAtAC0ALQAtAC0ALQAtAC0ALQAtAC0ALQAtAC0AXABuACoALwBcAG4AXABuAC8AKgBcAG4AVgBFAEUAUgBHAF8ANgBfADEAXwAxAF8AMgBfAF8AMQBhAF8AXwBGAHIAYQBjAHQAaQBvAG4ATwBmAEMAcgBvAHAAUgBlAHMAaQBkAHUAZQBSAGUAbQBvAHYAZQBkAFwAbgAgACAAPQBMAEEATQBCAEQAQQAoAFwAbgAgACAAIAAgAEYARgBPAEQAXwBjAGIAYQBsAGUAZAAsACAARgBGAE8ARABfAGMAbwB0AGgAZQByACwAXABuACAAIAAgACAARgBGAE8ARABfAGMAYgBhAGwAZQBkACAAKwAgAEYARgBPAEQAXwBjAG8AdABoAGUAcgBcAG4AIAAgACkAXABuADsAXABuAFwAbgBWAEUARQBSAEcAXwA2AF8AMQBfADEAXwAyAF8AXwAxAGEAXwBfAEYAcgBhAGMAdABpAG8AbgBPAGYAQwByAG8AcABSAGUAcwBpAGQAdQBlAFIAZQBtAG8AdgBlAGQAXwBUAGkAdABsAGUAXABuACAAIAA9AEwAQQBNAEIARABBACgAXAAiAEYAcgBhAGMAdABpAG8AbgAgAG8AZgAgAGMAcgBvAHAAIAByAGUAcwBpAGQAdQBlACAAdABoAGEAdAAgAGkAcwAgAHIAZQBtAG8AdgBlAGQAIABmAG8AcgAgAGMAcgBvAHAAIABjAFwAIgApADsAXABuAFwAbgBWAEUARQBSAEcAXwA2AF8AMQBfADEAXwAyAF8AXwAxAGEAXwBfAEYAcgBhAGMAdABpAG8AbgBPAGYAQwByAG8AcABSAGUAcwBpAGQAdQBlAFIAZQBtAG8AdgBlAGQAXwBWAGEAcgBpAGEAYgBsAGUAXABuACAAIAA9AEwAQQBNAEIARABBACgAXAAiAEYARgBPAEQAXwBjAFwAIgApADsAXABuAFwAbgBWAEUARQBSAEcAXwA2AF8AMQBfADEAXwAyAF8AXwAxAGEAXwBfAEYAcgBhAGMAdABpAG8AbgBPAGYAQwByAG8AcABSAGUAcwBpAGQAdQBlAFIAZQBtAG8AdgBlAGQAXwBVAG4AaQB0AFwAbgAgACAAPQBMAEEATQBCAEQAQQAoAFwAIgBkAGkAbQBlAG4AcwBpAG8AbgBsAGUAcwBzAFwAIgApADsAXABuAFwAbgBWAEUARQBSAEcAXwA2AF8AMQBfADEAXwAyAF8AXwAxAGEAXwBfAEYAcgBhAGMAdABpAG8AbgBPAGYAQwByAG8AcABSAGUAcwBpAGQAdQBlAFIAZQBtAG8AdgBlAGQAXwBTAG8AdQByAGMAZQBcAG4AIAAgAD0ATABBAE0AQgBEAEEAKABcACIAXAAiACkAOwBcAG4AXABuAFYARQBFAFIARwBfADYAXwAxAF8AMQBfADIAXwBfADEAYQBfAF8ARgByAGEAYwB0AGkAbwBuAE8AZgBDAHIAbwBwAFIAZQBzAGkAZAB1AGUAUgBlAG0AbwB2AGUAZABfAE4ASQBSAFIAZQBmAGUAcgBlAG4AYwBlAFwAbgAgACAAPQBMAEEATQBCAEQAQQAoAFwAIgBcACIAKQA7AFwAbgBcAG4AVgBFAEUAUgBHAF8ANgBfADEAXwAxAF8AMgBfAF8AMQBhAF8AXwBGAHIAYQBjAHQAaQBvAG4ATwBmAEMAcgBvAHAAUgBlAHMAaQBkAHUAZQBSAGUAbQBvAHYAZQBkAF8ATABhAHQAZQB4AEUAcQB1AGEAdABpAG8AbgBcAG4AIAAgAD0ATABBAE0AQgBEAEEAKABcACIARgBGAE8ARABfAHsAYwB9ACAAPQAgAEYARgBPAEQAXwB7AGMALABiAGEAbABlAGQAfQAgACsAIABGAEYATwBEAF8AewBjACwAbwB0AGgAZQByAH0AXAAiACkAOwBcAG4AXABuAFYARQBFAFIARwBfADYAXwAxAF8AMQBfADIAXwBfADEAYQBfAF8ARgByAGEAYwB0AGkAbwBuAE8AZgBDAHIAbwBwAFIAZQBzAGkAZAB1AGUAUgBlAG0AbwB2AGUAZABfAEEAcgBnAHUAbQBlAG4AdABzAFwAbgAgACAAPQBMAEEATQBCAEQAQQAoAFwAbgAgACAAIAAgAE0AQQBLAEUAQQBSAFIAQQBZACgAMgAsACAANAAsACAAXABuACAAIAAgACAAIAAgAEwAQQBNAEIARABBACgAcgAsAGMALAAgAFwAbgAgACAAIAAgACAAIAAgACAASQBOAEQARQBYACgAewBcAG4AIAAgACAAIAAgACAAIAAgACAAIABcACIARgBGAE8ARABfAGMAYgBhAGwAZQBkAFwAIgAsAFwAIgBGAHIAYQBjAHQAaQBvAG4AIABvAGYAIABjAHIAbwBwACAAcgBlAHMAaQBkAHUAZQAgAHQAaABhAHQAIABpAHMAIAByAGUAbQBvAHYAZQBkACAAZgBvAHIAIABjAHIAbwBwACAAYwAsACAAYwBhAGwAYwB1AGwAYQB0AGUAZAAgAHcAaABlAHIAZQAgAHIAZQBzAGkAZAB1AGUAcwAgAGEAcgBlACAAYgBhAGwAZQBkAFwAIgAsACAAXAAiAGYAcgBhAGMAdABpAG8AbgBcACIALAAgAFwAIgBDAGEAbABjAHUAbABhAHQAZQBkACAAZgByAG8AbQAgADYALgAxAC4AMQAuADIALAAgACgAMQApAFwAIgA7AFwAbgAgACAAIAAgACAAIAAgACAAIAAgAFwAIgBGAEYATwBEAF8AYwBvAHQAaABlAHIAXAAiACwAXAAiAEYAcgBhAGMAdABpAG8AbgAgAG8AZgAgAGMAcgBvAHAAIAByAGUAcwBpAGQAdQBlACAAdABoAGEAdAAgAGkAcwAgAHIAZQBtAG8AdgBlAGQAIABmAG8AcgAgAGMAcgBvAHAAIABjACwAIABjAGEAbABjAHUAbABhAHQAZQBkACAAdwBoAGUAcgBlACAAcgBlAHMAaQBkAHUAZQBzACAAYQByAGUAIAByAGUAbQBvAHYAZQBkACAAYgB5ACAAbwB0AGgAZQByACAAbQBlAGEAbgBzAFwAIgAsACAAXAAiAGYAcgBhAGMAdABpAG8AbgBcACIALAAgAFwAIgBJAG4AcAB1AHQAXAAiAFwAbgAgACAAIAAgACAAIAAgACAAfQAsACAAcgAsACAAYwApAFwAbgAgACAAIAAgACAAIAApAFwAbgAgACAAIAAgACkAXABuACAAIAApADsAXABuAFwAbgBWAEUARQBSAEcAXwA2AF8AMQBfADEAXwAyAF8AXwAxAGEAXwBfAEYAcgBhAGMAdABpAG8AbgBPAGYAQwByAG8AcABSAGUAcwBpAGQAdQBlAFIAZQBtAG8AdgBlAGQAXwBWAGEAcgBpAGEAdABpAG8AbgBcAG4AIAAgAD0ATABBAE0AQgBEAEEAKABcACIAVgBBAFIASQBBAFQASQBPAE4AIABGAFIATwBNACAAUwBPAFUAUgBDAEUAOgAgAEEAZABkAGUAZAAgAHQAaABpAHMAIABlAHEAdQBhAHQAaQBvAG4AIAB0AG8AIABhAGMAYwBvAG0AbQBvAGQAYQB0AGUAIAB1AHMAZQByAC0AZABlAGYAaQBuAGUAZAAgAHIAZQBzAGkAZAB1AGUAIAByAGUAbQBvAHYAYQBsACAAbwB0AGgAZQByACAAdABoAGEAbgAgAGIAYQBsAGkAbgBnAC4AXAAiACkAOwBcAG4AIAAgACoALwAiAH0ALAB7ACIAcABhAHQAaAAiADoAIgAvAHAAcgBvAGoAZQBjAHQAcwAvAEEAZwBSAGUAcwBpAGQAdQBlAF8ARQBxAHUAYQB0AGkAbwBuAHMAXwBGAGkAZQBsAGQAQgB1AHIAbgBpAG4AZwAiACwAIgB0AGUAeAB0ACIAOgAiAC8AKgAgAFwAbgAtAC0ALQAtAC0ALQAtAC0ALQAtAC0ALQAtAC0ALQAtAC0ALQAtAC0ALQAtAC0ALQAtAC0ALQAtAC0ALQAtAC0ALQAtAC0ALQAtAC0AXABuAFYARQBFAFIARwBfADYAXwA0AF8AMQBfADEAXwBfADEAXwBfAE0AZQB0AGgAYQBuAGUARQBtAGkAcwBzAGkAbwBuAHMARgByAG8AbQBCAHUAcgBuAGkAbgBnAE8AZgBDAHIAbwBwAFIAZQBzAGkAZAB1AGUAcwBcAG4ATQBlAHQAaABhAG4AZQAgAGUAbQBpAHMAcwBpAG8AbgBzACAAZgByAG8AbQAgAHQAaABlACAAYgB1AHIAbgBpAG4AZwAgAG8AZgAgAGMAcgBvAHAAIAByAGUAcwBpAGQAdQBlAHMAXABuAEUAQwBIADQAXABuAHQAIABDAEgANABcAG4ARQBfAHsAQwBIADQAfQA9AFwAbgBcAFwAcwB1AG0AXwB7AGMAfQAoAE0AXwB7AGIAdQByAG4ALABjAH0AXABcAHQAaQBtAGUAcwAgAEMAQwBfAHsAYwB9AFwAXAB0AGkAbQBlAHMAIABFAEYAXwB7AEMASAA0AH0AXABcAHQAaQBtAGUAcwAgAEMAXwB7AEMASAA0AH0AXABcAHQAaQBtAGUAcwAgADEAMABeAHsALQAzAH0AKQBcAG4ATQBfAGIAdQByAG4AYwAgAD0AIABtAGEAcwBzACAAbwBmACAAcgBlAHMAaQBkAHUAZQAgAGIAdQByAG4AdAAgAGYAbwByACAAYwByAG8AcAAgAHQAeQBwAGUAIABjACAAKABrAGcAKQBcAG4AQwBDAF8AYwAgAD0AIABjAGEAcgBiAG8AbgAgAG0AYQBzAHMAIABmAHIAYQBjAHQAaQBvAG4AIABpAG4AIAB0AGgAZQAgAHIAZQBzAGkAZAB1AGUAcwAgAG8AZgAgAGMAcgBvAHAAIAB0AHkAcABlACAAYwAgACgAZABpAG0AZQBuAHMAaQBvAG4AbABlAHMAcwApAFwAbgBFAEYAXwBDAEgANAAgAD0AIABlAG0AaQBzAHMAaQBvAG4AIABmAGEAYwB0AG8AcgAgAGYAbwByACAAbQBlAHQAaABhAG4AZQAgAGYAcgBvAG0AIABiAHUAcgBuAGkAbgBnACAAbwBmACAAYwByAG8AcAAgAHIAZQBzAGkAZAB1AGUAcwAgACgAawBnACAAQwBIADQALwBrAGcAIABDAEgANAAgAGIAdQByAG4AdAApAFwAbgBDAEMASAA0ACAAPQAgAGYAYQBjAHQAbwByACAAdABvACAAYwBvAG4AdgBlAHIAdAAgAGUAbABlAG0AZQBuAHQAYQBsACAAbQBhAHMAcwAgAG8AZgAgAG0AZQB0AGgAYQBu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NABfADEAXwAxAF8AXwAxAF8AXwBNAGUAdABoAGEAbgBlAEUAbQBpAHMAcwBpAG8AbgBzAEYAcgBvAG0AQgB1AHIAbgBpAG4AZwBPAGYAQwByAG8AcABSAGUAcwBpAGQAdQBlAHMAXABuACAAIAA9AEwAQQBNAEIARABBACgAXABuACAAIAAgACAATQBfAGIAdQByAG4AYwAsACAAQwBDAF8AYwAsACAARQBGAF8AQwBIADQALAAgAEMAXwBDAEgANAAsAFwAbgAgACAAIAAgACgATQBfAGIAdQByAG4AYwAgACoAIABDAEMAXwBjACkAIAAqACAARQBGAF8AQwBIADQAIAAqACAAQwBfAEMASAA0ACAAKgAgADEAMABeACgALQAzACkAXABuACAAIAApADsAXABuAFwAbgBWAEUARQBSAEcAXwA2AF8ANABfADEAXwAxAF8AXwAxAF8AXwBNAGUAdABoAGEAbgBlAEUAbQBpAHMAcwBpAG8AbgBzAEYAcgBvAG0AQgB1AHIAbgBpAG4AZwBPAGYAQwByAG8AcABSAGUAcwBpAGQAdQBlAHMAXwBGAHUAbgBjAHQAaQBvAG4ATgBhAG0AZQBcAG4AIAAgAD0ATABBAE0AQgBEAEEAKABcACIAVgBFAEUAUgBHAF8ANgBfADQAXwAxAF8AMQBfAF8AMQBfAF8ATQBlAHQAaABhAG4AZQBFAG0AaQBzAHMAaQBvAG4AcwBGAHIAbwBtAEIAdQByAG4AaQBuAGcATwBmAEMAcgBvAHAAUgBlAHMAaQBkAHUAZQBzAFwAIgApADsAXABuAFwAbgBWAEUARQBSAEcAXwA2AF8ANABfADEAXwAxAF8AXwAxAF8AXwBNAGUAdABoAGEAbgBlAEUAbQBpAHMAcwBpAG8AbgBzAEYAcgBvAG0AQgB1AHIAbgBpAG4AZwBPAGYAQwByAG8AcABSAGUAcwBpAGQAdQBlAHMAXwBUAGkAdABsAGUAXABuACAAIAA9AEwAQQBNAEIARABBACgAXAAiAE0AZQB0AGgAYQBuAGUAIABlAG0AaQBzAHMAaQBvAG4AcwAgAGYAcgBvAG0AIAB0AGgAZQAgAGIAdQByAG4AaQBuAGcAIABvAGYAIABjAHIAbwBwACAAcgBlAHMAaQBkAHUAZQBzAFwAIgApADsAXABuAFwAbgBWAEUARQBSAEcAXwA2AF8ANABfADEAXwAxAF8AXwAxAF8AXwBNAGUAdABoAGEAbgBlAEUAbQBpAHMAcwBpAG8AbgBzAEYAcgBvAG0AQgB1AHIAbgBpAG4AZwBPAGYAQwByAG8AcABSAGUAcwBpAGQAdQBlAHMAXwBWAGEAcgBpAGEAYgBsAGUAXABuACAAIAA9AEwAQQBNAEIARABBACgAXAAiAEUAQwBIADQAXAAiACkAOwBcAG4AXABuAFYARQBFAFIARwBfADYAXwA0AF8AMQBfADEAXwBfADEAXwBfAE0AZQB0AGgAYQBuAGUARQBtAGkAcwBzAGkAbwBuAHMARgByAG8AbQBCAHUAcgBuAGkAbgBnAE8AZgBDAHIAbwBwAFIAZQBzAGkAZAB1AGUAcwBfAFUAbgBpAHQAXABuACAAIAA9AEwAQQBNAEIARABBACgAXAAiAHQAIABDAEgANABcACIAKQA7AFwAbgBcAG4AVgBFAEUAUgBHAF8ANgBfADQAXwAxAF8AMQBfAF8AMQBfAF8ATQBlAHQAaABhAG4AZQBFAG0AaQBzAHMAaQBvAG4AcwBGAHIAbwBtAEIAdQByAG4AaQBuAGcATwBmAEMAcgBvAHAAUgBlAHMAaQBkAHUAZQBzAF8AUwBvAHUAcgBjAGUAXABuACAAIAA9AEwAQQBNAEIARABBACgAXAAiAFYARQBFAFIARwAgADIAMAAyADYAOgAgADYALgA0AC4AMQAuADEALAAgAEUAcQB1AGEAdABpAG8AbgAgACgAMQApAFwAIgApADsAXABuAFwAbgBWAEUARQBSAEcAXwA2AF8ANABfADEAXwAxAF8AXwAxAF8AXwBNAGUAdABoAGEAbgBlAEUAbQBpAHMAcwBpAG8AbgBzAEYAcgBvAG0AQgB1AHIAbgBpAG4AZwBPAGYAQwByAG8AcABSAGUAcwBpAGQAdQBlAHMAXwBOAEkAUgBSAGUAZgBlAHIAZQBuAGMAZQBcAG4AIAAgAD0ATABBAE0AQgBEAEEAKABcACIAXAAiACkAOwBcAG4AXABuAFYARQBFAFIARwBfADYAXwA0AF8AMQBfADEAXwBfADEAXwBfAE0AZQB0AGgAYQBuAGUARQBtAGkAcwBzAGkAbwBuAHMARgByAG8AbQBCAHUAcgBuAGkAbgBnAE8AZgBDAHIAbwBwAFIAZQBzAGkAZAB1AGUAcwBfAEwAYQB0AGUAeABFAHEAdQBhAHQAaQBvAG4AXABuACAAIAA9AEwAQQBNAEIARABBACgAXAAiAEUAXwB7AEMASAA0AH0APQBcAFwAcwB1AG0AXABcAG4AbwBsAGkAbQBpAHQAcwBfAGMAKABNAF8AewBiAHUAcgBuACwAYwB9AFwAXAB0AGkAbQBlAHMAIABDAEMAXwB7AGMAfQApAFwAXAB0AGkAbQBlAHMAIABFAEYAXwB7AEMASAA0AH0AXABcAHQAaQBtAGUAcwAgAEMAXwB7AEMASAA0AH0AXABcAHQAaQBtAGUAcwAgADEAMABeAHsALQAzAH0AXAAiACkAOwBcAG4AXABuAFYARQBFAFIARwBfADYAXwA0AF8AMQBfADEAXwBfADEAXwBfAE0AZQB0AGgAYQBuAGUARQBtAGkAcwBzAGkAbwBuAHMARgByAG8AbQBCAHUAcgBuAGkAbgBnAE8AZgBDAHIAbwBwAFIAZQBzAGkAZAB1AGUAcwBfAEEAcgBnAHUAbQBlAG4AdABzAFwAbgAgACAAPQBMAEEATQBCAEQAQQAoAFwAbgAgACAAIAAgAE0AQQBLAEUAQQBSAFIAQQBZACgANQAsACAANAAsAFwAbgAgACAAIAAgACAAIABMAEEATQBCAEQAQQAoAHIALABjACwAXABuACAAIAAgACAAIAAgACAAIABJAE4ARABFAFgAKAB7AFwAbgAgACAAIAAgACAAIAAgACAAIAAgAFwAIgBNAF8AYgB1AHIAbgBjAFwAIgAsAFwAIgBtAGEAcwBzACAAbwBmACAAcgBlAHMAaQBkAHUAZQAgAGIAdQByAG4AdAAgAGYAbwByACAAYwByAG8AcAAgAHQAeQBwAGUAIABjAFwAIgAsACAAXAAiAGsAZwBcACIALAAgAFwAIgBDAGEAbABjAHUAbABhAHQAZQBkACAAZgByAG8AbQAgADYALgA0AC4AMQAuADEAIAAoADMAKQBcACIAOwBcAG4AIAAgACAAIAAgACAAIAAgACAAIABcACIAQwBDAF8AYwBcACIALABcACIAYwBhAHIAYgBvAG4AIABtAGEAcwBzACAAZgByAGEAYwB0AGkAbwBuACAAaQBuACAAdABoAGUAIAByAGUAcwBpAGQAdQBlAHMAIABvAGYAIABjAHIAbwBwACAAdAB5AHAAZQAgAGMAXAAiACwAIABcACIAZgByAGEAYwB0AGkAbwBuAFwAIgAsACAAXAAiAEMAbwBuAHMAdABhAG4AdABcACIAOwBcAG4AIAAgACAAIAAgACAAIAAgACAAIABcACIARQBGAF8AQwBIADQAXAAiACwAXAAiAGUAbQBpAHMAcwBpAG8AbgAgAGYAYQBjAHQAbwByACAAZgBvAHIAIABtAGUAdABoAGEAbgBlACAAZgByAG8AbQAgAGIAdQByAG4AaQBuAGcAIABvAGYAIABjAHIAbwBwACAAcgBlAHMAaQBkAHUAZQBzAFwAIgAsACAAXAAiAGsAZwAgAEMASAA0ACAALwAgAGsAZwAgAEMASAA0ACAAYgB1AHIAbgB0AFwAIgAsACAAXAAiAEMAbwBuAHMAdABhAG4AdABcACIAOwBcAG4AIAAgACAAIAAgACAAIAAgACAAIABcACIAQwBfAEMASAA0AFwAIgAsAFwAIgBmAGEAYwB0AG8AcgAgAHQAbwAgAGMAbwBuAHYAZQByAHQAIABlAGwAZQBtAGUAbgB0AGEAbAAgAG0AYQBzAHMAIABvAGYAIABtAGUAdABoAGEAbgBlACAAdABvACAAbQBvAGwAZQBjAHUAbABhAHIAIABtAGEAcwBzAFwAIgAsACAAXAAiAGQAaQBtAGUAbgBzAGkAbwBuAGwAZQBzAHM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NABfADEAXwAxAF8AXwAyAF8AXwBOAGkAdAByAG8AdQBzAE8AeABpAGQAZQBFAG0AaQBzAHMAaQBvAG4AcwBGAHIAbwBtAEIAdQByAG4AaQBuAGcATwBmAEMAcgBvAHAAUgBlAHMAaQBkAHUAZQBzAFwAbgBOAGkAdAByAG8AdQBzACAAbwB4AGkAZABlACAAZQBtAGkAcwBzAGkAbwBuAHMAIABmAHIAbwBtACAAdABoAGUAIABiAHUAcgBuAGkAbgBnACAAbwBmACAAYwByAG8AcAAgAHIAZQBzAGkAZAB1AGUAcwBcAG4ARQBOADIATwBcAG4AdAAgAE4AMgBPAFwAbgBFAF8AewBOADIATwB9AD0AXABcAHMAdQBtAF8AewBjAH0AKABNAF8AewBiAHUAcgBuACwAYwB9AFwAXAB0AGkAbQBlAHMAIABOAEMAXwB7AEEARwBjAH0AXABcAHQAaQBtAGUAcwAgAEUARgBfAHsATgAyAE8AfQBcAFwAdABpAG0AZQBzACAAQwBfAHsATgAyAE8AfQBcAFwAdABpAG0AZQBzACAAMQAwAF4AewAtADMAfQApAFwAbgBNAF8AYgB1AHIAbgBjACAAPQAgAG0AYQBzAHMAIABvAGYAIAByAGUAcwBpAGQAdQBlACAAYgB1AHIAbgB0ACAAZgBvAHIAIABjAHIAbwBwACAAdAB5AHAAZQAgAGMAIAAoAGsAZwApAFwAbgBOAEMAXwBBAEcAYwAgAD0AIABuAGkAdAByAG8AZwBlAG4AIABjAG8AbgB0AGUAbgB0ACAAaQBuACAAdABoAGUAIABhAGIAbwB2AGUALQBnAHIAbwB1AG4AZAAgAHIAZQBzAGkAZAB1AGUAIABvAGYAIABjAHIAbwBwACAAdAB5AHAAZQAgAGMAIAAoAGsAZwAgAE4ALwBrAGcAIABEAE0AKQBcAG4ARQBGAF8ATgAyAE8AIAA9ACAAZQBtAGkAcwBzAGkAbwBuACAAZgBhAGMAdABvAHIAIABmAG8AcgAgAG4AaQB0AHIAbwB1AHMAIABvAHgAaQBkAGUAIABmAHIAbwBtACAAYgB1AHIAbgBpAG4AZwAgAG8AZgAgAGMAcgBvAHAAIAByAGUAcwBpAGQAdQBlAHMAIAAoAGsAZwAgAE4AMgBPAC8AawBnACAATgAyAE8AIABiAHUAcgBuAHQAKQBcAG4AQwBfAE4AMgBPACAAPQAgAGYAYQBjAHQAbwByACAAdABvACAAYwBvAG4AdgBlAHIAdAAgAGUAbABlAG0AZQBuAHQAYQBsACAAbQBhAHMAcwAgAG8AZgAgAG4AaQB0AHIAbwB1AHMAIABvAHgAaQBk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NABfADEAXwAxAF8AXwAyAF8AXwBOAGkAdAByAG8AdQBzAE8AeABpAGQAZQBFAG0AaQBzAHMAaQBvAG4AcwBGAHIAbwBtAEIAdQByAG4AaQBuAGcATwBmAEMAcgBvAHAAUgBlAHMAaQBkAHUAZQBzAFwAbgAgACAAPQBMAEEATQBCAEQAQQAoAFwAbgAgACAAIAAgAE0AXwBiAHUAcgBuAGMALAAgAE4AQwBfAEEARwBjACwAIABFAEYAXwBOADIATwAsACAAQwBfAE4AMgBPACwAXABuACAAIAAgACAAKABNAF8AYgB1AHIAbgBjACAAKgAgAE4AQwBfAEEARwBjACkAIAAqACAARQBGAF8ATgAyAE8AIAAqACAAQwBfAE4AMgBPACAAKgAgADEAMABeACgALQAzACkAXABuACAAIAApADsAXABuAFwAbgBWAEUARQBSAEcAXwA2AF8ANABfADEAXwAxAF8AXwAyAF8AXwBOAGkAdAByAG8AdQBzAE8AeABpAGQAZQBFAG0AaQBzAHMAaQBvAG4AcwBGAHIAbwBtAEIAdQByAG4AaQBuAGcATwBmAEMAcgBvAHAAUgBlAHMAaQBkAHUAZQBzAF8ARgB1AG4AYwB0AGkAbwBuAE4AYQBtAGUAXABuACAAIAA9AEwAQQBNAEIARABBACgAXAAiAFYARQBFAFIARwBfADYAXwA0AF8AMQBfADEAXwBfADIAXwBfAE4AaQB0AHIAbwB1AHMATwB4AGkAZABlAEUAbQBpAHMAcwBpAG8AbgBzAEYAcgBvAG0AQgB1AHIAbgBpAG4AZwBPAGYAQwByAG8AcABSAGUAcwBpAGQAdQBlAHMAXAAiACkAOwBcAG4AXABuAFYARQBFAFIARwBfADYAXwA0AF8AMQBfADEAXwBfADIAXwBfAE4AaQB0AHIAbwB1AHMATwB4AGkAZABlAEUAbQBpAHMAcwBpAG8AbgBzAEYAcgBvAG0AQgB1AHIAbgBpAG4AZwBPAGYAQwByAG8AcABSAGUAcwBpAGQAdQBlAHMAXwBUAGkAdABsAGUAXABuACAAIAA9AEwAQQBNAEIARABBACgAXAAiAE4AaQB0AHIAbwB1AHMAIABvAHgAaQBkAGUAIABlAG0AaQBzAHMAaQBvAG4AcwAgAGYAcgBvAG0AIAB0AGgAZQAgAGIAdQByAG4AaQBuAGcAIABvAGYAIABjAHIAbwBwACAAcgBlAHMAaQBkAHUAZQBzAFwAIgApADsAXABuAFwAbgBWAEUARQBSAEcAXwA2AF8ANABfADEAXwAxAF8AXwAyAF8AXwBOAGkAdAByAG8AdQBzAE8AeABpAGQAZQBFAG0AaQBzAHMAaQBvAG4AcwBGAHIAbwBtAEIAdQByAG4AaQBuAGcATwBmAEMAcgBvAHAAUgBlAHMAaQBkAHUAZQBzAF8AVgBhAHIAaQBhAGIAbABlAFwAbgAgACAAPQBMAEEATQBCAEQAQQAoAFwAIgBFAE4AMgBPAFwAIgApADsAXABuAFwAbgBWAEUARQBSAEcAXwA2AF8ANABfADEAXwAxAF8AXwAyAF8AXwBOAGkAdAByAG8AdQBzAE8AeABpAGQAZQBFAG0AaQBzAHMAaQBvAG4AcwBGAHIAbwBtAEIAdQByAG4AaQBuAGcATwBmAEMAcgBvAHAAUgBlAHMAaQBkAHUAZQBzAF8AVQBuAGkAdABcAG4AIAAgAD0ATABBAE0AQgBEAEEAKABcACIAdAAgAE4AMgBPAFwAIgApADsAXABuAFwAbgBWAEUARQBSAEcAXwA2AF8ANABfADEAXwAxAF8AXwAyAF8AXwBOAGkAdAByAG8AdQBzAE8AeABpAGQAZQBFAG0AaQBzAHMAaQBvAG4AcwBGAHIAbwBtAEIAdQByAG4AaQBuAGcATwBmAEMAcgBvAHAAUgBlAHMAaQBkAHUAZQBzAF8AUwBvAHUAcgBjAGUAXABuACAAIAA9AEwAQQBNAEIARABBACgAXAAiAFYARQBFAFIARwAgADIAMAAyADYAOgAgADYALgA0AC4AMQAuADEALAAgAEUAcQB1AGEAdABpAG8AbgAgACgAMgApAFwAIgApADsAXABuAFwAbgBWAEUARQBSAEcAXwA2AF8ANABfADEAXwAxAF8AXwAyAF8AXwBOAGkAdAByAG8AdQBzAE8AeABpAGQAZQBFAG0AaQBzAHMAaQBvAG4AcwBGAHIAbwBtAEIAdQByAG4AaQBuAGcATwBmAEMAcgBvAHAAUgBlAHMAaQBkAHUAZQBzAF8ATgBJAFIAUgBlAGYAZQByAGUAbgBjAGUAXABuACAAIAA9AEwAQQBNAEIARABBACgAXAAiAFwAIgApADsAXABuAFwAbgBWAEUARQBSAEcAXwA2AF8ANABfADEAXwAxAF8AXwAyAF8AXwBOAGkAdAByAG8AdQBzAE8AeABpAGQAZQBFAG0AaQBzAHMAaQBvAG4AcwBGAHIAbwBtAEIAdQByAG4AaQBuAGcATwBmAEMAcgBvAHAAUgBlAHMAaQBkAHUAZQBzAF8ATABhAHQAZQB4AEUAcQB1AGEAdABpAG8AbgBcAG4AIAAgAD0ATABBAE0AQgBEAEEAKABcACIARQBfAHsATgAyAE8AfQA9AFwAXABzAHUAbQBcAFwAbgBvAGwAaQBtAGkAdABzAF8AYwAoAE0AXwB7AGIAdQByAG4ALABjAH0AXABcAHQAaQBtAGUAcwAgAE4AQwBfAHsAQQBHAGMAfQApAFwAXAB0AGkAbQBlAHMAIABFAEYAXwB7AE4AMgBPAH0AXABcAHQAaQBtAGUAcwAgAEMAXwB7AE4AMgBPAH0AXABcAHQAaQBtAGUAcwAgADEAMABeAHsALQAzAH0AXAAiACkAOwBcAG4AXABuAFYARQBFAFIARwBfADYAXwA0AF8AMQBfADEAXwBfADIAXwBfAE4AaQB0AHIAbwB1AHMATwB4AGkAZABlAEUAbQBpAHMAcwBpAG8AbgBzAEYAcgBvAG0AQgB1AHIAbgBpAG4AZwBPAGYAQwByAG8AcABSAGUAcwBpAGQAdQBlAHMAXwBBAHIAZwB1AG0AZQBuAHQAcwBcAG4AIAAgAD0ATABBAE0AQgBEAEEAKABcAG4AIAAgACAAIABNAEEASwBFAEEAUgBSAEEAWQAoADUALAAgADQALABcAG4AIAAgACAAIAAgACAATABBAE0AQgBEAEEAKAByACwAYwAsAFwAbgAgACAAIAAgACAAIAAgACAASQBOAEQARQBYACgAewBcAG4AIAAgACAAIAAgACAAIAAgACAAIABcACIATQBfAGIAdQByAG4AYwBcACIALABcACIAbQBhAHMAcwAgAG8AZgAgAHIAZQBzAGkAZAB1AGUAIABiAHUAcgBuAHQAIABmAG8AcgAgAGMAcgBvAHAAIAB0AHkAcABlACAAYwBcACIALAAgAFwAIgBrAGcAXAAiACwAIABcACIAQwBhAGwAYwB1AGwAYQB0AGUAZAAgAGYAcgBvAG0AIAA2AC4ANAAuADEALgAxACAAKAAzACkAXAAiADsAXABuACAAIAAgACAAIAAgACAAIAAgACAAXAAiAE4AQwBfAEEARwBjAFwAIgAsAFwAIgBuAGkAdAByAG8AZwBlAG4AIABjAG8AbgB0AGUAbgB0ACAAaQBuACAAdABoAGUAIABhAGIAbwB2AGUALQBnAHIAbwB1AG4AZAAgAHIAZQBzAGkAZAB1AGUAIABvAGYAIABjAHIAbwBwACAAdAB5AHAAZQAgAGMAXAAiACwAIABcACIAawBnACAATgAvAGsAZwAgAEQATQBcACIALAAgAFwAIgBDAG8AbgBzAHQAYQBuAHQAXAAiADsAXABuACAAIAAgACAAIAAgACAAIAAgACAAXAAiAEUARgBfAE4AMgBPAFwAIgAsAFwAIgBlAG0AaQBzAHMAaQBvAG4AIABmAGEAYwB0AG8AcgAgAGYAbwByACAAbgBpAHQAcgBvAHUAcwAgAG8AeABpAGQAZQAgAGYAcgBvAG0AIABiAHUAcgBuAGkAbgBnACAAbwBmACAAYwByAG8AcAAgAHIAZQBzAGkAZAB1AGUAcwBcACIALAAgAFwAIgBrAGcAIABOADIATwAvAGsAZwAgAE4AMgBPACAAYgB1AHIAbgB0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GQAaQBtAGUAbgBzAGkAbwBuAGwAZQBzAHM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NABfADEAXwAxAF8AXwAzAF8AXwBNAGEAcwBzAE8AZgBDAHIAbwBwAFIAZQBzAGkAZAB1AGUAQgB1AHIAbgB0AFwAbgBNAGEAcwBzACAAbwBmACAAcgBlAHMAaQBkAHUAZQAgAG8AZgAgAGMAcgBvAHAAIABjACAAYgB1AHIAbgB0AFwAbgBNAF8AYgB1AHIAbgBjAFwAbgBrAGcAXABuAE0AXwB7AGIAdQByAG4ALABjAH0APQBQAF8AewBjAH0AXABcAHQAaQBtAGUAcwAgAFIAXwB7AEEARwBjAH0AXABcAHQAaQBtAGUAcwAgAFMAXwB7AGMAfQBcAFwAdABpAG0AZQBzACAARABNAF8AewBjAH0AXABcAHQAaQBtAGUAcwAgAFoAXwB7AGMAfQBcAFwAdABpAG0AZQBzACAARgBfAHsAYwB9AFwAbgBQAF8AYwAgAD0AIABhAG4AbgB1AGEAbAAgAHAAcgBvAGQAdQBjAHQAaQBvAG4AIABvAGYAIABjAHIAbwBwACAAdAB5AHAAZQAgAGMAIAAoAGsAZwApAFwAbgBSAF8AQQBHAGMAIAA9ACAAcgBlAHMAaQBkAHUAZQAgAHQAbwAgAGMAcgBvAHAAIAByAGEAdABpAG8AIABvAGYAIABjAHIAbwBwACAAdAB5AHAAZQAgAGMAIAAoAGsAZwAgAGMAcgBvAHAAIAByAGUAcwBpAGQAdQBlAC8AawBnACAAYwByAG8AcAApAFwAbgBTAF8AYwAgAD0AIABmAHIAYQBjAHQAaQBvAG4AIABvAGYAIAByAGUAcwBpAGQAdQBlAHMAIABvAGYAIABjAHIAbwBwACAAdAB5AHAAZQAgAGMAIAByAGUAbQBhAGkAbgBpAG4AZwAgAGEAdAAgAGIAdQByAG4AaQBuAGcAIAAoAGQAaQBtAGUAbgBzAGkAbwBuAGwAZQBzAHMAKQBcAG4ARABNAF8AYwAgAD0AIABkAHIAeQAgAG0AYQB0AHQAZQByACAAYwBvAG4AdABlAG4AdAAgAG8AZgAgAGMAcgBvAHAAIAB0AHkAcABlACAAYwAgACgAawBnACAAZAByAHkAIAB3AGUAaQBnAGgAdAAvAGsAZwAgAGMAcgBvAHAAIAByAGUAcwBpAGQAdQBlACkAXABuAFoAXwBjACAAPQAgAGIAdQByAG4AaQBuAGcAIABlAGYAZgBpAGMAaQBlAG4AYwB5ACAAKAByAGEAdABpAG8AIABvAGYAIABmAHUAZQBsACAAYgB1AHIAbgB0ACAAdABvACAAZgB1AGUAbAAgAGwAbwBhAGQAKQAgAG8AZgAgAGMAcgBvAHAAIAB0AHkAcABlACAAYwAgACgAZABpAG0AZQBuAHMAaQBvAG4AbABlAHMAcwApAFwAbgBGAF8AYwAgAD0AIABmAHIAYQBjAHQAaQBvAG4AIABvAGYAIAB0AGgAZQAgAGEAbgBuAHUAYQBsACAAcAByAG8AZAB1AGMAdABpAG8AbgAgAG8AZgAgAGMAcgBvAHAAIAB0AHkAcABlACAAYwAgAHQAaABhAHQAIABpAHMAIABiAHUAcgBuAHQAIAAoAGQAaQBtAGUAbgBzAGkAbwBuAGwAZQBzAHMAKQBcAG4AYwAgAD0AIABDAHIAbwBwACAAdAB5AHAAZQBcAG4ALQAtAC0ALQAtAC0ALQAtAC0ALQAtAC0ALQAtAC0ALQAtAC0ALQAtAC0ALQAtAC0ALQAtAC0ALQAtAC0ALQAtAC0ALQAtAC0ALQAtAFwAbgAqAC8AXABuAFwAbgBWAEUARQBSAEcAXwA2AF8ANABfADEAXwAxAF8AXwAzAF8AXwBNAGEAcwBzAE8AZgBDAHIAbwBwAFIAZQBzAGkAZAB1AGUAQgB1AHIAbgB0AFwAbgAgACAAPQBMAEEATQBCAEQAQQAoAFwAbgAgACAAIAAgAFAAXwBjACwAIABSAF8AQQBHAGMALAAgAFMAXwBjACwAIABEAE0AXwBjACwAIABaAF8AYwAsACAARgBfAGMALABcAG4AIAAgACAAIABQAF8AYwAgACoAIABSAF8AQQBHAGMAIAAqACAAUwBfAGMAIAAqACAARABNAF8AYwAgACoAIABaAF8AYwAgACoAIABGAF8AYwBcAG4AIAAgACkAOwBcAG4AXABuAFYARQBFAFIARwBfADYAXwA0AF8AMQBfADEAXwBfADMAXwBfAE0AYQBzAHMATwBmAEMAcgBvAHAAUgBlAHMAaQBkAHUAZQBCAHUAcgBuAHQAXwBGAHUAbgBjAHQAaQBvAG4ATgBhAG0AZQBcAG4AIAAgAD0ATABBAE0AQgBEAEEAKABcACIAVgBFAEUAUgBHAF8ANgBfADQAXwAxAF8AMQBfAF8AMwBfAF8ATQBhAHMAcwBPAGYAQwByAG8AcABSAGUAcwBpAGQAdQBlAEIAdQByAG4AdABcACIAKQA7AFwAbgBcAG4AVgBFAEUAUgBHAF8ANgBfADQAXwAxAF8AMQBfAF8AMwBfAF8ATQBhAHMAcwBPAGYAQwByAG8AcABSAGUAcwBpAGQAdQBlAEIAdQByAG4AdABfAFQAaQB0AGwAZQBcAG4AIAAgAD0ATABBAE0AQgBEAEEAKABcACIATQBhAHMAcwAgAG8AZgAgAHIAZQBzAGkAZAB1AGUAIABvAGYAIABjAHIAbwBwACAAYwAgAGIAdQByAG4AdABcACIAKQA7AFwAbgBcAG4AVgBFAEUAUgBHAF8ANgBfADQAXwAxAF8AMQBfAF8AMwBfAF8ATQBhAHMAcwBPAGYAQwByAG8AcABSAGUAcwBpAGQAdQBlAEIAdQByAG4AdABfAFYAYQByAGkAYQBiAGwAZQBcAG4AIAAgAD0ATABBAE0AQgBEAEEAKABcACIATQBfAGIAdQByAG4AYwBcACIAKQA7AFwAbgBcAG4AVgBFAEUAUgBHAF8ANgBfADQAXwAxAF8AMQBfAF8AMwBfAF8ATQBhAHMAcwBPAGYAQwByAG8AcABSAGUAcwBpAGQAdQBlAEIAdQByAG4AdABfAFUAbgBpAHQAXABuACAAIAA9AEwAQQBNAEIARABBACgAXAAiAGsAZwBcACIAKQA7AFwAbgBcAG4AVgBFAEUAUgBHAF8ANgBfADQAXwAxAF8AMQBfAF8AMwBfAF8ATQBhAHMAcwBPAGYAQwByAG8AcABSAGUAcwBpAGQAdQBlAEIAdQByAG4AdABfAFMAbwB1AHIAYwBlAFwAbgAgACAAPQBMAEEATQBCAEQAQQAoAFwAIgBWAEUARQBSAEcAIAAyADAAMgA2ADoAIAA2AC4ANAAuADEALgAxACwAIABFAHEAdQBhAHQAaQBvAG4AIAAoADMAKQBcACIAKQA7AFwAbgBcAG4AVgBFAEUAUgBHAF8ANgBfADQAXwAxAF8AMQBfAF8AMwBfAF8ATQBhAHMAcwBPAGYAQwByAG8AcABSAGUAcwBpAGQAdQBlAEIAdQByAG4AdABfAE4ASQBSAFIAZQBmAGUAcgBlAG4AYwBlAFwAbgAgACAAPQBMAEEATQBCAEQAQQAoAFwAIgBcACIAKQA7AFwAbgBcAG4AVgBFAEUAUgBHAF8ANgBfADQAXwAxAF8AMQBfAF8AMwBfAF8ATQBhAHMAcwBPAGYAQwByAG8AcABSAGUAcwBpAGQAdQBlAEIAdQByAG4AdABfAEwAYQB0AGUAeABFAHEAdQBhAHQAaQBvAG4AXABuACAAIAA9AEwAQQBNAEIARABBACgAXAAiAE0AXwB7AGIAdQByAG4ALABjAH0APQBQAF8AewBjAH0AXABcAHQAaQBtAGUAcwAgAFIAXwB7AEEARwBjAH0AXABcAHQAaQBtAGUAcwAgAFMAXwB7AGMAfQBcAFwAdABpAG0AZQBzACAARABNAF8AewBjAH0AXABcAHQAaQBtAGUAcwAgAFoAXwB7AGMAfQBcAFwAdABpAG0AZQBzACAARgBfAHsAYwB9AFwAIgApADsAXABuAFwAbgBWAEUARQBSAEcAXwA2AF8ANABfADEAXwAxAF8AXwAzAF8AXwBNAGEAcwBzAE8AZgBDAHIAbwBwAFIAZQBzAGkAZAB1AGUAQgB1AHIAbgB0AF8AQQByAGcAdQBtAGUAbgB0AHMAXABuACAAIAA9AEwAQQBNAEIARABBACgAXABuACAAIAAgACAATQBBAEsARQBBAFIAUgBBAFkAKAA3ACwAIAA0ACwAXABuACAAIAAgACAAIAAgAEwAQQBNAEIARABBACgAcgAsAGMALABcAG4AIAAgACAAIAAgACAAIAAgAEkATgBEAEUAWAAoAHsAXABuACAAIAAgACAAIAAgACAAIAAgACAAXAAiAFAAXwBjAFwAIgAsAFwAIgBhAG4AbgB1AGEAbAAgAHAAcgBvAGQAdQBjAHQAaQBvAG4AIABvAGYAIABjAHIAbwBwACAAdAB5AHAAZQAgAGMAXAAiACwAIABcACIAawBnAFwAIgAsACAAXAAiAEkAbgBwAHUAdABcACIAOwBcAG4AIAAgACAAIAAgACAAIAAgACAAIABcACIAUgBfAEEARwBjAFwAIgAsAFwAIgByAGUAcwBpAGQAdQBlACAAdABvACAAYwByAG8AcAAgAHIAYQB0AGkAbwAgAG8AZgAgAGMAcgBvAHAAIAB0AHkAcABlACAAYwBcACIALAAgAFwAIgBrAGcAIABjAHIAbwBwACAAcgBlAHMAaQBkAHUAZQAvAGsAZwAgAGMAcgBvAHAAXAAiACwAIABcACIAQwBvAG4AcwB0AGEAbgB0AFwAIgA7AFwAbgAgACAAIAAgACAAIAAgACAAIAAgAFwAIgBTAF8AYwBcACIALABcACIAZgByAGEAYwB0AGkAbwBuACAAbwBmACAAcgBlAHMAaQBkAHUAZQBzACAAbwBmACAAYwByAG8AcAAgAHQAeQBwAGUAIABjACAAcgBlAG0AYQBpAG4AaQBuAGcAIABhAHQAIABiAHUAcgBuAGkAbgBnAFwAIgAsACAAXAAiAGYAcgBhAGMAdABpAG8AbgBcACIALAAgAFwAIgBDAG8AbgBzAHQAYQBuAHQAXAAiADsAXABuACAAIAAgACAAIAAgACAAIAAgACAAXAAiAEQATQBfAGMAXAAiACwAXAAiAGQAcgB5ACAAbQBhAHQAdABlAHIAIABjAG8AbgB0AGUAbgB0ACAAbwBmACAAYwByAG8AcAAgAHQAeQBwAGUAIABjAFwAIgAsACAAXAAiAGsAZwAgAGQAcgB5ACAAdwBlAGkAZwBoAHQALwBrAGcAIABjAHIAbwBwACAAcgBlAHMAaQBkAHUAZQBcACIALAAgAFwAIgBDAG8AbgBzAHQAYQBuAHQAXAAiADsAXABuACAAIAAgACAAIAAgACAAIAAgACAAXAAiAFoAXwBjAFwAIgAsAFwAIgBiAHUAcgBuAGkAbgBnACAAZQBmAGYAaQBjAGkAZQBuAGMAeQAgACgAcgBhAHQAaQBvACAAbwBmACAAZgB1AGUAbAAgAGIAdQByAG4AdAAgAHQAbwAgAGYAdQBlAGwAIABsAG8AYQBkACkAIABvAGYAIABjAHIAbwBwACAAdAB5AHAAZQAgAGMAXAAiACwAIABcACIAXAAiACwAIABcACIAQwBvAG4AcwB0AGEAbgB0AFwAIgA7AFwAbgAgACAAIAAgACAAIAAgACAAIAAgAFwAIgBGAF8AYwBcACIALABcACIAZgByAGEAYwB0AGkAbwBuACAAbwBmACAAdABoAGUAIABhAG4AbgB1AGEAbAAgAHAAcgBvAGQAdQBjAHQAaQBvAG4AIABvAGYAIABjAHIAbwBwACAAdAB5AHAAZQAgAGMAIAB0AGgAYQB0ACAAaQBzACAAYgB1AHIAbgB0AFwAIgAsACAAXAAiAGYAcgBhAGMAdABpAG8Abg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AiAH0ALAB7ACIAcABhAHQAaAAiADoAIgAvAHAAcgBvAGoAZQBjAHQAcwAvAEEAZwBSAGUAcwBpAGQAdQBlAF8ARQBxAHUAYQB0AGkAbwBuAHMAXwBMAGUAYQBjAGgAaQBuAGcAIgAsACIAdABlAHgAdAAiADoAIgAvACoAIABcAG4ALQAtAC0ALQAtAC0ALQAtAC0ALQAtAC0ALQAtAC0ALQAtAC0ALQAtAC0ALQAtAC0ALQAtAC0ALQAtAC0ALQAtAC0ALQAtAC0ALQAtAFwAbgBWAEUARQBSAEcAXwA2AF8AMwBfADEAXwAxAF8AXwAxAF8AXwBMAGUAYQBjAGgAaQBuAGcAQQBuAGQAUgB1AG4AbwBmAGYARQBtAGkAcwBzAGkAbwBuAHMAQwByAG8AcABBAG4AZABQAGEAcwB0AHUAcgBlAFIAZQBzAGkAZAB1AGUAXABuAE4AaQB0AHIAbwB1AHMAIABvAHgAaQBkAGUAIABsAGUAYQBjAGgAaQBuAGcAIABhAG4AZAAgAHIAdQBuAG8AZgBmACAAZQBtAGkAcwBzAGkAbwBuAHMAIABmAHIAbwBtACAAYwByAG8AcAAgAGEAbgBkACAAcABhAHMAdAB1AHIAZQAgAHIAZQBzAGkAZAB1AGUAcwAgAHIAZQB0AHUAcgBuAGUAZAAgAHQAbwAgAHQAaABlACAAcwBvAGkAbAAsACAAYQBjAHIAbwBzAHMAIABhAGwAbAAgAGMAcgBvAHAAIAByAGUAcwBpAGQAdQBlAHMAIABjACAAYQBuAGQAIABwAGEAcwB0AHUAcgBlACAAcgBlAHMAaQBkAHUAZQBzACAAcABcAG4ARQBOADIATwBcAG4AdAAgAE4AMgBPAFwAbgBFAF8AewBOADIATwB9AD0AXABcAHMAdQBtAF8AewBjAH0AXABcAHMAdQBtAF8AewBwAH0AKABNAF8AewBsAGUAYQBjAGgALABjAHAAfQBcAFwAdABpAG0AZQBzACAARQBGAF8AewBsAGUAYQBjAGgAfQBcAFwAdABpAG0AZQBzACAAQwBfAHsATgAyAE8AfQBcAFwAdABpAG0AZQBzACAAMQAwAF4AewAtADMAfQApAFwAbgBNAF8AbABlAGEAYwBoAGMAcAAgAD0AIABtAGEAcwBzACAAbwBmACAAbgBpAHQAcgBvAGcAZQBuACAAbABvAHMAdAAgAHQAaAByAG8AdQBnAGgAIABsAGUAYQBjAGgAaQBuAGcAIABhAG4AZAAgAHIAdQBuAG8AZgBmACAAZgByAG8AbQAgAHQAaABlACAAYwByAG8AcAAgAHIAZQBzAGkAZAB1AGUAIABjACAAbwByACAAcABhAHMAdAB1AHIAZQAgAHIAZQBzAGkAZAB1AGUAIABwACAAKABrAGcAIABOACkAXABuAEUARgBfAGwAZQBhAGMAaAAgAD0AIABlAG0AaQBzAHMAaQBvAG4AIABmAGEAYwB0AG8AcgAgAGYAbwByACAAbABlAGEAYwBoAGkAbgBnACAAYQBuAGQAIAByAHUAbgBvAGYAZgAgACgAawBnACAATgAyAE8ALQBOAC8AawBnACAATgApAFwAbgBDAE4AMgBPACAAPQAgAGYAYQBjAHQAbwByACAAdABvACAAYwBvAG4AdgBlAHIAdAAgAGUAbABlAG0AZQBuAHQAYQBsACAAbQBhAHMAcwAgAG8AZgAgAG4AaQB0AHIAbwB1AHMAIABvAHgAaQBkAGUAIAB0AG8AIABtAG8AbABlAGMAdQBsAGEAcgAgAG0AYQBzAHMAIAAoAGQAaQBtAGUAbgBzAGkAbwBuAGwAZQBzAHMAKQBcAG4AYwAgAD0AIABDAHIAbwBwACAAcgBlAHMAaQBkAHUAZQAgAHQAeQBwAGUAXABuAHAAIAA9ACAAUABhAHMAdAB1AHIAZQAgAHIAZQBzAGkAZAB1AGUAIAB0AHkAcABlAFwAbgAtAC0ALQAtAC0ALQAtAC0ALQAtAC0ALQAtAC0ALQAtAC0ALQAtAC0ALQAtAC0ALQAtAC0ALQAtAC0ALQAtAC0ALQAtAC0ALQAtAC0AXABuACoALwBcAG4AXABuAFYARQBFAFIARwBfADYAXwAzAF8AMQBfADEAXwBfADEAXwBfAEwAZQBhAGMAaABpAG4AZwBBAG4AZABSAHUAbgBvAGYAZgBFAG0AaQBzAHMAaQBvAG4AcwBDAHIAbwBwAEEAbgBkAFAAYQBzAHQAdQByAGUAUgBlAHMAaQBkAHUAZQBcAG4AIAAgAD0ATABBAE0AQgBEAEEAKABcAG4AIAAgACAAIABNAF8AbABlAGEAYwBoAGMAcAAsACAARQBGAF8AbABlAGEAYwBoACwAIABDAF8ATgAyAE8ALABcAG4AIAAgACAAIAAoAE0AXwBsAGUAYQBjAGgAYwBwACAAKgAgAEUARgBfAGwAZQBhAGMAaAApACAAKgAgAEMAXwBOADIATwAgACoAIAAxADAAXgAoAC0AMwApAFwAbgAgACAAKQBcAG4AOwBcAG4AXABuAFYARQBFAFIARwBfADYAXwAzAF8AMQBfADEAXwBfADEAXwBfAEwAZQBhAGMAaABpAG4AZwBBAG4AZABSAHUAbgBvAGYAZgBFAG0AaQBzAHMAaQBvAG4AcwBDAHIAbwBwAEEAbgBkAFAAYQBzAHQAdQByAGUAUgBlAHMAaQBkAHUAZQBfAFQAaQB0AGwAZQBcAG4AIAAgAD0ATABBAE0AQgBEAEEAKABcACIATgBpAHQAcgBvAHUAcwAgAG8AeABpAGQAZQAgAGwAZQBhAGMAaABpAG4AZwAgAGEAbgBkACAAcgB1AG4AbwBmAGYAIABlAG0AaQBzAHMAaQBvAG4AcwAgAGYAcgBvAG0AIABjAHIAbwBwACAAYQBuAGQAIABwAGEAcwB0AHUAcgBlACAAcgBlAHMAaQBkAHUAZQBzACAAcgBlAHQAdQByAG4AZQBkACAAdABvACAAdABoAGUAIABzAG8AaQBsAFwAIgApADsAXABuAFwAbgBWAEUARQBSAEcAXwA2AF8AMwBfADEAXwAxAF8AXwAxAF8AXwBMAGUAYQBjAGgAaQBuAGcAQQBuAGQAUgB1AG4AbwBmAGYARQBtAGkAcwBzAGkAbwBuAHMAQwByAG8AcABBAG4AZABQAGEAcwB0AHUAcgBlAFIAZQBzAGkAZAB1AGUAXwBWAGEAcgBpAGEAYgBsAGUAXABuACAAIAA9AEwAQQBNAEIARABBACgAXAAiAEUATgAyAE8AXAAiACkAOwBcAG4AXABuAFYARQBFAFIARwBfADYAXwAzAF8AMQBfADEAXwBfADEAXwBfAEwAZQBhAGMAaABpAG4AZwBBAG4AZABSAHUAbgBvAGYAZgBFAG0AaQBzAHMAaQBvAG4AcwBDAHIAbwBwAEEAbgBkAFAAYQBzAHQAdQByAGUAUgBlAHMAaQBkAHUAZQBfAFUAbgBpAHQAXABuACAAIAA9AEwAQQBNAEIARABBACgAXAAiAHQAIABOADIATwBcACIAKQA7AFwAbgBcAG4AVgBFAEUAUgBHAF8ANgBfADMAXwAxAF8AMQBfAF8AMQBfAF8ATABlAGEAYwBoAGkAbgBnAEEAbgBkAFIAdQBuAG8AZgBmAEUAbQBpAHMAcwBpAG8AbgBzAEMAcgBvAHAAQQBuAGQAUABhAHMAdAB1AHIAZQBSAGUAcwBpAGQAdQBlAF8AUwBvAHUAcgBjAGUAXABuACAAIAA9AEwAQQBNAEIARABBACgAXAAiAFYARQBFAFIARwAgADIAMAAyADYAOgAgADYALgAzAC4AMQAuADEALAAgAEUAcQB1AGEAdABpAG8AbgAgACgAMQApAFwAIgApADsAXABuAFwAbgBWAEUARQBSAEcAXwA2AF8AMwBfADEAXwAxAF8AXwAxAF8AXwBMAGUAYQBjAGgAaQBuAGcAQQBuAGQAUgB1AG4AbwBmAGYARQBtAGkAcwBzAGkAbwBuAHMAQwByAG8AcABBAG4AZABQAGEAcwB0AHUAcgBlAFIAZQBzAGkAZAB1AGUAXwBOAEkAUgBSAGUAZgBlAHIAZQBuAGMAZQBcAG4AIAAgAD0ATABBAE0AQgBEAEEAKABcACIAXAAiACkAOwBcAG4AXABuAFYARQBFAFIARwBfADYAXwAzAF8AMQBfADEAXwBfADEAXwBfAEwAZQBhAGMAaABpAG4AZwBBAG4AZABSAHUAbgBvAGYAZgBFAG0AaQBzAHMAaQBvAG4AcwBDAHIAbwBwAEEAbgBkAFAAYQBzAHQAdQByAGUAUgBlAHMAaQBkAHUAZQBfAEwAYQB0AGUAeABFAHEAdQBhAHQAaQBvAG4AXABuACAAIAA9AEwAQQBNAEIARABBACgAXAAiAEUAXwB7AE4AMgBPAH0APQBcAFwAcwB1AG0AXABcAG4AbwBsAGkAbQBpAHQAcwBfAGMAXABcAHMAdQBtAFwAXABuAG8AbABpAG0AaQB0AHMAXwBwACgATQBfAHsAbABlAGEAYwBoACwAYwBwAH0AXABcAHQAaQBtAGUAcwAgAEUARgBfAHsAbABlAGEAYwBoAH0AXABcAHQAaQBtAGUAcwAgAEMAXwB7AE4AMgBPAH0AXABcAHQAaQBtAGUAcwAgADEAMABeAHsALQAzAH0AKQBcACIAKQA7AFwAbgBcAG4AVgBFAEUAUgBHAF8ANgBfADMAXwAxAF8AMQBfAF8AMQBfAF8ATABlAGEAYwBoAGkAbgBnAEEAbgBkAFIAdQBuAG8AZgBmAEUAbQBpAHMAcwBpAG8AbgBzAEMAcgBvAHAAQQBuAGQAUABhAHMAdAB1AHIAZQBSAGUAcwBpAGQAdQBlAF8AQQByAGcAdQBtAGUAbgB0AHMAXABuACAAIAA9AEwAQQBNAEIARABBACgAXABuACAAIAAgACAATQBBAEsARQBBAFIAUgBBAFkAKAA1ACwAIAA0ACwAIABcAG4AIAAgACAAIAAgACAATABBAE0AQgBEAEEAKAByACwAYwAsACAAXABuACAAIAAgACAAIAAgACAAIABJAE4ARABFAFgAKAB7AFwAbgAgACAAIAAgACAAIAAgACAAIAAgAFwAIgBNAF8AbABlAGEAYwBoAGMAcABcACIALABcACIAbQBhAHMAcwAgAG8AZgAgAG4AaQB0AHIAbwBnAGUAbgAgAGwAbwBzAHQAIAB0AGgAcgBvAHUAZwBoACAAbABlAGEAYwBoAGkAbgBnACAAYQBuAGQAIAByAHUAbgBvAGYAZgAgAGYAcgBvAG0AIAB0AGgAZQAgAGMAcgBvAHAAIAByAGUAcwBpAGQAdQBlACAAYwAgAG8AcgAgAHAAYQBzAHQAdQByAGUAIAByAGUAcwBpAGQAdQBlACAAcABcACIALAAgAFwAIgBrAGcAIABOAFwAIgAsACAAXAAiAEMAYQBsAGMAdQBsAGEAdABlAGQAIABmAHIAbwBtACAANgAuADMALgAxAC4AMQAgACgAMgApAFwAIgA7AFwAbgAgACAAIAAgACAAIAAgACAAIAAgAFwAIgBFAEYAXwBsAGUAYQBjAGgAXAAiACwAXAAiAGUAbQBpAHMAcwBpAG8AbgAgAGYAYQBjAHQAbwByACAAZgBvAHI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wBfADEAXwAxAF8AXwAyAF8AXwBNAGEAcwBzAE8AZgBOAGkAdAByAG8AZwBlAG4ATABvAHMAdABUAGgAcgBvAHUAZwBoAEwAZQBhAGMAaABpAG4AZwBBAG4AZABSAHUAbgBvAGYAZgBcAG4ATQBhAHMAcwAgAG8AZgAgAG4AaQB0AHIAbwBnAGUAbgAgAGwAbwBzAHQAIAB0AGgAcgBvAHUAZwBoACAAbABlAGEAYwBoAGkAbgBnACAAYQBuAGQAIAByAHUAbgBvAGYAZgBcAG4ATQBfAGwAZQBhAGMAaABjAHAAXABuAGsAZwAgAE4AXABuAE0AXwB7AGwAZQBhAGMAaAAsAGMAcAB9AD0ATQBfAHsAYwBwAH0AXABcAHQAaQBtAGUAcwAgAEYAcgBhAGMAVwBFAFQAXwB7AGoAfQBcAFwAdABpAG0AZQBzACAARgByAGEAYwBMAEUAQQBDAEgAXABuAE0AXwBjAHAAIAA9ACAAbQBhAHMAcwAgAG8AZgAgAG4AaQB0AHIAbwBnAGUAbgAgAGkAbgAgAGMAcgBvAHAAIAByAGUAcwBpAGQAdQBlAHMAIABjACAAbwByACAAcABhAHMAdAB1AHIAZQAgAHIAZQBzAGkAZAB1AGUAcwAgAHAAIABhAHAAcABsAGkAZQBkACAAdABvACAAcwBvAGkAbABzACAAKABrAGcAIABOACkAXABuAEYAcgBhAGMAVwBFAFQAagAgAD0AIABmAHIAYQBjAHQAaQBvAG4AIABvAGYAIABOACAAdABoAGEAdAAgAGkAcwAgAGEAdgBhAGkAbABhAGIAbABlACAAZgBvAHIAIABsAGUAYQBjAGgAaQBuAGcAIABhAG4AZAAgAHIAdQBuAG8AZgBmACAAZgByAG8AbQAgAHAAcgBvAGQAdQBjAHQAaQBvAG4AIABzAHkAcwB0AGUAbQAgAGoAIAAoAGQAaQBtAGUAbgBzAGkAbwBuAGwAZQBzAHMAKQBcAG4ARgByAGEAYwBMAEUAQQBDAEgAIAA9ACAAZgByAGEAYwB0AGkAbwBuACAAbwBmACAATgAgAHQAaABhAHQAIABpAHMAIABsAG8AcwB0ACAAdABoAHIAbwB1AGcAaAAgAGwAZQBhAGMAaABpAG4AZwAgAGEAbgBkACAAcgB1AG4AbwBmAGYAIAAoAGQAaQBtAGUAbgBzAGkAbwBuAGwAZQBzAHMAKQBcAG4AYwAgAD0AIABDAHIAbwBwACAAcgBlAHMAaQBkAHUAZQAgAHQAeQBwAGUAXABuAHAAIAA9ACAAUABhAHMAdAB1AHIAZQAgAHIAZQBzAGkAZAB1AGUAIAB0AHkAcABlAFwAbgBpAHIAIAA9ACAAaQByAHIAaQBnAGEAdABpAG8AbgAgAHQAeQBwAGUAXABuAC0ALQAtAC0ALQAtAC0ALQAtAC0ALQAtAC0ALQAtAC0ALQAtAC0ALQAtAC0ALQAtAC0ALQAtAC0ALQAtAC0ALQAtAC0ALQAtAC0ALQBcAG4AKgAvAFwAbgBcAG4AVgBFAEUAUgBHAF8ANgBfADMAXwAxAF8AMQBfAF8AMgBfAF8ATQBhAHMAcwBPAGYATgBpAHQAcgBvAGcAZQBuAEwAbwBzAHQAVABoAHIAbwB1AGcAaABMAGUAYQBjAGgAaQBuAGcAQQBuAGQAUgB1AG4AbwBmAGYAXABuACAAIAA9AEwAQQBNAEIARABBACgAXABuACAAIAAgACAATQBfAGMAcAAsACAARgByAGEAYwBXAEUAVABfAGoALAAgAEYAcgBhAGMATABFAEEAQwBIACwAXABuACAAIAAgACAATQBfAGMAcAAgACoAIABGAHIAYQBjAFcARQBUAF8AagAgACoAIABGAHIAYQBjAEwARQBBAEMASABcAG4AIAAgACkAXABuADsAXABuAFwAbgBWAEUARQBSAEcAXwA2AF8AMwBfADEAXwAxAF8AXwAyAF8AXwBNAGEAcwBzAE8AZgBOAGkAdAByAG8AZwBlAG4ATABvAHMAdABUAGgAcgBvAHUAZwBoAEwAZQBhAGMAaABpAG4AZwBBAG4AZABSAHUAbgBvAGYAZgBfAFQAaQB0AGwAZQBcAG4AIAAgAD0ATABBAE0AQgBEAEEAKABcACIATQBhAHMAcwAgAG8AZgAgAG4AaQB0AHIAbwBnAGUAbgAgAGwAbwBzAHQAIAB0AGgAcgBvAHUAZwBoACAAbABlAGEAYwBoAGkAbgBnACAAYQBuAGQAIAByAHUAbgBvAGYAZgBcACIAKQA7AFwAbgBcAG4AVgBFAEUAUgBHAF8ANgBfADMAXwAxAF8AMQBfAF8AMgBfAF8ATQBhAHMAcwBPAGYATgBpAHQAcgBvAGcAZQBuAEwAbwBzAHQAVABoAHIAbwB1AGcAaABMAGUAYQBjAGgAaQBuAGcAQQBuAGQAUgB1AG4AbwBmAGYAXwBWAGEAcgBpAGEAYgBsAGUAXABuACAAIAA9AEwAQQBNAEIARABBACgAXAAiAE0AXwBsAGUAYQBjAGgAYwBwAFwAIgApADsAXABuAFwAbgBWAEUARQBSAEcAXwA2AF8AMwBfADEAXwAxAF8AXwAyAF8AXwBNAGEAcwBzAE8AZgBOAGkAdAByAG8AZwBlAG4ATABvAHMAdABUAGgAcgBvAHUAZwBoAEwAZQBhAGMAaABpAG4AZwBBAG4AZABSAHUAbgBvAGYAZgBfAFUAbgBpAHQAXABuACAAIAA9AEwAQQBNAEIARABBACgAXAAiAGsAZwAgAE4AXAAiACkAOwBcAG4AXABuAFYARQBFAFIARwBfADYAXwAzAF8AMQBfADEAXwBfADIAXwBfAE0AYQBzAHMATwBmAE4AaQB0AHIAbwBnAGUAbgBMAG8AcwB0AFQAaAByAG8AdQBnAGgATABlAGEAYwBoAGkAbgBnAEEAbgBkAFIAdQBuAG8AZgBmAF8AUwBvAHUAcgBjAGUAXABuACAAIAA9AEwAQQBNAEIARABBACgAXAAiAFYARQBFAFIARwAgADIAMAAyADYAOgAgADYALgAzAC4AMQAuADEALAAgAEUAcQB1AGEAdABpAG8AbgAgACgAMgApAFwAIgApADsAXABuAFwAbgBWAEUARQBSAEcAXwA2AF8AMwBfADEAXwAxAF8AXwAyAF8AXwBNAGEAcwBzAE8AZgBOAGkAdAByAG8AZwBlAG4ATABvAHMAdABUAGgAcgBvAHUAZwBoAEwAZQBhAGMAaABpAG4AZwBBAG4AZABSAHUAbgBvAGYAZgBfAE4ASQBSAFIAZQBmAGUAcgBlAG4AYwBlAFwAbgAgACAAPQBMAEEATQBCAEQAQQAoAFwAIgBcACIAKQA7AFwAbgBcAG4AVgBFAEUAUgBHAF8ANgBfADMAXwAxAF8AMQBfAF8AMgBfAF8ATQBhAHMAcwBPAGYATgBpAHQAcgBvAGcAZQBuAEwAbwBzAHQAVABoAHIAbwB1AGcAaABMAGUAYQBjAGgAaQBuAGcAQQBuAGQAUgB1AG4AbwBmAGYAXwBMAGEAdABlAHgARQBxAHUAYQB0AGkAbwBuAFwAbgAgACAAPQBMAEEATQBCAEQAQQAoAFwAIgBNAF8AewBsAGUAYQBjAGgALABjAHAAfQA9AE0AXwB7AGMAcAB9AFwAXAB0AGkAbQBlAHMAIABGAHIAYQBjAFcARQBUAF8AewBqAH0AXABcAHQAaQBtAGUAcwAgAEYAcgBhAGMATABFAEEAQwBIAFwAIgApADsAXABuAFwAbgBWAEUARQBSAEcAXwA2AF8AMwBfADEAXwAxAF8AXwAyAF8AXwBNAGEAcwBzAE8AZgBOAGkAdAByAG8AZwBlAG4ATABvAHMAdABUAGgAcgBvAHUAZwBoAEwAZQBhAGMAaABpAG4AZwBBAG4AZABSAHUAbgBvAGYAZgBfAEEAcgBnAHUAbQBlAG4AdABzAFwAbgAgACAAPQBMAEEATQBCAEQAQQAoAFwAbgAgACAAIAAgAE0AQQBLAEUAQQBSAFIAQQBZACgANwAsACAANAAsACAAXABuACAAIAAgACAAIAAgAEwAQQBNAEIARABBACgAcgAsAGMALAAgAFwAbgAgACAAIAAgACAAIAAgACAASQBOAEQARQBYACgAewBcAG4AIAAgACAAIAAgACAAIAAgACAAIABcACIATQBfAGMAcABcACIALABcACIAbQBhAHMAcwAgAG8AZgAgAG4AaQB0AHIAbwBnAGUAbgAgAGkAbgAgAGMAcgBvAHAAIAByAGUAcwBpAGQAdQBlAHMAIABjACAAbwByACAAcABhAHMAdAB1AHIAZQAgAHIAZQBzAGkAZAB1AGUAcwAgAHAAIABhAHAAcABsAGkAZQBkACAAdABvACAAcwBvAGkAbABzAFwAIgAsACAAXAAiAGsAZwAgAE4AXAAiACwAIABcACIAQwBhAGwAYwAgAGYAcgBvAG0AIAA2AC4AMQAuADEALgAxACAAKAAyACkAIABhAG4AZAAgADYALgAyAC4AMQAuADEAIAAoADIAKQBcACIAOwBcAG4AIAAgACAAIAAgACAAIAAgACAAIABcACIARgByAGEAYwBXAEUAVABfAGoAXAAiACw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IABcACIATABvAGMAYQB0AGkAbwBuACAAaQBuACAAbABlAGEAYwBoAGkAbgBnACAAegBvAG4AZQBcACIALAAgAFwAIgBcACIALAAgAFwAIgBJAG4AcAB1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DsAXABuACAAIAAgACAAIAAgACAAIAAgACAAXAAiAGkAcgBcACIALAAgAFwAIgBJAHIAcgBpAGcAYQB0AGkAbwBuACAAdAB5AHAAZQBcACIALAAgAFwAIgBcACIALAAgAFwAIgBJAG4AcAB1AHQAXAAiAFwAbgAgACAAIAAgACAAIAAgACAAfQAsACAAcgAsACAAYwApAFwAbgAgACAAIAAgACAAIAApAFwAbgAgACAAIAAgACkAXABuACAAIAApADsAXABuAFwAbgAgACAAVgBFAEUAUgBHAF8ANgBfADMAXwAxAF8AMQBfAF8AMgBfAF8ATQBhAHMAcwBPAGYATgBpAHQAcgBvAGcAZQBuAEwAbwBzAHQAVABoAHIAbwB1AGcAaABMAGUAYQBjAGgAaQBuAGcAQQBuAGQAUgB1AG4AbwBmAGYAXwBWAGEAcgBpAGEAdABpAG8AbgBcAG4AIAAgAD0ATABBAE0AQgBEAEEAKABcACIAXAAiACkAOwBcAG4AXABuAFwAbgBcAG4AIgB9ACwAewAiAHAAYQB0AGgAIgA6ACIALwBwAHIAbwBqAGUAYwB0AHMALwBBAGcAUgBlAHMAaQBkAHUAZQBfAEUAcQB1AGEAdABpAG8AbgBzAF8AUABhAHMAdAB1AHIAZQBSAGUAcwBpAGQAdQBlACIALAAiAHQAZQB4AHQAIgA6ACIALwAqACAAXABuAC0ALQAtAC0ALQAtAC0ALQAtAC0ALQAtAC0ALQAtAC0ALQAtAC0ALQAtAC0ALQAtAC0ALQAtAC0ALQAtAC0ALQAtAC0ALQAtAC0ALQBcAG4AVgBFAEUAUgBHAF8ANgBfADIAXwAxAF8AMQBfAF8AMQBfAF8ATgBpAHQAcgBvAHUAcwBPAHgAaQBkAGUARQBtAGkAcwBzAGkAbwBuAHMARgByAG8AbQBQAGEAcwB0AHUAcgBlAFIAZQBzAGkAZAB1AGUAcwBcAG4ATgBpAHQAcgBvAHUAcwAgAG8AeABpAGQAZQAgAGUAbQBpAHMAcwBpAG8AbgBzACAAZgByAG8AbQAgAHQAaABlACAAcgBlAHQAdQByAG4AIABvAGYAIABwAGEAcwB0AHUAcgBlACAAcgBlAHMAaQBkAHUAZQBzACAAZgByAG8AbQAgAGEAbABsACAAcABhAHMAdAB1AHIAZQAgAHQAeQBwAGUAcwAgAHQAbwAgAHQAaABlACAAcwBvAGkAbABcAG4ARQBOADIATwBcAG4AdAAgAE4AMgBPAFwAbgBFAF8AewBOADIATwB9AD0AXABcAHMAdQBtAF8AewBwAH0AXABcAGwAZQBmAHQAKABNAF8AcABcAFwAdABpAG0AZQBzACAARQBGAF8AewBOAGkAfQBcAFwAdABpAG0AZQBzACAAQwBfAHsATgAyAE8AfQBcAFwAdABpAG0AZQBzAHsAMQAwAH0AXgB7AC0AMwB9AFwAXAByAGkAZwBoAHQAKQBcAG4ATQBwACAAPQAgAG0AYQBzAHMAIABvAGYAIABuAGkAdAByAG8AZwBlAG4AIABpAG4AIABwAGEAcwB0AHUAcgBlACAAcAAgAHIAZQBzAGkAZAB1AGUAcwAgAHIAZQB0AHUAcgBuAGUAZAAgAHQAbwAgAHQAaABlACAAcwBvAGkAbAAgACgAawBnACAATgApAFwAbgBFAEYATgBpACAAPQAgAGUAbQBpAHMAcwBpAG8AbgAgAGYAYQBjAHQAbwByACAAZgBvAHIAIABjAHIAbwBwACAAcgBlAHMAaQBkAHUAZQBzACAAcgBlAHQAdQByAG4AZQBkACAAdABvACAAdABoAGUAIABzAG8AaQBsACAAaQBuACAAYwBsAGkAbQBhAHQAZQAgAHoAbwBuAGUAIABpACAAKABrAGcAIABOADIATwAtAE4ALwBrAGcAIABOACkAXABuAEMATgAyAE8AIAA9ACAAZgBhAGMAdABvAHIAIAB0AG8AIABjAG8AbgB2AGUAcgB0ACAAZQBsAGUAbQBlAG4AdABhAGwAIABtAGEAcwBzACAAbwBmACAAbgBpAHQAcgBvAHUAcwAgAG8AeABpAGQAZQAgAHQAbwAgAG0AbwBsAGUAYwB1AGwAYQByACAAbQBhAHMAcwAgACgAZABpAG0AZQBuAHMAaQBvAG4AbABlAHMAcwApAFwAbgBwACAAPQAgAFAAYQBzAHQAdQByAGUAIAB0AHkAcABlAFwAbgBpACAAPQAgAEMAbABpAG0AYQB0AGUAIAB6AG8AbgBlAFwAbgAtAC0ALQAtAC0ALQAtAC0ALQAtAC0ALQAtAC0ALQAtAC0ALQAtAC0ALQAtAC0ALQAtAC0ALQAtAC0ALQAtAC0ALQAtAC0ALQAtAC0AXABuACoALwBcAG4AXABuAFYARQBFAFIARwBfADYAXwAyAF8AMQBfADEAXwBfADEAXwBfAE4AaQB0AHIAbwB1AHMATwB4AGkAZABlAEUAbQBpAHMAcwBpAG8AbgBzAEYAcgBvAG0AUABhAHMAdAB1AHIAZQBSAGUAcwBpAGQAdQBlAHMAXABuACAAIAA9AEwAQQBNAEIARABBACgAXABuACAAIAAgACAATQBfAHAALAAgAEUARgBfAE4AaQAsACAAQwBfAE4AMgBPACwAXABuACAAIAAgACAAKABNAF8AcAAgACoAIABFAEYAXwBOAGkAKQAgACoAIABDAF8ATgAyAE8AIAAqACAAMQAwAF4AKAAtADMAKQBcAG4AIAAgACkAOwBcAG4AXABuAFYARQBFAFIARwBfADYAXwAyAF8AMQBfADEAXwBfADEAXwBfAE4AaQB0AHIAbwB1AHMATwB4AGkAZABlAEUAbQBpAHMAcwBpAG8AbgBzAEYAcgBvAG0AUABhAHMAdAB1AHIAZQBSAGUAcwBpAGQAdQBlAHMAXwBUAGkAdABsAGUAXABuACAAIAA9AEwAQQBNAEIARABBACgAXAAiAE4AaQB0AHIAbwB1AHMAIABvAHgAaQBkAGUAIABlAG0AaQBzAHMAaQBvAG4AcwAgAGYAcgBvAG0AIAB0AGgAZQAgAHIAZQB0AHUAcgBuACAAbwBmACAAcABhAHMAdAB1AHIAZQAgAHIAZQBzAGkAZAB1AGUAcwAgAGYAcgBvAG0AIABhAGwAbAAgAHAAYQBzAHQAdQByAGUAIAB0AHkAcABlAHMAIAB0AG8AIAB0AGgAZQAgAHMAbwBpAGwAXAAiACkAOwBcAG4AXABuAFYARQBFAFIARwBfADYAXwAyAF8AMQBfADEAXwBfADEAXwBfAE4AaQB0AHIAbwB1AHMATwB4AGkAZABlAEUAbQBpAHMAcwBpAG8AbgBzAEYAcgBvAG0AUABhAHMAdAB1AHIAZQBSAGUAcwBpAGQAdQBlAHMAXwBWAGEAcgBpAGEAYgBsAGUAXABuACAAIAA9AEwAQQBNAEIARABBACgAXAAiAEUATgAyAE8AXAAiACkAOwBcAG4AXABuAFYARQBFAFIARwBfADYAXwAyAF8AMQBfADEAXwBfADEAXwBfAE4AaQB0AHIAbwB1AHMATwB4AGkAZABlAEUAbQBpAHMAcwBpAG8AbgBzAEYAcgBvAG0AUABhAHMAdAB1AHIAZQBSAGUAcwBpAGQAdQBlAHMAXwBVAG4AaQB0AFwAbgAgACAAPQBMAEEATQBCAEQAQQAoAFwAIgB0ACAATgAyAE8AXAAiACkAOwBcAG4AXABuAFYARQBFAFIARwBfADYAXwAyAF8AMQBfADEAXwBfADEAXwBfAE4AaQB0AHIAbwB1AHMATwB4AGkAZABlAEUAbQBpAHMAcwBpAG8AbgBzAEYAcgBvAG0AUABhAHMAdAB1AHIAZQBSAGUAcwBpAGQAdQBlAHMAXwBTAG8AdQByAGMAZQBcAG4AIAAgAD0ATABBAE0AQgBEAEEAKABcACIAVgBFAEUAUgBHACAAMgAwADIANgA6ACAANgAuADIALgAxAC4AMQAsACAARQBxAHUAYQB0AGkAbwBuACAAKAAxACkAXAAiACkAOwBcAG4AXABuAFYARQBFAFIARwBfADYAXwAyAF8AMQBfADEAXwBfADEAXwBfAE4AaQB0AHIAbwB1AHMATwB4AGkAZABlAEUAbQBpAHMAcwBpAG8AbgBzAEYAcgBvAG0AUABhAHMAdAB1AHIAZQBSAGUAcwBpAGQAdQBlAHMAXwBOAEkAUgBSAGUAZgBlAHIAZQBuAGMAZQBcAG4AIAAgAD0ATABBAE0AQgBEAEEAKABcACIAXAAiACkAOwBcAG4AXABuAFYARQBFAFIARwBfADYAXwAyAF8AMQBfADEAXwBfADEAXwBfAE4AaQB0AHIAbwB1AHMATwB4AGkAZABlAEUAbQBpAHMAcwBpAG8AbgBzAEYAcgBvAG0AUABhAHMAdAB1AHIAZQBSAGUAcwBpAGQAdQBlAHMAXwBMAGEAdABlAHgARQBxAHUAYQB0AGkAbwBuAFwAbgAgACAAPQBMAEEATQBCAEQAQQAoAFwAIgBFAF8AewBOADIATwB9AD0AXABcAHMAdQBtAFwAXABuAG8AbABpAG0AaQB0AHMAXwBwAFwAXABsAGUAZgB0ACgATQBfAHAAXABcAHQAaQBtAGUAcwAgAEUARgBfAHsATgBpAH0AXABcAHIAaQBnAGgAdAApAFwAXAB0AGkAbQBlAHMAIABDAF8AewBOADIATwB9AFwAXAB0AGkAbQBlAHMAewAxADAAfQBeAHsALQAzAH0AXAAiACkAOwBcAG4AXABuAFYARQBFAFIARwBfADYAXwAyAF8AMQBfADEAXwBfADEAXwBfAE4AaQB0AHIAbwB1AHMATwB4AGkAZABlAEUAbQBpAHMAcwBpAG8AbgBzAEYAcgBvAG0AUABhAHMAdAB1AHIAZQBSAGUAcwBpAGQAdQBlAHMAXwBBAHIAZwB1AG0AZQBuAHQAcwBcAG4AIAAgAD0ATABBAE0AQgBEAEEAKABcAG4AIAAgACAAIABNAEEASwBFAEEAUgBSAEEAWQAoADUALAAgADQALAAgAFwAbgAgACAAIAAgACAAIABMAEEATQBCAEQAQQAoAHIALABjACwAIABcAG4AIAAgACAAIAAgACAAIAAgAEkATgBEAEUAWAAoAHsAXABuACAAIAAgACAAIAAgACAAIAAgACAAXAAiAE0AXwBwAFwAIgAsAFwAIgBtAGEAcwBzACAAbwBmACAAbgBpAHQAcgBvAGcAZQBuACAAaQBuACAAcABhAHMAdAB1AHIAZQAgAHAAIAByAGUAcwBpAGQAdQBlAHMAIAByAGUAdAB1AHIAbgBlAGQAIAB0AG8AIAB0AGgAZQAgAHMAbwBpAGwAXAAiACwAIABcACIAawBnACAATgBcACIALAAgAFwAIgBDAGEAbABjAHUAbABhAHQAZQBkACAAZgByAG8AbQAgADYALgAyAC4AMQAuADEAIAAoADIAKQBcACIAOwBcAG4AIAAgACAAIAAgACAAIAAgACAAIABcACIARQBGAF8ATgBpAFwAIgAsAFwAIgBlAG0AaQBzAHMAaQBvAG4AIABmAGEAYwB0AG8AcgAgAGYAbwByACAAYwByAG8AcAAgAHIAZQBzAGkAZAB1AGUAcwAgAHIAZQB0AHUAcgBuAGUAZAAgAHQAbwAgAHQAaABlACAAcwBvAGkAbAAgAGkAbgAgAGMAbABpAG0AYQB0AGUAIAB6AG8AbgBlACAAaQ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GQAaQBtAGUAbgBzAGkAbwBuAGwAZQBzAHMAXAAiACwAIABcACIAQwBvAG4AcwB0AGEAbgB0AFwAIgA7AFwAbgAgACAAIAAgACAAIAAgACAAIAAgAFwAIgBwAFwAIgAsAFwAIgBQAGEAcwB0AHUAcgBlACAAdAB5AHAAZ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gBfADEAXwAxAF8AXwAyAF8AXwBNAGEAcwBzAE8AZgBOAGkAdAByAG8AZwBlAG4ASQBuAFAAYQBzAHQAdQByAGUAUgBlAHMAaQBkAHUAZQBzAFwAbgBNAGEAcwBzACAAbwBmACAAbgBpAHQAcgBvAGcAZQBuACAAaQBuACAAcABhAHMAdAB1AHIAZQAgAHIAZQBzAGkAZAB1AGUAcwAgAHIAZQB0AHUAcgBuAGUAZAAgAHQAbwAgAHQAaABlACAAcwBvAGkAbABcAG4ATQBwAFwAbgBrAGcAIABOAFwAbgBNAF8AcAAgAD0AIAAoAEEAXwBwACAA1wAoAFkAXwBwACAAXABcAHQAaQBtAGUAcwAgADEAMABeAHsALQAzAH0AKQAgAFwAXAB0AGkAbQBlAHMAIAAoADEALQAgAEYARgBPAEQAXwBwACkAIABcAFwAdABpAG0AZQBzACAATgBDAF8AewBBAEcAcAB9ACkAIAArACAAKABBAF8AcAAgAFwAXAB0AGkAbQBlAHMAIAAoAFkAXwBwACAAXABcAHQAaQBtAGUAcwAgADEAMABeAHsALQAzAH0AKQBcAFwAdABpAG0AZQBzACAAUgBfAHsAQgBHAHAAfQAgAFwAXAB0AGkAbQBlAHMAIABOAEMAXwB7AEIARwBwAH0AKQBcAG4AQQBfAHAAIAA9ACAAYQByAGUAYQAgAG8AZgAgAHAAYQBzAHQAdQByAGUAIAByAGUAbgBlAHcAZQBkACAAbwByACAAcgBlAG0AbwB2AGUAZAAgACgAaABhACkAXABuAFkAcAAgAD0AIABhAHYAZQByAGEAZwBlACAAeQBpAGUAbABkACAAbwBmACAAcABhAHMAdAB1AHIAZQAgAGMAcgBvAHAAIAAoAHQAIABEAE0ALwBoAGEAKQBcAG4ATgBDAEEARwBwACAAPQAgAE4AIABjAG8AbgB0AGUAbgB0ACAAbwBmACAAYQBiAG8AdgBlAC0AZwByAG8AdQBuAGQAIABwAGEAcwB0AHUAcgBlACAAcgBlAHMAaQBkAHUAZQAgACgAawBnACAATgAvAGsAZwAgAEQATQApAFwAbgBSAF8AQgBHAHAAIAA9ACAAYgBlAGwAbwB3AC0AZwByAG8AdQBuAGQAIAByAGUAcwBpAGQAdQBlACAAdABvACAAYQBiAG8AdgBlAC0AZwByAG8AdQBuAGQAIAByAGUAcwBpAGQAdQBlACAAcgBhAHQAaQBvACAAZgBvAHIAIABwAGEAcwB0AHUAcgBlACAAYwByAG8AcAAgACgAZABpAG0AZQBuAHMAaQBvAG4AbABlAHMAcwApAFwAbgBOAEMAXwBCAEcAcAAgAD0AIABOACAAYwBvAG4AdABlAG4AdAAgAG8AZgAgAGIAZQBsAG8AdwAtAGcAcgBvAHUAbgBkACAAcABhAHMAdAB1AHIAZQAgAGMAcgBvAHAAIAByAGUAcwBpAGQAdQBlACAAKABrAGcAIABOAC8AawBnACAARABNACkAXABuAEYARgBPAEQAcAAgAD0AIABmAHIAYQBjAHQAaQBvAG4AIABvAGYAIABwAGEAcwB0AHUAcgBlACAAeQBpAGUAbABkACAAdABoAGEAdAAgAGkAcwAgAHIAZQBtAG8AdgBlAGQAIAAoAGQAaQBtAGUAbgBzAGkAbwBuAGwAZQBzAHMAKQBcAG4AcAAgAD0AIABQAGEAcwB0AHUAcgBlACAAdAB5AHAAZQBcAG4ALQAtAC0ALQAtAC0ALQAtAC0ALQAtAC0ALQAtAC0ALQAtAC0ALQAtAC0ALQAtAC0ALQAtAC0ALQAtAC0ALQAtAC0ALQAtAC0ALQAtAFwAbgAqAC8AXABuAFwAbgBWAEUARQBSAEcAXwA2AF8AMgBfADEAXwAxAF8AXwAyAF8AXwBNAGEAcwBzAE8AZgBOAGkAdAByAG8AZwBlAG4ASQBuAFAAYQBzAHQAdQByAGUAUgBlAHMAaQBkAHUAZQBzAFwAbgAgACAAPQBMAEEATQBCAEQAQQAoAFwAbgAgACAAIAAgAEEAXwBwACwAIABZAF8AcAAsACAARgBGAE8ARABfAHAALAAgAE4AQwBfAEEARwBwACwAIABSAF8AQgBHAHAALAAgAE4AQwBfAEIARwBwACwAXABuACAAIAAgACAAKABBAF8AcAAgACoAIAAoAFkAXwBwACAAKgAgADEAMABeACgALQAzACkAKQAgACoAIAAoADEAIAAtACAARgBGAE8ARABfAHAAKQAgACoAIABOAEMAXwBBAEcAcAApACAAKwAgACgAQQBfAHAAIAAqACAAKABZAF8AcAAgACoAIAAxADAAXgAoAC0AMwApACkAIAAqACAAUgBfAEIARwBwACAAKgAgAE4AQwBfAEIARwBwACkAXABuACAAIAApADsAXABuAFwAbgBWAEUARQBSAEcAXwA2AF8AMgBfADEAXwAxAF8AXwAyAF8AXwBNAGEAcwBzAE8AZgBOAGkAdAByAG8AZwBlAG4ASQBuAFAAYQBzAHQAdQByAGUAUgBlAHMAaQBkAHUAZQBzAF8AVABpAHQAbABlAFwAbgAgACAAPQBMAEEATQBCAEQAQQAoAFwAIgBNAGEAcwBzACAAbwBmACAAbgBpAHQAcgBvAGcAZQBuACAAaQBuACAAcABhAHMAdAB1AHIAZQAgAHIAZQBzAGkAZAB1AGUAcwAgAHIAZQB0AHUAcgBuAGUAZAAgAHQAbwAgAHQAaABlACAAcwBvAGkAbABcACIAKQA7AFwAbgBcAG4AVgBFAEUAUgBHAF8ANgBfADIAXwAxAF8AMQBfAF8AMgBfAF8ATQBhAHMAcwBPAGYATgBpAHQAcgBvAGcAZQBuAEkAbgBQAGEAcwB0AHUAcgBlAFIAZQBzAGkAZAB1AGUAcwBfAFYAYQByAGkAYQBiAGwAZQBcAG4AIAAgAD0ATABBAE0AQgBEAEEAKABcACIATQBwAFwAIgApADsAXABuAFwAbgBWAEUARQBSAEcAXwA2AF8AMgBfADEAXwAxAF8AXwAyAF8AXwBNAGEAcwBzAE8AZgBOAGkAdAByAG8AZwBlAG4ASQBuAFAAYQBzAHQAdQByAGUAUgBlAHMAaQBkAHUAZQBzAF8AVQBuAGkAdABcAG4AIAAgAD0ATABBAE0AQgBEAEEAKABcACIAawBnACAATgBcACIAKQA7AFwAbgBcAG4AVgBFAEUAUgBHAF8ANgBfADIAXwAxAF8AMQBfAF8AMgBfAF8ATQBhAHMAcwBPAGYATgBpAHQAcgBvAGcAZQBuAEkAbgBQAGEAcwB0AHUAcgBlAFIAZQBzAGkAZAB1AGUAcwBfAFMAbwB1AHIAYwBlAFwAbgAgACAAPQBMAEEATQBCAEQAQQAoAFwAIgBWAEUARQBSAEcAIAAyADAAMgA2ADoAIAA2AC4AMgAuADEALgAxACwAIABFAHEAdQBhAHQAaQBvAG4AIAAoADIAKQBcACIAKQA7AFwAbgBcAG4AVgBFAEUAUgBHAF8ANgBfADIAXwAxAF8AMQBfAF8AMgBfAF8ATQBhAHMAcwBPAGYATgBpAHQAcgBvAGcAZQBuAEkAbgBQAGEAcwB0AHUAcgBlAFIAZQBzAGkAZAB1AGUAcwBfAE4ASQBSAFIAZQBmAGUAcgBlAG4AYwBlAFwAbgAgACAAPQBMAEEATQBCAEQAQQAoAFwAIgBcACIAKQA7AFwAbgBcAG4AVgBFAEUAUgBHAF8ANgBfADIAXwAxAF8AMQBfAF8AMgBfAF8ATQBhAHMAcwBPAGYATgBpAHQAcgBvAGcAZQBuAEkAbgBQAGEAcwB0AHUAcgBlAFIAZQBzAGkAZAB1AGUAcwBfAEwAYQB0AGUAeABFAHEAdQBhAHQAaQBvAG4AXABuACAAIAA9AEwAQQBNAEIARABBACgAXAAiAE0AXwBwACAAPQAgACgAQQBfAHAAIABcAFwAdABpAG0AZQBzACAAKABZAF8AcAAgAFwAXAB0AGkAbQBlAHMAIAAxADAAXgB7AC0AMwB9ACkAIABcAFwAdABpAG0AZQBzACAAKAAxAC0AIABGAEYATwBEAF8AcAApACAAXABcAHQAaQBtAGUAcwAgAE4AQwBfAHsAQQBHAHAAfQApACAAKwAgACgAQQBfAHAAIABcAFwAdABpAG0AZQBzACAAKABZAF8AcAAgAFwAXAB0AGkAbQBlAHMAIAAxADAAXgB7AC0AMwB9ACkAXABcAHQAaQBtAGUAcwAgAFIAXwB7AEIARwBwAH0AIABcAFwAdABpAG0AZQBzACAATgBDAF8AewBCAEcAcAB9ACkAXAAiACkAOwBcAG4AXABuAFYARQBFAFIARwBfADYAXwAyAF8AMQBfADEAXwBfADIAXwBfAE0AYQBzAHMATwBmAE4AaQB0AHIAbwBnAGUAbgBJAG4AUABhAHMAdAB1AHIAZQBSAGUAcwBpAGQAdQBlAHMAXwBBAHIAZwB1AG0AZQBuAHQAcwBcAG4AIAAgAD0ATABBAE0AQgBEAEEAKABcAG4AIAAgACAAIABNAEEASwBFAEEAUgBSAEEAWQAoADcALAAgADQALAAgAFwAbgAgACAAIAAgACAAIABMAEEATQBCAEQAQQAoAHIALABjACwAIABcAG4AIAAgACAAIAAgACAAIAAgAEkATgBEAEUAWAAoAHsAXABuACAAIAAgACAAIAAgACAAIAAgACAAXAAiAEEAXwBwAFwAIgAsAFwAIgBhAHIAZQBhACAAbwBmACAAcABhAHMAdAB1AHIAZQAgAHIAZQBuAGUAdwBlAGQAIABvAHIAIAByAGUAbQBvAHYAZQBkAFwAIgAsACAAXAAiAGgAYQBcACIALAAgAFwAIgBJAG4AcAB1AHQAXAAiADsAXABuACAAIAAgACAAIAAgACAAIAAgACAAXAAiAFkAXwBwAFwAIgAsAFwAIgBhAHYAZQByAGEAZwBlACAAeQBpAGUAbABkACAAbwBmACAAcABhAHMAdAB1AHIAZQAgAGMAcgBvAHAAXAAiACwAIABcACIAdAAgAEQATQAvAGgAYQBcACIALAAgAFwAIgBDAG8AbgBzAHQAYQBuAHQAXAAiADsAXABuACAAIAAgACAAIAAgACAAIAAgACAAXAAiAE4AQwBfAEEARwBwAFwAIgAsAFwAIgBOACAAYwBvAG4AdABlAG4AdAAgAG8AZgAgAGEAYgBvAHYAZQAtAGcAcgBvAHUAbgBkACAAcABhAHMAdAB1AHIAZQAgAHIAZQBzAGkAZAB1AGUAXAAiACwAIABcACIAawBnACAATgAvAGsAZwAgAEQATQBcACIALAAgAFwAIgBDAG8AbgBzAHQAYQBuAHQAXAAiADsAXABuACAAIAAgACAAIAAgACAAIAAgACAAXAAiAFIAXwBCAEcAcABcACIALABcACIAYgBlAGwAbwB3AC0AZwByAG8AdQBuAGQAIAByAGUAcwBpAGQAdQBlACAAdABvACAAYQBiAG8AdgBlAC0AZwByAG8AdQBuAGQAIAByAGUAcwBpAGQAdQBlACAAcgBhAHQAaQBvACAAZgBvAHIAIABwAGEAcwB0AHUAcgBlACAAYwByAG8AcABcACIALAAgAFwAIgBcACIALAAgAFwAIgBDAG8AbgBzAHQAYQBuAHQAXAAiADsAXABuACAAIAAgACAAIAAgACAAIAAgACAAXAAiAE4AQwBfAEIARwBwAFwAIgAsAFwAIgBOACAAYwBvAG4AdABlAG4AdAAgAG8AZgAgAGIAZQBsAG8AdwAtAGcAcgBvAHUAbgBkACAAcABhAHMAdAB1AHIAZQAgAGMAcgBvAHAAIAByAGUAcwBpAGQAdQBlAFwAIgAsACAAXAAiAGsAZwAgAE4ALwBrAGcAIABEAE0AXAAiACwAIABcACIAQwBvAG4AcwB0AGEAbgB0AFwAIgA7AFwAbgAgACAAIAAgACAAIAAgACAAIAAgAFwAIgBGAEYATwBEAF8AcABcACIALABcACIAZgByAGEAYwB0AGkAbwBuACAAbwBmACAAcABhAHMAdAB1AHIAZQAgAHkAaQBlAGwAZAAgAHQAaABhAHQAIABpAHMAIAByAGUAbQBvAHYAZQBkAFwAIgAsACAAXAAiAGYAcgBhAGMAdABpAG8AbgBcACIALAAgAFwAIgBDAG8AbgBzAHQAYQBuAHQAXAAiADsAXABuACAAIAAgACAAIAAgACAAIAAgACAAXAAiAHAAXAAiACwAXAAiAFAAYQBzAHQAdQByAGUAIAB0AHkAcABlAFwAIgAsACAAXAAiAFwAIgAsACAAXAAiAEkAbgBwAHUAdABcACIAXABuACAAIAAgACAAIAAgACAAIAB9ACwAIAByACwAIABjACkAXABuACAAIAAgACAAIAAgACkAXABuACAAIAAgACAAKQBcAG4AIAAgACkAOwBcAG4AXABuAFwAbgBWAEUARQBSAEcAXwA2AF8AMgBfADEAXwAxAF8AXwAyAF8AXwBNAGEAcwBzAE8AZgBOAGkAdAByAG8AZwBlAG4ASQBuAFAAYQBzAHQAdQByAGUAUgBlAHMAaQBkAHUAZQBzAF8AQQByAGcAdQBtAGUAbgB0AHMAXwBNAGUAdABoAG8AZAAyAFwAbgAgACAAPQBMAEEATQBCAEQAQQAoAFwAbgAgACAAIAAgAE0AQQBLAEUAQQBSAFIAQQBZACgANwAsACAANAAsACAAXABuACAAIAAgACAAIAAgAEwAQQBNAEIARABBACgAcgAsAGMALAAgAFwAbgAgACAAIAAgACAAIAAgACAASQBOAEQARQBYACgAewBcAG4AIAAgACAAIAAgACAAIAAgACAAIABcACIAQQBfAHAAXAAiACwAXAAiAGEAcgBlAGEAIABvAGYAIABwAGEAcwB0AHUAcgBlACAAcgBlAG4AZQB3AGUAZAAgAG8AcgAgAHIAZQBtAG8AdgBlAGQAXAAiACwAIABcACIAaABhAFwAIgAsACAAXAAiAEkAbgBwAHUAdABcACIAOwBcAG4AIAAgACAAIAAgACAAIAAgACAAIABcACIAWQBfAHAAXAAiACwAXAAiAGEAdgBlAHIAYQBnAGUAIAB5AGkAZQBsAGQAIABvAGYAIABwAGEAcwB0AHUAcgBlACAAYwByAG8AcABcACIALAAgAFwAIgB0ACAARABNAC8AaABhAFwAIgAsACAAXAAiAEkAbgBwAHUAdABcACIAOwBcAG4AIAAgACAAIAAgACAAIAAgACAAIABcACIATgBDAF8AQQBHAHAAXAAiACwAXAAiAE4AIABjAG8AbgB0AGUAbgB0ACAAbwBmACAAYQBiAG8AdgBlAC0AZwByAG8AdQBuAGQAIABwAGEAcwB0AHUAcgBlACAAcgBlAHMAaQBkAHUAZQBcACIALAAgAFwAIgBrAGcAIABOAC8AawBnACAARABNAFwAIgAsACAAXAAiAEMAbwBuAHMAdABhAG4AdABcACIAOwBcAG4AIAAgACAAIAAgACAAIAAgACAAIABcACIAUgBfAEIARwBwAFwAIgAsAFwAIgBiAGUAbABvAHcALQBnAHIAbwB1AG4AZAAgAHIAZQBzAGkAZAB1AGUAIAB0AG8AIABhAGIAbwB2AGUALQBnAHIAbwB1AG4AZAAgAHIAZQBzAGkAZAB1AGUAIAByAGEAdABpAG8AIABmAG8AcgAgAHAAYQBzAHQAdQByAGUAIABjAHIAbwBwAFwAIgAsACAAXAAiAFwAIgAsACAAXAAiAEMAbwBuAHMAdABhAG4AdABcACIAOwBcAG4AIAAgACAAIAAgACAAIAAgACAAIABcACIATgBDAF8AQgBHAHAAXAAiACwAXAAiAE4AIABjAG8AbgB0AGUAbgB0ACAAbwBmACAAYgBlAGwAbwB3AC0AZwByAG8AdQBuAGQAIABwAGEAcwB0AHUAcgBlACAAYwByAG8AcAAgAHIAZQBzAGkAZAB1AGUAXAAiACwAIABcACIAawBnACAATgAvAGsAZwAgAEQATQBcACIALAAgAFwAIgBDAG8AbgBzAHQAYQBuAHQAXAAiADsAXABuACAAIAAgACAAIAAgACAAIAAgACAAXAAiAEYARgBPAEQAXwBwAFwAIgAsAFwAIgBmAHIAYQBjAHQAaQBvAG4AIABvAGYAIABwAGEAcwB0AHUAcgBlACAAeQBpAGUAbABkACAAdABoAGEAdAAgAGkAcwAgAHIAZQBtAG8AdgBlAGQAXAAiACwAIABcACIAZgByAGEAYwB0AGkAbwBuAFwAIgAsACAAXAAiAEMAbwBuAHMAdABhAG4AdABcACIAOwBcAG4AIAAgACAAIAAgACAAIAAgACAAIABcACIAcABcACIALABcACIAUABhAHMAdAB1AHIAZQAgAHQAeQBwAGUAXAAiACwAIABcACIAXAAiACwAIABcACIASQBuAHAAdQB0AFwAIgBcAG4AIAAgACAAIAAgACAAIAAgAH0ALAAgAHIALAAgAGMAKQBcAG4AIAAgACAAIAAgACAAKQBcAG4AIAAgACAAIAApAFwAbgAgACAAKQA7AFwAbgBcAG4AXABuAFwAbg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TABpAHYAZQBzAHQAbwBjAGsAXwBTAG8AdQByAGMAZQBEAGEAdABhAC4AUwBvAHUAcgBjAGUARABhAHQAYQBfAEwAaQB2AGUAcwB0AG8AYwBrAF8AUAByAG8AZAB1AGMAdABfAEIAZQBlAGYAQwBhAHQAdABsAGUAXwBUAGkAdABsAGUAIgAsACIAQwBvAG0AbQBvAG4ATABpAHYAZQBzAHQAbwBjAGsAXwBTAG8AdQByAGMAZQBEAGEAdABhAC4AUwBvAHUAcgBjAGUARABhAHQAYQBfAEwAaQB2AGUAcwB0AG8AYwBrAF8AUAByAG8AZAB1AGMAdABfAEIAZQBlAGYAQwBhAHQAdABsAGUAXwBWAGEAaQByAGEAYgBsAGUAIgAsACIAQwBvAG0AbQBvAG4ATABpAHYAZQBzAHQAbwBjAGsAXwBTAG8AdQByAGMAZQBEAGEAdABhAC4AUwBvAHUAcgBjAGUARABhAHQAYQBfAEwAaQB2AGUAcwB0AG8AYwBrAF8AUAByAG8AZAB1AGMAdABfAEIAZQBlAGYAQwBhAHQAdABsAGUAXwBVAG4AaQB0ACIALAAiAEMAbwBtAG0AbwBuAEwAaQB2AGUAcwB0AG8AYwBrAF8AUwBvAHUAcgBjAGUARABhAHQAYQAuAFMAbwB1AHIAYwBlAEQAYQB0AGEAXwBMAGkAdgBlAHMAdABvAGMAawBfAFAAcgBvAGQAdQBjAHQAXwBCAGUAZQBmAEMAYQB0AHQAbABlAF8AUwBvAHUAcgBjAGUAIgAsACIAQwBvAG0AbQBvAG4ATABpAHYAZQBzAHQAbwBjAGsAXwBTAG8AdQByAGMAZQBEAGEAdABhAC4AUwBvAHUAcgBjAGUARABhAHQAYQBfAEwAaQB2AGUAcwB0AG8AYwBrAF8AUAByAG8AZAB1AGMAdABfAEIAZQBlAGYAQwBhAHQAdABsAGUAXwBEAGEAdABhACIALAAiAEMAbwBtAG0AbwBuAEwAaQB2AGUAcwB0AG8AYwBrAF8AUwBvAHUAcgBjAGUARABhAHQAYQAuAFMAbwB1AHIAYwBlAEQAYQB0AGEAXwBMAGkAdgBlAHMAdABvAGMAawBfAFAAcgBvAGQAdQBjAHQAXwBDAGgAaQBjAGsAZQBuAHMAXwBUAGkAdABsAGUAIgAsACIAQwBvAG0AbQBvAG4ATABpAHYAZQBzAHQAbwBjAGsAXwBTAG8AdQByAGMAZQBEAGEAdABhAC4AUwBvAHUAcgBjAGUARABhAHQAYQBfAEwAaQB2AGUAcwB0AG8AYwBrAF8AUAByAG8AZAB1AGMAdABfAEMAaABpAGMAawBlAG4AcwBfAFYAYQBpAHIAYQBiAGwAZQAiACwAIgBDAG8AbQBtAG8AbgBMAGkAdgBlAHMAdABvAGMAawBfAFMAbwB1AHIAYwBlAEQAYQB0AGEALgBTAG8AdQByAGMAZQBEAGEAdABhAF8ATABpAHYAZQBzAHQAbwBjAGsAXwBQAHIAbwBkAHUAYwB0AF8AQwBoAGkAYwBrAGUAbgBzAF8AVQBuAGkAdAAiACwAIgBDAG8AbQBtAG8AbgBMAGkAdgBlAHMAdABvAGMAawBfAFMAbwB1AHIAYwBlAEQAYQB0AGEALgBTAG8AdQByAGMAZQBEAGEAdABhAF8ATABpAHYAZQBzAHQAbwBjAGsAXwBQAHIAbwBkAHUAYwB0AF8AQwBoAGkAYwBrAGUAbgBzAF8AUwBvAHUAcgBjAGUAIgAsACIAQwBvAG0AbQBvAG4ATABpAHYAZQBzAHQAbwBjAGsAXwBTAG8AdQByAGMAZQBEAGEAdABhAC4AUwBvAHUAcgBjAGUARABhAHQAYQBfAEwAaQB2AGUAcwB0AG8AYwBrAF8AUAByAG8AZAB1AGMAdABfAEMAaABpAGMAawBlAG4AcwBfAEQAYQB0AGEAIgAsACIAQwBvAG0AbQBvAG4ATABpAHYAZQBzAHQAbwBjAGsAXwBTAG8AdQByAGMAZQBEAGEAdABhAC4AUwBvAHUAcgBjAGUARABhAHQAYQBfAEwAaQB2AGUAcwB0AG8AYwBrAF8AUAByAG8AZAB1AGMAdABfAEQAYQBpAHIAeQBjAGEAdAB0AGwAZQBfAFQAaQB0AGwAZQAiACwAIgBDAG8AbQBtAG8AbgBMAGkAdgBlAHMAdABvAGMAawBfAFMAbwB1AHIAYwBlAEQAYQB0AGEALgBTAG8AdQByAGMAZQBEAGEAdABhAF8ATABpAHYAZQBzAHQAbwBjAGsAXwBQAHIAbwBkAHUAYwB0AF8ARABhAGkAcgB5AGMAYQB0AHQAbABlAF8AVgBhAGkAcgBhAGIAbABlACIALAAiAEMAbwBtAG0AbwBuAEwAaQB2AGUAcwB0AG8AYwBrAF8AUwBvAHUAcgBjAGUARABhAHQAYQAuAFMAbwB1AHIAYwBlAEQAYQB0AGEAXwBMAGkAdgBlAHMAdABvAGMAawBfAFAAcgBvAGQAdQBjAHQAXwBEAGEAaQByAHkAYwBhAHQAdABsAGUAXwBVAG4AaQB0ACIALAAiAEMAbwBtAG0AbwBuAEwAaQB2AGUAcwB0AG8AYwBrAF8AUwBvAHUAcgBjAGUARABhAHQAYQAuAFMAbwB1AHIAYwBlAEQAYQB0AGEAXwBMAGkAdgBlAHMAdABvAGMAawBfAFAAcgBvAGQAdQBjAHQAXwBEAGEAaQByAHkAYwBhAHQAdABsAGUAXwBTAG8AdQByAGMAZQAiACwAIgBDAG8AbQBtAG8AbgBMAGkAdgBlAHMAdABvAGMAawBfAFMAbwB1AHIAYwBlAEQAYQB0AGEALgBTAG8AdQByAGMAZQBEAGEAdABhAF8ATABpAHYAZQBzAHQAbwBjAGsAXwBQAHIAbwBkAHUAYwB0AF8ARABhAGkAcgB5AGMAYQB0AHQAbABlAF8ARABhAHQAYQAiACwAIgBDAG8AbQBtAG8AbgBMAGkAdgBlAHMAdABvAGMAawBfAFMAbwB1AHIAYwBlAEQAYQB0AGEALgBTAG8AdQByAGMAZQBEAGEAdABhAF8ATABpAHYAZQBzAHQAbwBjAGsAXwBQAHIAbwBkAHUAYwB0AF8AUABpAGcAcwBfAFQAaQB0AGwAZQAiACwAIgBDAG8AbQBtAG8AbgBMAGkAdgBlAHMAdABvAGMAawBfAFMAbwB1AHIAYwBlAEQAYQB0AGEALgBTAG8AdQByAGMAZQBEAGEAdABhAF8ATABpAHYAZQBzAHQAbwBjAGsAXwBQAHIAbwBkAHUAYwB0AF8AUABpAGcAcwBfAFYAYQBpAHIAYQBiAGwAZQAiACwAIgBDAG8AbQBtAG8AbgBMAGkAdgBlAHMAdABvAGMAawBfAFMAbwB1AHIAYwBlAEQAYQB0AGEALgBTAG8AdQByAGMAZQBEAGEAdABhAF8ATABpAHYAZQBzAHQAbwBjAGsAXwBQAHIAbwBkAHUAYwB0AF8AUABpAGcAcwBfAFUAbgBpAHQAIgAsACIAQwBvAG0AbQBvAG4ATABpAHYAZQBzAHQAbwBjAGsAXwBTAG8AdQByAGMAZQBEAGEAdABhAC4AUwBvAHUAcgBjAGUARABhAHQAYQBfAEwAaQB2AGUAcwB0AG8AYwBrAF8AUAByAG8AZAB1AGMAdABfAFAAaQBnAHMAXwBTAG8AdQByAGMAZQAiACwAIgBDAG8AbQBtAG8AbgBMAGkAdgBlAHMAdABvAGMAawBfAFMAbwB1AHIAYwBlAEQAYQB0AGEALgBTAG8AdQByAGMAZQBEAGEAdABhAF8ATABpAHYAZQBzAHQAbwBjAGsAXwBQAHIAbwBkAHUAYwB0AF8AUABpAGcAcwBfAEQAYQB0AGEAIgAsACIAQwBvAG0AbQBvAG4ATABpAHYAZQBzAHQAbwBjAGsAXwBTAG8AdQByAGMAZQBEAGEAdABhAC4AUwBvAHUAcgBjAGUARABhAHQAYQBfAEwAaQB2AGUAcwB0AG8AYwBrAF8AUAByAG8AZAB1AGMAdABfAFMAaABlAGUAcABfAFQAaQB0AGwAZQAiACwAIgBDAG8AbQBtAG8AbgBMAGkAdgBlAHMAdABvAGMAawBfAFMAbwB1AHIAYwBlAEQAYQB0AGEALgBTAG8AdQByAGMAZQBEAGEAdABhAF8ATABpAHYAZQBzAHQAbwBjAGsAXwBQAHIAbwBkAHUAYwB0AF8AUwBoAGUAZQBwAF8AVgBhAGkAcgBhAGIAbABlACIALAAiAEMAbwBtAG0AbwBuAEwAaQB2AGUAcwB0AG8AYwBrAF8AUwBvAHUAcgBjAGUARABhAHQAYQAuAFMAbwB1AHIAYwBlAEQAYQB0AGEAXwBMAGkAdgBlAHMAdABvAGMAawBfAFAAcgBvAGQAdQBjAHQAXwBTAGgAZQBlAHAAXwBVAG4AaQB0ACIALAAiAEMAbwBtAG0AbwBuAEwAaQB2AGUAcwB0AG8AYwBrAF8AUwBvAHUAcgBjAGUARABhAHQAYQAuAFMAbwB1AHIAYwBlAEQAYQB0AGEAXwBMAGkAdgBlAHMAdABvAGMAawBfAFAAcgBvAGQAdQBjAHQAXwBTAGgAZQBlAHAAXwBTAG8AdQByAGMAZQAiACwAIgBDAG8AbQBtAG8AbgBMAGkAdgBlAHMAdABvAGMAawBfAFMAbwB1AHIAYwBlAEQAYQB0AGEALgBTAG8AdQByAGMAZQBEAGEAdABhAF8ATABpAHYAZQBzAHQAbwBjAGsAXwBQAHIAbwBkAHUAYwB0AF8AUwBoAGUAZQBw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GAGUAcgB0AGkAbABpAHMAZQByAF8ASQBuAHAAdQB0AEYAdQBuAGMAdABpAG8AbgBzAC4ARgBlAHIAdABpAGwAaQBzAGUAcgBfAFQAbwB0AGEAbABBAGMAdABpAHYAZQBJAG4AZwByAGUAZABpAGUAbgB0AEEAcABwAGwAaQBlAGQAQQBsAGwASQBuAGcAcgBlAGQAaQBlAG4AdABzACIALAAiAEYAZQByAHQAaQBsAGkAcwBlAHIAXwBFAHEAdQBhAHQAaQBvAG4AcwBfAEkAbgBvAHIAZwBhAG4AaQBjAE4AMgBPAC4AVgBFAEUAUgBHAF8ANQBfADEAXwAxAF8AMQBfAF8AMQBfAEkAbgBvAHIAZwBhAG4AaQBjAEYAZQByAHQAaQBsAGkAcwBlAHIAQQBwAHAAbABpAGMAYQB0AGkAbwBuAE4AMgBPAEUAbQBpAHMAcwBpAG8AbgBzACIALAAiAEYAZQByAHQAaQBsAGkAcwBlAHIAXwBFAHEAdQBhAHQAaQBvAG4AcwBfAEkAbgBvAHIAZwBhAG4AaQBjAE4AMgBPAC4AVgBFAEUAUgBHAF8ANQBfADEAXwAxAF8AMQBfAF8AMQBfAEkAbgBvAHIAZwBhAG4AaQBjAEYAZQByAHQAaQBsAGkAcwBlAHIAQQBwAHAAbABpAGMAYQB0AGkAbwBuAE4AMgBPAEUAbQBpAHMAcwBpAG8AbgBzAF8AVABpAHQAbABlACIALAAiAEYAZQByAHQAaQBsAGkAcwBlAHIAXwBFAHEAdQBhAHQAaQBvAG4AcwBfAEkAbgBvAHIAZwBhAG4AaQBjAE4AMgBPAC4AVgBFAEUAUgBHAF8ANQBfADEAXwAxAF8AMQBfAF8AMQBfAEkAbgBvAHIAZwBhAG4AaQBjAEYAZQByAHQAaQBsAGkAcwBlAHIAQQBwAHAAbABpAGMAYQB0AGkAbwBuAE4AMgBPAEUAbQBpAHMAcwBpAG8AbgBzAF8AVgBhAHIAaQBhAGIAbABlACIALAAiAEYAZQByAHQAaQBsAGkAcwBlAHIAXwBFAHEAdQBhAHQAaQBvAG4AcwBfAEkAbgBvAHIAZwBhAG4AaQBjAE4AMgBPAC4AVgBFAEUAUgBHAF8ANQBfADEAXwAxAF8AMQBfAF8AMQBfAEkAbgBvAHIAZwBhAG4AaQBjAEYAZQByAHQAaQBsAGkAcwBlAHIAQQBwAHAAbABpAGMAYQB0AGkAbwBuAE4AMgBPAEUAbQBpAHMAcwBpAG8AbgBzAF8AVQBuAGkAdAAiACwAIgBGAGUAcgB0AGkAbABpAHMAZQByAF8ARQBxAHUAYQB0AGkAbwBuAHMAXwBJAG4AbwByAGcAYQBuAGkAYwBOADIATwAuAFYARQBFAFIARwBfADUAXwAxAF8AMQBfADEAXwBfADEAXwBJAG4AbwByAGcAYQBuAGkAYwBGAGUAcgB0AGkAbABpAHMAZQByAEEAcABwAGwAaQBjAGEAdABpAG8AbgBOADIATwBFAG0AaQBzAHMAaQBvAG4AcwBfAFMAbwB1AHIAYwBlACIALAAiAEYAZQByAHQAaQBsAGkAcwBlAHIAXwBFAHEAdQBhAHQAaQBvAG4AcwBfAEkAbgBvAHIAZwBhAG4AaQBjAE4AMgBPAC4AVgBFAEUAUgBHAF8ANQBfADEAXwAxAF8AMQBfAF8AMQBfAEkAbgBvAHIAZwBhAG4AaQBjAEYAZQByAHQAaQBsAGkAcwBlAHIAQQBwAHAAbABpAGMAYQB0AGkAbwBuAE4AMgBPAEUAbQBpAHMAcwBpAG8AbgBzAF8ATgBJAFIAUgBlAGYAZQByAGUAbgBjAGUAIgAsACIARgBlAHIAdABpAGwAaQBzAGUAcgBfAEUAcQB1AGEAdABpAG8AbgBzAF8ASQBuAG8AcgBnAGEAbgBpAGMATgAyAE8ALgBWAEUARQBSAEcAXwA1AF8AMQBfADEAXwAxAF8AXwAxAF8ASQBuAG8AcgBnAGEAbgBpAGMARgBlAHIAdABpAGwAaQBzAGUAcgBBAHAAcABsAGkAYwBhAHQAaQBvAG4ATgAyAE8ARQBtAGkAcwBzAGkAbwBuAHMAXwBMAGEAdABlAHgARQBxAHUAYQB0AGkAbwBuACIALAAiAEYAZQByAHQAaQBsAGkAcwBlAHIAXwBFAHEAdQBhAHQAaQBvAG4AcwBfAEkAbgBvAHIAZwBhAG4AaQBjAE4AMgBPAC4AVgBFAEUAUgBHAF8ANQBfADEAXwAxAF8AMQBfAF8AMQBfAEkAbgBvAHIAZwBhAG4AaQBjAEYAZQByAHQAaQBsAGkAcwBlAHIAQQBwAHAAbABpAGMAYQB0AGkAbwBuAE4AMgBPAEUAbQBpAHMAcwBpAG8AbgBzAF8AQQByAGcAdQBtAGUAbgB0AHMAIgAsACIARgBlAHIAdABpAGwAaQBzAGUAcgBfAEUAcQB1AGEAdABpAG8AbgBzAF8ASQBuAG8AcgBnAGEAbgBpAGMATgAyAE8ALgBWAEUARQBSAEcAXwA1AF8AMQBfADEAXwAxAF8AXwAxAF8ASQBuAG8AcgBnAGEAbgBpAGMARgBlAHIAdABpAGwAaQBzAGUAcgBBAHAAcABsAGkAYwBhAHQAaQBvAG4ATgAyAE8ARQBtAGkAcwBzAGkAbwBuAHMAXwBBAHIAZwB1AG0AZQBuAHQAcwBfAE0AZQB0AGgAbwBkADIAIgAsACIARgBlAHIAdABpAGwAaQBzAGUAcgBfAEUAcQB1AGEAdABpAG8AbgBzAF8ASQBuAG8AcgBnAGEAbgBpAGMATgAyAE8ALgBWAEUARQBSAEcAXwA1AF8AMQBfADEAXwAxAF8AXwAyAF8ATQBhAHMAcwBPAGYATgBpAHQAcgBvAGcAZQBuAEkAbgBJAG4AbwByAGcAYQBuAGkAYwBGAGUAcgB0AGkAbABpAHMAZQByACIALAAiAEYAZQByAHQAaQBsAGkAcwBlAHIAXwBFAHEAdQBhAHQAaQBvAG4AcwBfAEkAbgBvAHIAZwBhAG4AaQBjAE4AMgBPAC4AVgBFAEUAUgBHAF8ANQBfADEAXwAxAF8AMQBfAF8AMgBfAE0AYQBzAHMATwBmAE4AaQB0AHIAbwBnAGUAbgBJAG4ASQBuAG8AcgBnAGEAbgBpAGMARgBlAHIAdABpAGwAaQBzAGUAcgBfAFQAaQB0AGwAZQAiACwAIgBGAGUAcgB0AGkAbABpAHMAZQByAF8ARQBxAHUAYQB0AGkAbwBuAHMAXwBJAG4AbwByAGcAYQBuAGkAYwBOADIATwAuAFYARQBFAFIARwBfADUAXwAxAF8AMQBfADEAXwBfADIAXwBNAGEAcwBzAE8AZgBOAGkAdAByAG8AZwBlAG4ASQBuAEkAbgBvAHIAZwBhAG4AaQBjAEYAZQByAHQAaQBsAGkAcwBlAHIAXwBWAGEAcgBpAGEAYgBsAGUAIgAsACIARgBlAHIAdABpAGwAaQBzAGUAcgBfAEUAcQB1AGEAdABpAG8AbgBzAF8ASQBuAG8AcgBnAGEAbgBpAGMATgAyAE8ALgBWAEUARQBSAEcAXwA1AF8AMQBfADEAXwAxAF8AXwAyAF8ATQBhAHMAcwBPAGYATgBpAHQAcgBvAGcAZQBuAEkAbgBJAG4AbwByAGcAYQBuAGkAYwBGAGUAcgB0AGkAbABpAHMAZQByAF8AVQBuAGkAdAAiACwAIgBGAGUAcgB0AGkAbABpAHMAZQByAF8ARQBxAHUAYQB0AGkAbwBuAHMAXwBJAG4AbwByAGcAYQBuAGkAYwBOADIATwAuAFYARQBFAFIARwBfADUAXwAxAF8AMQBfADEAXwBfADIAXwBNAGEAcwBzAE8AZgBOAGkAdAByAG8AZwBlAG4ASQBuAEkAbgBvAHIAZwBhAG4AaQBjAEYAZQByAHQAaQBsAGkAcwBlAHIAXwBTAG8AdQByAGMAZQAiACwAIgBGAGUAcgB0AGkAbABpAHMAZQByAF8ARQBxAHUAYQB0AGkAbwBuAHMAXwBJAG4AbwByAGcAYQBuAGkAYwBOADIATwAuAFYARQBFAFIARwBfADUAXwAxAF8AMQBfADEAXwBfADIAXwBNAGEAcwBzAE8AZgBOAGkAdAByAG8AZwBlAG4ASQBuAEkAbgBvAHIAZwBhAG4AaQBjAEYAZQByAHQAaQBsAGkAcwBlAHIAXwBOAEkAUgBSAGUAZgBlAHIAZQBuAGMAZQAiACwAIgBGAGUAcgB0AGkAbABpAHMAZQByAF8ARQBxAHUAYQB0AGkAbwBuAHMAXwBJAG4AbwByAGcAYQBuAGkAYwBOADIATwAuAFYARQBFAFIARwBfADUAXwAxAF8AMQBfADEAXwBfADIAXwBNAGEAcwBzAE8AZgBOAGkAdAByAG8AZwBlAG4ASQBuAEkAbgBvAHIAZwBhAG4AaQBjAEYAZQByAHQAaQBsAGkAcwBlAHIAXwBMAGEAdABlAHgARQBxAHUAYQB0AGkAbwBuACIALAAiAEYAZQByAHQAaQBsAGkAcwBlAHIAXwBFAHEAdQBhAHQAaQBvAG4AcwBfAEkAbgBvAHIAZwBhAG4AaQBjAE4AMgBPAC4AVgBFAEUAUgBHAF8ANQBfADEAXwAxAF8AMQBfAF8AMgBfAE0AYQBzAHMATwBmAE4AaQB0AHIAbwBnAGUAbgBJAG4ASQBuAG8AcgBnAGEAbgBpAGMARgBlAHIAdABpAGwAaQBzAGUAcgBfAEEAcgBnAHUAbQBlAG4AdABzACIALAAiAEYAZQByAHQAaQBsAGkAcwBlAHIAXwBFAHEAdQBhAHQAaQBvAG4AcwBfAEkAbgBvAHIAZwBhAG4AaQBjAE4AMgBPAC4AVgBFAEUAUgBHAF8ANQBfADEAXwAxAF8AMgBfAF8AMQBfAEUAbQBpAHMAcwBpAG8AbgBGAGEAYwB0AG8AcgBJAHIAcgBpAGcAYQB0AGUAZABNAGEAaQB6AGUAIgAsACIARgBlAHIAdABpAGwAaQBzAGUAcgBfAEUAcQB1AGEAdABpAG8AbgBzAF8ASQBuAG8AcgBnAGEAbgBpAGMATgAyAE8ALgBWAEUARQBSAEcAXwA1AF8AMQBfADEAXwAyAF8AXwAxAF8ARQBtAGkAcwBzAGkAbwBuAEYAYQBjAHQAbwByAEkAcgByAGkAZwBhAHQAZQBkAE0AYQBpAHoAZQBfAFQAaQB0AGwAZQAiACwAIgBGAGUAcgB0AGkAbABpAHMAZQByAF8ARQBxAHUAYQB0AGkAbwBuAHMAXwBJAG4AbwByAGcAYQBuAGkAYwBOADIATwAuAFYARQBFAFIARwBfADUAXwAxAF8AMQBfADIAXwBfADEAXwBFAG0AaQBzAHMAaQBvAG4ARgBhAGMAdABvAHIASQByAHIAaQBnAGEAdABlAGQATQBhAGkAegBlAF8AVgBhAHIAaQBhAGIAbABlACIALAAiAEYAZQByAHQAaQBsAGkAcwBlAHIAXwBFAHEAdQBhAHQAaQBvAG4AcwBfAEkAbgBvAHIAZwBhAG4AaQBjAE4AMgBPAC4AVgBFAEUAUgBHAF8ANQBfADEAXwAxAF8AMgBfAF8AMQBfAEUAbQBpAHMAcwBpAG8AbgBGAGEAYwB0AG8AcgBJAHIAcgBpAGcAYQB0AGUAZABNAGEAaQB6AGUAXwBVAG4AaQB0ACIALAAiAEYAZQByAHQAaQBsAGkAcwBlAHIAXwBFAHEAdQBhAHQAaQBvAG4AcwBfAEkAbgBvAHIAZwBhAG4AaQBjAE4AMgBPAC4AVgBFAEUAUgBHAF8ANQBfADEAXwAxAF8AMgBfAF8AMQBfAEUAbQBpAHMAcwBpAG8AbgBGAGEAYwB0AG8AcgBJAHIAcgBpAGcAYQB0AGUAZABNAGEAaQB6AGUAXwBTAG8AdQByAGMAZQAiACwAIgBGAGUAcgB0AGkAbABpAHMAZQByAF8ARQBxAHUAYQB0AGkAbwBuAHMAXwBJAG4AbwByAGcAYQBuAGkAYwBOADIATwAuAFYARQBFAFIARwBfADUAXwAxAF8AMQBfADIAXwBfADEAXwBFAG0AaQBzAHMAaQBvAG4ARgBhAGMAdABvAHIASQByAHIAaQBnAGEAdABlAGQATQBhAGkAegBlAF8ATgBJAFIAUgBlAGYAZQByAGUAbgBjAGUAIgAsACIARgBlAHIAdABpAGwAaQBzAGUAcgBfAEUAcQB1AGEAdABpAG8AbgBzAF8ASQBuAG8AcgBnAGEAbgBpAGMATgAyAE8ALgBWAEUARQBSAEcAXwA1AF8AMQBfADEAXwAyAF8AXwAxAF8ARQBtAGkAcwBzAGkAbwBuAEYAYQBjAHQAbwByAEkAcgByAGkAZwBhAHQAZQBkAE0AYQBpAHoAZQBfAEwAYQB0AGUAeABFAHEAdQBhAHQAaQBvAG4AIgAsACIARgBlAHIAdABpAGwAaQBzAGUAcgBfAEUAcQB1AGEAdABpAG8AbgBzAF8ASQBuAG8AcgBnAGEAbgBpAGMATgAyAE8ALgBWAEUARQBSAEcAXwA1AF8AMQBfADEAXwAyAF8AXwAxAF8ARQBtAGkAcwBzAGkAbwBuAEYAYQBjAHQAbwByAEkAcgByAGkAZwBhAHQAZQBkAE0AYQBpAHoAZQBfAEEAcgBnAHUAbQBlAG4AdABzACIALAAiAEYAZQByAHQAaQBsAGkAcwBlAHIAXwBFAHEAdQBhAHQAaQBvAG4AcwBfAEkAbgBvAHIAZwBhAG4AaQBjAE4AMgBPAC4AVgBFAEUAUgBHAF8ANQBfADEAXwAxAF8AMgBfAF8AMgBfAEUAbQBpAHMAcwBpAG8AbgBGAGEAYwB0AG8AcgBOAG8AbgBJAHIAcgBpAGcAYQB0AGUAZABHAHIAYQBpAG4AcwBIAGkAZwBoAFIAYQBpAG4AZgBhAGwAbAAiACwAIgBGAGUAcgB0AGkAbABpAHMAZQByAF8ARQBxAHUAYQB0AGkAbwBuAHMAXwBJAG4AbwByAGcAYQBuAGkAYwBOADIATwAuAFYARQBFAFIARwBfADUAXwAxAF8AMQBfADIAXwBfADIAXwBFAG0AaQBzAHMAaQBvAG4ARgBhAGMAdABvAHIATgBvAG4ASQByAHIAaQBnAGEAdABlAGQARwByAGEAaQBuAHMASABpAGcAaABSAGEAaQBuAGYAYQBsAGwAXwBUAGkAdABsAGUAIgAsACIARgBlAHIAdABpAGwAaQBzAGUAcgBfAEUAcQB1AGEAdABpAG8AbgBzAF8ASQBuAG8AcgBnAGEAbgBpAGMATgAyAE8ALgBWAEUARQBSAEcAXwA1AF8AMQBfADEAXwAyAF8AXwAyAF8ARQBtAGkAcwBzAGkAbwBuAEYAYQBjAHQAbwByAE4AbwBuAEkAcgByAGkAZwBhAHQAZQBkAEcAcgBhAGkAbgBzAEgAaQBnAGgAUgBhAGkAbgBmAGEAbABsAF8AVgBhAHIAaQBhAGIAbABlACIALAAiAEYAZQByAHQAaQBsAGkAcwBlAHIAXwBFAHEAdQBhAHQAaQBvAG4AcwBfAEkAbgBvAHIAZwBhAG4AaQBjAE4AMgBPAC4AVgBFAEUAUgBHAF8ANQBfADEAXwAxAF8AMgBfAF8AMgBfAEUAbQBpAHMAcwBpAG8AbgBGAGEAYwB0AG8AcgBOAG8AbgBJAHIAcgBpAGcAYQB0AGUAZABHAHIAYQBpAG4AcwBIAGkAZwBoAFIAYQBpAG4AZgBhAGwAbABfAFUAbgBpAHQAIgAsACIARgBlAHIAdABpAGwAaQBzAGUAcgBfAEUAcQB1AGEAdABpAG8AbgBzAF8ASQBuAG8AcgBnAGEAbgBpAGMATgAyAE8ALgBWAEUARQBSAEcAXwA1AF8AMQBfADEAXwAyAF8AXwAyAF8ARQBtAGkAcwBzAGkAbwBuAEYAYQBjAHQAbwByAE4AbwBuAEkAcgByAGkAZwBhAHQAZQBkAEcAcgBhAGkAbgBzAEgAaQBnAGgAUgBhAGkAbgBmAGEAbABsAF8AUwBvAHUAcgBjAGUAIgAsACIARgBlAHIAdABpAGwAaQBzAGUAcgBfAEUAcQB1AGEAdABpAG8AbgBzAF8ASQBuAG8AcgBnAGEAbgBpAGMATgAyAE8ALgBWAEUARQBSAEcAXwA1AF8AMQBfADEAXwAyAF8AXwAyAF8ARQBtAGkAcwBzAGkAbwBuAEYAYQBjAHQAbwByAE4AbwBuAEkAcgByAGkAZwBhAHQAZQBkAEcAcgBhAGkAbgBzAEgAaQBnAGgAUgBhAGkAbgBmAGEAbABsAF8ATgBJAFIAUgBlAGYAZQByAGUAbgBjAGUAIgAsACIARgBlAHIAdABpAGwAaQBzAGUAcgBfAEUAcQB1AGEAdABpAG8AbgBzAF8ASQBuAG8AcgBnAGEAbgBpAGMATgAyAE8ALgBWAEUARQBSAEcAXwA1AF8AMQBfADEAXwAyAF8AXwAyAF8ARQBtAGkAcwBzAGkAbwBuAEYAYQBjAHQAbwByAE4AbwBuAEkAcgByAGkAZwBhAHQAZQBkAEcAcgBhAGkAbgBzAEgAaQBnAGgAUgBhAGkAbgBmAGEAbABsAF8ATABhAHQAZQB4AEUAcQB1AGEAdABpAG8AbgAiACwAIgBGAGUAcgB0AGkAbABpAHMAZQByAF8ARQBxAHUAYQB0AGkAbwBuAHMAXwBJAG4AbwByAGcAYQBuAGkAYwBOADIATwAuAFYARQBFAFIARwBfADUAXwAxAF8AMQBfADIAXwBfADIAXwBFAG0AaQBzAHMAaQBvAG4ARgBhAGMAdABvAHIATgBvAG4ASQByAHIAaQBnAGEAdABlAGQARwByAGEAaQBuAHMASABpAGcAaABSAGEAaQBuAGYAYQBsAGwAXwBBAHIAZwB1AG0AZQBuAHQAcwAiACwAIgBGAGUAcgB0AGkAbABpAHMAZQByAF8ARQBxAHUAYQB0AGkAbwBuAHMAXwBJAG4AbwByAGcAYQBuAGkAYwBOADIATwAuAFYARQBFAFIARwBfADUAXwAxAF8AMQBfADIAXwBfADMAXwBFAG0AaQBzAHMAaQBvAG4ARgBhAGMAdABvAHIAQwBvAHQAdABvAG4AIgAsACIARgBlAHIAdABpAGwAaQBzAGUAcgBfAEUAcQB1AGEAdABpAG8AbgBzAF8ASQBuAG8AcgBnAGEAbgBpAGMATgAyAE8ALgBWAEUARQBSAEcAXwA1AF8AMQBfADEAXwAyAF8AXwAzAF8ARQBtAGkAcwBzAGkAbwBuAEYAYQBjAHQAbwByAEMAbwB0AHQAbwBuAF8AVABpAHQAbABlACIALAAiAEYAZQByAHQAaQBsAGkAcwBlAHIAXwBFAHEAdQBhAHQAaQBvAG4AcwBfAEkAbgBvAHIAZwBhAG4AaQBjAE4AMgBPAC4AVgBFAEUAUgBHAF8ANQBfADEAXwAxAF8AMgBfAF8AMwBfAEUAbQBpAHMAcwBpAG8AbgBGAGEAYwB0AG8AcgBDAG8AdAB0AG8AbgBfAFYAYQByAGkAYQBiAGwAZQAiACwAIgBGAGUAcgB0AGkAbABpAHMAZQByAF8ARQBxAHUAYQB0AGkAbwBuAHMAXwBJAG4AbwByAGcAYQBuAGkAYwBOADIATwAuAFYARQBFAFIARwBfADUAXwAxAF8AMQBfADIAXwBfADMAXwBFAG0AaQBzAHMAaQBvAG4ARgBhAGMAdABvAHIAQwBvAHQAdABvAG4AXwBVAG4AaQB0ACIALAAiAEYAZQByAHQAaQBsAGkAcwBlAHIAXwBFAHEAdQBhAHQAaQBvAG4AcwBfAEkAbgBvAHIAZwBhAG4AaQBjAE4AMgBPAC4AVgBFAEUAUgBHAF8ANQBfADEAXwAxAF8AMgBfAF8AMwBfAEUAbQBpAHMAcwBpAG8AbgBGAGEAYwB0AG8AcgBDAG8AdAB0AG8AbgBfAFMAbwB1AHIAYwBlACIALAAiAEYAZQByAHQAaQBsAGkAcwBlAHIAXwBFAHEAdQBhAHQAaQBvAG4AcwBfAEkAbgBvAHIAZwBhAG4AaQBjAE4AMgBPAC4AVgBFAEUAUgBHAF8ANQBfADEAXwAxAF8AMgBfAF8AMwBfAEUAbQBpAHMAcwBpAG8AbgBGAGEAYwB0AG8AcgBDAG8AdAB0AG8AbgBfAE4ASQBSAFIAZQBmAGUAcgBlAG4AYwBlACIALAAiAEYAZQByAHQAaQBsAGkAcwBlAHIAXwBFAHEAdQBhAHQAaQBvAG4AcwBfAEkAbgBvAHIAZwBhAG4AaQBjAE4AMgBPAC4AVgBFAEUAUgBHAF8ANQBfADEAXwAxAF8AMgBfAF8AMwBfAEUAbQBpAHMAcwBpAG8AbgBGAGEAYwB0AG8AcgBDAG8AdAB0AG8AbgBfAEwAYQB0AGUAeABFAHEAdQBhAHQAaQBvAG4AIgAsACIARgBlAHIAdABpAGwAaQBzAGUAcgBfAEUAcQB1AGEAdABpAG8AbgBzAF8ASQBuAG8AcgBnAGEAbgBpAGMATgAyAE8ALgBWAEUARQBSAEcAXwA1AF8AMQBfADEAXwAyAF8AXwAzAF8ARQBtAGkAcwBzAGkAbwBuAEYAYQBjAHQAbwByAEMAbwB0AHQAbwBuAF8AQQByAGcAdQBtAGUAbgB0AHMAIgAsACIARgBlAHIAdABpAGwAaQBzAGUAcgBfAEUAcQB1AGEAdABpAG8AbgBzAF8ASQBuAG8AcgBnAGEAbgBpAGMAQwBPADIALgBWAEUARQBSAEcAXwA1AF8AMQBfADEAXwAzAF8AXwAxAF8ASQBuAG8AcgBnAGEAbgBpAGMARgBlAHIAdABpAGwAaQBzAGUAcgBBAHAAcABsAGkAYwBhAHQAaQBvAG4AQwBPADIARQBtAGkAcwBzAGkAbwBuAHMAIgAsACIARgBlAHIAdABpAGwAaQBzAGUAcgBfAEUAcQB1AGEAdABpAG8AbgBzAF8ASQBuAG8AcgBnAGEAbgBpAGMAQwBPADIALgBWAEUARQBSAEcAXwA1AF8AMQBfADEAXwAzAF8AXwAxAF8ASQBuAG8AcgBnAGEAbgBpAGMARgBlAHIAdABpAGwAaQBzAGUAcgBBAHAAcABsAGkAYwBhAHQAaQBvAG4AQwBPADIARQBtAGkAcwBzAGkAbwBuAHMAXwBUAGkAdABsAGUAIgAsACIARgBlAHIAdABpAGwAaQBzAGUAcgBfAEUAcQB1AGEAdABpAG8AbgBzAF8ASQBuAG8AcgBnAGEAbgBpAGMAQwBPADIALgBWAEUARQBSAEcAXwA1AF8AMQBfADEAXwAzAF8AXwAxAF8ASQBuAG8AcgBnAGEAbgBpAGMARgBlAHIAdABpAGwAaQBzAGUAcgBBAHAAcABsAGkAYwBhAHQAaQBvAG4AQwBPADIARQBtAGkAcwBzAGkAbwBuAHMAXwBWAGEAcgBpAGEAYgBsAGUAIgAsACIARgBlAHIAdABpAGwAaQBzAGUAcgBfAEUAcQB1AGEAdABpAG8AbgBzAF8ASQBuAG8AcgBnAGEAbgBpAGMAQwBPADIALgBWAEUARQBSAEcAXwA1AF8AMQBfADEAXwAzAF8AXwAxAF8ASQBuAG8AcgBnAGEAbgBpAGMARgBlAHIAdABpAGwAaQBzAGUAcgBBAHAAcABsAGkAYwBhAHQAaQBvAG4AQwBPADIARQBtAGkAcwBzAGkAbwBuAHMAXwBVAG4AaQB0ACIALAAiAEYAZQByAHQAaQBsAGkAcwBlAHIAXwBFAHEAdQBhAHQAaQBvAG4AcwBfAEkAbgBvAHIAZwBhAG4AaQBjAEMATwAyAC4AVgBFAEUAUgBHAF8ANQBfADEAXwAxAF8AMwBfAF8AMQBfAEkAbgBvAHIAZwBhAG4AaQBjAEYAZQByAHQAaQBsAGkAcwBlAHIAQQBwAHAAbABpAGMAYQB0AGkAbwBuAEMATwAyAEUAbQBpAHMAcwBpAG8AbgBzAF8AUwBvAHUAcgBjAGUAIgAsACIARgBlAHIAdABpAGwAaQBzAGUAcgBfAEUAcQB1AGEAdABpAG8AbgBzAF8ASQBuAG8AcgBnAGEAbgBpAGMAQwBPADIALgBWAEUARQBSAEcAXwA1AF8AMQBfADEAXwAzAF8AXwAxAF8ASQBuAG8AcgBnAGEAbgBpAGMARgBlAHIAdABpAGwAaQBzAGUAcgBBAHAAcABsAGkAYwBhAHQAaQBvAG4AQwBPADIARQBtAGkAcwBzAGkAbwBuAHMAXwBOAEkAUgBSAGUAZgBlAHIAZQBuAGMAZQAiACwAIgBGAGUAcgB0AGkAbABpAHMAZQByAF8ARQBxAHUAYQB0AGkAbwBuAHMAXwBJAG4AbwByAGcAYQBuAGkAYwBDAE8AMgAuAFYARQBFAFIARwBfADUAXwAxAF8AMQBfADMAXwBfADEAXwBJAG4AbwByAGcAYQBuAGkAYwBGAGUAcgB0AGkAbABpAHMAZQByAEEAcABwAGwAaQBjAGEAdABpAG8AbgBDAE8AMgBFAG0AaQBzAHMAaQBvAG4AcwBfAEwAYQB0AGUAeABFAHEAdQBhAHQAaQBvAG4AIgAsACIARgBlAHIAdABpAGwAaQBzAGUAcgBfAEUAcQB1AGEAdABpAG8AbgBzAF8ASQBuAG8AcgBnAGEAbgBpAGMAQwBPADIALgBWAEUARQBSAEcAXwA1AF8AMQBfADEAXwAzAF8AXwAxAF8ASQBuAG8AcgBnAGEAbgBpAGMARgBlAHIAdABpAGwAaQBzAGUAcgBBAHAAcABsAGkAYwBhAHQAaQBvAG4AQwBPADIARQBtAGkAcwBzAGkAbwBuAHMAXwBBAHIAZwB1AG0AZQBuAHQAcwAiACwAIgBGAGUAcgB0AGkAbABpAHMAZQByAF8ARQBxAHUAYQB0AGkAbwBuAHMAXwBJAG4AbwByAGcAYQBuAGkAYwBDAE8AMgAuAFYARQBFAFIARwBfADUAXwAxAF8AMQBfADMAXwBfADIAXwBNAGEAcwBzAE8AZgBVAHIAZQBhAEkAbgBJAG4AbwByAGcAYQBuAGkAYwBGAGUAcgB0AGkAbABpAHMAZQByACIALAAiAEYAZQByAHQAaQBsAGkAcwBlAHIAXwBFAHEAdQBhAHQAaQBvAG4AcwBfAEkAbgBvAHIAZwBhAG4AaQBjAEMATwAyAC4AVgBFAEUAUgBHAF8ANQBfADEAXwAxAF8AMwBfAF8AMgBfAE0AYQBzAHMATwBmAFUAcgBlAGEASQBuAEkAbgBvAHIAZwBhAG4AaQBjAEYAZQByAHQAaQBsAGkAcwBlAHIAXwBUAGkAdABsAGUAIgAsACIARgBlAHIAdABpAGwAaQBzAGUAcgBfAEUAcQB1AGEAdABpAG8AbgBzAF8ASQBuAG8AcgBnAGEAbgBpAGMAQwBPADIALgBWAEUARQBSAEcAXwA1AF8AMQBfADEAXwAzAF8AXwAyAF8ATQBhAHMAcwBPAGYAVQByAGUAYQBJAG4ASQBuAG8AcgBnAGEAbgBpAGMARgBlAHIAdABpAGwAaQBzAGUAcgBfAFYAYQByAGkAYQBiAGwAZQAiACwAIgBGAGUAcgB0AGkAbABpAHMAZQByAF8ARQBxAHUAYQB0AGkAbwBuAHMAXwBJAG4AbwByAGcAYQBuAGkAYwBDAE8AMgAuAFYARQBFAFIARwBfADUAXwAxAF8AMQBfADMAXwBfADIAXwBNAGEAcwBzAE8AZgBVAHIAZQBhAEkAbgBJAG4AbwByAGcAYQBuAGkAYwBGAGUAcgB0AGkAbABpAHMAZQByAF8AVQBuAGkAdAAiACwAIgBGAGUAcgB0AGkAbABpAHMAZQByAF8ARQBxAHUAYQB0AGkAbwBuAHMAXwBJAG4AbwByAGcAYQBuAGkAYwBDAE8AMgAuAFYARQBFAFIARwBfADUAXwAxAF8AMQBfADMAXwBfADIAXwBNAGEAcwBzAE8AZgBVAHIAZQBhAEkAbgBJAG4AbwByAGcAYQBuAGkAYwBGAGUAcgB0AGkAbABpAHMAZQByAF8AUwBvAHUAcgBjAGUAIgAsACIARgBlAHIAdABpAGwAaQBzAGUAcgBfAEUAcQB1AGEAdABpAG8AbgBzAF8ASQBuAG8AcgBnAGEAbgBpAGMAQwBPADIALgBWAEUARQBSAEcAXwA1AF8AMQBfADEAXwAzAF8AXwAyAF8ATQBhAHMAcwBPAGYAVQByAGUAYQBJAG4ASQBuAG8AcgBnAGEAbgBpAGMARgBlAHIAdABpAGwAaQBzAGUAcgBfAE4ASQBSAFIAZQBmAGUAcgBlAG4AYwBlACIALAAiAEYAZQByAHQAaQBsAGkAcwBlAHIAXwBFAHEAdQBhAHQAaQBvAG4AcwBfAEkAbgBvAHIAZwBhAG4AaQBjAEMATwAyAC4AVgBFAEUAUgBHAF8ANQBfADEAXwAxAF8AMwBfAF8AMgBfAE0AYQBzAHMATwBmAFUAcgBlAGEASQBuAEkAbgBvAHIAZwBhAG4AaQBjAEYAZQByAHQAaQBsAGkAcwBlAHIAXwBMAGEAdABlAHgARQBxAHUAYQB0AGkAbwBuACIALAAiAEYAZQByAHQAaQBsAGkAcwBlAHIAXwBFAHEAdQBhAHQAaQBvAG4AcwBfAEkAbgBvAHIAZwBhAG4AaQBjAEMATwAyAC4AVgBFAEUAUgBHAF8ANQBfADEAXwAxAF8AMwBfAF8AMgBfAE0AYQBzAHMATwBmAFUAcgBlAGEASQBuAEkAbgBvAHIAZwBhAG4AaQBjAEYAZQByAHQAaQBsAGkAcwBlAHIAXwBBAHIAZwB1AG0AZQBuAHQAcwAiACwAIgBGAGUAcgB0AGkAbABpAHMAZQByAF8ARQBxAHUAYQB0AGkAbwBuAHMAXwBPAHIAZwBhAG4AaQBjAE4AMgBPAC4AVgBFAEUAUgBHAF8ANQBfADIAXwAxAF8AMQBfAF8AMQBfAE8AcgBnAGEAbgBpAGMARgBlAHIAdABpAGwAaQBzAGUAcgBBAHAAcABsAGkAYwBhAHQAaQBvAG4ATgAyAE8ARQBtAGkAcwBzAGkAbwBuAHMAIgAsACIARgBlAHIAdABpAGwAaQBzAGUAcgBfAEUAcQB1AGEAdABpAG8AbgBzAF8ATwByAGcAYQBuAGkAYwBOADIATwAuAFYARQBFAFIARwBfADUAXwAyAF8AMQBfADEAXwBfADEAXwBPAHIAZwBhAG4AaQBjAEYAZQByAHQAaQBsAGkAcwBlAHIAQQBwAHAAbABpAGMAYQB0AGkAbwBuAE4AMgBPAEUAbQBpAHMAcwBpAG8AbgBzAF8AVABpAHQAbABlACIALAAiAEYAZQByAHQAaQBsAGkAcwBlAHIAXwBFAHEAdQBhAHQAaQBvAG4AcwBfAE8AcgBnAGEAbgBpAGMATgAyAE8ALgBWAEUARQBSAEcAXwA1AF8AMgBfADEAXwAxAF8AXwAxAF8ATwByAGcAYQBuAGkAYwBGAGUAcgB0AGkAbABpAHMAZQByAEEAcABwAGwAaQBjAGEAdABpAG8AbgBOADIATwBFAG0AaQBzAHMAaQBvAG4AcwBfAFYAYQByAGkAYQBiAGwAZQAiACwAIgBGAGUAcgB0AGkAbABpAHMAZQByAF8ARQBxAHUAYQB0AGkAbwBuAHMAXwBPAHIAZwBhAG4AaQBjAE4AMgBPAC4AVgBFAEUAUgBHAF8ANQBfADIAXwAxAF8AMQBfAF8AMQBfAE8AcgBnAGEAbgBpAGMARgBlAHIAdABpAGwAaQBzAGUAcgBBAHAAcABsAGkAYwBhAHQAaQBvAG4ATgAyAE8ARQBtAGkAcwBzAGkAbwBuAHMAXwBVAG4AaQB0ACIALAAiAEYAZQByAHQAaQBsAGkAcwBlAHIAXwBFAHEAdQBhAHQAaQBvAG4AcwBfAE8AcgBnAGEAbgBpAGMATgAyAE8ALgBWAEUARQBSAEcAXwA1AF8AMgBfADEAXwAxAF8AXwAxAF8ATwByAGcAYQBuAGkAYwBGAGUAcgB0AGkAbABpAHMAZQByAEEAcABwAGwAaQBjAGEAdABpAG8AbgBOADIATwBFAG0AaQBzAHMAaQBvAG4AcwBfAFMAbwB1AHIAYwBlACIALAAiAEYAZQByAHQAaQBsAGkAcwBlAHIAXwBFAHEAdQBhAHQAaQBvAG4AcwBfAE8AcgBnAGEAbgBpAGMATgAyAE8ALgBWAEUARQBSAEcAXwA1AF8AMgBfADEAXwAxAF8AXwAxAF8ATwByAGcAYQBuAGkAYwBGAGUAcgB0AGkAbABpAHMAZQByAEEAcABwAGwAaQBjAGEAdABpAG8AbgBOADIATwBFAG0AaQBzAHMAaQBvAG4AcwBfAE4ASQBSAFIAZQBmAGUAcgBlAG4AYwBlACIALAAiAEYAZQByAHQAaQBsAGkAcwBlAHIAXwBFAHEAdQBhAHQAaQBvAG4AcwBfAE8AcgBnAGEAbgBpAGMATgAyAE8ALgBWAEUARQBSAEcAXwA1AF8AMgBfADEAXwAxAF8AXwAxAF8ATwByAGcAYQBuAGkAYwBGAGUAcgB0AGkAbABpAHMAZQByAEEAcABwAGwAaQBjAGEAdABpAG8AbgBOADIATwBFAG0AaQBzAHMAaQBvAG4AcwBfAEwAYQB0AGUAeABFAHEAdQBhAHQAaQBvAG4AIgAsACIARgBlAHIAdABpAGwAaQBzAGUAcgBfAEUAcQB1AGEAdABpAG8AbgBzAF8ATwByAGcAYQBuAGkAYwBOADIATwAuAFYARQBFAFIARwBfADUAXwAyAF8AMQBfADEAXwBfADEAXwBPAHIAZwBhAG4AaQBjAEYAZQByAHQAaQBsAGkAcwBlAHIAQQBwAHAAbABpAGMAYQB0AGkAbwBuAE4AMgBPAEUAbQBpAHMAcwBpAG8AbgBzAF8AQQByAGcAdQBtAGUAbgB0AHMAIgAsACIARgBlAHIAdABpAGwAaQBzAGUAcgBfAEUAcQB1AGEAdABpAG8AbgBzAF8ATwByAGcAYQBuAGkAYwBOADIATwAuAFYARQBFAFIARwBfADUAXwAyAF8AMQBfADEAXwBfADIAXwBNAGEAcwBzAE8AZgBOAGkAdAByAG8AZwBlAG4ASQBuAE8AcgBnAGEAbgBpAGMARgBlAHIAdABpAGwAaQBzAGUAcgAiACwAIgBGAGUAcgB0AGkAbABpAHMAZQByAF8ARQBxAHUAYQB0AGkAbwBuAHMAXwBPAHIAZwBhAG4AaQBjAE4AMgBPAC4AVgBFAEUAUgBHAF8ANQBfADIAXwAxAF8AMQBfAF8AMgBfAE0AYQBzAHMATwBmAE4AaQB0AHIAbwBnAGUAbgBJAG4ATwByAGcAYQBuAGkAYwBGAGUAcgB0AGkAbABpAHMAZQByAF8AVABpAHQAbABlACIALAAiAEYAZQByAHQAaQBsAGkAcwBlAHIAXwBFAHEAdQBhAHQAaQBvAG4AcwBfAE8AcgBnAGEAbgBpAGMATgAyAE8ALgBWAEUARQBSAEcAXwA1AF8AMgBfADEAXwAxAF8AXwAyAF8ATQBhAHMAcwBPAGYATgBpAHQAcgBvAGcAZQBuAEkAbgBPAHIAZwBhAG4AaQBjAEYAZQByAHQAaQBsAGkAcwBlAHIAXwBWAGEAcgBpAGEAYgBsAGUAIgAsACIARgBlAHIAdABpAGwAaQBzAGUAcgBfAEUAcQB1AGEAdABpAG8AbgBzAF8ATwByAGcAYQBuAGkAYwBOADIATwAuAFYARQBFAFIARwBfADUAXwAyAF8AMQBfADEAXwBfADIAXwBNAGEAcwBzAE8AZgBOAGkAdAByAG8AZwBlAG4ASQBuAE8AcgBnAGEAbgBpAGMARgBlAHIAdABpAGwAaQBzAGUAcgBfAFUAbgBpAHQAIgAsACIARgBlAHIAdABpAGwAaQBzAGUAcgBfAEUAcQB1AGEAdABpAG8AbgBzAF8ATwByAGcAYQBuAGkAYwBOADIATwAuAFYARQBFAFIARwBfADUAXwAyAF8AMQBfADEAXwBfADIAXwBNAGEAcwBzAE8AZgBOAGkAdAByAG8AZwBlAG4ASQBuAE8AcgBnAGEAbgBpAGMARgBlAHIAdABpAGwAaQBzAGUAcgBfAFMAbwB1AHIAYwBlACIALAAiAEYAZQByAHQAaQBsAGkAcwBlAHIAXwBFAHEAdQBhAHQAaQBvAG4AcwBfAE8AcgBnAGEAbgBpAGMATgAyAE8ALgBWAEUARQBSAEcAXwA1AF8AMgBfADEAXwAxAF8AXwAyAF8ATQBhAHMAcwBPAGYATgBpAHQAcgBvAGcAZQBuAEkAbgBPAHIAZwBhAG4AaQBjAEYAZQByAHQAaQBsAGkAcwBlAHIAXwBOAEkAUgBSAGUAZgBlAHIAZQBuAGMAZQAiACwAIgBGAGUAcgB0AGkAbABpAHMAZQByAF8ARQBxAHUAYQB0AGkAbwBuAHMAXwBPAHIAZwBhAG4AaQBjAE4AMgBPAC4AVgBFAEUAUgBHAF8ANQBfADIAXwAxAF8AMQBfAF8AMgBfAE0AYQBzAHMATwBmAE4AaQB0AHIAbwBnAGUAbgBJAG4ATwByAGcAYQBuAGkAYwBGAGUAcgB0AGkAbABpAHMAZQByAF8ATABhAHQAZQB4AEUAcQB1AGEAdABpAG8AbgAiACwAIgBGAGUAcgB0AGkAbABpAHMAZQByAF8ARQBxAHUAYQB0AGkAbwBuAHMAXwBPAHIAZwBhAG4AaQBjAE4AMgBPAC4AVgBFAEUAUgBHAF8ANQBfADIAXwAxAF8AMQBfAF8AMgBfAE0AYQBzAHMATwBmAE4AaQB0AHIAbwBnAGUAbgBJAG4ATwByAGcAYQBuAGkAYwBGAGUAcgB0AGkAbABpAHMAZQByAF8AQQByAGcAdQBtAGUAbgB0AHMAIgAsACIARgBlAHIAdABpAGwAaQBzAGUAcgBfAEUAcQB1AGEAdABpAG8AbgBzAF8ATABpAG0AZQAuAFYARQBFAFIARwBfADUAXwAzAF8AMQBfADEAXwBfADEAXwBMAGkAbQBlAEEAcABwAGwAaQBjAGEAdABpAG8AbgBDAE8AMgBFAG0AaQBzAHMAaQBvAG4AcwAiACwAIgBGAGUAcgB0AGkAbABpAHMAZQByAF8ARQBxAHUAYQB0AGkAbwBuAHMAXwBMAGkAbQBlAC4AVgBFAEUAUgBHAF8ANQBfADMAXwAxAF8AMQBfAF8AMQBfAEwAaQBtAGUAQQBwAHAAbABpAGMAYQB0AGkAbwBuAEMATwAyAEUAbQBpAHMAcwBpAG8AbgBzAF8AVABpAHQAbABlACIALAAiAEYAZQByAHQAaQBsAGkAcwBlAHIAXwBFAHEAdQBhAHQAaQBvAG4AcwBfAEwAaQBtAGUALgBWAEUARQBSAEcAXwA1AF8AMwBfADEAXwAxAF8AXwAxAF8ATABpAG0AZQBBAHAAcABsAGkAYwBhAHQAaQBvAG4AQwBPADIARQBtAGkAcwBzAGkAbwBuAHMAXwBWAGEAcgBpAGEAYgBsAGUAIgAsACIARgBlAHIAdABpAGwAaQBzAGUAcgBfAEUAcQB1AGEAdABpAG8AbgBzAF8ATABpAG0AZQAuAFYARQBFAFIARwBfADUAXwAzAF8AMQBfADEAXwBfADEAXwBMAGkAbQBlAEEAcABwAGwAaQBjAGEAdABpAG8AbgBDAE8AMgBFAG0AaQBzAHMAaQBvAG4AcwBfAFUAbgBpAHQAIgAsACIARgBlAHIAdABpAGwAaQBzAGUAcgBfAEUAcQB1AGEAdABpAG8AbgBzAF8ATABpAG0AZQAuAFYARQBFAFIARwBfADUAXwAzAF8AMQBfADEAXwBfADEAXwBMAGkAbQBlAEEAcABwAGwAaQBjAGEAdABpAG8AbgBDAE8AMgBFAG0AaQBzAHMAaQBvAG4AcwBfAFMAbwB1AHIAYwBlACIALAAiAEYAZQByAHQAaQBsAGkAcwBlAHIAXwBFAHEAdQBhAHQAaQBvAG4AcwBfAEwAaQBtAGUALgBWAEUARQBSAEcAXwA1AF8AMwBfADEAXwAxAF8AXwAxAF8ATABpAG0AZQBBAHAAcABsAGkAYwBhAHQAaQBvAG4AQwBPADIARQBtAGkAcwBzAGkAbwBuAHMAXwBOAEkAUgBSAGUAZgBlAHIAZQBuAGMAZQAiACwAIgBGAGUAcgB0AGkAbABpAHMAZQByAF8ARQBxAHUAYQB0AGkAbwBuAHMAXwBMAGkAbQBlAC4AVgBFAEUAUgBHAF8ANQBfADMAXwAxAF8AMQBfAF8AMQBfAEwAaQBtAGUAQQBwAHAAbABpAGMAYQB0AGkAbwBuAEMATwAyAEUAbQBpAHMAcwBpAG8AbgBzAF8ATABhAHQAZQB4AEUAcQB1AGEAdABpAG8AbgAiACwAIgBGAGUAcgB0AGkAbABpAHMAZQByAF8ARQBxAHUAYQB0AGkAbwBuAHMAXwBMAGkAbQBlAC4AVgBFAEUAUgBHAF8ANQBfADMAXwAxAF8AMQBfAF8AMQBfAEwAaQBtAGUAQQBwAHAAbABpAGMAYQB0AGkAbwBuAEMATwAyAEUAbQBpAHMAcwBpAG8AbgBzAF8AQQByAGcAdQBtAGUAbgB0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UAGkAdA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WAGEAcgBpAGEAYg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VAG4AaQB0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UwBvAHUAc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OAEkAUgBSAGUAZgBlAHIAZQBu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wAYQB0AGUAeABFAHEAdQBhAHQAaQBvAG4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BAHIAZwB1AG0AZQBuAHQ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ABpAHQ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WAGEAcgBpAGEAYg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UAbgBpAHQ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MAbwB1AHI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OAEkAUgBSAGUAZgBlAHIAZQBu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ABhAHQAZQB4AEUAcQB1AGEAdABpAG8Ab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QQByAGcAdQBtAGUAbgB0AHMAIgAsACIARgBlAHIAdABpAGwAaQBzAGUAcgBfAEUAcQB1AGEAdABpAG8AbgBzAF8ATABlAGEAYwBoAGkAbgBnAEEAbgBkAFIAdQBuAG8AZgBmAC4AVgBFAEUAUgBHAF8ANQBfADUAXwAxAF8AMQBfAF8AMQBfAEYAZQByAHQAaQBsAGkAcwBlAHIATABlAGEAYwBoAGkAbgBnAEEAbgBkAFIAdQBuAG8AZgBmAE4AMgBPAEUAbQBpAHMAcwBpAG8AbgBzACIALAAiAEYAZQByAHQAaQBsAGkAcwBlAHIAXwBFAHEAdQBhAHQAaQBvAG4AcwBfAEwAZQBhAGMAaABpAG4AZwBBAG4AZABSAHUAbgBvAGYAZgAuAFYARQBFAFIARwBfADUAXwA1AF8AMQBfADEAXwBfADEAXwBGAGUAcgB0AGkAbABpAHMAZQByAEwAZQBhAGMAaABpAG4AZwBBAG4AZABSAHUAbgBvAGYAZgBOADIATwBFAG0AaQBzAHMAaQBvAG4AcwBfAFQAaQB0AGwAZQAiACwAIgBGAGUAcgB0AGkAbABpAHMAZQByAF8ARQBxAHUAYQB0AGkAbwBuAHMAXwBMAGUAYQBjAGgAaQBuAGcAQQBuAGQAUgB1AG4AbwBmAGYALgBWAEUARQBSAEcAXwA1AF8ANQBfADEAXwAxAF8AXwAxAF8ARgBlAHIAdABpAGwAaQBzAGUAcgBMAGUAYQBjAGgAaQBuAGcAQQBuAGQAUgB1AG4AbwBmAGYATgAyAE8ARQBtAGkAcwBzAGkAbwBuAHMAXwBWAGEAcgBpAGEAYgBsAGUAIgAsACIARgBlAHIAdABpAGwAaQBzAGUAcgBfAEUAcQB1AGEAdABpAG8AbgBzAF8ATABlAGEAYwBoAGkAbgBnAEEAbgBkAFIAdQBuAG8AZgBmAC4AVgBFAEUAUgBHAF8ANQBfADUAXwAxAF8AMQBfAF8AMQBfAEYAZQByAHQAaQBsAGkAcwBlAHIATABlAGEAYwBoAGkAbgBnAEEAbgBkAFIAdQBuAG8AZgBmAE4AMgBPAEUAbQBpAHMAcwBpAG8AbgBzAF8AVQBuAGkAdAAiACwAIgBGAGUAcgB0AGkAbABpAHMAZQByAF8ARQBxAHUAYQB0AGkAbwBuAHMAXwBMAGUAYQBjAGgAaQBuAGcAQQBuAGQAUgB1AG4AbwBmAGYALgBWAEUARQBSAEcAXwA1AF8ANQBfADEAXwAxAF8AXwAxAF8ARgBlAHIAdABpAGwAaQBzAGUAcgBMAGUAYQBjAGgAaQBuAGcAQQBuAGQAUgB1AG4AbwBmAGYATgAyAE8ARQBtAGkAcwBzAGkAbwBuAHMAXwBTAG8AdQByAGMAZQAiACwAIgBGAGUAcgB0AGkAbABpAHMAZQByAF8ARQBxAHUAYQB0AGkAbwBuAHMAXwBMAGUAYQBjAGgAaQBuAGcAQQBuAGQAUgB1AG4AbwBmAGYALgBWAEUARQBSAEcAXwA1AF8ANQBfADEAXwAxAF8AXwAxAF8ARgBlAHIAdABpAGwAaQBzAGUAcgBMAGUAYQBjAGgAaQBuAGcAQQBuAGQAUgB1AG4AbwBmAGYATgAyAE8ARQBtAGkAcwBzAGkAbwBuAHMAXwBOAEkAUgBSAGUAZgBlAHIAZQBuAGMAZQAiACwAIgBGAGUAcgB0AGkAbABpAHMAZQByAF8ARQBxAHUAYQB0AGkAbwBuAHMAXwBMAGUAYQBjAGgAaQBuAGcAQQBuAGQAUgB1AG4AbwBmAGYALgBWAEUARQBSAEcAXwA1AF8ANQBfADEAXwAxAF8AXwAxAF8ARgBlAHIAdABpAGwAaQBzAGUAcgBMAGUAYQBjAGgAaQBuAGcAQQBuAGQAUgB1AG4AbwBmAGYATgAyAE8ARQBtAGkAcwBzAGkAbwBuAHMAXwBMAGEAdABlAHgARQBxAHUAYQB0AGkAbwBuACIALAAiAEYAZQByAHQAaQBsAGkAcwBlAHIAXwBFAHEAdQBhAHQAaQBvAG4AcwBfAEwAZQBhAGMAaABpAG4AZwBBAG4AZABSAHUAbgBvAGYAZgAuAFYARQBFAFIARwBfADUAXwA1AF8AMQBfADEAXwBfADEAXwBGAGUAcgB0AGkAbABpAHMAZQByAEwAZQBhAGMAaABpAG4AZwBBAG4AZABSAHUAbgBvAGYAZgBOADIATwBFAG0AaQBzAHMAaQBvAG4AcwBfAEEAcgBnAHUAbQBlAG4AdABzACIALAAiAEYAZQByAHQAaQBsAGkAcwBlAHIAXwBFAHEAdQBhAHQAaQBvAG4AcwBfAEwAZQBhAGMAaABpAG4AZwBBAG4AZABSAHUAbgBvAGYAZgAuAFYARQBFAFIARwBfADUAXwA1AF8AMQBfADEAXwBfADIAXwBNAGEAcwBzAE8AZgBOAGkAdAByAG8AZwBlAG4ATABlAGEAYwBoAGUAZABGAHIAbwBtAEkAbgBvAHIAZwBhAG4AaQBjAEYAZQByAHQAaQBsAGkAcwBlAHIAIgAsACIARgBlAHIAdABpAGwAaQBzAGUAcgBfAEUAcQB1AGEAdABpAG8AbgBzAF8ATABlAGEAYwBoAGkAbgBnAEEAbgBkAFIAdQBuAG8AZgBmAC4AVgBFAEUAUgBHAF8ANQBfADUAXwAxAF8AMQBfAF8AMgBfAE0AYQBzAHMATwBmAE4AaQB0AHIAbwBnAGUAbgBMAGUAYQBjAGgAZQBkAEYAcgBvAG0ASQBuAG8AcgBnAGEAbgBpAGMARgBlAHIAdABpAGwAaQBzAGUAcgBfAFQAaQB0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gBhAHIAaQBhAGI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VAG4AaQB0ACIALAAiAEYAZQByAHQAaQBsAGkAcwBlAHIAXwBFAHEAdQBhAHQAaQBvAG4AcwBfAEwAZQBhAGMAaABpAG4AZwBBAG4AZABSAHUAbgBvAGYAZgAuAFYARQBFAFIARwBfADUAXwA1AF8AMQBfADEAXwBfADIAXwBNAGEAcwBzAE8AZgBOAGkAdAByAG8AZwBlAG4ATABlAGEAYwBoAGUAZABGAHIAbwBtAEkAbgBvAHIAZwBhAG4AaQBjAEYAZQByAHQAaQBsAGkAcwBlAHIAXwBTAG8AdQBy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gBJAFIAUgBlAGYAZQByAGUAb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wAYQB0AGUAeABFAHEAdQBhAHQAaQBvAG4AIgAsACIARgBlAHIAdABpAGwAaQBzAGUAcgBfAEUAcQB1AGEAdABpAG8AbgBzAF8ATABlAGEAYwBoAGkAbgBnAEEAbgBkAFIAdQBuAG8AZgBmAC4AVgBFAEUAUgBHAF8ANQBfADUAXwAxAF8AMQBfAF8AMgBfAE0AYQBzAHMATwBmAE4AaQB0AHIAbwBnAGUAbgBMAGUAYQBjAGgAZQBkAEYAcgBvAG0ASQBuAG8AcgBnAGEAbgBpAGMARgBlAHIAdABpAGwAaQBzAGUAcgBfAEEAcgBnAHUAbQBlAG4AdABzACIALAAiAEYAZQByAHQAaQBsAGkAcwBlAHIAXwBFAHEAdQBhAHQAaQBvAG4AcwBfAEwAZQBhAGMAaABpAG4AZwBBAG4AZABSAHUAbgBvAGYAZgAuAFYARQBFAFIARwBfADUAXwA1AF8AMQBfADEAXwBfADMAXwBNAGEAcwBzAE8AZgBOAGkAdAByAG8AZwBlAG4ATABlAGEAYwBoAGUAZABGAHIAbwBtAE8AcgBnAGEAbgBpAGMARgBlAHIAdABpAGwAaQBzAGUAcgAiACwAIgBGAGUAcgB0AGkAbABpAHMAZQByAF8ARQBxAHUAYQB0AGkAbwBuAHMAXwBMAGUAYQBjAGgAaQBuAGcAQQBuAGQAUgB1AG4AbwBmAGYALgBWAEUARQBSAEcAXwA1AF8ANQBfADEAXwAxAF8AXwAzAF8ATQBhAHMAcwBPAGYATgBpAHQAcgBvAGcAZQBuAEwAZQBhAGMAaABlAGQARgByAG8AbQBPAHIAZwBhAG4AaQBjAEYAZQByAHQAaQBsAGkAcwBlAHIAXwBUAGkAdABsAGUAIgAsACIARgBlAHIAdABpAGwAaQBzAGUAcgBfAEUAcQB1AGEAdABpAG8AbgBzAF8ATABlAGEAYwBoAGkAbgBnAEEAbgBkAFIAdQBuAG8AZgBmAC4AVgBFAEUAUgBHAF8ANQBfADUAXwAxAF8AMQBfAF8AMwBfAE0AYQBzAHMATwBmAE4AaQB0AHIAbwBnAGUAbgBMAGUAYQBjAGgAZQBkAEYAcgBvAG0ATwByAGcAYQBuAGkAYwBGAGUAcgB0AGkAbABpAHMAZQByAF8AVgBhAHIAaQBhAGIAbABlACIALAAiAEYAZQByAHQAaQBsAGkAcwBlAHIAXwBFAHEAdQBhAHQAaQBvAG4AcwBfAEwAZQBhAGMAaABpAG4AZwBBAG4AZABSAHUAbgBvAGYAZgAuAFYARQBFAFIARwBfADUAXwA1AF8AMQBfADEAXwBfADMAXwBNAGEAcwBzAE8AZgBOAGkAdAByAG8AZwBlAG4ATABlAGEAYwBoAGUAZABGAHIAbwBtAE8AcgBnAGEAbgBpAGMARgBlAHIAdABpAGwAaQBzAGUAcgBfAFUAbgBpAHQAIgAsACIARgBlAHIAdABpAGwAaQBzAGUAcgBfAEUAcQB1AGEAdABpAG8AbgBzAF8ATABlAGEAYwBoAGkAbgBnAEEAbgBkAFIAdQBuAG8AZgBmAC4AVgBFAEUAUgBHAF8ANQBfADUAXwAxAF8AMQBfAF8AMwBfAE0AYQBzAHMATwBmAE4AaQB0AHIAbwBnAGUAbgBMAGUAYQBjAGgAZQBkAEYAcgBvAG0ATwByAGcAYQBuAGkAYwBGAGUAcgB0AGkAbABpAHMAZQByAF8AUwBvAHUAc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gBJAFIAUgBlAGYAZQByAGUAb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ABhAHQAZQB4AEUAcQB1AGEAdABpAG8AbgAiACwAIgBGAGUAcgB0AGkAbABpAHMAZQByAF8ARQBxAHUAYQB0AGkAbwBuAHMAXwBMAGUAYQBjAGgAaQBuAGcAQQBuAGQAUgB1AG4AbwBmAGYALgBWAEUARQBSAEcAXwA1AF8ANQBfADEAXwAxAF8AXwAzAF8ATQBhAHMAcwBPAGYATgBpAHQAcgBvAGcAZQBuAEwAZQBhAGMAaABlAGQARgByAG8AbQBPAHIAZwBhAG4AaQBjAEYAZQByAHQAaQBsAGkAcwBlAHIAXwBBAHIAZwB1AG0AZQBuAHQAcwAiACwAIgBBAGcAcgBlAHMAaQBkAHUAZQBfAFMAbwB1AHIAYwBlAEQAYQB0AGEALgBDAHIAbwBwAFAAdQByAHAAbwBzAGUAQQBuAGQAWQBpAGUAbABkAF8AVABpAHQAbABlACIALAAiAEEAZwByAGUAcwBpAGQAdQBlAF8AUwBvAHUAcgBjAGUARABhAHQAYQAuAEMAcgBvAHAAUAB1AHIAcABvAHMAZQBBAG4AZABZAGkAZQBsAGQAXwBEAGEAdABhACIALAAiAEEAZwByAGUAcwBpAGQAdQBlAF8AUwBvAHUAcgBjAGUARABhAHQAYQAuAEMAcgBvAHAAQQB0AHQAcgBpAGIAdQB0AGUAcwBfAFQAaQB0AGwAZQAiACwAIgBBAGcAcgBlAHMAaQBkAHUAZQBfAFMAbwB1AHIAYwBlAEQAYQB0AGEALgBDAHIAbwBwAEEAdAB0AHIAaQBiAHUAdABlAHMAXwBEAGUAcwBjAHIAaQBwAHQAaQBvAG4AIgAsACIAQQBnAHIAZQBzAGkAZAB1AGUAXwBTAG8AdQByAGMAZQBEAGEAdABhAC4AQwByAG8AcABBAHQAdAByAGkAYgB1AHQAZQBzAF8AUwBvAHUAcgBjAGUAIgAsACIAQQBnAHIAZQBzAGkAZAB1AGUAXwBTAG8AdQByAGMAZQBEAGEAdABhAC4AQwByAG8AcABBAHQAdAByAGkAYgB1AHQAZQBzAF8ARABhAHQAYQAiACwAIgBBAGcAcgBlAHMAaQBkAHUAZQBfAFMAbwB1AHIAYwBlAEQAYQB0AGEALgBDAHIAbwBwAEEAdAB0AHIAaQBiAHUAdABlAHMAXwBWAGEAcgBpAGEAdABpAG8AbgAiACwAIgBBAGcAcgBlAHMAaQBkAHUAZQBfAFMAbwB1AHIAYwBlAEQAYQB0AGEALgBDAHIAbwBwAEYAcgBhAGMAdABpAG8AbgBSAGUAbQBvAHYAZQBkAF8AVABpAHQAbABlACIALAAiAEEAZwByAGUAcwBpAGQAdQBlAF8AUwBvAHUAcgBjAGUARABhAHQAYQAuAEMAcgBvAHAARgByAGEAYwB0AGkAbwBuAFIAZQBtAG8AdgBlAGQAXwBEAGUAcwBjAHIAaQBwAHQAaQBvAG4AIgAsACIAQQBnAHIAZQBzAGkAZAB1AGUAXwBTAG8AdQByAGMAZQBEAGEAdABhAC4AQwByAG8AcABGAHIAYQBjAHQAaQBvAG4AUgBlAG0AbwB2AGUAZABfAFMAbwB1AHIAYwBlACIALAAiAEEAZwByAGUAcwBpAGQAdQBlAF8AUwBvAHUAcgBjAGUARABhAHQAYQAuAEMAcgBvAHAARgByAGEAYwB0AGkAbwBuAFIAZQBtAG8AdgBlAGQAXwBEAGEAdABhACIALAAiAEEAZwByAGUAcwBpAGQAdQBlAF8AUwBvAHUAcgBjAGUARABhAHQAYQAuAEMAcgBvAHAARgByAGEAYwB0AGkAbwBuAFIAZQBtAG8AdgBlAGQAXwBDAHUAcwB0AG8AbQBpAHMAZQBkAEQAYQB0AGEAIgAsACIAQQBnAHIAZQBzAGkAZAB1AGUAXwBTAG8AdQByAGMAZQBEAGEAdABhAC4AQwByAG8AcABGAHIAYQBjAHQAaQBvAG4AUgBlAG0AbwB2AGUAZABfAFYAYQByAGkAYQB0AGkAbwBuACIALAAiAEEAZwByAGUAcwBpAGQAdQBlAF8AUwBvAHUAcgBjAGUARABhAHQAYQAuAFAAYQBzAHQAdQByAGUAQQB0AHQAcgBpAGIAdQB0AGUAcwBfAFQAaQB0AGwAZQAiACwAIgBBAGcAcgBlAHMAaQBkAHUAZQBfAFMAbwB1AHIAYwBlAEQAYQB0AGEALgBQAGEAcwB0AHUAcgBlAEEAdAB0AHIAaQBiAHUAdABlAHMAXwBEAGUAcwBjAHIAaQBwAHQAaQBvAG4AIgAsACIAQQBnAHIAZQBzAGkAZAB1AGUAXwBTAG8AdQByAGMAZQBEAGEAdABhAC4AUABhAHMAdAB1AHIAZQBBAHQAdAByAGkAYgB1AHQAZQBzAF8AUwBvAHUAcgBjAGUAIgAsACIAQQBnAHIAZQBzAGkAZAB1AGUAXwBTAG8AdQByAGMAZQBEAGEAdABhAC4AUABhAHMAdAB1AHIAZQBBAHQAdAByAGkAYgB1AHQAZQBzAF8ARABhAHQAYQAiACwAIgBBAGcAcgBlAHMAaQBkAHUAZQBfAFMAbwB1AHIAYwBlAEQAYQB0AGEALgBCAHUAcgBuAGkAbgBnAE8AZgBBAGcAcgBpAGMAdQBsAHQAdQByAGEAbABSAGUAcwBpAGQAdQBlAHMARQBGAHMAXwBUAGkAdABsAGUAIgAsACIAQQBnAHIAZQBzAGkAZAB1AGUAXwBTAG8AdQByAGMAZQBEAGEAdABhAC4AQgB1AHIAbgBpAG4AZwBPAGYAQQBnAHIAaQBjAHUAbAB0AHUAcgBhAGwAUgBlAHMAaQBkAHUAZQBzAEUARgBzAF8ARABlAHMAYwByAGkAcAB0AGkAbwBuACIALAAiAEEAZwByAGUAcwBpAGQAdQBlAF8AUwBvAHUAcgBjAGUARABhAHQAYQAuAEIAdQByAG4AaQBuAGcATwBmAEEAZwByAGkAYwB1AGwAdAB1AHIAYQBsAFIAZQBzAGkAZAB1AGUAcwBFAEYAcwBfAFMAbwB1AHIAYwBlACIALAAiAEEAZwByAGUAcwBpAGQAdQBlAF8AUwBvAHUAcgBjAGUARABhAHQAYQAuAEIAdQByAG4AaQBuAGcATwBmAEEAZwByAGkAYwB1AGwAdAB1AHIAYQBsAFIAZQBzAGkAZAB1AGUAcwBFAEYAcwBfAEQAYQB0AGEAIgAsACIAQQBnAHIAZQBzAGkAZAB1AGUAXwBTAG8AdQByAGMAZQBEAGEAdABhAC4ATgAyAE8ARQBGAE8AcgBnAGEAbgBpAGMARgBlAHIAdABpAGwAaQBzAGUAcgBfAFQAaQB0AGwAZQAiACwAIgBBAGcAcgBlAHMAaQBkAHUAZQBfAFMAbwB1AHIAYwBlAEQAYQB0AGEALgBOADIATwBFAEYATwByAGcAYQBuAGkAYwBGAGUAcgB0AGkAbABpAHMAZQByAF8AVQBuAGkAdAAiACwAIgBBAGcAcgBlAHMAaQBkAHUAZQBfAFMAbwB1AHIAYwBlAEQAYQB0AGEALgBOADIATwBFAEYATwByAGcAYQBuAGkAYwBGAGUAcgB0AGkAbABpAHMAZQByAF8AUwBvAHUAcgBjAGUAIgAsACIAQQBnAHIAZQBzAGkAZAB1AGUAXwBTAG8AdQByAGMAZQBEAGEAdABhAC4ATgAyAE8ARQBGAE8AcgBnAGEAbgBpAGMARgBlAHIAdABpAGwAaQBzAGUAcgBfAE4ASQBSAFIAZQBmAGUAcgBlAG4AYwBlACIALAAiAEEAZwByAGUAcwBpAGQAdQBlAF8AUwBvAHUAcgBjAGUARABhAHQAYQAuAE4AMgBPAEUARgBPAHIAZwBhAG4AaQBjAEYAZQByAHQAaQBsAGkAcwBlAHIAXwBEAGEAdABhACIALAAiAEEAZwBSAGUAcwBpAGQAdQBlAF8ARQBxAHUAYQB0AGkAbwBuAHMAXwBDAHIAbwBwAFIAZQBzAGkAZAB1AGUALgBWAEUARQBSAEcAXwA2AF8AMQBfADEAXwAxAF8AXwAxAF8AXwBOAGkAdAByAG8AdQBzAE8AeABpAGQAZQBFAG0AaQBzAHMAaQBvAG4AcwBGAHIAbwBtAEMAcgBvAHAAUgBlAHMAaQBkAHUAZQBzACIALAAiAEEAZwBSAGUAcwBpAGQAdQBlAF8ARQBxAHUAYQB0AGkAbwBuAHMAXwBDAHIAbwBwAFIAZQBzAGkAZAB1AGUALgBWAEUARQBSAEcAXwA2AF8AMQBfADEAXwAxAF8AXwAxAF8AXwBOAGkAdAByAG8AdQBzAE8AeABpAGQAZQBFAG0AaQBzAHMAaQBvAG4AcwBGAHIAbwBtAEMAcgBvAHAAUgBlAHMAaQBkAHUAZQBzAF8ARgB1AG4AYwB0AGkAbwBuAE4AYQBtAGUAIgAsACIAQQBnAFIAZQBzAGkAZAB1AGUAXwBFAHEAdQBhAHQAaQBvAG4AcwBfAEMAcgBvAHAAUgBlAHMAaQBkAHUAZQAuAFYARQBFAFIARwBfADYAXwAxAF8AMQBfADEAXwBfADEAXwBfAE4AaQB0AHIAbwB1AHMATwB4AGkAZABlAEUAbQBpAHMAcwBpAG8AbgBzAEYAcgBvAG0AQwByAG8AcABSAGUAcwBpAGQAdQBlAHMAXwBUAGkAdABsAGUAIgAsACIAQQBnAFIAZQBzAGkAZAB1AGUAXwBFAHEAdQBhAHQAaQBvAG4AcwBfAEMAcgBvAHAAUgBlAHMAaQBkAHUAZQAuAFYARQBFAFIARwBfADYAXwAxAF8AMQBfADEAXwBfADEAXwBfAE4AaQB0AHIAbwB1AHMATwB4AGkAZABlAEUAbQBpAHMAcwBpAG8AbgBzAEYAcgBvAG0AQwByAG8AcABSAGUAcwBpAGQAdQBlAHMAXwBWAGEAcgBpAGEAYgBsAGUAIgAsACIAQQBnAFIAZQBzAGkAZAB1AGUAXwBFAHEAdQBhAHQAaQBvAG4AcwBfAEMAcgBvAHAAUgBlAHMAaQBkAHUAZQAuAFYARQBFAFIARwBfADYAXwAxAF8AMQBfADEAXwBfADEAXwBfAE4AaQB0AHIAbwB1AHMATwB4AGkAZABlAEUAbQBpAHMAcwBpAG8AbgBzAEYAcgBvAG0AQwByAG8AcABSAGUAcwBpAGQAdQBlAHMAXwBVAG4AaQB0ACIALAAiAEEAZwBSAGUAcwBpAGQAdQBlAF8ARQBxAHUAYQB0AGkAbwBuAHMAXwBDAHIAbwBwAFIAZQBzAGkAZAB1AGUALgBWAEUARQBSAEcAXwA2AF8AMQBfADEAXwAxAF8AXwAxAF8AXwBOAGkAdAByAG8AdQBzAE8AeABpAGQAZQBFAG0AaQBzAHMAaQBvAG4AcwBGAHIAbwBtAEMAcgBvAHAAUgBlAHMAaQBkAHUAZQBzAF8AUwBvAHUAcgBjAGUAIgAsACIAQQBnAFIAZQBzAGkAZAB1AGUAXwBFAHEAdQBhAHQAaQBvAG4AcwBfAEMAcgBvAHAAUgBlAHMAaQBkAHUAZQAuAFYARQBFAFIARwBfADYAXwAxAF8AMQBfADEAXwBfADEAXwBfAE4AaQB0AHIAbwB1AHMATwB4AGkAZABlAEUAbQBpAHMAcwBpAG8AbgBzAEYAcgBvAG0AQwByAG8AcABSAGUAcwBpAGQAdQBlAHMAXwBOAEkAUgBSAGUAZgBlAHIAZQBuAGMAZQAiACwAIgBBAGcAUgBlAHMAaQBkAHUAZQBfAEUAcQB1AGEAdABpAG8AbgBzAF8AQwByAG8AcABSAGUAcwBpAGQAdQBlAC4AVgBFAEUAUgBHAF8ANgBfADEAXwAxAF8AMQBfAF8AMQBfAF8ATgBpAHQAcgBvAHUAcwBPAHgAaQBkAGUARQBtAGkAcwBzAGkAbwBuAHMARgByAG8AbQBDAHIAbwBwAFIAZQBzAGkAZAB1AGUAcwBfAEwAYQB0AGUAeABFAHEAdQBhAHQAaQBvAG4AIgAsACIAQQBnAFIAZQBzAGkAZAB1AGUAXwBFAHEAdQBhAHQAaQBvAG4AcwBfAEMAcgBvAHAAUgBlAHMAaQBkAHUAZQAuAFYARQBFAFIARwBfADYAXwAxAF8AMQBfADEAXwBfADEAXwBfAE4AaQB0AHIAbwB1AHMATwB4AGkAZABlAEUAbQBpAHMAcwBpAG8AbgBzAEYAcgBvAG0AQwByAG8AcABSAGUAcwBpAGQAdQBlAHMAXwBBAHIAZwB1AG0AZQBuAHQAcwAiACwAIgBBAGcAUgBlAHMAaQBkAHUAZQBfAEUAcQB1AGEAdABpAG8AbgBzAF8AQwByAG8AcABSAGUAcwBpAGQAdQBlAC4AVgBFAEUAUgBHAF8ANgBfADEAXwAxAF8AMQBfAF8AMgBfAF8ATQBhAHMAcwBPAGYATgBpAHQAcgBvAGcAZQBuAEkAbgBDAHIAbwBwAFIAZQBzAGkAZAB1AGUAcwAiACwAIgBBAGcAUgBlAHMAaQBkAHUAZQBfAEUAcQB1AGEAdABpAG8AbgBzAF8AQwByAG8AcABSAGUAcwBpAGQAdQBlAC4AVgBFAEUAUgBHAF8ANgBfADEAXwAxAF8AMQBfAF8AMgBfAF8ATQBhAHMAcwBPAGYATgBpAHQAcgBvAGcAZQBuAEkAbgBDAHIAbwBwAFIAZQBzAGkAZAB1AGUAcwBfAFQAaQB0AGwAZQAiACwAIgBBAGcAUgBlAHMAaQBkAHUAZQBfAEUAcQB1AGEAdABpAG8AbgBzAF8AQwByAG8AcABSAGUAcwBpAGQAdQBlAC4AVgBFAEUAUgBHAF8ANgBfADEAXwAxAF8AMQBfAF8AMgBfAF8ATQBhAHMAcwBPAGYATgBpAHQAcgBvAGcAZQBuAEkAbgBDAHIAbwBwAFIAZQBzAGkAZAB1AGUAcwBfAFYAYQByAGkAYQBiAGwAZQAiACwAIgBBAGcAUgBlAHMAaQBkAHUAZQBfAEUAcQB1AGEAdABpAG8AbgBzAF8AQwByAG8AcABSAGUAcwBpAGQAdQBlAC4AVgBFAEUAUgBHAF8ANgBfADEAXwAxAF8AMQBfAF8AMgBfAF8ATQBhAHMAcwBPAGYATgBpAHQAcgBvAGcAZQBuAEkAbgBDAHIAbwBwAFIAZQBzAGkAZAB1AGUAcwBfAFUAbgBpAHQAIgAsACIAQQBnAFIAZQBzAGkAZAB1AGUAXwBFAHEAdQBhAHQAaQBvAG4AcwBfAEMAcgBvAHAAUgBlAHMAaQBkAHUAZQAuAFYARQBFAFIARwBfADYAXwAxAF8AMQBfADEAXwBfADIAXwBfAE0AYQBzAHMATwBmAE4AaQB0AHIAbwBnAGUAbgBJAG4AQwByAG8AcABSAGUAcwBpAGQAdQBlAHMAXwBTAG8AdQByAGMAZQAiACwAIgBBAGcAUgBlAHMAaQBkAHUAZQBfAEUAcQB1AGEAdABpAG8AbgBzAF8AQwByAG8AcABSAGUAcwBpAGQAdQBlAC4AVgBFAEUAUgBHAF8ANgBfADEAXwAxAF8AMQBfAF8AMgBfAF8ATQBhAHMAcwBPAGYATgBpAHQAcgBvAGcAZQBuAEkAbgBDAHIAbwBwAFIAZQBzAGkAZAB1AGUAcwBfAE4ASQBSAFIAZQBmAGUAcgBlAG4AYwBlACIALAAiAEEAZwBSAGUAcwBpAGQAdQBlAF8ARQBxAHUAYQB0AGkAbwBuAHMAXwBDAHIAbwBwAFIAZQBzAGkAZAB1AGUALgBWAEUARQBSAEcAXwA2AF8AMQBfADEAXwAxAF8AXwAyAF8AXwBNAGEAcwBzAE8AZgBOAGkAdAByAG8AZwBlAG4ASQBuAEMAcgBvAHAAUgBlAHMAaQBkAHUAZQBzAF8ATABhAHQAZQB4AEUAcQB1AGEAdABpAG8AbgAiACwAIgBBAGcAUgBlAHMAaQBkAHUAZQBfAEUAcQB1AGEAdABpAG8AbgBzAF8AQwByAG8AcABSAGUAcwBpAGQAdQBlAC4AVgBFAEUAUgBHAF8ANgBfADEAXwAxAF8AMQBfAF8AMgBfAF8ATQBhAHMAcwBPAGYATgBpAHQAcgBvAGcAZQBuAEkAbgBDAHIAbwBwAFIAZQBzAGkAZAB1AGUAcwBfAEEAcgBnAHUAbQBlAG4AdABzACIALAAiAEEAZwBSAGUAcwBpAGQAdQBlAF8ARQBxAHUAYQB0AGkAbwBuAHMAXwBDAHIAbwBwAFIAZQBzAGkAZAB1AGUALgBWAEUARQBSAEcAXwA2AF8AMQBfADEAXwAxAF8AXwAyAF8AXwBNAGEAcwBzAE8AZgBOAGkAdAByAG8AZwBlAG4ASQBuAEMAcgBvAHAAUgBlAHMAaQBkAHUAZQBzAF8AQQByAGcAdQBtAGUAbgB0AHMAXwBNAGUAdABoAG8AZAAyACIALAAiAEEAZwBSAGUAcwBpAGQAdQBlAF8ARQBxAHUAYQB0AGkAbwBuAHMAXwBDAHIAbwBwAFIAZQBzAGkAZAB1AGUALgBWAEUARQBSAEcAXwA2AF8AMQBfADEAXwAyAF8AXwAxAF8AXwBGAHIAYQBjAHQAaQBvAG4ATwBmAEMAcgBvAHAAUgBlAHMAaQBkAHUAZQBSAGUAbQBvAHYAZQBkAEIAYQBsAGUAZAAiACwAIgBBAGcAUgBlAHMAaQBkAHUAZQBfAEUAcQB1AGEAdABpAG8AbgBzAF8AQwByAG8AcABSAGUAcwBpAGQAdQBlAC4AVgBFAEUAUgBHAF8ANgBfADEAXwAxAF8AMgBfAF8AMQBfAF8ARgByAGEAYwB0AGkAbwBuAE8AZgBDAHIAbwBwAFIAZQBzAGkAZAB1AGUAUgBlAG0AbwB2AGUAZABCAGEAbABlAGQAXwBUAGkAdABsAGUAIgAsACIAQQBnAFIAZQBzAGkAZAB1AGUAXwBFAHEAdQBhAHQAaQBvAG4AcwBfAEMAcgBvAHAAUgBlAHMAaQBkAHUAZQAuAFYARQBFAFIARwBfADYAXwAxAF8AMQBfADIAXwBfADEAXwBfAEYAcgBhAGMAdABpAG8AbgBPAGYAQwByAG8AcABSAGUAcwBpAGQAdQBlAFIAZQBtAG8AdgBlAGQAQgBhAGwAZQBkAF8AVgBhAHIAaQBhAGIAbABlACIALAAiAEEAZwBSAGUAcwBpAGQAdQBlAF8ARQBxAHUAYQB0AGkAbwBuAHMAXwBDAHIAbwBwAFIAZQBzAGkAZAB1AGUALgBWAEUARQBSAEcAXwA2AF8AMQBfADEAXwAyAF8AXwAxAF8AXwBGAHIAYQBjAHQAaQBvAG4ATwBmAEMAcgBvAHAAUgBlAHMAaQBkAHUAZQBSAGUAbQBvAHYAZQBkAEIAYQBsAGUAZABfAFUAbgBpAHQAIgAsACIAQQBnAFIAZQBzAGkAZAB1AGUAXwBFAHEAdQBhAHQAaQBvAG4AcwBfAEMAcgBvAHAAUgBlAHMAaQBkAHUAZQAuAFYARQBFAFIARwBfADYAXwAxAF8AMQBfADIAXwBfADEAXwBfAEYAcgBhAGMAdABpAG8AbgBPAGYAQwByAG8AcABSAGUAcwBpAGQAdQBlAFIAZQBtAG8AdgBlAGQAQgBhAGwAZQBkAF8AUwBvAHUAcgBjAGUAIgAsACIAQQBnAFIAZQBzAGkAZAB1AGUAXwBFAHEAdQBhAHQAaQBvAG4AcwBfAEMAcgBvAHAAUgBlAHMAaQBkAHUAZQAuAFYARQBFAFIARwBfADYAXwAxAF8AMQBfADIAXwBfADEAXwBfAEYAcgBhAGMAdABpAG8AbgBPAGYAQwByAG8AcABSAGUAcwBpAGQAdQBlAFIAZQBtAG8AdgBlAGQAQgBhAGwAZQBkAF8ATgBJAFIAUgBlAGYAZQByAGUAbgBjAGUAIgAsACIAQQBnAFIAZQBzAGkAZAB1AGUAXwBFAHEAdQBhAHQAaQBvAG4AcwBfAEMAcgBvAHAAUgBlAHMAaQBkAHUAZQAuAFYARQBFAFIARwBfADYAXwAxAF8AMQBfADIAXwBfADEAXwBfAEYAcgBhAGMAdABpAG8AbgBPAGYAQwByAG8AcABSAGUAcwBpAGQAdQBlAFIAZQBtAG8AdgBlAGQAQgBhAGwAZQBkAF8ATABhAHQAZQB4AEUAcQB1AGEAdABpAG8AbgAiACwAIgBBAGcAUgBlAHMAaQBkAHUAZQBfAEUAcQB1AGEAdABpAG8AbgBzAF8AQwByAG8AcABSAGUAcwBpAGQAdQBlAC4AVgBFAEUAUgBHAF8ANgBfADEAXwAxAF8AMgBfAF8AMQBfAF8ARgByAGEAYwB0AGkAbwBuAE8AZgBDAHIAbwBwAFIAZQBzAGkAZAB1AGUAUgBlAG0AbwB2AGUAZABCAGEAbABlAGQAXwBBAHIAZwB1AG0AZQBuAHQAcwAiACwAIgBBAGcAUgBlAHMAaQBkAHUAZQBfAEUAcQB1AGEAdABpAG8AbgBzAF8AQwByAG8AcABSAGUAcwBpAGQAdQBlAC4AVgBFAEUAUgBHAF8ANgBfADEAXwAxAF8AMgBfAF8AMQBfAF8ARgByAGEAYwB0AGkAbwBuAE8AZgBDAHIAbwBwAFIAZQBzAGkAZAB1AGUAUgBlAG0AbwB2AGUAZABCAGEAbABlAGQAXwBWAGEAcgBpAGEAdABpAG8AbgAiACwAIgBBAGcAUgBlAHMAaQBkAHUAZQBfAEUAcQB1AGEAdABpAG8AbgBzAF8ARgBpAGUAbABkAEIAdQByAG4AaQBuAGcALgBWAEUARQBSAEcAXwA2AF8ANABfADEAXwAxAF8AXwAxAF8AXwBNAGUAdABoAGEAbgBlAEUAbQBpAHMAcwBpAG8AbgBzAEYAcgBvAG0AQgB1AHIAbgBpAG4AZwBPAGYAQwByAG8AcABSAGUAcwBpAGQAdQBlAHMAIgAsACIAQQBnAFIAZQBzAGkAZAB1AGUAXwBFAHEAdQBhAHQAaQBvAG4AcwBfAEYAaQBlAGwAZABCAHUAcgBuAGkAbgBnAC4AVgBFAEUAUgBHAF8ANgBfADQAXwAxAF8AMQBfAF8AMQBfAF8ATQBlAHQAaABhAG4AZQBFAG0AaQBzAHMAaQBvAG4AcwBGAHIAbwBtAEIAdQByAG4AaQBuAGcATwBmAEMAcgBvAHAAUgBlAHMAaQBkAHUAZQBzAF8ARgB1AG4AYwB0AGkAbwBuAE4AYQBtAGUAIgAsACIAQQBnAFIAZQBzAGkAZAB1AGUAXwBFAHEAdQBhAHQAaQBvAG4AcwBfAEYAaQBlAGwAZABCAHUAcgBuAGkAbgBnAC4AVgBFAEUAUgBHAF8ANgBfADQAXwAxAF8AMQBfAF8AMQBfAF8ATQBlAHQAaABhAG4AZQBFAG0AaQBzAHMAaQBvAG4AcwBGAHIAbwBtAEIAdQByAG4AaQBuAGcATwBmAEMAcgBvAHAAUgBlAHMAaQBkAHUAZQBzAF8AVABpAHQAbABlACIALAAiAEEAZwBSAGUAcwBpAGQAdQBlAF8ARQBxAHUAYQB0AGkAbwBuAHMAXwBGAGkAZQBsAGQAQgB1AHIAbgBpAG4AZwAuAFYARQBFAFIARwBfADYAXwA0AF8AMQBfADEAXwBfADEAXwBfAE0AZQB0AGgAYQBuAGUARQBtAGkAcwBzAGkAbwBuAHMARgByAG8AbQBCAHUAcgBuAGkAbgBnAE8AZgBDAHIAbwBwAFIAZQBzAGkAZAB1AGUAcwBfAFYAYQByAGkAYQBiAGwAZQAiACwAIgBBAGcAUgBlAHMAaQBkAHUAZQBfAEUAcQB1AGEAdABpAG8AbgBzAF8ARgBpAGUAbABkAEIAdQByAG4AaQBuAGcALgBWAEUARQBSAEcAXwA2AF8ANABfADEAXwAxAF8AXwAxAF8AXwBNAGUAdABoAGEAbgBlAEUAbQBpAHMAcwBpAG8AbgBzAEYAcgBvAG0AQgB1AHIAbgBpAG4AZwBPAGYAQwByAG8AcABSAGUAcwBpAGQAdQBlAHMAXwBVAG4AaQB0ACIALAAiAEEAZwBSAGUAcwBpAGQAdQBlAF8ARQBxAHUAYQB0AGkAbwBuAHMAXwBGAGkAZQBsAGQAQgB1AHIAbgBpAG4AZwAuAFYARQBFAFIARwBfADYAXwA0AF8AMQBfADEAXwBfADEAXwBfAE0AZQB0AGgAYQBuAGUARQBtAGkAcwBzAGkAbwBuAHMARgByAG8AbQBCAHUAcgBuAGkAbgBnAE8AZgBDAHIAbwBwAFIAZQBzAGkAZAB1AGUAcwBfAFMAbwB1AHIAYwBlACIALAAiAEEAZwBSAGUAcwBpAGQAdQBlAF8ARQBxAHUAYQB0AGkAbwBuAHMAXwBGAGkAZQBsAGQAQgB1AHIAbgBpAG4AZwAuAFYARQBFAFIARwBfADYAXwA0AF8AMQBfADEAXwBfADEAXwBfAE0AZQB0AGgAYQBuAGUARQBtAGkAcwBzAGkAbwBuAHMARgByAG8AbQBCAHUAcgBuAGkAbgBnAE8AZgBDAHIAbwBwAFIAZQBzAGkAZAB1AGUAcwBfAE4ASQBSAFIAZQBmAGUAcgBlAG4AYwBlACIALAAiAEEAZwBSAGUAcwBpAGQAdQBlAF8ARQBxAHUAYQB0AGkAbwBuAHMAXwBGAGkAZQBsAGQAQgB1AHIAbgBpAG4AZwAuAFYARQBFAFIARwBfADYAXwA0AF8AMQBfADEAXwBfADEAXwBfAE0AZQB0AGgAYQBuAGUARQBtAGkAcwBzAGkAbwBuAHMARgByAG8AbQBCAHUAcgBuAGkAbgBnAE8AZgBDAHIAbwBwAFIAZQBzAGkAZAB1AGUAcwBfAEwAYQB0AGUAeABFAHEAdQBhAHQAaQBvAG4AIgAsACIAQQBnAFIAZQBzAGkAZAB1AGUAXwBFAHEAdQBhAHQAaQBvAG4AcwBfAEYAaQBlAGwAZABCAHUAcgBuAGkAbgBnAC4AVgBFAEUAUgBHAF8ANgBfADQAXwAxAF8AMQBfAF8AMQBfAF8ATQBlAHQAaABhAG4AZQBFAG0AaQBzAHMAaQBvAG4AcwBGAHIAbwBtAEIAdQByAG4AaQBuAGcATwBmAEMAcgBvAHAAUgBlAHMAaQBkAHUAZQBzAF8AQQByAGcAdQBtAGUAbgB0AHMAIgAsACIAQQBnAFIAZQBzAGkAZAB1AGUAXwBFAHEAdQBhAHQAaQBvAG4AcwBfAEYAaQBlAGwAZABCAHUAcgBuAGkAbgBnAC4AVgBFAEUAUgBHAF8ANgBfADQAXwAxAF8AMQBfAF8AMgBfAF8ATgBpAHQAcgBvAHUAcwBPAHgAaQBkAGUARQBtAGkAcwBzAGkAbwBuAHMARgByAG8AbQBCAHUAcgBuAGkAbgBnAE8AZgBDAHIAbwBwAFIAZQBzAGkAZAB1AGUAcwAiACwAIgBBAGcAUgBlAHMAaQBkAHUAZQBfAEUAcQB1AGEAdABpAG8AbgBzAF8ARgBpAGUAbABkAEIAdQByAG4AaQBuAGcALgBWAEUARQBSAEcAXwA2AF8ANABfADEAXwAxAF8AXwAyAF8AXwBOAGkAdAByAG8AdQBzAE8AeABpAGQAZQBFAG0AaQBzAHMAaQBvAG4AcwBGAHIAbwBtAEIAdQByAG4AaQBuAGcATwBmAEMAcgBvAHAAUgBlAHMAaQBkAHUAZQBzAF8ARgB1AG4AYwB0AGkAbwBuAE4AYQBtAGUAIgAsACIAQQBnAFIAZQBzAGkAZAB1AGUAXwBFAHEAdQBhAHQAaQBvAG4AcwBfAEYAaQBlAGwAZABCAHUAcgBuAGkAbgBnAC4AVgBFAEUAUgBHAF8ANgBfADQAXwAxAF8AMQBfAF8AMgBfAF8ATgBpAHQAcgBvAHUAcwBPAHgAaQBkAGUARQBtAGkAcwBzAGkAbwBuAHMARgByAG8AbQBCAHUAcgBuAGkAbgBnAE8AZgBDAHIAbwBwAFIAZQBzAGkAZAB1AGUAcwBfAFQAaQB0AGwAZQAiACwAIgBBAGcAUgBlAHMAaQBkAHUAZQBfAEUAcQB1AGEAdABpAG8AbgBzAF8ARgBpAGUAbABkAEIAdQByAG4AaQBuAGcALgBWAEUARQBSAEcAXwA2AF8ANABfADEAXwAxAF8AXwAyAF8AXwBOAGkAdAByAG8AdQBzAE8AeABpAGQAZQBFAG0AaQBzAHMAaQBvAG4AcwBGAHIAbwBtAEIAdQByAG4AaQBuAGcATwBmAEMAcgBvAHAAUgBlAHMAaQBkAHUAZQBzAF8AVgBhAHIAaQBhAGIAbABlACIALAAiAEEAZwBSAGUAcwBpAGQAdQBlAF8ARQBxAHUAYQB0AGkAbwBuAHMAXwBGAGkAZQBsAGQAQgB1AHIAbgBpAG4AZwAuAFYARQBFAFIARwBfADYAXwA0AF8AMQBfADEAXwBfADIAXwBfAE4AaQB0AHIAbwB1AHMATwB4AGkAZABlAEUAbQBpAHMAcwBpAG8AbgBzAEYAcgBvAG0AQgB1AHIAbgBpAG4AZwBPAGYAQwByAG8AcABSAGUAcwBpAGQAdQBlAHMAXwBVAG4AaQB0ACIALAAiAEEAZwBSAGUAcwBpAGQAdQBlAF8ARQBxAHUAYQB0AGkAbwBuAHMAXwBGAGkAZQBsAGQAQgB1AHIAbgBpAG4AZwAuAFYARQBFAFIARwBfADYAXwA0AF8AMQBfADEAXwBfADIAXwBfAE4AaQB0AHIAbwB1AHMATwB4AGkAZABlAEUAbQBpAHMAcwBpAG8AbgBzAEYAcgBvAG0AQgB1AHIAbgBpAG4AZwBPAGYAQwByAG8AcABSAGUAcwBpAGQAdQBlAHMAXwBTAG8AdQByAGMAZQAiACwAIgBBAGcAUgBlAHMAaQBkAHUAZQBfAEUAcQB1AGEAdABpAG8AbgBzAF8ARgBpAGUAbABkAEIAdQByAG4AaQBuAGcALgBWAEUARQBSAEcAXwA2AF8ANABfADEAXwAxAF8AXwAyAF8AXwBOAGkAdAByAG8AdQBzAE8AeABpAGQAZQBFAG0AaQBzAHMAaQBvAG4AcwBGAHIAbwBtAEIAdQByAG4AaQBuAGcATwBmAEMAcgBvAHAAUgBlAHMAaQBkAHUAZQBzAF8ATgBJAFIAUgBlAGYAZQByAGUAbgBjAGUAIgAsACIAQQBnAFIAZQBzAGkAZAB1AGUAXwBFAHEAdQBhAHQAaQBvAG4AcwBfAEYAaQBlAGwAZABCAHUAcgBuAGkAbgBnAC4AVgBFAEUAUgBHAF8ANgBfADQAXwAxAF8AMQBfAF8AMgBfAF8ATgBpAHQAcgBvAHUAcwBPAHgAaQBkAGUARQBtAGkAcwBzAGkAbwBuAHMARgByAG8AbQBCAHUAcgBuAGkAbgBnAE8AZgBDAHIAbwBwAFIAZQBzAGkAZAB1AGUAcwBfAEwAYQB0AGUAeABFAHEAdQBhAHQAaQBvAG4AIgAsACIAQQBnAFIAZQBzAGkAZAB1AGUAXwBFAHEAdQBhAHQAaQBvAG4AcwBfAEYAaQBlAGwAZABCAHUAcgBuAGkAbgBnAC4AVgBFAEUAUgBHAF8ANgBfADQAXwAxAF8AMQBfAF8AMgBfAF8ATgBpAHQAcgBvAHUAcwBPAHgAaQBkAGUARQBtAGkAcwBzAGkAbwBuAHMARgByAG8AbQBCAHUAcgBuAGkAbgBnAE8AZgBDAHIAbwBwAFIAZQBzAGkAZAB1AGUAcwBfAEEAcgBnAHUAbQBlAG4AdABzACIALAAiAEEAZwBSAGUAcwBpAGQAdQBlAF8ARQBxAHUAYQB0AGkAbwBuAHMAXwBGAGkAZQBsAGQAQgB1AHIAbgBpAG4AZwAuAFYARQBFAFIARwBfADYAXwA0AF8AMQBfADEAXwBfADMAXwBfAE0AYQBzAHMATwBmAEMAcgBvAHAAUgBlAHMAaQBkAHUAZQBCAHUAcgBuAHQAIgAsACIAQQBnAFIAZQBzAGkAZAB1AGUAXwBFAHEAdQBhAHQAaQBvAG4AcwBfAEYAaQBlAGwAZABCAHUAcgBuAGkAbgBnAC4AVgBFAEUAUgBHAF8ANgBfADQAXwAxAF8AMQBfAF8AMwBfAF8ATQBhAHMAcwBPAGYAQwByAG8AcABSAGUAcwBpAGQAdQBlAEIAdQByAG4AdABfAEYAdQBuAGMAdABpAG8AbgBOAGEAbQBlACIALAAiAEEAZwBSAGUAcwBpAGQAdQBlAF8ARQBxAHUAYQB0AGkAbwBuAHMAXwBGAGkAZQBsAGQAQgB1AHIAbgBpAG4AZwAuAFYARQBFAFIARwBfADYAXwA0AF8AMQBfADEAXwBfADMAXwBfAE0AYQBzAHMATwBmAEMAcgBvAHAAUgBlAHMAaQBkAHUAZQBCAHUAcgBuAHQAXwBUAGkAdABsAGUAIgAsACIAQQBnAFIAZQBzAGkAZAB1AGUAXwBFAHEAdQBhAHQAaQBvAG4AcwBfAEYAaQBlAGwAZABCAHUAcgBuAGkAbgBnAC4AVgBFAEUAUgBHAF8ANgBfADQAXwAxAF8AMQBfAF8AMwBfAF8ATQBhAHMAcwBPAGYAQwByAG8AcABSAGUAcwBpAGQAdQBlAEIAdQByAG4AdABfAFYAYQByAGkAYQBiAGwAZQAiACwAIgBBAGcAUgBlAHMAaQBkAHUAZQBfAEUAcQB1AGEAdABpAG8AbgBzAF8ARgBpAGUAbABkAEIAdQByAG4AaQBuAGcALgBWAEUARQBSAEcAXwA2AF8ANABfADEAXwAxAF8AXwAzAF8AXwBNAGEAcwBzAE8AZgBDAHIAbwBwAFIAZQBzAGkAZAB1AGUAQgB1AHIAbgB0AF8AVQBuAGkAdAAiACwAIgBBAGcAUgBlAHMAaQBkAHUAZQBfAEUAcQB1AGEAdABpAG8AbgBzAF8ARgBpAGUAbABkAEIAdQByAG4AaQBuAGcALgBWAEUARQBSAEcAXwA2AF8ANABfADEAXwAxAF8AXwAzAF8AXwBNAGEAcwBzAE8AZgBDAHIAbwBwAFIAZQBzAGkAZAB1AGUAQgB1AHIAbgB0AF8AUwBvAHUAcgBjAGUAIgAsACIAQQBnAFIAZQBzAGkAZAB1AGUAXwBFAHEAdQBhAHQAaQBvAG4AcwBfAEYAaQBlAGwAZABCAHUAcgBuAGkAbgBnAC4AVgBFAEUAUgBHAF8ANgBfADQAXwAxAF8AMQBfAF8AMwBfAF8ATQBhAHMAcwBPAGYAQwByAG8AcABSAGUAcwBpAGQAdQBlAEIAdQByAG4AdABfAE4ASQBSAFIAZQBmAGUAcgBlAG4AYwBlACIALAAiAEEAZwBSAGUAcwBpAGQAdQBlAF8ARQBxAHUAYQB0AGkAbwBuAHMAXwBGAGkAZQBsAGQAQgB1AHIAbgBpAG4AZwAuAFYARQBFAFIARwBfADYAXwA0AF8AMQBfADEAXwBfADMAXwBfAE0AYQBzAHMATwBmAEMAcgBvAHAAUgBlAHMAaQBkAHUAZQBCAHUAcgBuAHQAXwBMAGEAdABlAHgARQBxAHUAYQB0AGkAbwBuACIALAAiAEEAZwBSAGUAcwBpAGQAdQBlAF8ARQBxAHUAYQB0AGkAbwBuAHMAXwBGAGkAZQBsAGQAQgB1AHIAbgBpAG4AZwAuAFYARQBFAFIARwBfADYAXwA0AF8AMQBfADEAXwBfADMAXwBfAE0AYQBzAHMATwBmAEMAcgBvAHAAUgBlAHMAaQBkAHUAZQBCAHUAcgBuAHQAXwBBAHIAZwB1AG0AZQBuAHQAcwAiACwAIgBBAGcAUgBlAHMAaQBkAHUAZQBfAEUAcQB1AGEAdABpAG8AbgBzAF8ATABlAGEAYwBoAGkAbgBnAC4AVgBFAEUAUgBHAF8ANgBfADMAXwAxAF8AMQBfAF8AMQBfAF8ATABlAGEAYwBoAGkAbgBnAEEAbgBkAFIAdQBuAG8AZgBmAEUAbQBpAHMAcwBpAG8AbgBzAEMAcgBvAHAAQQBuAGQAUABhAHMAdAB1AHIAZQBSAGUAcwBpAGQAdQBlACIALAAiAEEAZwBSAGUAcwBpAGQAdQBlAF8ARQBxAHUAYQB0AGkAbwBuAHMAXwBMAGUAYQBjAGgAaQBuAGcALgBWAEUARQBSAEcAXwA2AF8AMwBfADEAXwAxAF8AXwAxAF8AXwBMAGUAYQBjAGgAaQBuAGcAQQBuAGQAUgB1AG4AbwBmAGYARQBtAGkAcwBzAGkAbwBuAHMAQwByAG8AcABBAG4AZABQAGEAcwB0AHUAcgBlAFIAZQBzAGkAZAB1AGUAXwBUAGkAdABsAGUAIgAsACIAQQBnAFIAZQBzAGkAZAB1AGUAXwBFAHEAdQBhAHQAaQBvAG4AcwBfAEwAZQBhAGMAaABpAG4AZwAuAFYARQBFAFIARwBfADYAXwAzAF8AMQBfADEAXwBfADEAXwBfAEwAZQBhAGMAaABpAG4AZwBBAG4AZABSAHUAbgBvAGYAZgBFAG0AaQBzAHMAaQBvAG4AcwBDAHIAbwBwAEEAbgBkAFAAYQBzAHQAdQByAGUAUgBlAHMAaQBkAHUAZQBfAFYAYQByAGkAYQBiAGwAZQAiACwAIgBBAGcAUgBlAHMAaQBkAHUAZQBfAEUAcQB1AGEAdABpAG8AbgBzAF8ATABlAGEAYwBoAGkAbgBnAC4AVgBFAEUAUgBHAF8ANgBfADMAXwAxAF8AMQBfAF8AMQBfAF8ATABlAGEAYwBoAGkAbgBnAEEAbgBkAFIAdQBuAG8AZgBmAEUAbQBpAHMAcwBpAG8AbgBzAEMAcgBvAHAAQQBuAGQAUABhAHMAdAB1AHIAZQBSAGUAcwBpAGQAdQBlAF8AVQBuAGkAdAAiACwAIgBBAGcAUgBlAHMAaQBkAHUAZQBfAEUAcQB1AGEAdABpAG8AbgBzAF8ATABlAGEAYwBoAGkAbgBnAC4AVgBFAEUAUgBHAF8ANgBfADMAXwAxAF8AMQBfAF8AMQBfAF8ATABlAGEAYwBoAGkAbgBnAEEAbgBkAFIAdQBuAG8AZgBmAEUAbQBpAHMAcwBpAG8AbgBzAEMAcgBvAHAAQQBuAGQAUABhAHMAdAB1AHIAZQBSAGUAcwBpAGQAdQBlAF8AUwBvAHUAcgBjAGUAIgAsACIAQQBnAFIAZQBzAGkAZAB1AGUAXwBFAHEAdQBhAHQAaQBvAG4AcwBfAEwAZQBhAGMAaABpAG4AZwAuAFYARQBFAFIARwBfADYAXwAzAF8AMQBfADEAXwBfADEAXwBfAEwAZQBhAGMAaABpAG4AZwBBAG4AZABSAHUAbgBvAGYAZgBFAG0AaQBzAHMAaQBvAG4AcwBDAHIAbwBwAEEAbgBkAFAAYQBzAHQAdQByAGUAUgBlAHMAaQBkAHUAZQBfAE4ASQBSAFIAZQBmAGUAcgBlAG4AYwBlACIALAAiAEEAZwBSAGUAcwBpAGQAdQBlAF8ARQBxAHUAYQB0AGkAbwBuAHMAXwBMAGUAYQBjAGgAaQBuAGcALgBWAEUARQBSAEcAXwA2AF8AMwBfADEAXwAxAF8AXwAxAF8AXwBMAGUAYQBjAGgAaQBuAGcAQQBuAGQAUgB1AG4AbwBmAGYARQBtAGkAcwBzAGkAbwBuAHMAQwByAG8AcABBAG4AZABQAGEAcwB0AHUAcgBlAFIAZQBzAGkAZAB1AGUAXwBMAGEAdABlAHgARQBxAHUAYQB0AGkAbwBuACIALAAiAEEAZwBSAGUAcwBpAGQAdQBlAF8ARQBxAHUAYQB0AGkAbwBuAHMAXwBMAGUAYQBjAGgAaQBuAGcALgBWAEUARQBSAEcAXwA2AF8AMwBfADEAXwAxAF8AXwAxAF8AXwBMAGUAYQBjAGgAaQBuAGcAQQBuAGQAUgB1AG4AbwBmAGYARQBtAGkAcwBzAGkAbwBuAHMAQwByAG8AcABBAG4AZABQAGEAcwB0AHUAcgBlAFIAZQBzAGkAZAB1AGUAXwBBAHIAZwB1AG0AZQBuAHQAcwAiACwAIgBBAGcAUgBlAHMAaQBkAHUAZQBfAEUAcQB1AGEAdABpAG8AbgBzAF8ATABlAGEAYwBoAGkAbgBnAC4AVgBFAEUAUgBHAF8ANgBfADMAXwAxAF8AMQBfAF8AMgBfAF8ATQBhAHMAcwBPAGYATgBpAHQAcgBvAGcAZQBuAEwAbwBzAHQAVABoAHIAbwB1AGcAaABMAGUAYQBjAGgAaQBuAGcAQQBuAGQAUgB1AG4AbwBmAGYAIgAsACIAQQBnAFIAZQBzAGkAZAB1AGUAXwBFAHEAdQBhAHQAaQBvAG4AcwBfAEwAZQBhAGMAaABpAG4AZwAuAFYARQBFAFIARwBfADYAXwAzAF8AMQBfADEAXwBfADIAXwBfAE0AYQBzAHMATwBmAE4AaQB0AHIAbwBnAGUAbgBMAG8AcwB0AFQAaAByAG8AdQBnAGgATABlAGEAYwBoAGkAbgBnAEEAbgBkAFIAdQBuAG8AZgBmAF8AVABpAHQAbABlACIALAAiAEEAZwBSAGUAcwBpAGQAdQBlAF8ARQBxAHUAYQB0AGkAbwBuAHMAXwBMAGUAYQBjAGgAaQBuAGcALgBWAEUARQBSAEcAXwA2AF8AMwBfADEAXwAxAF8AXwAyAF8AXwBNAGEAcwBzAE8AZgBOAGkAdAByAG8AZwBlAG4ATABvAHMAdABUAGgAcgBvAHUAZwBoAEwAZQBhAGMAaABpAG4AZwBBAG4AZABSAHUAbgBvAGYAZgBfAFYAYQByAGkAYQBiAGwAZQAiACwAIgBBAGcAUgBlAHMAaQBkAHUAZQBfAEUAcQB1AGEAdABpAG8AbgBzAF8ATABlAGEAYwBoAGkAbgBnAC4AVgBFAEUAUgBHAF8ANgBfADMAXwAxAF8AMQBfAF8AMgBfAF8ATQBhAHMAcwBPAGYATgBpAHQAcgBvAGcAZQBuAEwAbwBzAHQAVABoAHIAbwB1AGcAaABMAGUAYQBjAGgAaQBuAGcAQQBuAGQAUgB1AG4AbwBmAGYAXwBVAG4AaQB0ACIALAAiAEEAZwBSAGUAcwBpAGQAdQBlAF8ARQBxAHUAYQB0AGkAbwBuAHMAXwBMAGUAYQBjAGgAaQBuAGcALgBWAEUARQBSAEcAXwA2AF8AMwBfADEAXwAxAF8AXwAyAF8AXwBNAGEAcwBzAE8AZgBOAGkAdAByAG8AZwBlAG4ATABvAHMAdABUAGgAcgBvAHUAZwBoAEwAZQBhAGMAaABpAG4AZwBBAG4AZABSAHUAbgBvAGYAZgBfAFMAbwB1AHIAYwBlACIALAAiAEEAZwBSAGUAcwBpAGQAdQBlAF8ARQBxAHUAYQB0AGkAbwBuAHMAXwBMAGUAYQBjAGgAaQBuAGcALgBWAEUARQBSAEcAXwA2AF8AMwBfADEAXwAxAF8AXwAyAF8AXwBNAGEAcwBzAE8AZgBOAGkAdAByAG8AZwBlAG4ATABvAHMAdABUAGgAcgBvAHUAZwBoAEwAZQBhAGMAaABpAG4AZwBBAG4AZABSAHUAbgBvAGYAZgBfAE4ASQBSAFIAZQBmAGUAcgBlAG4AYwBlACIALAAiAEEAZwBSAGUAcwBpAGQAdQBlAF8ARQBxAHUAYQB0AGkAbwBuAHMAXwBMAGUAYQBjAGgAaQBuAGcALgBWAEUARQBSAEcAXwA2AF8AMwBfADEAXwAxAF8AXwAyAF8AXwBNAGEAcwBzAE8AZgBOAGkAdAByAG8AZwBlAG4ATABvAHMAdABUAGgAcgBvAHUAZwBoAEwAZQBhAGMAaABpAG4AZwBBAG4AZABSAHUAbgBvAGYAZgBfAEwAYQB0AGUAeABFAHEAdQBhAHQAaQBvAG4AIgAsACIAQQBnAFIAZQBzAGkAZAB1AGUAXwBFAHEAdQBhAHQAaQBvAG4AcwBfAEwAZQBhAGMAaABpAG4AZwAuAFYARQBFAFIARwBfADYAXwAzAF8AMQBfADEAXwBfADIAXwBfAE0AYQBzAHMATwBmAE4AaQB0AHIAbwBnAGUAbgBMAG8AcwB0AFQAaAByAG8AdQBnAGgATABlAGEAYwBoAGkAbgBnAEEAbgBkAFIAdQBuAG8AZgBmAF8AQQByAGcAdQBtAGUAbgB0AHMAIgAsACIAQQBnAFIAZQBzAGkAZAB1AGUAXwBFAHEAdQBhAHQAaQBvAG4AcwBfAEwAZQBhAGMAaABpAG4AZwAuAFYARQBFAFIARwBfADYAXwAzAF8AMQBfADEAXwBfADIAXwBfAE0AYQBzAHMATwBmAE4AaQB0AHIAbwBnAGUAbgBMAG8AcwB0AFQAaAByAG8AdQBnAGgATABlAGEAYwBoAGkAbgBnAEEAbgBkAFIAdQBuAG8AZgBmAF8AVgBhAHIAaQBhAHQAaQBvAG4AIgAsACIAQQBnAFIAZQBzAGkAZAB1AGUAXwBFAHEAdQBhAHQAaQBvAG4AcwBfAFAAYQBzAHQAdQByAGUAUgBlAHMAaQBkAHUAZQAuAFYARQBFAFIARwBfADYAXwAyAF8AMQBfADEAXwBfADEAXwBfAE4AaQB0AHIAbwB1AHMATwB4AGkAZABlAEUAbQBpAHMAcwBpAG8AbgBzAEYAcgBvAG0AUABhAHMAdAB1AHIAZQBSAGUAcwBpAGQAdQBlAHMAIgAsACIAQQBnAFIAZQBzAGkAZAB1AGUAXwBFAHEAdQBhAHQAaQBvAG4AcwBfAFAAYQBzAHQAdQByAGUAUgBlAHMAaQBkAHUAZQAuAFYARQBFAFIARwBfADYAXwAyAF8AMQBfADEAXwBfADEAXwBfAE4AaQB0AHIAbwB1AHMATwB4AGkAZABlAEUAbQBpAHMAcwBpAG8AbgBzAEYAcgBvAG0AUABhAHMAdAB1AHIAZQBSAGUAcwBpAGQAdQBlAHMAXwBUAGkAdABsAGUAIgAsACIAQQBnAFIAZQBzAGkAZAB1AGUAXwBFAHEAdQBhAHQAaQBvAG4AcwBfAFAAYQBzAHQAdQByAGUAUgBlAHMAaQBkAHUAZQAuAFYARQBFAFIARwBfADYAXwAyAF8AMQBfADEAXwBfADEAXwBfAE4AaQB0AHIAbwB1AHMATwB4AGkAZABlAEUAbQBpAHMAcwBpAG8AbgBzAEYAcgBvAG0AUABhAHMAdAB1AHIAZQBSAGUAcwBpAGQAdQBlAHMAXwBWAGEAcgBpAGEAYgBsAGUAIgAsACIAQQBnAFIAZQBzAGkAZAB1AGUAXwBFAHEAdQBhAHQAaQBvAG4AcwBfAFAAYQBzAHQAdQByAGUAUgBlAHMAaQBkAHUAZQAuAFYARQBFAFIARwBfADYAXwAyAF8AMQBfADEAXwBfADEAXwBfAE4AaQB0AHIAbwB1AHMATwB4AGkAZABlAEUAbQBpAHMAcwBpAG8AbgBzAEYAcgBvAG0AUABhAHMAdAB1AHIAZQBSAGUAcwBpAGQAdQBlAHMAXwBVAG4AaQB0ACIALAAiAEEAZwBSAGUAcwBpAGQAdQBlAF8ARQBxAHUAYQB0AGkAbwBuAHMAXwBQAGEAcwB0AHUAcgBlAFIAZQBzAGkAZAB1AGUALgBWAEUARQBSAEcAXwA2AF8AMgBfADEAXwAxAF8AXwAxAF8AXwBOAGkAdAByAG8AdQBzAE8AeABpAGQAZQBFAG0AaQBzAHMAaQBvAG4AcwBGAHIAbwBtAFAAYQBzAHQAdQByAGUAUgBlAHMAaQBkAHUAZQBzAF8AUwBvAHUAcgBjAGUAIgAsACIAQQBnAFIAZQBzAGkAZAB1AGUAXwBFAHEAdQBhAHQAaQBvAG4AcwBfAFAAYQBzAHQAdQByAGUAUgBlAHMAaQBkAHUAZQAuAFYARQBFAFIARwBfADYAXwAyAF8AMQBfADEAXwBfADEAXwBfAE4AaQB0AHIAbwB1AHMATwB4AGkAZABlAEUAbQBpAHMAcwBpAG8AbgBzAEYAcgBvAG0AUABhAHMAdAB1AHIAZQBSAGUAcwBpAGQAdQBlAHMAXwBOAEkAUgBSAGUAZgBlAHIAZQBuAGMAZQAiACwAIgBBAGcAUgBlAHMAaQBkAHUAZQBfAEUAcQB1AGEAdABpAG8AbgBzAF8AUABhAHMAdAB1AHIAZQBSAGUAcwBpAGQAdQBlAC4AVgBFAEUAUgBHAF8ANgBfADIAXwAxAF8AMQBfAF8AMQBfAF8ATgBpAHQAcgBvAHUAcwBPAHgAaQBkAGUARQBtAGkAcwBzAGkAbwBuAHMARgByAG8AbQBQAGEAcwB0AHUAcgBlAFIAZQBzAGkAZAB1AGUAcwBfAEwAYQB0AGUAeABFAHEAdQBhAHQAaQBvAG4AIgAsACIAQQBnAFIAZQBzAGkAZAB1AGUAXwBFAHEAdQBhAHQAaQBvAG4AcwBfAFAAYQBzAHQAdQByAGUAUgBlAHMAaQBkAHUAZQAuAFYARQBFAFIARwBfADYAXwAyAF8AMQBfADEAXwBfADEAXwBfAE4AaQB0AHIAbwB1AHMATwB4AGkAZABlAEUAbQBpAHMAcwBpAG8AbgBzAEYAcgBvAG0AUABhAHMAdAB1AHIAZQBSAGUAcwBpAGQAdQBlAHMAXwBBAHIAZwB1AG0AZQBuAHQAcwAiACwAIgBBAGcAUgBlAHMAaQBkAHUAZQBfAEUAcQB1AGEAdABpAG8AbgBzAF8AUABhAHMAdAB1AHIAZQBSAGUAcwBpAGQAdQBlAC4AVgBFAEUAUgBHAF8ANgBfADIAXwAxAF8AMQBfAF8AMgBfAF8ATQBhAHMAcwBPAGYATgBpAHQAcgBvAGcAZQBuAEkAbgBQAGEAcwB0AHUAcgBlAFIAZQBzAGkAZAB1AGUAcwAiACwAIgBBAGcAUgBlAHMAaQBkAHUAZQBfAEUAcQB1AGEAdABpAG8AbgBzAF8AUABhAHMAdAB1AHIAZQBSAGUAcwBpAGQAdQBlAC4AVgBFAEUAUgBHAF8ANgBfADIAXwAxAF8AMQBfAF8AMgBfAF8ATQBhAHMAcwBPAGYATgBpAHQAcgBvAGcAZQBuAEkAbgBQAGEAcwB0AHUAcgBlAFIAZQBzAGkAZAB1AGUAcwBfAFQAaQB0AGwAZQAiACwAIgBBAGcAUgBlAHMAaQBkAHUAZQBfAEUAcQB1AGEAdABpAG8AbgBzAF8AUABhAHMAdAB1AHIAZQBSAGUAcwBpAGQAdQBlAC4AVgBFAEUAUgBHAF8ANgBfADIAXwAxAF8AMQBfAF8AMgBfAF8ATQBhAHMAcwBPAGYATgBpAHQAcgBvAGcAZQBuAEkAbgBQAGEAcwB0AHUAcgBlAFIAZQBzAGkAZAB1AGUAcwBfAFYAYQByAGkAYQBiAGwAZQAiACwAIgBBAGcAUgBlAHMAaQBkAHUAZQBfAEUAcQB1AGEAdABpAG8AbgBzAF8AUABhAHMAdAB1AHIAZQBSAGUAcwBpAGQAdQBlAC4AVgBFAEUAUgBHAF8ANgBfADIAXwAxAF8AMQBfAF8AMgBfAF8ATQBhAHMAcwBPAGYATgBpAHQAcgBvAGcAZQBuAEkAbgBQAGEAcwB0AHUAcgBlAFIAZQBzAGkAZAB1AGUAcwBfAFUAbgBpAHQAIgAsACIAQQBnAFIAZQBzAGkAZAB1AGUAXwBFAHEAdQBhAHQAaQBvAG4AcwBfAFAAYQBzAHQAdQByAGUAUgBlAHMAaQBkAHUAZQAuAFYARQBFAFIARwBfADYAXwAyAF8AMQBfADEAXwBfADIAXwBfAE0AYQBzAHMATwBmAE4AaQB0AHIAbwBnAGUAbgBJAG4AUABhAHMAdAB1AHIAZQBSAGUAcwBpAGQAdQBlAHMAXwBTAG8AdQByAGMAZQAiACwAIgBBAGcAUgBlAHMAaQBkAHUAZQBfAEUAcQB1AGEAdABpAG8AbgBzAF8AUABhAHMAdAB1AHIAZQBSAGUAcwBpAGQAdQBlAC4AVgBFAEUAUgBHAF8ANgBfADIAXwAxAF8AMQBfAF8AMgBfAF8ATQBhAHMAcwBPAGYATgBpAHQAcgBvAGcAZQBuAEkAbgBQAGEAcwB0AHUAcgBlAFIAZQBzAGkAZAB1AGUAcwBfAE4ASQBSAFIAZQBmAGUAcgBlAG4AYwBlACIALAAiAEEAZwBSAGUAcwBpAGQAdQBlAF8ARQBxAHUAYQB0AGkAbwBuAHMAXwBQAGEAcwB0AHUAcgBlAFIAZQBzAGkAZAB1AGUALgBWAEUARQBSAEcAXwA2AF8AMgBfADEAXwAxAF8AXwAyAF8AXwBNAGEAcwBzAE8AZgBOAGkAdAByAG8AZwBlAG4ASQBuAFAAYQBzAHQAdQByAGUAUgBlAHMAaQBkAHUAZQBzAF8ATABhAHQAZQB4AEUAcQB1AGEAdABpAG8AbgAiACwAIgBBAGcAUgBlAHMAaQBkAHUAZQBfAEUAcQB1AGEAdABpAG8AbgBzAF8AUABhAHMAdAB1AHIAZQBSAGUAcwBpAGQAdQBlAC4AVgBFAEUAUgBHAF8ANgBfADIAXwAxAF8AMQBfAF8AMgBfAF8ATQBhAHMAcwBPAGYATgBpAHQAcgBvAGcAZQBuAEkAbgBQAGEAcwB0AHUAcgBlAFIAZQBzAGkAZAB1AGUAcwBfAEEAcgBnAHUAbQBlAG4AdABzACIALAAiAEEAZwBSAGUAcwBpAGQAdQBlAF8ARQBxAHUAYQB0AGkAbwBuAHMAXwBQAGEAcwB0AHUAcgBlAFIAZQBzAGkAZAB1AGUALgBWAEUARQBSAEcAXwA2AF8AMgBfADEAXwAxAF8AXwAyAF8AXwBNAGEAcwBzAE8AZgBOAGkAdAByAG8AZwBlAG4ASQBuAFAAYQBzAHQAdQByAGUAUgBlAHMAaQBkAHUAZQBzAF8AQQByAGcAdQBtAGUAbgB0AHMAXwBNAGUAdABoAG8AZAAy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76</vt:i4>
      </vt:variant>
    </vt:vector>
  </HeadingPairs>
  <TitlesOfParts>
    <vt:vector size="90" baseType="lpstr">
      <vt:lpstr>Home</vt:lpstr>
      <vt:lpstr>Overview</vt:lpstr>
      <vt:lpstr>Results</vt:lpstr>
      <vt:lpstr>Input - Site</vt:lpstr>
      <vt:lpstr>Input - Crop</vt:lpstr>
      <vt:lpstr>Input - Pasture</vt:lpstr>
      <vt:lpstr>6.1.1.1-2 Crop residue N2O</vt:lpstr>
      <vt:lpstr>6.2.1.1-2 Pasture residue N2O</vt:lpstr>
      <vt:lpstr>6.3.1.1-2 Leaching and runoff</vt:lpstr>
      <vt:lpstr>6.3.1.1-2 Leach runoff crop</vt:lpstr>
      <vt:lpstr>6.3.1.1-2 Leach runoff pasture</vt:lpstr>
      <vt:lpstr>6.4.1.1-2 Residue burning</vt:lpstr>
      <vt:lpstr>Constants - Ag Residue</vt:lpstr>
      <vt:lpstr>Constants - Common</vt:lpstr>
      <vt:lpstr>Common_SourceData_DensityOfMethane_Data</vt:lpstr>
      <vt:lpstr>'6.3.1.1-2 Leach runoff crop'!M1_Table_E_N2O</vt:lpstr>
      <vt:lpstr>'6.3.1.1-2 Leach runoff pasture'!M1_Table_E_N2O</vt:lpstr>
      <vt:lpstr>M1_Table_E_N2O</vt:lpstr>
      <vt:lpstr>'6.3.1.1-2 Leach runoff crop'!M1_Table_E_N2O_Consumer_1</vt:lpstr>
      <vt:lpstr>'6.3.1.1-2 Leach runoff pasture'!M1_Table_E_N2O_Consumer_1</vt:lpstr>
      <vt:lpstr>M1_Table_E_N2O_Consumer_1</vt:lpstr>
      <vt:lpstr>'6.3.1.1-2 Leach runoff crop'!M1_Table_M_leach_cp</vt:lpstr>
      <vt:lpstr>'6.3.1.1-2 Leach runoff pasture'!M1_Table_M_leach_cp</vt:lpstr>
      <vt:lpstr>M1_Table_M_leach_cp</vt:lpstr>
      <vt:lpstr>'6.3.1.1-2 Leach runoff crop'!M2_Table_M_leach_cp</vt:lpstr>
      <vt:lpstr>'6.3.1.1-2 Leach runoff pasture'!M2_Table_M_leach_cp</vt:lpstr>
      <vt:lpstr>M2_Table_M_leach_cp</vt:lpstr>
      <vt:lpstr>Result_CarbonRemovalsFromPlantings</vt:lpstr>
      <vt:lpstr>Result_EmissionsForWholeProductionCycle_Method1</vt:lpstr>
      <vt:lpstr>Result_EmissionsForWholeProductionCycle_Method2</vt:lpstr>
      <vt:lpstr>Result_Enterprise_Method1</vt:lpstr>
      <vt:lpstr>Result_Enterprise_Method2</vt:lpstr>
      <vt:lpstr>Result_NetEmissions_Method1</vt:lpstr>
      <vt:lpstr>Result_NetEmissions_Method2</vt:lpstr>
      <vt:lpstr>VEERG_6_1_1_1__1__NitrousOxideEmissionsFromCropResidues_Result_Method1</vt:lpstr>
      <vt:lpstr>VEERG_6_1_1_1__1__NitrousOxideEmissionsFromCropResidues_Result_Method2</vt:lpstr>
      <vt:lpstr>VEERG_6_1_1_1__2__MassOfNitrogenInCropResidues_Result_Method1</vt:lpstr>
      <vt:lpstr>VEERG_6_1_1_1__2__MassOfNitrogenInCropResidues_Result_Method2</vt:lpstr>
      <vt:lpstr>VEERG_6_1_1_2__1__FractionOfCropResidueRemovedBaled_Result</vt:lpstr>
      <vt:lpstr>VEERG_6_2_1_1__1__NitrousOxideEmissionsFromPastureResidues_Result_Method1</vt:lpstr>
      <vt:lpstr>VEERG_6_2_1_1__1__NitrousOxideEmissionsFromPastureResidues_Result_Method2</vt:lpstr>
      <vt:lpstr>VEERG_6_3_1_1__1__LeachingAndRunoffEmissionsCropAndPastureResidue_CropOnly_Result_Method1</vt:lpstr>
      <vt:lpstr>VEERG_6_3_1_1__1__LeachingAndRunoffEmissionsCropAndPastureResidue_CropOnly_Result_Method2</vt:lpstr>
      <vt:lpstr>VEERG_6_3_1_1__1__LeachingAndRunoffEmissionsCropAndPastureResidue_PastureOnly_Result_Method1</vt:lpstr>
      <vt:lpstr>VEERG_6_3_1_1__1__LeachingAndRunoffEmissionsCropAndPastureResidue_PastureOnly_Result_Method2</vt:lpstr>
      <vt:lpstr>'6.3.1.1-2 Leach runoff crop'!VEERG_6_3_1_1__1__LeachingAndRunoffEmissionsCropAndPastureResidue_Result_Method1</vt:lpstr>
      <vt:lpstr>'6.3.1.1-2 Leach runoff pasture'!VEERG_6_3_1_1__1__LeachingAndRunoffEmissionsCropAndPastureResidue_Result_Method1</vt:lpstr>
      <vt:lpstr>VEERG_6_3_1_1__1__LeachingAndRunoffEmissionsCropAndPastureResidue_Result_Method1</vt:lpstr>
      <vt:lpstr>'6.3.1.1-2 Leach runoff crop'!VEERG_6_3_1_1__1__LeachingAndRunoffEmissionsCropAndPastureResidue_Result_Method2</vt:lpstr>
      <vt:lpstr>'6.3.1.1-2 Leach runoff pasture'!VEERG_6_3_1_1__1__LeachingAndRunoffEmissionsCropAndPastureResidue_Result_Method2</vt:lpstr>
      <vt:lpstr>VEERG_6_3_1_1__1__LeachingAndRunoffEmissionsCropAndPastureResidue_Result_Method2</vt:lpstr>
      <vt:lpstr>VEERG_6_4_1_1__1__MethaneEmissionsFromBurningOfCropResidues_Result_Method1</vt:lpstr>
      <vt:lpstr>VEERG_6_4_1_1__2__NitrousOxideEmissionsFromBurningOfCropResidues_Result_Method1</vt:lpstr>
      <vt:lpstr>X_Cell_Crop_AreaUnderCropping</vt:lpstr>
      <vt:lpstr>X_Cell_Crop_AverageWeightPerBale</vt:lpstr>
      <vt:lpstr>X_Cell_Crop_CropPurpose</vt:lpstr>
      <vt:lpstr>X_Cell_Crop_CropType</vt:lpstr>
      <vt:lpstr>X_Cell_Crop_IrrigationMethod</vt:lpstr>
      <vt:lpstr>X_Cell_Crop_NumberOfBales</vt:lpstr>
      <vt:lpstr>X_Cell_Crop_PercentResidueBaled</vt:lpstr>
      <vt:lpstr>X_Cell_Crop_PercentResidueBurned</vt:lpstr>
      <vt:lpstr>X_Cell_Crop_ResidueAfterHarvest</vt:lpstr>
      <vt:lpstr>X_Cell_Crop_ResidueToCropRatio</vt:lpstr>
      <vt:lpstr>X_Cell_Crop_TotalProductionOfCrop</vt:lpstr>
      <vt:lpstr>X_Cell_Crop_TotalResidueBaled</vt:lpstr>
      <vt:lpstr>X_Cell_Crop_TotalResidueBurned</vt:lpstr>
      <vt:lpstr>X_Cell_Crop_TotalResidueRemainingOnPaddocks</vt:lpstr>
      <vt:lpstr>X_Cell_Crop_YieldPerHectare</vt:lpstr>
      <vt:lpstr>X_Cell_Pasture_AreaRemovedOrRenewed</vt:lpstr>
      <vt:lpstr>X_Cell_Pasture_AreaUnderPasture</vt:lpstr>
      <vt:lpstr>X_Cell_Pasture_IrrigationMethod</vt:lpstr>
      <vt:lpstr>X_Cell_Pasture_PastureType</vt:lpstr>
      <vt:lpstr>X_Cell_Pasture_YieldPerHectare</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2026-09-03T07:40:23Z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2026-09-02T17:27:13; rename=True resize=True scope=all</vt:lpwstr>
  </property>
</Properties>
</file>