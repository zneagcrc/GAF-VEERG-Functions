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43E3DFF-EA19-41A1-BB7E-A7B2463FE898}" xr6:coauthVersionLast="47" xr6:coauthVersionMax="47" xr10:uidLastSave="{00000000-0000-0000-0000-000000000000}"/>
  <bookViews>
    <workbookView xWindow="1170" yWindow="1170" windowWidth="36060" windowHeight="19710" firstSheet="2" activeTab="5"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4" r:id="rId12"/>
    <sheet name="Constants - Common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Swine_Equations.VEERG_3_5_1_1__1_TotalAnnualMethaneFromEntericFermentation">_xlfn.LAMBDA(_xlpm.N_j,_xlpm.M_j,_xlpm.D_j,
    (_xlpm.N_j * _xlpm.M_j * _xlpm.D_j) * 10 ^ -3
  )</definedName>
    <definedName name="EntericMethane_Swine_Equations.VEERG_3_5_1_1__1_TotalAnnualMethaneFromEntericFermentation_Arguments">_xlfn.LAMBDA(
    _xlfn.MAKEARRAY(3, 4,
      _xlfn.LAMBDA(_xlpm.r,_xlpm.c,
        INDEX({"N_j","numbers of swine of each class","head","Input";"M_j","methane production","kg CH4/head/day","Calculated from 3.5.1.1, (2)";"D_j","the average number of days on farm for each swine class","days","Input"}, _xlpm.r, _xlpm.c)
      )
    )
  )</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
  )</definedName>
    <definedName name="EntericMethane_Swine_Equations.VEERG_3_5_1_1__2_DailyEntericMethaneProduction_Arguments">_xlfn.LAMBDA(
    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
      )
    )
  )</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InputFunctions_Swine.CalculateActualPercentManureSold">_xlfn.LAMBDA(_xlpm.Stage1MMSPercents,_xlpm.PercentSeparated,_xlpm.Stage2MMSPercents,_xlpm.PercentManureSold, (((SUM(_xlpm.Stage1MMSPercents) - (SUM(_xlpm.Stage1MMSPercents) * _xlpm.PercentSeparated)) / 4) * (SUM(_xlpm.Stage2MMSPercents) / 4)) * _xlpm.PercentManureSold)</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thaneVolatileSolidsEmissionsPotential_Data">'Constants - Swine'!$E$21</definedName>
    <definedName name="VEERG_4_5_1_1__1_TotalAnnualMethaneEmissions_Result_Method1">'4.5.1.1-2 Methane'!$E$261</definedName>
    <definedName name="VEERG_4_5_1_1__1_TotalAnnualMethaneEmissions_Result_Method2">'4.5.1.1-2 Methane'!$O$261</definedName>
    <definedName name="VEERG_4_5_1_3__1_TotalAnnualDirectNitrousOxideEmissionsFromMMS_Result_Method1">'4.5.1.3-4 Direct N2O'!$E$297</definedName>
    <definedName name="VEERG_4_5_1_3__1_TotalAnnualDirectNitrousOxideEmissionsFromMMS_Result_Method2">'4.5.1.3-4 Direct N2O'!$O$297</definedName>
    <definedName name="VEERG_4_5_1_5__1_AnnualAtmosphericDepositionEmissionsFromMMS_Result_Method1">'4.5.1.5-6 Atmos Dep'!$E$125</definedName>
    <definedName name="VEERG_4_5_1_5__1_AnnualAtmosphericDepositionEmissionsFromMMS_Result_Method2">'4.5.1.5-6 Atmos Dep'!$O$125</definedName>
    <definedName name="VEERG_4_5_1_7__1_AnnualEmissionsFromLeachingAndRunoffFromMMS_Result_Method1">'4.5.1.7-8 Leaching and runoff'!$E$49</definedName>
    <definedName name="VEERG_4_5_1_7__1_AnnualEmissionsFromLeachingAndRunoffFromMMS_Result_Method2">'4.5.1.7-8 Leaching and runoff'!$N$49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Swine_ManureAppliedIrrigationMethod">'Input - Swine'!$E$117</definedName>
    <definedName name="X_Cell_Swine_ManureAppliedProductionSystem">'Input - Swine'!$E$116</definedName>
    <definedName name="X_Cell_Swine_ProductionSystem">'Input - Swine'!$E$32</definedName>
    <definedName name="X_Cell_Swine_Stage1MMS_AnaerobicLagoon_AmountSeparated_Method1">'Input - Swine'!$E$38</definedName>
    <definedName name="X_Cell_Swine_Stage1MMS_AnaerobicLagoon_AmountSeparated_Method2">'Input - Swine'!$E$39</definedName>
    <definedName name="X_Cell_Swine_Stage1MMS_AnaerobicLagoon_SolidsSeparated">'Input - Swine'!$E$37</definedName>
    <definedName name="X_Cell_Swine_Stage1MMS_DeepLitter_AmountSeparated_Method1">'Input - Swine'!$E$55</definedName>
    <definedName name="X_Cell_Swine_Stage1MMS_DeepLitter_AmountSeparated_Method2">'Input - Swine'!$E$56</definedName>
    <definedName name="X_Cell_Swine_Stage1MMS_DeepLitter_SolidsSeparated">'Input - Swine'!$E$54</definedName>
    <definedName name="X_Cell_Swine_Stage1MMS_DigesterCoveredLagoons_AmountSeparated_Method1">'Input - Swine'!$E$49</definedName>
    <definedName name="X_Cell_Swine_Stage1MMS_DigesterCoveredLagoons_AmountSeparated_Method2">'Input - Swine'!$E$50</definedName>
    <definedName name="X_Cell_Swine_Stage1MMS_DigesterCoveredLagoons_SolidsSeparated">'Input - Swine'!$E$48</definedName>
    <definedName name="X_Cell_Swine_Stage1MMS_Drylot_AmountSeparated_Method1">'Input - Swine'!$E$43</definedName>
    <definedName name="X_Cell_Swine_Stage1MMS_Drylot_AmountSeparated_Method2">'Input - Swine'!$E$44</definedName>
    <definedName name="X_Cell_Swine_Stage1MMS_Drylot_SolidsSeparated">'Input - Swine'!$E$42</definedName>
    <definedName name="X_Cell_Swine_Stage1MMS_PitStorage_AmountSeparated_Method1">'Input - Swine'!$E$61</definedName>
    <definedName name="X_Cell_Swine_Stage1MMS_PitStorage_AmountSeparated_Method2">'Input - Swine'!$E$62</definedName>
    <definedName name="X_Cell_Swine_Stage1MMS_PitStorage_SolidsSeparated">'Input - Swine'!$E$60</definedName>
    <definedName name="X_Table_Swine_FeedIntake_Method1">'Input - Swine'!$D$12:$H$13</definedName>
    <definedName name="X_Table_Swine_FeedIntake_Method2">'Input - Swine'!$D$15:$H$16</definedName>
    <definedName name="X_Table_Swine_HerdMovement">'Input - Swine'!$D$5:$H$7</definedName>
    <definedName name="X_Table_Swine_ManureProduction_Method1">'Input - Swine'!$D$21:$H$23</definedName>
    <definedName name="X_Table_Swine_ManureProduction_Method2">'Input - Swine'!$D$25:$H$27</definedName>
    <definedName name="X_Table_Swine_Stage1MMS_AnaerobicLagoon">'Input - Swine'!$D$35:$H$36</definedName>
    <definedName name="X_Table_Swine_Stage1MMS_DeepLitter">'Input - Swine'!$D$52:$H$53</definedName>
    <definedName name="X_Table_Swine_Stage1MMS_DigesterCoveredLagoons">'Input - Swine'!$D$46:$H$47</definedName>
    <definedName name="X_Table_Swine_Stage1MMS_Drylot">'Input - Swine'!$D$40:$H$41</definedName>
    <definedName name="X_Table_Swine_Stage1MMS_PitStorage">'Input - Swine'!$D$58:$H$59</definedName>
    <definedName name="X_Table_Swine_Stage1MMS_SolidStorage">'Input - Swine'!$D$63:$H$64</definedName>
    <definedName name="X_Table_Swine_Stage2MMS_From_AnaerobicLagoon">'Input - Swine'!$D$72:$H$76</definedName>
    <definedName name="X_Table_Swine_Stage2MMS_From_AnaerobicLagoon_Destinations">'Input - Swine'!$J$72:$M$76</definedName>
    <definedName name="X_Table_Swine_Stage2MMS_From_DeepLitter">'Input - Swine'!$D$94:$H$98</definedName>
    <definedName name="X_Table_Swine_Stage2MMS_From_DeepLitter_Destinations">'Input - Swine'!$J$94:$M$98</definedName>
    <definedName name="X_Table_Swine_Stage2MMS_From_DigesterCoveredLagoons">'Input - Swine'!$D$87:$H$91</definedName>
    <definedName name="X_Table_Swine_Stage2MMS_From_DigesterCoveredLagoons_Destinations">'Input - Swine'!$J$87:$M$91</definedName>
    <definedName name="X_Table_Swine_Stage2MMS_From_Drylot">'Input - Swine'!$D$79:$H$84</definedName>
    <definedName name="X_Table_Swine_Stage2MMS_From_Drylot_Destinations">'Input - Swine'!$J$79:$M$84</definedName>
    <definedName name="X_Table_Swine_Stage2MMS_From_PitStorage">'Input - Swine'!$D$101:$H$105</definedName>
    <definedName name="X_Table_Swine_Stage2MMS_From_PitStorage_Destinations">'Input - Swine'!$J$101:$M$105</definedName>
    <definedName name="X_Table_Swine_Stage2MMS_From_SolidStorage">'Input - Swine'!$D$108:$H$113</definedName>
    <definedName name="X_Table_Swine_Stage2MMS_From_SolidStorage_Destinations">'Input - Swine'!$J$108:$M$113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70" l="1" a="1"/>
  <c r="H13" i="70" s="1"/>
  <c r="G13" i="70" a="1"/>
  <c r="G13" i="70" s="1"/>
  <c r="F13" i="70" a="1"/>
  <c r="F13" i="70" s="1"/>
  <c r="E13" i="70" a="1"/>
  <c r="E13" i="70" s="1"/>
  <c r="H16" i="70" a="1"/>
  <c r="H16" i="70" s="1"/>
  <c r="G16" i="70" a="1"/>
  <c r="G16" i="70" s="1"/>
  <c r="F16" i="70" a="1"/>
  <c r="F16" i="70" s="1"/>
  <c r="E16" i="70" a="1"/>
  <c r="E16" i="70" s="1"/>
  <c r="A24" i="74" l="1"/>
  <c r="A24" i="79"/>
  <c r="A24" i="105"/>
  <c r="A24" i="98"/>
  <c r="A24" i="97"/>
  <c r="A24" i="76"/>
  <c r="A24" i="69"/>
  <c r="A24" i="70"/>
  <c r="A24" i="15"/>
  <c r="A24" i="13"/>
  <c r="A24" i="109"/>
  <c r="A24" i="43"/>
  <c r="I49" i="15"/>
  <c r="I48" i="15"/>
  <c r="I47" i="15"/>
  <c r="I46" i="15"/>
  <c r="I45" i="15"/>
  <c r="I44" i="15"/>
  <c r="I43" i="15"/>
  <c r="I42" i="15"/>
  <c r="I41" i="15"/>
  <c r="I40" i="15"/>
  <c r="D7" i="70" l="1"/>
  <c r="D6" i="70"/>
  <c r="A8" i="72"/>
  <c r="A7" i="72"/>
  <c r="A3" i="72"/>
  <c r="I41" i="98"/>
  <c r="P52" i="98"/>
  <c r="G52" i="98"/>
  <c r="I42" i="98"/>
  <c r="I14" i="98"/>
  <c r="Q128" i="97"/>
  <c r="G128" i="97"/>
  <c r="I120" i="97"/>
  <c r="Q300" i="76"/>
  <c r="G300" i="76"/>
  <c r="I256" i="76"/>
  <c r="Q264" i="69"/>
  <c r="G264" i="69"/>
  <c r="O160" i="69"/>
  <c r="E33" i="15"/>
  <c r="E32" i="15"/>
  <c r="E31" i="15"/>
  <c r="E30" i="15"/>
  <c r="E259" i="114" a="1"/>
  <c r="E259" i="114" s="1"/>
  <c r="D259" i="114" a="1"/>
  <c r="D259" i="114" s="1"/>
  <c r="E258" i="114" a="1"/>
  <c r="E258" i="114" s="1"/>
  <c r="D258" i="114" a="1"/>
  <c r="D258" i="114" s="1"/>
  <c r="D256" i="114" a="1"/>
  <c r="D256" i="114" s="1"/>
  <c r="D255" i="114" a="1"/>
  <c r="D255" i="114" s="1"/>
  <c r="D254" i="114" a="1"/>
  <c r="D254" i="114" s="1"/>
  <c r="D253" i="114" a="1"/>
  <c r="D253" i="114" s="1"/>
  <c r="S250" i="114" a="1"/>
  <c r="S250" i="114" s="1"/>
  <c r="R250" i="114" a="1"/>
  <c r="R250" i="114" s="1"/>
  <c r="Q250" i="114" a="1"/>
  <c r="Q250" i="114" s="1"/>
  <c r="P250" i="114" a="1"/>
  <c r="P250" i="114" s="1"/>
  <c r="O250" i="114" a="1"/>
  <c r="O250" i="114" s="1"/>
  <c r="N250" i="114" a="1"/>
  <c r="N250" i="114" s="1"/>
  <c r="M250" i="114" a="1"/>
  <c r="M250" i="114" s="1"/>
  <c r="L250" i="114" a="1"/>
  <c r="L250" i="114" s="1"/>
  <c r="K250" i="114" a="1"/>
  <c r="K250" i="114" s="1"/>
  <c r="J250" i="114" a="1"/>
  <c r="J250" i="114" s="1"/>
  <c r="I250" i="114" a="1"/>
  <c r="I250" i="114" s="1"/>
  <c r="H250" i="114" a="1"/>
  <c r="H250" i="114" s="1"/>
  <c r="G250" i="114" a="1"/>
  <c r="G250" i="114" s="1"/>
  <c r="F250" i="114" a="1"/>
  <c r="F250" i="114" s="1"/>
  <c r="E250" i="114" a="1"/>
  <c r="E250" i="114" s="1"/>
  <c r="D250" i="114" a="1"/>
  <c r="D250" i="114" s="1"/>
  <c r="S249" i="114" a="1"/>
  <c r="S249" i="114" s="1"/>
  <c r="R249" i="114" a="1"/>
  <c r="R249" i="114" s="1"/>
  <c r="Q249" i="114" a="1"/>
  <c r="Q249" i="114" s="1"/>
  <c r="P249" i="114" a="1"/>
  <c r="P249" i="114" s="1"/>
  <c r="O249" i="114" a="1"/>
  <c r="O249" i="114" s="1"/>
  <c r="N249" i="114" a="1"/>
  <c r="N249" i="114" s="1"/>
  <c r="M249" i="114" a="1"/>
  <c r="M249" i="114" s="1"/>
  <c r="L249" i="114" a="1"/>
  <c r="L249" i="114" s="1"/>
  <c r="K249" i="114" a="1"/>
  <c r="K249" i="114" s="1"/>
  <c r="J249" i="114" a="1"/>
  <c r="J249" i="114" s="1"/>
  <c r="I249" i="114" a="1"/>
  <c r="I249" i="114" s="1"/>
  <c r="H249" i="114" a="1"/>
  <c r="H249" i="114" s="1"/>
  <c r="G249" i="114" a="1"/>
  <c r="G249" i="114" s="1"/>
  <c r="F249" i="114" a="1"/>
  <c r="F249" i="114" s="1"/>
  <c r="E249" i="114" a="1"/>
  <c r="E249" i="114" s="1"/>
  <c r="D249" i="114" a="1"/>
  <c r="D249" i="114" s="1"/>
  <c r="S248" i="114" a="1"/>
  <c r="S248" i="114" s="1"/>
  <c r="R248" i="114" a="1"/>
  <c r="R248" i="114" s="1"/>
  <c r="Q248" i="114" a="1"/>
  <c r="Q248" i="114" s="1"/>
  <c r="P248" i="114" a="1"/>
  <c r="P248" i="114" s="1"/>
  <c r="O248" i="114" a="1"/>
  <c r="O248" i="114" s="1"/>
  <c r="N248" i="114" a="1"/>
  <c r="N248" i="114" s="1"/>
  <c r="M248" i="114" a="1"/>
  <c r="M248" i="114" s="1"/>
  <c r="L248" i="114" a="1"/>
  <c r="L248" i="114" s="1"/>
  <c r="K248" i="114" a="1"/>
  <c r="K248" i="114" s="1"/>
  <c r="J248" i="114" a="1"/>
  <c r="J248" i="114" s="1"/>
  <c r="I248" i="114" a="1"/>
  <c r="I248" i="114" s="1"/>
  <c r="H248" i="114" a="1"/>
  <c r="H248" i="114" s="1"/>
  <c r="G248" i="114" a="1"/>
  <c r="G248" i="114" s="1"/>
  <c r="F248" i="114" a="1"/>
  <c r="F248" i="114" s="1"/>
  <c r="E248" i="114" a="1"/>
  <c r="E248" i="114" s="1"/>
  <c r="D248" i="114" a="1"/>
  <c r="D248" i="114" s="1"/>
  <c r="S247" i="114" a="1"/>
  <c r="S247" i="114" s="1"/>
  <c r="R247" i="114" a="1"/>
  <c r="R247" i="114" s="1"/>
  <c r="Q247" i="114" a="1"/>
  <c r="Q247" i="114" s="1"/>
  <c r="P247" i="114" a="1"/>
  <c r="P247" i="114" s="1"/>
  <c r="O247" i="114" a="1"/>
  <c r="O247" i="114" s="1"/>
  <c r="N247" i="114" a="1"/>
  <c r="N247" i="114" s="1"/>
  <c r="M247" i="114" a="1"/>
  <c r="M247" i="114" s="1"/>
  <c r="L247" i="114" a="1"/>
  <c r="L247" i="114" s="1"/>
  <c r="K247" i="114" a="1"/>
  <c r="K247" i="114" s="1"/>
  <c r="J247" i="114" a="1"/>
  <c r="J247" i="114" s="1"/>
  <c r="I247" i="114" a="1"/>
  <c r="I247" i="114" s="1"/>
  <c r="H247" i="114" a="1"/>
  <c r="H247" i="114" s="1"/>
  <c r="G247" i="114" a="1"/>
  <c r="G247" i="114" s="1"/>
  <c r="F247" i="114" a="1"/>
  <c r="F247" i="114" s="1"/>
  <c r="E247" i="114" a="1"/>
  <c r="E247" i="114" s="1"/>
  <c r="D247" i="114" a="1"/>
  <c r="D247" i="114" s="1"/>
  <c r="S246" i="114" a="1"/>
  <c r="S246" i="114" s="1"/>
  <c r="R246" i="114" a="1"/>
  <c r="R246" i="114" s="1"/>
  <c r="Q246" i="114" a="1"/>
  <c r="Q246" i="114" s="1"/>
  <c r="P246" i="114" a="1"/>
  <c r="P246" i="114" s="1"/>
  <c r="O246" i="114" a="1"/>
  <c r="O246" i="114" s="1"/>
  <c r="N246" i="114" a="1"/>
  <c r="N246" i="114" s="1"/>
  <c r="M246" i="114" a="1"/>
  <c r="M246" i="114" s="1"/>
  <c r="L246" i="114" a="1"/>
  <c r="L246" i="114" s="1"/>
  <c r="K246" i="114" a="1"/>
  <c r="K246" i="114" s="1"/>
  <c r="J246" i="114" a="1"/>
  <c r="J246" i="114" s="1"/>
  <c r="I246" i="114" a="1"/>
  <c r="I246" i="114" s="1"/>
  <c r="H246" i="114" a="1"/>
  <c r="H246" i="114" s="1"/>
  <c r="G246" i="114" a="1"/>
  <c r="G246" i="114" s="1"/>
  <c r="F246" i="114" a="1"/>
  <c r="F246" i="114" s="1"/>
  <c r="E246" i="114" a="1"/>
  <c r="E246" i="114" s="1"/>
  <c r="D246" i="114" a="1"/>
  <c r="D246" i="114" s="1"/>
  <c r="S245" i="114" a="1"/>
  <c r="S245" i="114" s="1"/>
  <c r="R245" i="114" a="1"/>
  <c r="R245" i="114" s="1"/>
  <c r="Q245" i="114" a="1"/>
  <c r="Q245" i="114" s="1"/>
  <c r="P245" i="114" a="1"/>
  <c r="P245" i="114" s="1"/>
  <c r="O245" i="114" a="1"/>
  <c r="O245" i="114" s="1"/>
  <c r="N245" i="114" a="1"/>
  <c r="N245" i="114" s="1"/>
  <c r="M245" i="114" a="1"/>
  <c r="M245" i="114" s="1"/>
  <c r="L245" i="114" a="1"/>
  <c r="L245" i="114" s="1"/>
  <c r="K245" i="114" a="1"/>
  <c r="K245" i="114" s="1"/>
  <c r="J245" i="114" a="1"/>
  <c r="J245" i="114" s="1"/>
  <c r="I245" i="114" a="1"/>
  <c r="I245" i="114" s="1"/>
  <c r="H245" i="114" a="1"/>
  <c r="H245" i="114" s="1"/>
  <c r="G245" i="114" a="1"/>
  <c r="G245" i="114" s="1"/>
  <c r="F245" i="114" a="1"/>
  <c r="F245" i="114" s="1"/>
  <c r="E245" i="114" a="1"/>
  <c r="E245" i="114" s="1"/>
  <c r="D245" i="114" a="1"/>
  <c r="D245" i="114" s="1"/>
  <c r="S244" i="114" a="1"/>
  <c r="S244" i="114" s="1"/>
  <c r="R244" i="114" a="1"/>
  <c r="R244" i="114" s="1"/>
  <c r="Q244" i="114" a="1"/>
  <c r="Q244" i="114" s="1"/>
  <c r="P244" i="114" a="1"/>
  <c r="P244" i="114" s="1"/>
  <c r="O244" i="114" a="1"/>
  <c r="O244" i="114" s="1"/>
  <c r="N244" i="114" a="1"/>
  <c r="N244" i="114" s="1"/>
  <c r="M244" i="114" a="1"/>
  <c r="M244" i="114" s="1"/>
  <c r="L244" i="114" a="1"/>
  <c r="L244" i="114" s="1"/>
  <c r="K244" i="114" a="1"/>
  <c r="K244" i="114" s="1"/>
  <c r="J244" i="114" a="1"/>
  <c r="J244" i="114" s="1"/>
  <c r="I244" i="114" a="1"/>
  <c r="I244" i="114" s="1"/>
  <c r="H244" i="114" a="1"/>
  <c r="H244" i="114" s="1"/>
  <c r="G244" i="114" a="1"/>
  <c r="G244" i="114" s="1"/>
  <c r="F244" i="114" a="1"/>
  <c r="F244" i="114" s="1"/>
  <c r="E244" i="114" a="1"/>
  <c r="E244" i="114" s="1"/>
  <c r="D244" i="114" a="1"/>
  <c r="D244" i="114" s="1"/>
  <c r="S243" i="114" a="1"/>
  <c r="S243" i="114" s="1"/>
  <c r="R243" i="114" a="1"/>
  <c r="R243" i="114" s="1"/>
  <c r="Q243" i="114" a="1"/>
  <c r="Q243" i="114" s="1"/>
  <c r="P243" i="114" a="1"/>
  <c r="P243" i="114" s="1"/>
  <c r="O243" i="114" a="1"/>
  <c r="O243" i="114" s="1"/>
  <c r="N243" i="114" a="1"/>
  <c r="N243" i="114" s="1"/>
  <c r="M243" i="114" a="1"/>
  <c r="M243" i="114" s="1"/>
  <c r="L243" i="114" a="1"/>
  <c r="L243" i="114" s="1"/>
  <c r="K243" i="114" a="1"/>
  <c r="K243" i="114" s="1"/>
  <c r="J243" i="114" a="1"/>
  <c r="J243" i="114" s="1"/>
  <c r="I243" i="114" a="1"/>
  <c r="I243" i="114" s="1"/>
  <c r="H243" i="114" a="1"/>
  <c r="H243" i="114" s="1"/>
  <c r="G243" i="114" a="1"/>
  <c r="G243" i="114" s="1"/>
  <c r="F243" i="114" a="1"/>
  <c r="F243" i="114" s="1"/>
  <c r="E243" i="114" a="1"/>
  <c r="E243" i="114" s="1"/>
  <c r="D243" i="114" a="1"/>
  <c r="D243" i="114" s="1"/>
  <c r="S242" i="114" a="1"/>
  <c r="S242" i="114" s="1"/>
  <c r="R242" i="114" a="1"/>
  <c r="R242" i="114" s="1"/>
  <c r="Q242" i="114" a="1"/>
  <c r="Q242" i="114" s="1"/>
  <c r="P242" i="114" a="1"/>
  <c r="P242" i="114" s="1"/>
  <c r="O242" i="114" a="1"/>
  <c r="O242" i="114" s="1"/>
  <c r="N242" i="114" a="1"/>
  <c r="N242" i="114" s="1"/>
  <c r="M242" i="114" a="1"/>
  <c r="M242" i="114" s="1"/>
  <c r="L242" i="114" a="1"/>
  <c r="L242" i="114" s="1"/>
  <c r="K242" i="114" a="1"/>
  <c r="K242" i="114" s="1"/>
  <c r="J242" i="114" a="1"/>
  <c r="J242" i="114" s="1"/>
  <c r="I242" i="114" a="1"/>
  <c r="I242" i="114" s="1"/>
  <c r="H242" i="114" a="1"/>
  <c r="H242" i="114" s="1"/>
  <c r="G242" i="114" a="1"/>
  <c r="G242" i="114" s="1"/>
  <c r="F242" i="114" a="1"/>
  <c r="F242" i="114" s="1"/>
  <c r="E242" i="114" a="1"/>
  <c r="E242" i="114" s="1"/>
  <c r="D242" i="114" a="1"/>
  <c r="D242" i="114" s="1"/>
  <c r="S241" i="114" a="1"/>
  <c r="S241" i="114" s="1"/>
  <c r="R241" i="114" a="1"/>
  <c r="R241" i="114" s="1"/>
  <c r="Q241" i="114" a="1"/>
  <c r="Q241" i="114" s="1"/>
  <c r="P241" i="114" a="1"/>
  <c r="P241" i="114" s="1"/>
  <c r="O241" i="114" a="1"/>
  <c r="O241" i="114" s="1"/>
  <c r="N241" i="114" a="1"/>
  <c r="N241" i="114" s="1"/>
  <c r="M241" i="114" a="1"/>
  <c r="M241" i="114" s="1"/>
  <c r="L241" i="114" a="1"/>
  <c r="L241" i="114" s="1"/>
  <c r="K241" i="114" a="1"/>
  <c r="K241" i="114" s="1"/>
  <c r="J241" i="114" a="1"/>
  <c r="J241" i="114" s="1"/>
  <c r="I241" i="114" a="1"/>
  <c r="I241" i="114" s="1"/>
  <c r="H241" i="114" a="1"/>
  <c r="H241" i="114" s="1"/>
  <c r="G241" i="114" a="1"/>
  <c r="G241" i="114" s="1"/>
  <c r="F241" i="114" a="1"/>
  <c r="F241" i="114" s="1"/>
  <c r="E241" i="114" a="1"/>
  <c r="E241" i="114" s="1"/>
  <c r="D241" i="114" a="1"/>
  <c r="D241" i="114" s="1"/>
  <c r="S240" i="114" a="1"/>
  <c r="S240" i="114" s="1"/>
  <c r="R240" i="114" a="1"/>
  <c r="R240" i="114" s="1"/>
  <c r="Q240" i="114" a="1"/>
  <c r="Q240" i="114" s="1"/>
  <c r="P240" i="114" a="1"/>
  <c r="P240" i="114" s="1"/>
  <c r="O240" i="114" a="1"/>
  <c r="O240" i="114" s="1"/>
  <c r="N240" i="114" a="1"/>
  <c r="N240" i="114" s="1"/>
  <c r="M240" i="114" a="1"/>
  <c r="M240" i="114" s="1"/>
  <c r="L240" i="114" a="1"/>
  <c r="L240" i="114" s="1"/>
  <c r="K240" i="114" a="1"/>
  <c r="K240" i="114" s="1"/>
  <c r="J240" i="114" a="1"/>
  <c r="J240" i="114" s="1"/>
  <c r="I240" i="114" a="1"/>
  <c r="I240" i="114" s="1"/>
  <c r="H240" i="114" a="1"/>
  <c r="H240" i="114" s="1"/>
  <c r="G240" i="114" a="1"/>
  <c r="G240" i="114" s="1"/>
  <c r="F240" i="114" a="1"/>
  <c r="F240" i="114" s="1"/>
  <c r="E240" i="114" a="1"/>
  <c r="E240" i="114" s="1"/>
  <c r="D240" i="114" a="1"/>
  <c r="D240" i="114" s="1"/>
  <c r="S239" i="114" a="1"/>
  <c r="S239" i="114" s="1"/>
  <c r="R239" i="114" a="1"/>
  <c r="R239" i="114" s="1"/>
  <c r="Q239" i="114" a="1"/>
  <c r="Q239" i="114" s="1"/>
  <c r="P239" i="114" a="1"/>
  <c r="P239" i="114" s="1"/>
  <c r="O239" i="114" a="1"/>
  <c r="O239" i="114" s="1"/>
  <c r="N239" i="114" a="1"/>
  <c r="N239" i="114" s="1"/>
  <c r="M239" i="114" a="1"/>
  <c r="M239" i="114" s="1"/>
  <c r="L239" i="114" a="1"/>
  <c r="L239" i="114" s="1"/>
  <c r="K239" i="114" a="1"/>
  <c r="K239" i="114" s="1"/>
  <c r="J239" i="114" a="1"/>
  <c r="J239" i="114" s="1"/>
  <c r="I239" i="114" a="1"/>
  <c r="I239" i="114" s="1"/>
  <c r="H239" i="114" a="1"/>
  <c r="H239" i="114" s="1"/>
  <c r="G239" i="114" a="1"/>
  <c r="G239" i="114" s="1"/>
  <c r="F239" i="114" a="1"/>
  <c r="F239" i="114" s="1"/>
  <c r="E239" i="114" a="1"/>
  <c r="E239" i="114" s="1"/>
  <c r="D239" i="114" a="1"/>
  <c r="D239" i="114" s="1"/>
  <c r="S238" i="114" a="1"/>
  <c r="S238" i="114" s="1"/>
  <c r="R238" i="114" a="1"/>
  <c r="R238" i="114" s="1"/>
  <c r="Q238" i="114" a="1"/>
  <c r="Q238" i="114" s="1"/>
  <c r="P238" i="114" a="1"/>
  <c r="P238" i="114" s="1"/>
  <c r="O238" i="114" a="1"/>
  <c r="O238" i="114" s="1"/>
  <c r="N238" i="114" a="1"/>
  <c r="N238" i="114" s="1"/>
  <c r="M238" i="114" a="1"/>
  <c r="M238" i="114" s="1"/>
  <c r="L238" i="114" a="1"/>
  <c r="L238" i="114" s="1"/>
  <c r="K238" i="114" a="1"/>
  <c r="K238" i="114" s="1"/>
  <c r="J238" i="114" a="1"/>
  <c r="J238" i="114" s="1"/>
  <c r="I238" i="114" a="1"/>
  <c r="I238" i="114" s="1"/>
  <c r="H238" i="114" a="1"/>
  <c r="H238" i="114" s="1"/>
  <c r="G238" i="114" a="1"/>
  <c r="G238" i="114" s="1"/>
  <c r="F238" i="114" a="1"/>
  <c r="F238" i="114" s="1"/>
  <c r="E238" i="114" a="1"/>
  <c r="E238" i="114" s="1"/>
  <c r="D238" i="114" a="1"/>
  <c r="D238" i="114" s="1"/>
  <c r="S237" i="114" a="1"/>
  <c r="S237" i="114" s="1"/>
  <c r="R237" i="114" a="1"/>
  <c r="R237" i="114" s="1"/>
  <c r="Q237" i="114" a="1"/>
  <c r="Q237" i="114" s="1"/>
  <c r="P237" i="114" a="1"/>
  <c r="P237" i="114" s="1"/>
  <c r="O237" i="114" a="1"/>
  <c r="O237" i="114" s="1"/>
  <c r="N237" i="114" a="1"/>
  <c r="N237" i="114" s="1"/>
  <c r="M237" i="114" a="1"/>
  <c r="M237" i="114" s="1"/>
  <c r="L237" i="114" a="1"/>
  <c r="L237" i="114" s="1"/>
  <c r="K237" i="114" a="1"/>
  <c r="K237" i="114" s="1"/>
  <c r="J237" i="114" a="1"/>
  <c r="J237" i="114" s="1"/>
  <c r="I237" i="114" a="1"/>
  <c r="I237" i="114" s="1"/>
  <c r="H237" i="114" a="1"/>
  <c r="H237" i="114" s="1"/>
  <c r="G237" i="114" a="1"/>
  <c r="G237" i="114" s="1"/>
  <c r="F237" i="114" a="1"/>
  <c r="F237" i="114" s="1"/>
  <c r="E237" i="114" a="1"/>
  <c r="E237" i="114" s="1"/>
  <c r="D237" i="114" a="1"/>
  <c r="D237" i="114" s="1"/>
  <c r="S236" i="114" a="1"/>
  <c r="S236" i="114" s="1"/>
  <c r="R236" i="114" a="1"/>
  <c r="R236" i="114" s="1"/>
  <c r="Q236" i="114" a="1"/>
  <c r="Q236" i="114" s="1"/>
  <c r="P236" i="114" a="1"/>
  <c r="P236" i="114" s="1"/>
  <c r="O236" i="114" a="1"/>
  <c r="O236" i="114" s="1"/>
  <c r="N236" i="114" a="1"/>
  <c r="N236" i="114" s="1"/>
  <c r="M236" i="114" a="1"/>
  <c r="M236" i="114" s="1"/>
  <c r="L236" i="114" a="1"/>
  <c r="L236" i="114" s="1"/>
  <c r="K236" i="114" a="1"/>
  <c r="K236" i="114" s="1"/>
  <c r="J236" i="114" a="1"/>
  <c r="J236" i="114" s="1"/>
  <c r="I236" i="114" a="1"/>
  <c r="I236" i="114" s="1"/>
  <c r="H236" i="114" a="1"/>
  <c r="H236" i="114" s="1"/>
  <c r="G236" i="114" a="1"/>
  <c r="G236" i="114" s="1"/>
  <c r="F236" i="114" a="1"/>
  <c r="F236" i="114" s="1"/>
  <c r="E236" i="114" a="1"/>
  <c r="E236" i="114" s="1"/>
  <c r="D236" i="114" a="1"/>
  <c r="D236" i="114" s="1"/>
  <c r="S235" i="114" a="1"/>
  <c r="S235" i="114" s="1"/>
  <c r="R235" i="114" a="1"/>
  <c r="R235" i="114" s="1"/>
  <c r="Q235" i="114" a="1"/>
  <c r="Q235" i="114" s="1"/>
  <c r="P235" i="114" a="1"/>
  <c r="P235" i="114" s="1"/>
  <c r="O235" i="114" a="1"/>
  <c r="O235" i="114" s="1"/>
  <c r="N235" i="114" a="1"/>
  <c r="N235" i="114" s="1"/>
  <c r="M235" i="114" a="1"/>
  <c r="M235" i="114" s="1"/>
  <c r="L235" i="114" a="1"/>
  <c r="L235" i="114" s="1"/>
  <c r="K235" i="114" a="1"/>
  <c r="K235" i="114" s="1"/>
  <c r="J235" i="114" a="1"/>
  <c r="J235" i="114" s="1"/>
  <c r="I235" i="114" a="1"/>
  <c r="I235" i="114" s="1"/>
  <c r="H235" i="114" a="1"/>
  <c r="H235" i="114" s="1"/>
  <c r="G235" i="114" a="1"/>
  <c r="G235" i="114" s="1"/>
  <c r="F235" i="114" a="1"/>
  <c r="F235" i="114" s="1"/>
  <c r="E235" i="114" a="1"/>
  <c r="E235" i="114" s="1"/>
  <c r="D235" i="114" a="1"/>
  <c r="D235" i="114" s="1"/>
  <c r="S234" i="114" a="1"/>
  <c r="S234" i="114" s="1"/>
  <c r="R234" i="114" a="1"/>
  <c r="R234" i="114" s="1"/>
  <c r="Q234" i="114" a="1"/>
  <c r="Q234" i="114" s="1"/>
  <c r="P234" i="114" a="1"/>
  <c r="P234" i="114" s="1"/>
  <c r="O234" i="114" a="1"/>
  <c r="O234" i="114" s="1"/>
  <c r="N234" i="114" a="1"/>
  <c r="N234" i="114" s="1"/>
  <c r="M234" i="114" a="1"/>
  <c r="M234" i="114" s="1"/>
  <c r="L234" i="114" a="1"/>
  <c r="L234" i="114" s="1"/>
  <c r="K234" i="114" a="1"/>
  <c r="K234" i="114" s="1"/>
  <c r="J234" i="114" a="1"/>
  <c r="J234" i="114" s="1"/>
  <c r="I234" i="114" a="1"/>
  <c r="I234" i="114" s="1"/>
  <c r="H234" i="114" a="1"/>
  <c r="H234" i="114" s="1"/>
  <c r="G234" i="114" a="1"/>
  <c r="G234" i="114" s="1"/>
  <c r="F234" i="114" a="1"/>
  <c r="F234" i="114" s="1"/>
  <c r="E234" i="114" a="1"/>
  <c r="E234" i="114" s="1"/>
  <c r="D234" i="114" a="1"/>
  <c r="D234" i="114" s="1"/>
  <c r="S233" i="114" a="1"/>
  <c r="S233" i="114" s="1"/>
  <c r="R233" i="114" a="1"/>
  <c r="R233" i="114" s="1"/>
  <c r="Q233" i="114" a="1"/>
  <c r="Q233" i="114" s="1"/>
  <c r="P233" i="114" a="1"/>
  <c r="P233" i="114" s="1"/>
  <c r="O233" i="114" a="1"/>
  <c r="O233" i="114" s="1"/>
  <c r="N233" i="114" a="1"/>
  <c r="N233" i="114" s="1"/>
  <c r="M233" i="114" a="1"/>
  <c r="M233" i="114" s="1"/>
  <c r="L233" i="114" a="1"/>
  <c r="L233" i="114" s="1"/>
  <c r="K233" i="114" a="1"/>
  <c r="K233" i="114" s="1"/>
  <c r="J233" i="114" a="1"/>
  <c r="J233" i="114" s="1"/>
  <c r="I233" i="114" a="1"/>
  <c r="I233" i="114" s="1"/>
  <c r="H233" i="114" a="1"/>
  <c r="H233" i="114" s="1"/>
  <c r="G233" i="114" a="1"/>
  <c r="G233" i="114" s="1"/>
  <c r="F233" i="114" a="1"/>
  <c r="F233" i="114" s="1"/>
  <c r="E233" i="114" a="1"/>
  <c r="E233" i="114" s="1"/>
  <c r="D233" i="114" a="1"/>
  <c r="D233" i="114" s="1"/>
  <c r="S232" i="114" a="1"/>
  <c r="S232" i="114" s="1"/>
  <c r="R232" i="114" a="1"/>
  <c r="R232" i="114" s="1"/>
  <c r="Q232" i="114" a="1"/>
  <c r="Q232" i="114" s="1"/>
  <c r="P232" i="114" a="1"/>
  <c r="P232" i="114" s="1"/>
  <c r="O232" i="114" a="1"/>
  <c r="O232" i="114" s="1"/>
  <c r="N232" i="114" a="1"/>
  <c r="N232" i="114" s="1"/>
  <c r="M232" i="114" a="1"/>
  <c r="M232" i="114" s="1"/>
  <c r="L232" i="114" a="1"/>
  <c r="L232" i="114" s="1"/>
  <c r="K232" i="114" a="1"/>
  <c r="K232" i="114" s="1"/>
  <c r="J232" i="114" a="1"/>
  <c r="J232" i="114" s="1"/>
  <c r="I232" i="114" a="1"/>
  <c r="I232" i="114" s="1"/>
  <c r="H232" i="114" a="1"/>
  <c r="H232" i="114" s="1"/>
  <c r="G232" i="114" a="1"/>
  <c r="G232" i="114" s="1"/>
  <c r="F232" i="114" a="1"/>
  <c r="F232" i="114" s="1"/>
  <c r="E232" i="114" a="1"/>
  <c r="E232" i="114" s="1"/>
  <c r="D232" i="114" a="1"/>
  <c r="D232" i="114" s="1"/>
  <c r="D229" i="114" a="1"/>
  <c r="D229" i="114" s="1"/>
  <c r="D228" i="114" a="1"/>
  <c r="D228" i="114" s="1"/>
  <c r="D227" i="114" a="1"/>
  <c r="D227" i="114" s="1"/>
  <c r="E224" i="114" a="1"/>
  <c r="E224" i="114" s="1"/>
  <c r="D224" i="114" a="1"/>
  <c r="D224" i="114" s="1"/>
  <c r="E223" i="114" a="1"/>
  <c r="E223" i="114" s="1"/>
  <c r="D223" i="114" a="1"/>
  <c r="D223" i="114" s="1"/>
  <c r="E222" i="114" a="1"/>
  <c r="E222" i="114" s="1"/>
  <c r="D222" i="114" a="1"/>
  <c r="D222" i="114" s="1"/>
  <c r="E221" i="114" a="1"/>
  <c r="E221" i="114" s="1"/>
  <c r="D221" i="114" a="1"/>
  <c r="D221" i="114" s="1"/>
  <c r="E220" i="114" a="1"/>
  <c r="E220" i="114" s="1"/>
  <c r="D220" i="114" a="1"/>
  <c r="D220" i="114" s="1"/>
  <c r="E219" i="114" a="1"/>
  <c r="E219" i="114" s="1"/>
  <c r="D219" i="114" a="1"/>
  <c r="D219" i="114" s="1"/>
  <c r="E218" i="114" a="1"/>
  <c r="E218" i="114" s="1"/>
  <c r="D218" i="114" a="1"/>
  <c r="D218" i="114" s="1"/>
  <c r="E217" i="114" a="1"/>
  <c r="E217" i="114" s="1"/>
  <c r="D217" i="114" a="1"/>
  <c r="D217" i="114" s="1"/>
  <c r="E216" i="114" a="1"/>
  <c r="E216" i="114" s="1"/>
  <c r="D216" i="114" a="1"/>
  <c r="D216" i="114" s="1"/>
  <c r="E215" i="114" a="1"/>
  <c r="E215" i="114" s="1"/>
  <c r="D215" i="114" a="1"/>
  <c r="D215" i="114" s="1"/>
  <c r="E214" i="114" a="1"/>
  <c r="E214" i="114" s="1"/>
  <c r="D214" i="114" a="1"/>
  <c r="D214" i="114" s="1"/>
  <c r="E213" i="114" a="1"/>
  <c r="E213" i="114" s="1"/>
  <c r="D213" i="114" a="1"/>
  <c r="D213" i="114" s="1"/>
  <c r="D211" i="114" a="1"/>
  <c r="D211" i="114" s="1"/>
  <c r="E208" i="114" a="1"/>
  <c r="E208" i="114" s="1"/>
  <c r="D208" i="114" a="1"/>
  <c r="D208" i="114" s="1"/>
  <c r="E207" i="114" a="1"/>
  <c r="E207" i="114" s="1"/>
  <c r="D207" i="114" a="1"/>
  <c r="D207" i="114" s="1"/>
  <c r="D205" i="114" a="1"/>
  <c r="D205" i="114" s="1"/>
  <c r="D204" i="114" a="1"/>
  <c r="D204" i="114" s="1"/>
  <c r="D203" i="114" a="1"/>
  <c r="D203" i="114" s="1"/>
  <c r="D202" i="114" a="1"/>
  <c r="D202" i="114" s="1"/>
  <c r="H199" i="114" a="1"/>
  <c r="H199" i="114" s="1"/>
  <c r="G199" i="114" a="1"/>
  <c r="G199" i="114" s="1"/>
  <c r="F199" i="114" a="1"/>
  <c r="F199" i="114" s="1"/>
  <c r="E199" i="114" a="1"/>
  <c r="E199" i="114" s="1"/>
  <c r="D199" i="114" a="1"/>
  <c r="D199" i="114" s="1"/>
  <c r="H198" i="114" a="1"/>
  <c r="H198" i="114" s="1"/>
  <c r="G198" i="114" a="1"/>
  <c r="G198" i="114" s="1"/>
  <c r="F198" i="114" a="1"/>
  <c r="F198" i="114" s="1"/>
  <c r="E198" i="114" a="1"/>
  <c r="E198" i="114" s="1"/>
  <c r="D198" i="114" a="1"/>
  <c r="D198" i="114" s="1"/>
  <c r="H197" i="114" a="1"/>
  <c r="H197" i="114" s="1"/>
  <c r="G197" i="114" a="1"/>
  <c r="G197" i="114" s="1"/>
  <c r="F197" i="114" a="1"/>
  <c r="F197" i="114" s="1"/>
  <c r="E197" i="114" a="1"/>
  <c r="E197" i="114" s="1"/>
  <c r="D197" i="114" a="1"/>
  <c r="D197" i="114" s="1"/>
  <c r="H196" i="114" a="1"/>
  <c r="H196" i="114" s="1"/>
  <c r="G196" i="114" a="1"/>
  <c r="G196" i="114" s="1"/>
  <c r="F196" i="114" a="1"/>
  <c r="F196" i="114" s="1"/>
  <c r="E196" i="114" a="1"/>
  <c r="E196" i="114" s="1"/>
  <c r="D196" i="114" a="1"/>
  <c r="D196" i="114" s="1"/>
  <c r="H195" i="114" a="1"/>
  <c r="H195" i="114" s="1"/>
  <c r="G195" i="114" a="1"/>
  <c r="G195" i="114" s="1"/>
  <c r="F195" i="114" a="1"/>
  <c r="F195" i="114" s="1"/>
  <c r="E195" i="114" a="1"/>
  <c r="E195" i="114" s="1"/>
  <c r="D195" i="114" a="1"/>
  <c r="D195" i="114" s="1"/>
  <c r="H194" i="114" a="1"/>
  <c r="H194" i="114" s="1"/>
  <c r="G194" i="114" a="1"/>
  <c r="G194" i="114" s="1"/>
  <c r="F194" i="114" a="1"/>
  <c r="F194" i="114" s="1"/>
  <c r="E194" i="114" a="1"/>
  <c r="E194" i="114" s="1"/>
  <c r="D194" i="114" a="1"/>
  <c r="D194" i="114" s="1"/>
  <c r="H193" i="114" a="1"/>
  <c r="H193" i="114" s="1"/>
  <c r="G193" i="114" a="1"/>
  <c r="G193" i="114" s="1"/>
  <c r="F193" i="114" a="1"/>
  <c r="F193" i="114" s="1"/>
  <c r="E193" i="114" a="1"/>
  <c r="E193" i="114" s="1"/>
  <c r="D193" i="114" a="1"/>
  <c r="D193" i="114" s="1"/>
  <c r="H192" i="114" a="1"/>
  <c r="H192" i="114" s="1"/>
  <c r="G192" i="114" a="1"/>
  <c r="G192" i="114" s="1"/>
  <c r="F192" i="114" a="1"/>
  <c r="F192" i="114" s="1"/>
  <c r="E192" i="114" a="1"/>
  <c r="E192" i="114" s="1"/>
  <c r="D192" i="114" a="1"/>
  <c r="D192" i="114" s="1"/>
  <c r="H191" i="114" a="1"/>
  <c r="H191" i="114" s="1"/>
  <c r="G191" i="114" a="1"/>
  <c r="G191" i="114" s="1"/>
  <c r="F191" i="114" a="1"/>
  <c r="F191" i="114" s="1"/>
  <c r="E191" i="114" a="1"/>
  <c r="E191" i="114" s="1"/>
  <c r="D191" i="114" a="1"/>
  <c r="D191" i="114" s="1"/>
  <c r="H190" i="114" a="1"/>
  <c r="H190" i="114" s="1"/>
  <c r="G190" i="114" a="1"/>
  <c r="G190" i="114" s="1"/>
  <c r="F190" i="114" a="1"/>
  <c r="F190" i="114" s="1"/>
  <c r="E190" i="114" a="1"/>
  <c r="E190" i="114" s="1"/>
  <c r="D190" i="114" a="1"/>
  <c r="D190" i="114" s="1"/>
  <c r="H189" i="114" a="1"/>
  <c r="H189" i="114" s="1"/>
  <c r="G189" i="114" a="1"/>
  <c r="G189" i="114" s="1"/>
  <c r="F189" i="114" a="1"/>
  <c r="F189" i="114" s="1"/>
  <c r="E189" i="114" a="1"/>
  <c r="E189" i="114" s="1"/>
  <c r="D189" i="114" a="1"/>
  <c r="D189" i="114" s="1"/>
  <c r="H188" i="114" a="1"/>
  <c r="H188" i="114" s="1"/>
  <c r="G188" i="114" a="1"/>
  <c r="G188" i="114" s="1"/>
  <c r="F188" i="114" a="1"/>
  <c r="F188" i="114" s="1"/>
  <c r="E188" i="114" a="1"/>
  <c r="E188" i="114" s="1"/>
  <c r="D188" i="114" a="1"/>
  <c r="D188" i="114" s="1"/>
  <c r="H187" i="114" a="1"/>
  <c r="H187" i="114" s="1"/>
  <c r="G187" i="114" a="1"/>
  <c r="G187" i="114" s="1"/>
  <c r="F187" i="114" a="1"/>
  <c r="F187" i="114" s="1"/>
  <c r="E187" i="114" a="1"/>
  <c r="E187" i="114" s="1"/>
  <c r="D187" i="114" a="1"/>
  <c r="D187" i="114" s="1"/>
  <c r="D181" i="114" a="1"/>
  <c r="D181" i="114" s="1"/>
  <c r="D180" i="114" a="1"/>
  <c r="D180" i="114" s="1"/>
  <c r="D179" i="114" a="1"/>
  <c r="D179" i="114" s="1"/>
  <c r="D178" i="114" a="1"/>
  <c r="D178" i="114" s="1"/>
  <c r="E175" i="114" a="1"/>
  <c r="E175" i="114" s="1"/>
  <c r="D175" i="114" a="1"/>
  <c r="D175" i="114" s="1"/>
  <c r="D174" i="114" a="1"/>
  <c r="D174" i="114" s="1"/>
  <c r="D173" i="114" a="1"/>
  <c r="D173" i="114" s="1"/>
  <c r="D170" i="114" a="1"/>
  <c r="D170" i="114" s="1"/>
  <c r="D169" i="114" a="1"/>
  <c r="D169" i="114" s="1"/>
  <c r="D168" i="114" a="1"/>
  <c r="D168" i="114" s="1"/>
  <c r="D167" i="114" a="1"/>
  <c r="D167" i="114" s="1"/>
  <c r="D164" i="114" a="1"/>
  <c r="D164" i="114" s="1"/>
  <c r="D163" i="114" a="1"/>
  <c r="D163" i="114" s="1"/>
  <c r="D162" i="114" a="1"/>
  <c r="D162" i="114" s="1"/>
  <c r="D161" i="114" a="1"/>
  <c r="D161" i="114" s="1"/>
  <c r="E158" i="114" a="1"/>
  <c r="E158" i="114" s="1"/>
  <c r="D158" i="114" a="1"/>
  <c r="D158" i="114" s="1"/>
  <c r="E157" i="114" a="1"/>
  <c r="E157" i="114" s="1"/>
  <c r="D157" i="114" a="1"/>
  <c r="D157" i="114" s="1"/>
  <c r="E156" i="114" a="1"/>
  <c r="E156" i="114" s="1"/>
  <c r="D156" i="114" a="1"/>
  <c r="D156" i="114" s="1"/>
  <c r="E155" i="114" a="1"/>
  <c r="E155" i="114" s="1"/>
  <c r="D155" i="114" a="1"/>
  <c r="D155" i="114" s="1"/>
  <c r="E154" i="114" a="1"/>
  <c r="E154" i="114" s="1"/>
  <c r="D154" i="114" a="1"/>
  <c r="D154" i="114" s="1"/>
  <c r="D151" i="114" a="1"/>
  <c r="D151" i="114" s="1"/>
  <c r="D150" i="114" a="1"/>
  <c r="D150" i="114" s="1"/>
  <c r="E147" i="114" a="1"/>
  <c r="E147" i="114" s="1"/>
  <c r="D147" i="114" a="1"/>
  <c r="D147" i="114" s="1"/>
  <c r="E146" i="114" a="1"/>
  <c r="E146" i="114" s="1"/>
  <c r="D146" i="114" a="1"/>
  <c r="D146" i="114" s="1"/>
  <c r="E145" i="114" a="1"/>
  <c r="E145" i="114" s="1"/>
  <c r="D145" i="114" a="1"/>
  <c r="D145" i="114" s="1"/>
  <c r="E144" i="114" a="1"/>
  <c r="E144" i="114" s="1"/>
  <c r="D144" i="114" a="1"/>
  <c r="D144" i="114" s="1"/>
  <c r="E143" i="114" a="1"/>
  <c r="E143" i="114" s="1"/>
  <c r="D143" i="114" a="1"/>
  <c r="D143" i="114" s="1"/>
  <c r="D141" i="114" a="1"/>
  <c r="D141" i="114" s="1"/>
  <c r="D140" i="114" a="1"/>
  <c r="D140" i="114" s="1"/>
  <c r="D139" i="114" a="1"/>
  <c r="D139" i="114" s="1"/>
  <c r="E136" i="114" a="1"/>
  <c r="E136" i="114" s="1"/>
  <c r="D136" i="114" a="1"/>
  <c r="D136" i="114" s="1"/>
  <c r="E135" i="114" a="1"/>
  <c r="E135" i="114" s="1"/>
  <c r="D135" i="114" a="1"/>
  <c r="D135" i="114" s="1"/>
  <c r="D133" i="114" a="1"/>
  <c r="D133" i="114" s="1"/>
  <c r="D132" i="114" a="1"/>
  <c r="D132" i="114" s="1"/>
  <c r="E129" i="114" a="1"/>
  <c r="E129" i="114" s="1"/>
  <c r="D129" i="114" a="1"/>
  <c r="D129" i="114" s="1"/>
  <c r="E128" i="114" a="1"/>
  <c r="E128" i="114" s="1"/>
  <c r="D128" i="114" a="1"/>
  <c r="D128" i="114" s="1"/>
  <c r="D125" i="114" a="1"/>
  <c r="D125" i="114" s="1"/>
  <c r="D124" i="114" a="1"/>
  <c r="D124" i="114" s="1"/>
  <c r="G121" i="114" a="1"/>
  <c r="G121" i="114" s="1"/>
  <c r="F121" i="114" a="1"/>
  <c r="F121" i="114" s="1"/>
  <c r="E121" i="114" a="1"/>
  <c r="E121" i="114" s="1"/>
  <c r="D121" i="114" a="1"/>
  <c r="D121" i="114" s="1"/>
  <c r="G120" i="114" a="1"/>
  <c r="G120" i="114" s="1"/>
  <c r="F120" i="114" a="1"/>
  <c r="F120" i="114" s="1"/>
  <c r="E120" i="114" a="1"/>
  <c r="E120" i="114" s="1"/>
  <c r="D120" i="114" a="1"/>
  <c r="D120" i="114" s="1"/>
  <c r="D117" i="114" a="1"/>
  <c r="D117" i="114" s="1"/>
  <c r="D116" i="114" a="1"/>
  <c r="D116" i="114" s="1"/>
  <c r="D115" i="114" a="1"/>
  <c r="D115" i="114" s="1"/>
  <c r="G112" i="114" a="1"/>
  <c r="G112" i="114" s="1"/>
  <c r="F112" i="114" a="1"/>
  <c r="F112" i="114" s="1"/>
  <c r="E112" i="114" a="1"/>
  <c r="E112" i="114" s="1"/>
  <c r="D112" i="114" a="1"/>
  <c r="D112" i="114" s="1"/>
  <c r="G111" i="114" a="1"/>
  <c r="G111" i="114" s="1"/>
  <c r="F111" i="114" a="1"/>
  <c r="F111" i="114" s="1"/>
  <c r="E111" i="114" a="1"/>
  <c r="E111" i="114" s="1"/>
  <c r="D111" i="114" a="1"/>
  <c r="D111" i="114" s="1"/>
  <c r="G110" i="114" a="1"/>
  <c r="G110" i="114" s="1"/>
  <c r="F110" i="114" a="1"/>
  <c r="F110" i="114" s="1"/>
  <c r="E110" i="114" a="1"/>
  <c r="E110" i="114" s="1"/>
  <c r="D110" i="114" a="1"/>
  <c r="D110" i="114" s="1"/>
  <c r="D107" i="114" a="1"/>
  <c r="D107" i="114" s="1"/>
  <c r="D106" i="114" a="1"/>
  <c r="D106" i="114" s="1"/>
  <c r="D105" i="114" a="1"/>
  <c r="D105" i="114" s="1"/>
  <c r="D99" i="114" a="1"/>
  <c r="D99" i="114" s="1"/>
  <c r="S97" i="114" a="1"/>
  <c r="S97" i="114" s="1"/>
  <c r="R97" i="114" a="1"/>
  <c r="R97" i="114" s="1"/>
  <c r="Q97" i="114" a="1"/>
  <c r="Q97" i="114" s="1"/>
  <c r="P97" i="114" a="1"/>
  <c r="P97" i="114" s="1"/>
  <c r="O97" i="114" a="1"/>
  <c r="O97" i="114" s="1"/>
  <c r="N97" i="114" a="1"/>
  <c r="N97" i="114" s="1"/>
  <c r="M97" i="114" a="1"/>
  <c r="M97" i="114" s="1"/>
  <c r="L97" i="114" a="1"/>
  <c r="L97" i="114" s="1"/>
  <c r="K97" i="114" a="1"/>
  <c r="K97" i="114" s="1"/>
  <c r="J97" i="114" a="1"/>
  <c r="J97" i="114" s="1"/>
  <c r="I97" i="114" a="1"/>
  <c r="I97" i="114" s="1"/>
  <c r="H97" i="114" a="1"/>
  <c r="H97" i="114" s="1"/>
  <c r="G97" i="114" a="1"/>
  <c r="G97" i="114" s="1"/>
  <c r="F97" i="114" a="1"/>
  <c r="F97" i="114" s="1"/>
  <c r="E97" i="114" a="1"/>
  <c r="E97" i="114" s="1"/>
  <c r="D97" i="114" a="1"/>
  <c r="D97" i="114" s="1"/>
  <c r="S96" i="114" a="1"/>
  <c r="S96" i="114" s="1"/>
  <c r="R96" i="114" a="1"/>
  <c r="R96" i="114" s="1"/>
  <c r="Q96" i="114" a="1"/>
  <c r="Q96" i="114" s="1"/>
  <c r="P96" i="114" a="1"/>
  <c r="P96" i="114" s="1"/>
  <c r="O96" i="114" a="1"/>
  <c r="O96" i="114" s="1"/>
  <c r="N96" i="114" a="1"/>
  <c r="N96" i="114" s="1"/>
  <c r="M96" i="114" a="1"/>
  <c r="M96" i="114" s="1"/>
  <c r="L96" i="114" a="1"/>
  <c r="L96" i="114" s="1"/>
  <c r="K96" i="114" a="1"/>
  <c r="K96" i="114" s="1"/>
  <c r="J96" i="114" a="1"/>
  <c r="J96" i="114" s="1"/>
  <c r="I96" i="114" a="1"/>
  <c r="I96" i="114" s="1"/>
  <c r="H96" i="114" a="1"/>
  <c r="H96" i="114" s="1"/>
  <c r="G96" i="114" a="1"/>
  <c r="G96" i="114" s="1"/>
  <c r="F96" i="114" a="1"/>
  <c r="F96" i="114" s="1"/>
  <c r="E96" i="114" a="1"/>
  <c r="E96" i="114" s="1"/>
  <c r="D96" i="114" a="1"/>
  <c r="D96" i="114" s="1"/>
  <c r="S95" i="114" a="1"/>
  <c r="S95" i="114" s="1"/>
  <c r="R95" i="114" a="1"/>
  <c r="R95" i="114" s="1"/>
  <c r="Q95" i="114" a="1"/>
  <c r="Q95" i="114" s="1"/>
  <c r="P95" i="114" a="1"/>
  <c r="P95" i="114" s="1"/>
  <c r="O95" i="114" a="1"/>
  <c r="O95" i="114" s="1"/>
  <c r="N95" i="114" a="1"/>
  <c r="N95" i="114" s="1"/>
  <c r="M95" i="114" a="1"/>
  <c r="M95" i="114" s="1"/>
  <c r="L95" i="114" a="1"/>
  <c r="L95" i="114" s="1"/>
  <c r="K95" i="114" a="1"/>
  <c r="K95" i="114" s="1"/>
  <c r="J95" i="114" a="1"/>
  <c r="J95" i="114" s="1"/>
  <c r="I95" i="114" a="1"/>
  <c r="I95" i="114" s="1"/>
  <c r="H95" i="114" a="1"/>
  <c r="H95" i="114" s="1"/>
  <c r="G95" i="114" a="1"/>
  <c r="G95" i="114" s="1"/>
  <c r="F95" i="114" a="1"/>
  <c r="F95" i="114" s="1"/>
  <c r="E95" i="114" a="1"/>
  <c r="E95" i="114" s="1"/>
  <c r="D95" i="114" a="1"/>
  <c r="D95" i="114" s="1"/>
  <c r="S94" i="114" a="1"/>
  <c r="S94" i="114" s="1"/>
  <c r="R94" i="114" a="1"/>
  <c r="R94" i="114" s="1"/>
  <c r="Q94" i="114" a="1"/>
  <c r="Q94" i="114" s="1"/>
  <c r="P94" i="114" a="1"/>
  <c r="P94" i="114" s="1"/>
  <c r="O94" i="114" a="1"/>
  <c r="O94" i="114" s="1"/>
  <c r="N94" i="114" a="1"/>
  <c r="N94" i="114" s="1"/>
  <c r="M94" i="114" a="1"/>
  <c r="M94" i="114" s="1"/>
  <c r="L94" i="114" a="1"/>
  <c r="L94" i="114" s="1"/>
  <c r="K94" i="114" a="1"/>
  <c r="K94" i="114" s="1"/>
  <c r="J94" i="114" a="1"/>
  <c r="J94" i="114" s="1"/>
  <c r="I94" i="114" a="1"/>
  <c r="I94" i="114" s="1"/>
  <c r="H94" i="114" a="1"/>
  <c r="H94" i="114" s="1"/>
  <c r="G94" i="114" a="1"/>
  <c r="G94" i="114" s="1"/>
  <c r="F94" i="114" a="1"/>
  <c r="F94" i="114" s="1"/>
  <c r="E94" i="114" a="1"/>
  <c r="E94" i="114" s="1"/>
  <c r="D94" i="114" a="1"/>
  <c r="D94" i="114" s="1"/>
  <c r="S93" i="114" a="1"/>
  <c r="S93" i="114" s="1"/>
  <c r="R93" i="114" a="1"/>
  <c r="R93" i="114" s="1"/>
  <c r="Q93" i="114" a="1"/>
  <c r="Q93" i="114" s="1"/>
  <c r="P93" i="114" a="1"/>
  <c r="P93" i="114" s="1"/>
  <c r="O93" i="114" a="1"/>
  <c r="O93" i="114" s="1"/>
  <c r="N93" i="114" a="1"/>
  <c r="N93" i="114" s="1"/>
  <c r="M93" i="114" a="1"/>
  <c r="M93" i="114" s="1"/>
  <c r="L93" i="114" a="1"/>
  <c r="L93" i="114" s="1"/>
  <c r="K93" i="114" a="1"/>
  <c r="K93" i="114" s="1"/>
  <c r="J93" i="114" a="1"/>
  <c r="J93" i="114" s="1"/>
  <c r="I93" i="114" a="1"/>
  <c r="I93" i="114" s="1"/>
  <c r="H93" i="114" a="1"/>
  <c r="H93" i="114" s="1"/>
  <c r="G93" i="114" a="1"/>
  <c r="G93" i="114" s="1"/>
  <c r="F93" i="114" a="1"/>
  <c r="F93" i="114" s="1"/>
  <c r="E93" i="114" a="1"/>
  <c r="E93" i="114" s="1"/>
  <c r="D93" i="114" a="1"/>
  <c r="D93" i="114" s="1"/>
  <c r="S92" i="114" a="1"/>
  <c r="S92" i="114" s="1"/>
  <c r="R92" i="114" a="1"/>
  <c r="R92" i="114" s="1"/>
  <c r="Q92" i="114" a="1"/>
  <c r="Q92" i="114" s="1"/>
  <c r="P92" i="114" a="1"/>
  <c r="P92" i="114" s="1"/>
  <c r="O92" i="114" a="1"/>
  <c r="O92" i="114" s="1"/>
  <c r="N92" i="114" a="1"/>
  <c r="N92" i="114" s="1"/>
  <c r="M92" i="114" a="1"/>
  <c r="M92" i="114" s="1"/>
  <c r="L92" i="114" a="1"/>
  <c r="L92" i="114" s="1"/>
  <c r="K92" i="114" a="1"/>
  <c r="K92" i="114" s="1"/>
  <c r="J92" i="114" a="1"/>
  <c r="J92" i="114" s="1"/>
  <c r="I92" i="114" a="1"/>
  <c r="I92" i="114" s="1"/>
  <c r="H92" i="114" a="1"/>
  <c r="H92" i="114" s="1"/>
  <c r="G92" i="114" a="1"/>
  <c r="G92" i="114" s="1"/>
  <c r="F92" i="114" a="1"/>
  <c r="F92" i="114" s="1"/>
  <c r="E92" i="114" a="1"/>
  <c r="E92" i="114" s="1"/>
  <c r="D92" i="114" a="1"/>
  <c r="D92" i="114" s="1"/>
  <c r="S91" i="114" a="1"/>
  <c r="S91" i="114" s="1"/>
  <c r="R91" i="114" a="1"/>
  <c r="R91" i="114" s="1"/>
  <c r="Q91" i="114" a="1"/>
  <c r="Q91" i="114" s="1"/>
  <c r="P91" i="114" a="1"/>
  <c r="P91" i="114" s="1"/>
  <c r="O91" i="114" a="1"/>
  <c r="O91" i="114" s="1"/>
  <c r="N91" i="114" a="1"/>
  <c r="N91" i="114" s="1"/>
  <c r="M91" i="114" a="1"/>
  <c r="M91" i="114" s="1"/>
  <c r="L91" i="114" a="1"/>
  <c r="L91" i="114" s="1"/>
  <c r="K91" i="114" a="1"/>
  <c r="K91" i="114" s="1"/>
  <c r="J91" i="114" a="1"/>
  <c r="J91" i="114" s="1"/>
  <c r="I91" i="114" a="1"/>
  <c r="I91" i="114" s="1"/>
  <c r="H91" i="114" a="1"/>
  <c r="H91" i="114" s="1"/>
  <c r="G91" i="114" a="1"/>
  <c r="G91" i="114" s="1"/>
  <c r="F91" i="114" a="1"/>
  <c r="F91" i="114" s="1"/>
  <c r="E91" i="114" a="1"/>
  <c r="E91" i="114" s="1"/>
  <c r="D91" i="114" a="1"/>
  <c r="D91" i="114" s="1"/>
  <c r="S90" i="114" a="1"/>
  <c r="S90" i="114" s="1"/>
  <c r="R90" i="114" a="1"/>
  <c r="R90" i="114" s="1"/>
  <c r="Q90" i="114" a="1"/>
  <c r="Q90" i="114" s="1"/>
  <c r="P90" i="114" a="1"/>
  <c r="P90" i="114" s="1"/>
  <c r="O90" i="114" a="1"/>
  <c r="O90" i="114" s="1"/>
  <c r="N90" i="114" a="1"/>
  <c r="N90" i="114" s="1"/>
  <c r="M90" i="114" a="1"/>
  <c r="M90" i="114" s="1"/>
  <c r="L90" i="114" a="1"/>
  <c r="L90" i="114" s="1"/>
  <c r="K90" i="114" a="1"/>
  <c r="K90" i="114" s="1"/>
  <c r="J90" i="114" a="1"/>
  <c r="J90" i="114" s="1"/>
  <c r="I90" i="114" a="1"/>
  <c r="I90" i="114" s="1"/>
  <c r="H90" i="114" a="1"/>
  <c r="H90" i="114" s="1"/>
  <c r="G90" i="114" a="1"/>
  <c r="G90" i="114" s="1"/>
  <c r="F90" i="114" a="1"/>
  <c r="F90" i="114" s="1"/>
  <c r="E90" i="114" a="1"/>
  <c r="E90" i="114" s="1"/>
  <c r="D90" i="114" a="1"/>
  <c r="D90" i="114" s="1"/>
  <c r="D83" i="114" a="1"/>
  <c r="D83" i="114" s="1"/>
  <c r="D82" i="114" a="1"/>
  <c r="D82" i="114" s="1"/>
  <c r="D81" i="114" a="1"/>
  <c r="D81" i="114" s="1"/>
  <c r="E77" i="114" a="1"/>
  <c r="E77" i="114" s="1"/>
  <c r="D77" i="114" a="1"/>
  <c r="D77" i="114" s="1"/>
  <c r="E76" i="114" a="1"/>
  <c r="E76" i="114" s="1"/>
  <c r="D76" i="114" a="1"/>
  <c r="D76" i="114" s="1"/>
  <c r="E75" i="114" a="1"/>
  <c r="E75" i="114" s="1"/>
  <c r="D75" i="114" a="1"/>
  <c r="D75" i="114" s="1"/>
  <c r="E74" i="114" a="1"/>
  <c r="E74" i="114" s="1"/>
  <c r="D74" i="114" a="1"/>
  <c r="D74" i="114" s="1"/>
  <c r="E73" i="114" a="1"/>
  <c r="E73" i="114" s="1"/>
  <c r="D73" i="114" a="1"/>
  <c r="D73" i="114" s="1"/>
  <c r="E72" i="114" a="1"/>
  <c r="E72" i="114" s="1"/>
  <c r="D72" i="114" a="1"/>
  <c r="D72" i="114" s="1"/>
  <c r="E71" i="114" a="1"/>
  <c r="E71" i="114" s="1"/>
  <c r="D71" i="114" a="1"/>
  <c r="D71" i="114" s="1"/>
  <c r="E70" i="114" a="1"/>
  <c r="E70" i="114" s="1"/>
  <c r="D70" i="114" a="1"/>
  <c r="D70" i="114" s="1"/>
  <c r="E69" i="114" a="1"/>
  <c r="E69" i="114" s="1"/>
  <c r="D69" i="114" a="1"/>
  <c r="D69" i="114" s="1"/>
  <c r="E68" i="114" a="1"/>
  <c r="E68" i="114" s="1"/>
  <c r="D68" i="114" a="1"/>
  <c r="D68" i="114" s="1"/>
  <c r="E67" i="114" a="1"/>
  <c r="E67" i="114" s="1"/>
  <c r="D67" i="114" a="1"/>
  <c r="D67" i="114" s="1"/>
  <c r="E66" i="114" a="1"/>
  <c r="E66" i="114" s="1"/>
  <c r="D66" i="114" a="1"/>
  <c r="D66" i="114" s="1"/>
  <c r="E65" i="114" a="1"/>
  <c r="E65" i="114" s="1"/>
  <c r="D65" i="114" a="1"/>
  <c r="D65" i="114" s="1"/>
  <c r="E64" i="114" a="1"/>
  <c r="E64" i="114" s="1"/>
  <c r="D64" i="114" a="1"/>
  <c r="D64" i="114" s="1"/>
  <c r="D59" i="114" a="1"/>
  <c r="D59" i="114" s="1"/>
  <c r="D58" i="114" a="1"/>
  <c r="D58" i="114" s="1"/>
  <c r="D57" i="114" a="1"/>
  <c r="D57" i="114" s="1"/>
  <c r="G54" i="114" a="1"/>
  <c r="G54" i="114" s="1"/>
  <c r="F54" i="114" a="1"/>
  <c r="F54" i="114" s="1"/>
  <c r="E54" i="114"/>
  <c r="E54" i="114" a="1"/>
  <c r="D54" i="114" a="1"/>
  <c r="D54" i="114" s="1"/>
  <c r="G53" i="114" a="1"/>
  <c r="G53" i="114" s="1"/>
  <c r="F53" i="114" a="1"/>
  <c r="F53" i="114" s="1"/>
  <c r="H53" i="114" s="1"/>
  <c r="E53" i="114" a="1"/>
  <c r="E53" i="114" s="1"/>
  <c r="D53" i="114" a="1"/>
  <c r="D53" i="114" s="1"/>
  <c r="G52" i="114" a="1"/>
  <c r="G52" i="114" s="1"/>
  <c r="F52" i="114" a="1"/>
  <c r="F52" i="114" s="1"/>
  <c r="E52" i="114" a="1"/>
  <c r="E52" i="114" s="1"/>
  <c r="D52" i="114" a="1"/>
  <c r="D52" i="114" s="1"/>
  <c r="G51" i="114" a="1"/>
  <c r="G51" i="114" s="1"/>
  <c r="F51" i="114" a="1"/>
  <c r="F51" i="114" s="1"/>
  <c r="E51" i="114" a="1"/>
  <c r="E51" i="114" s="1"/>
  <c r="D51" i="114" a="1"/>
  <c r="D51" i="114" s="1"/>
  <c r="G50" i="114" a="1"/>
  <c r="G50" i="114" s="1"/>
  <c r="F50" i="114" a="1"/>
  <c r="F50" i="114" s="1"/>
  <c r="E50" i="114" a="1"/>
  <c r="E50" i="114" s="1"/>
  <c r="D50" i="114" a="1"/>
  <c r="D50" i="114" s="1"/>
  <c r="G49" i="114" a="1"/>
  <c r="G49" i="114" s="1"/>
  <c r="F49" i="114" a="1"/>
  <c r="F49" i="114" s="1"/>
  <c r="E49" i="114" a="1"/>
  <c r="E49" i="114" s="1"/>
  <c r="D49" i="114" a="1"/>
  <c r="D49" i="114" s="1"/>
  <c r="G48" i="114" a="1"/>
  <c r="G48" i="114" s="1"/>
  <c r="F48" i="114" a="1"/>
  <c r="F48" i="114" s="1"/>
  <c r="E48" i="114" a="1"/>
  <c r="E48" i="114" s="1"/>
  <c r="D48" i="114" a="1"/>
  <c r="D48" i="114" s="1"/>
  <c r="D46" i="114"/>
  <c r="D46" i="114" a="1"/>
  <c r="D45" i="114"/>
  <c r="D45" i="114" a="1"/>
  <c r="E43" i="114" a="1"/>
  <c r="E43" i="114" s="1"/>
  <c r="D43" i="114" a="1"/>
  <c r="D43" i="114" s="1"/>
  <c r="E42" i="114" a="1"/>
  <c r="E42" i="114" s="1"/>
  <c r="D42" i="114" a="1"/>
  <c r="D42" i="114" s="1"/>
  <c r="E41" i="114" a="1"/>
  <c r="E41" i="114" s="1"/>
  <c r="D41" i="114" a="1"/>
  <c r="D41" i="114" s="1"/>
  <c r="E40" i="114" a="1"/>
  <c r="E40" i="114" s="1"/>
  <c r="D40" i="114" a="1"/>
  <c r="D40" i="114" s="1"/>
  <c r="E39" i="114" a="1"/>
  <c r="E39" i="114" s="1"/>
  <c r="D39" i="114" a="1"/>
  <c r="D39" i="114" s="1"/>
  <c r="E38" i="114" a="1"/>
  <c r="E38" i="114" s="1"/>
  <c r="D38" i="114" a="1"/>
  <c r="D38" i="114" s="1"/>
  <c r="E37" i="114" a="1"/>
  <c r="E37" i="114" s="1"/>
  <c r="D37" i="114" a="1"/>
  <c r="D37" i="114" s="1"/>
  <c r="D35" i="114" a="1"/>
  <c r="D35" i="114" s="1"/>
  <c r="D34" i="114" a="1"/>
  <c r="D34" i="114" s="1"/>
  <c r="D30" i="114" a="1"/>
  <c r="D30" i="114" s="1"/>
  <c r="D29" i="114" a="1"/>
  <c r="D29" i="114" s="1"/>
  <c r="D28" i="114" a="1"/>
  <c r="D28" i="114" s="1"/>
  <c r="D27" i="114" a="1"/>
  <c r="D27" i="114" s="1"/>
  <c r="D26" i="114" a="1"/>
  <c r="D26" i="114" s="1"/>
  <c r="D25" i="114" a="1"/>
  <c r="D25" i="114" s="1"/>
  <c r="D24" i="114" a="1"/>
  <c r="D24" i="114" s="1"/>
  <c r="D23" i="114" a="1"/>
  <c r="D23" i="114" s="1"/>
  <c r="D22" i="114" a="1"/>
  <c r="D22" i="114" s="1"/>
  <c r="D21" i="114" a="1"/>
  <c r="D21" i="114" s="1"/>
  <c r="D19" i="114"/>
  <c r="D19" i="114" a="1"/>
  <c r="D18" i="114" a="1"/>
  <c r="D18" i="114" s="1"/>
  <c r="F14" i="114" a="1"/>
  <c r="F14" i="114" s="1"/>
  <c r="E14" i="114" a="1"/>
  <c r="E14" i="114" s="1"/>
  <c r="D14" i="114" a="1"/>
  <c r="D14" i="114" s="1"/>
  <c r="F13" i="114" a="1"/>
  <c r="F13" i="114" s="1"/>
  <c r="E13" i="114" a="1"/>
  <c r="E13" i="114" s="1"/>
  <c r="D13" i="114" a="1"/>
  <c r="D13" i="114" s="1"/>
  <c r="F12" i="114" a="1"/>
  <c r="F12" i="114" s="1"/>
  <c r="E12" i="114" a="1"/>
  <c r="E12" i="114" s="1"/>
  <c r="D12" i="114" a="1"/>
  <c r="D12" i="114" s="1"/>
  <c r="F11" i="114" a="1"/>
  <c r="F11" i="114" s="1"/>
  <c r="E11" i="114" a="1"/>
  <c r="E11" i="114" s="1"/>
  <c r="D11" i="114" a="1"/>
  <c r="D11" i="114" s="1"/>
  <c r="F10" i="114" a="1"/>
  <c r="F10" i="114" s="1"/>
  <c r="E10" i="114" a="1"/>
  <c r="E10" i="114" s="1"/>
  <c r="D10" i="114" a="1"/>
  <c r="D10" i="114" s="1"/>
  <c r="F9" i="114" a="1"/>
  <c r="F9" i="114" s="1"/>
  <c r="E9" i="114" a="1"/>
  <c r="E9" i="114" s="1"/>
  <c r="D9" i="114" a="1"/>
  <c r="D9" i="114" s="1"/>
  <c r="F8" i="114" a="1"/>
  <c r="F8" i="114" s="1"/>
  <c r="E8" i="114" a="1"/>
  <c r="E8" i="114" s="1"/>
  <c r="D8" i="114" a="1"/>
  <c r="D8" i="114" s="1"/>
  <c r="A8" i="114"/>
  <c r="F7" i="114" a="1"/>
  <c r="F7" i="114" s="1"/>
  <c r="E7" i="114" a="1"/>
  <c r="E7" i="114" s="1"/>
  <c r="D7" i="114" a="1"/>
  <c r="D7" i="114" s="1"/>
  <c r="A7" i="114"/>
  <c r="D5" i="114"/>
  <c r="D5" i="114" a="1"/>
  <c r="A3" i="114"/>
  <c r="A8" i="71"/>
  <c r="A7" i="71"/>
  <c r="A3" i="71"/>
  <c r="E101" i="70"/>
  <c r="E94" i="70"/>
  <c r="E87" i="70"/>
  <c r="E79" i="70"/>
  <c r="E72" i="70"/>
  <c r="E132" i="79" a="1"/>
  <c r="E132" i="79" s="1"/>
  <c r="D132" i="79" a="1"/>
  <c r="D132" i="79" s="1"/>
  <c r="E131" i="79" a="1"/>
  <c r="E131" i="79" s="1"/>
  <c r="D131" i="79" a="1"/>
  <c r="D131" i="79" s="1"/>
  <c r="E130" i="79" a="1"/>
  <c r="E130" i="79" s="1"/>
  <c r="D130" i="79" a="1"/>
  <c r="D130" i="79" s="1"/>
  <c r="E129" i="79" a="1"/>
  <c r="E129" i="79" s="1"/>
  <c r="D129" i="79" a="1"/>
  <c r="D129" i="79" s="1"/>
  <c r="E128" i="79" a="1"/>
  <c r="E128" i="79" s="1"/>
  <c r="D128" i="79" a="1"/>
  <c r="D128" i="79" s="1"/>
  <c r="D126" i="79" a="1"/>
  <c r="D126" i="79" s="1"/>
  <c r="D125" i="79" a="1"/>
  <c r="D125" i="79" s="1"/>
  <c r="F122" i="79" a="1"/>
  <c r="F122" i="79" s="1"/>
  <c r="E122" i="79" a="1"/>
  <c r="E122" i="79" s="1"/>
  <c r="D122" i="79" a="1"/>
  <c r="D122" i="79" s="1"/>
  <c r="D121" i="79" a="1"/>
  <c r="D121" i="79" s="1"/>
  <c r="D120" i="79" a="1"/>
  <c r="D120" i="79" s="1"/>
  <c r="H66" i="70"/>
  <c r="G66" i="70"/>
  <c r="F66" i="70"/>
  <c r="E66" i="70"/>
  <c r="H65" i="70"/>
  <c r="G65" i="70"/>
  <c r="F65" i="70"/>
  <c r="E65" i="70"/>
  <c r="E33" i="70"/>
  <c r="E29" i="15"/>
  <c r="E13" i="15"/>
  <c r="A26" i="74"/>
  <c r="A25" i="74"/>
  <c r="A23" i="74"/>
  <c r="A22" i="74"/>
  <c r="A18" i="74"/>
  <c r="A17" i="74"/>
  <c r="A16" i="74"/>
  <c r="A15" i="74"/>
  <c r="A14" i="74"/>
  <c r="A10" i="74"/>
  <c r="A9" i="74"/>
  <c r="A5" i="74"/>
  <c r="A4" i="74"/>
  <c r="A3" i="74"/>
  <c r="A26" i="43"/>
  <c r="A25" i="43"/>
  <c r="A23" i="43"/>
  <c r="A22" i="43"/>
  <c r="A18" i="43"/>
  <c r="A17" i="43"/>
  <c r="A16" i="43"/>
  <c r="A15" i="43"/>
  <c r="A14" i="43"/>
  <c r="A10" i="43"/>
  <c r="A9" i="43"/>
  <c r="A5" i="43"/>
  <c r="A4" i="43"/>
  <c r="A3" i="43"/>
  <c r="A26" i="79"/>
  <c r="A25" i="79"/>
  <c r="A23" i="79"/>
  <c r="A22" i="79"/>
  <c r="A18" i="79"/>
  <c r="A17" i="79"/>
  <c r="A16" i="79"/>
  <c r="A15" i="79"/>
  <c r="A14" i="79"/>
  <c r="A10" i="79"/>
  <c r="A9" i="79"/>
  <c r="A5" i="79"/>
  <c r="A4" i="79"/>
  <c r="A3" i="79"/>
  <c r="A26" i="105"/>
  <c r="A25" i="105"/>
  <c r="A23" i="105"/>
  <c r="A22" i="105"/>
  <c r="A18" i="105"/>
  <c r="A17" i="105"/>
  <c r="A16" i="105"/>
  <c r="A15" i="105"/>
  <c r="A14" i="105"/>
  <c r="A10" i="105"/>
  <c r="A9" i="105"/>
  <c r="A5" i="105"/>
  <c r="A4" i="105"/>
  <c r="A3" i="105"/>
  <c r="A26" i="98"/>
  <c r="A25" i="98"/>
  <c r="A23" i="98"/>
  <c r="A22" i="98"/>
  <c r="A18" i="98"/>
  <c r="A17" i="98"/>
  <c r="A16" i="98"/>
  <c r="A15" i="98"/>
  <c r="A14" i="98"/>
  <c r="A10" i="98"/>
  <c r="A9" i="98"/>
  <c r="A5" i="98"/>
  <c r="A4" i="98"/>
  <c r="A3" i="98"/>
  <c r="A26" i="97"/>
  <c r="A25" i="97"/>
  <c r="A23" i="97"/>
  <c r="A22" i="97"/>
  <c r="A18" i="97"/>
  <c r="A17" i="97"/>
  <c r="A16" i="97"/>
  <c r="A15" i="97"/>
  <c r="A14" i="97"/>
  <c r="A10" i="97"/>
  <c r="A9" i="97"/>
  <c r="A5" i="97"/>
  <c r="A4" i="97"/>
  <c r="A3" i="97"/>
  <c r="A26" i="76"/>
  <c r="A25" i="76"/>
  <c r="A23" i="76"/>
  <c r="A22" i="76"/>
  <c r="A18" i="76"/>
  <c r="A17" i="76"/>
  <c r="A16" i="76"/>
  <c r="A15" i="76"/>
  <c r="A14" i="76"/>
  <c r="A10" i="76"/>
  <c r="A9" i="76"/>
  <c r="A5" i="76"/>
  <c r="A4" i="76"/>
  <c r="A3" i="76"/>
  <c r="A26" i="69"/>
  <c r="A25" i="69"/>
  <c r="A23" i="69"/>
  <c r="A22" i="69"/>
  <c r="A18" i="69"/>
  <c r="A17" i="69"/>
  <c r="A16" i="69"/>
  <c r="A15" i="69"/>
  <c r="A14" i="69"/>
  <c r="A10" i="69"/>
  <c r="A9" i="69"/>
  <c r="A5" i="69"/>
  <c r="A4" i="69"/>
  <c r="A3" i="69"/>
  <c r="A26" i="70"/>
  <c r="A25" i="70"/>
  <c r="A23" i="70"/>
  <c r="A22" i="70"/>
  <c r="A18" i="70"/>
  <c r="A17" i="70"/>
  <c r="A16" i="70"/>
  <c r="A15" i="70"/>
  <c r="A14" i="70"/>
  <c r="A10" i="70"/>
  <c r="A9" i="70"/>
  <c r="A5" i="70"/>
  <c r="A4" i="70"/>
  <c r="A3" i="70"/>
  <c r="A26" i="15"/>
  <c r="A25" i="15"/>
  <c r="A23" i="15"/>
  <c r="A22" i="15"/>
  <c r="A18" i="15"/>
  <c r="A17" i="15"/>
  <c r="A16" i="15"/>
  <c r="A15" i="15"/>
  <c r="A14" i="15"/>
  <c r="A10" i="15"/>
  <c r="A9" i="15"/>
  <c r="A5" i="15"/>
  <c r="A4" i="15"/>
  <c r="A3" i="15"/>
  <c r="A26" i="13"/>
  <c r="A25" i="13"/>
  <c r="A23" i="13"/>
  <c r="A22" i="13"/>
  <c r="A18" i="13"/>
  <c r="A17" i="13"/>
  <c r="A16" i="13"/>
  <c r="A15" i="13"/>
  <c r="A14" i="13"/>
  <c r="A10" i="13"/>
  <c r="A9" i="13"/>
  <c r="A5" i="13"/>
  <c r="A4" i="13"/>
  <c r="A3" i="13"/>
  <c r="A26" i="109"/>
  <c r="A25" i="109"/>
  <c r="A23" i="109"/>
  <c r="A22" i="109"/>
  <c r="A18" i="109"/>
  <c r="A17" i="109"/>
  <c r="A16" i="109"/>
  <c r="A15" i="109"/>
  <c r="A14" i="109"/>
  <c r="A10" i="109"/>
  <c r="A9" i="109"/>
  <c r="A5" i="109"/>
  <c r="A4" i="109"/>
  <c r="A3" i="109"/>
  <c r="F246" i="105"/>
  <c r="F245" i="105"/>
  <c r="F244" i="105"/>
  <c r="F243" i="105"/>
  <c r="F242" i="105"/>
  <c r="F241" i="105"/>
  <c r="F240" i="105"/>
  <c r="F239" i="105"/>
  <c r="F238" i="105"/>
  <c r="F237" i="105"/>
  <c r="F236" i="105"/>
  <c r="F235" i="105"/>
  <c r="F234" i="105"/>
  <c r="F233" i="105"/>
  <c r="F232" i="105"/>
  <c r="F231" i="105"/>
  <c r="F230" i="105"/>
  <c r="F229" i="105"/>
  <c r="F228" i="105"/>
  <c r="F227" i="105"/>
  <c r="F226" i="105"/>
  <c r="F225" i="105"/>
  <c r="F224" i="105"/>
  <c r="F223" i="105"/>
  <c r="F222" i="105"/>
  <c r="F221" i="105"/>
  <c r="S126" i="69"/>
  <c r="I126" i="69"/>
  <c r="I18" i="98"/>
  <c r="I17" i="98"/>
  <c r="I16" i="98"/>
  <c r="H50" i="114" l="1"/>
  <c r="H52" i="114"/>
  <c r="H54" i="114"/>
  <c r="H48" i="114"/>
  <c r="H49" i="114"/>
  <c r="H51" i="114"/>
  <c r="I122" i="97"/>
  <c r="I119" i="97" s="1"/>
  <c r="I121" i="97"/>
  <c r="E95" i="76" a="1"/>
  <c r="E95" i="76" s="1"/>
  <c r="R66" i="76"/>
  <c r="Q66" i="76"/>
  <c r="P66" i="76"/>
  <c r="O66" i="76"/>
  <c r="R65" i="76"/>
  <c r="Q65" i="76"/>
  <c r="P65" i="76"/>
  <c r="O65" i="76"/>
  <c r="R64" i="76"/>
  <c r="Q64" i="76"/>
  <c r="P64" i="76"/>
  <c r="O64" i="76"/>
  <c r="R63" i="76"/>
  <c r="Q63" i="76"/>
  <c r="P63" i="76"/>
  <c r="O63" i="76"/>
  <c r="R62" i="76"/>
  <c r="Q62" i="76"/>
  <c r="P62" i="76"/>
  <c r="O62" i="76"/>
  <c r="H66" i="76"/>
  <c r="G66" i="76"/>
  <c r="F66" i="76"/>
  <c r="E66" i="76"/>
  <c r="H65" i="76"/>
  <c r="G65" i="76"/>
  <c r="F65" i="76"/>
  <c r="E65" i="76"/>
  <c r="H64" i="76"/>
  <c r="G64" i="76"/>
  <c r="F64" i="76"/>
  <c r="E64" i="76"/>
  <c r="H63" i="76"/>
  <c r="G63" i="76"/>
  <c r="F63" i="76"/>
  <c r="E63" i="76"/>
  <c r="H62" i="76"/>
  <c r="G62" i="76"/>
  <c r="F62" i="76"/>
  <c r="E62" i="76"/>
  <c r="E57" i="76" a="1"/>
  <c r="E57" i="76" s="1"/>
  <c r="E56" i="76" a="1"/>
  <c r="E56" i="76" s="1"/>
  <c r="E55" i="76" a="1"/>
  <c r="E55" i="76" s="1"/>
  <c r="E54" i="76" a="1"/>
  <c r="E54" i="76" s="1"/>
  <c r="E53" i="76" a="1"/>
  <c r="E53" i="76" s="1"/>
  <c r="D30" i="76" a="1"/>
  <c r="D30" i="76" s="1"/>
  <c r="D20" i="76" a="1"/>
  <c r="D20" i="76" s="1"/>
  <c r="D254" i="69" a="1"/>
  <c r="D254" i="69" s="1"/>
  <c r="D249" i="69" a="1"/>
  <c r="D249" i="69" s="1"/>
  <c r="E63" i="69" a="1"/>
  <c r="E63" i="69" s="1"/>
  <c r="R32" i="69"/>
  <c r="Q32" i="69"/>
  <c r="P32" i="69"/>
  <c r="R31" i="69"/>
  <c r="Q31" i="69"/>
  <c r="P31" i="69"/>
  <c r="R30" i="69"/>
  <c r="Q30" i="69"/>
  <c r="P30" i="69"/>
  <c r="R29" i="69"/>
  <c r="Q29" i="69"/>
  <c r="P29" i="69"/>
  <c r="R28" i="69"/>
  <c r="Q28" i="69"/>
  <c r="P28" i="69"/>
  <c r="O32" i="69"/>
  <c r="O31" i="69"/>
  <c r="O30" i="69"/>
  <c r="O29" i="69"/>
  <c r="O28" i="69"/>
  <c r="H32" i="69"/>
  <c r="G32" i="69"/>
  <c r="F32" i="69"/>
  <c r="E32" i="69"/>
  <c r="H31" i="69"/>
  <c r="G31" i="69"/>
  <c r="F31" i="69"/>
  <c r="E31" i="69"/>
  <c r="H30" i="69"/>
  <c r="G30" i="69"/>
  <c r="F30" i="69"/>
  <c r="E30" i="69"/>
  <c r="H29" i="69"/>
  <c r="G29" i="69"/>
  <c r="F29" i="69"/>
  <c r="E29" i="69"/>
  <c r="H28" i="69"/>
  <c r="G28" i="69"/>
  <c r="F28" i="69"/>
  <c r="E28" i="69"/>
  <c r="E23" i="69" a="1"/>
  <c r="E23" i="69" s="1"/>
  <c r="E22" i="69" a="1"/>
  <c r="E22" i="69" s="1"/>
  <c r="E21" i="69" a="1"/>
  <c r="E21" i="69" s="1"/>
  <c r="E20" i="69" a="1"/>
  <c r="E20" i="69" s="1"/>
  <c r="E19" i="69" a="1"/>
  <c r="E19" i="69" s="1"/>
  <c r="I123" i="97" l="1"/>
  <c r="I125" i="69"/>
  <c r="I201" i="69"/>
  <c r="A278" i="105" l="1"/>
  <c r="A247" i="105"/>
  <c r="A211" i="105"/>
  <c r="A163" i="105"/>
  <c r="A302" i="76"/>
  <c r="A244" i="76"/>
  <c r="A171" i="76"/>
  <c r="A266" i="69"/>
  <c r="A231" i="69"/>
  <c r="A213" i="69"/>
  <c r="A186" i="69"/>
  <c r="Q121" i="69" a="1"/>
  <c r="Q121" i="69" s="1"/>
  <c r="N121" i="69" a="1"/>
  <c r="N121" i="69" s="1"/>
  <c r="I123" i="69" a="1"/>
  <c r="I123" i="69" s="1"/>
  <c r="I121" i="69" a="1"/>
  <c r="I121" i="69"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R229"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M76" i="70"/>
  <c r="M84" i="70"/>
  <c r="M91" i="70"/>
  <c r="M98" i="70"/>
  <c r="M105" i="70"/>
  <c r="M113" i="70"/>
  <c r="E114" i="69" a="1"/>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114" i="69"/>
  <c r="I17" i="105" l="1" a="1"/>
  <c r="I17" i="105" s="1"/>
  <c r="I16" i="105" a="1"/>
  <c r="I16" i="105" s="1"/>
  <c r="I15" i="105" a="1"/>
  <c r="I15" i="105" s="1"/>
  <c r="I14" i="105" a="1"/>
  <c r="I14" i="105" s="1"/>
  <c r="I13" i="105" a="1"/>
  <c r="I13" i="105" s="1"/>
  <c r="E175" i="76" a="1"/>
  <c r="E175" i="76" l="1"/>
  <c r="D213" i="105" l="1"/>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F54" i="98" a="1"/>
  <c r="F54" i="98" s="1"/>
  <c r="D51" i="98" a="1"/>
  <c r="D51" i="98" s="1"/>
  <c r="E38" i="98" a="1"/>
  <c r="E38" i="98" s="1"/>
  <c r="R47" i="98" s="1"/>
  <c r="E37" i="98" a="1"/>
  <c r="E37" i="98" s="1"/>
  <c r="D33" i="98" a="1"/>
  <c r="D33" i="98" s="1"/>
  <c r="D32" i="98" a="1"/>
  <c r="D32" i="98" s="1"/>
  <c r="D16" i="79" a="1"/>
  <c r="D16" i="79" s="1"/>
  <c r="F17" i="79" a="1"/>
  <c r="F17" i="79" s="1"/>
  <c r="E17" i="79" a="1"/>
  <c r="E17" i="79" s="1"/>
  <c r="I15" i="98" s="1"/>
  <c r="D17" i="79" a="1"/>
  <c r="D17" i="79" s="1"/>
  <c r="D15" i="79" a="1"/>
  <c r="D15" i="79" s="1"/>
  <c r="D14" i="79" a="1"/>
  <c r="D14" i="79" s="1"/>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F130" i="97" a="1"/>
  <c r="F130" i="97" s="1"/>
  <c r="D127" i="97" a="1"/>
  <c r="D127" i="97" s="1"/>
  <c r="F302" i="76" a="1"/>
  <c r="F302" i="76" s="1"/>
  <c r="D299" i="76" a="1"/>
  <c r="D299" i="76" s="1"/>
  <c r="E34" i="98" a="1"/>
  <c r="E112" i="97" a="1"/>
  <c r="E7" i="105" a="1"/>
  <c r="E7" i="97" a="1"/>
  <c r="E248" i="76" a="1"/>
  <c r="E7" i="98" a="1"/>
  <c r="O112" i="97" a="1"/>
  <c r="O49" i="98" l="1"/>
  <c r="J251" i="105"/>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E179" i="76" a="1"/>
  <c r="E179" i="76" s="1"/>
  <c r="E178" i="76" a="1"/>
  <c r="E178" i="76" s="1"/>
  <c r="D174" i="76" a="1"/>
  <c r="D174" i="76" s="1"/>
  <c r="D173" i="76" a="1"/>
  <c r="D173" i="76" s="1"/>
  <c r="E133" i="76" a="1"/>
  <c r="E133" i="76" s="1"/>
  <c r="E132" i="76" a="1"/>
  <c r="E132" i="76" s="1"/>
  <c r="D128" i="76" a="1"/>
  <c r="D128" i="76" s="1"/>
  <c r="D127" i="76" a="1"/>
  <c r="D127" i="76" s="1"/>
  <c r="D81" i="76" a="1"/>
  <c r="D81" i="76" s="1"/>
  <c r="E86" i="76" a="1"/>
  <c r="E86" i="76" s="1"/>
  <c r="S100" i="76" s="1"/>
  <c r="E85" i="76" a="1"/>
  <c r="E85" i="76" s="1"/>
  <c r="D80" i="76" a="1"/>
  <c r="D80" i="76" s="1"/>
  <c r="D79" i="76" a="1"/>
  <c r="D79" i="76" s="1"/>
  <c r="D104" i="76" a="1"/>
  <c r="D104" i="76" s="1"/>
  <c r="D105" i="76" a="1"/>
  <c r="D105" i="76" s="1"/>
  <c r="Q75" i="76" a="1"/>
  <c r="Q75" i="76" s="1"/>
  <c r="P75" i="76" a="1"/>
  <c r="P75" i="76" s="1"/>
  <c r="R74" i="76" a="1"/>
  <c r="R74" i="76" s="1"/>
  <c r="Q74" i="76" a="1"/>
  <c r="Q74" i="76" s="1"/>
  <c r="P74" i="76" a="1"/>
  <c r="P74" i="76" s="1"/>
  <c r="Q73" i="76" a="1"/>
  <c r="Q73" i="76" s="1"/>
  <c r="P73" i="76" a="1"/>
  <c r="P73" i="76" s="1"/>
  <c r="O73" i="76" a="1"/>
  <c r="O73" i="76" s="1"/>
  <c r="R72" i="76" a="1"/>
  <c r="R72" i="76" s="1"/>
  <c r="Q72" i="76" a="1"/>
  <c r="Q72" i="76" s="1"/>
  <c r="R71" i="76" a="1"/>
  <c r="R71" i="76" s="1"/>
  <c r="Q71" i="76" a="1"/>
  <c r="Q71" i="76" s="1"/>
  <c r="P71" i="76" a="1"/>
  <c r="P71" i="76" s="1"/>
  <c r="O71" i="76" a="1"/>
  <c r="O71" i="76" s="1"/>
  <c r="E45" i="76" a="1"/>
  <c r="E45" i="76" s="1"/>
  <c r="E44" i="76" a="1"/>
  <c r="E44" i="76" s="1"/>
  <c r="D40" i="76" a="1"/>
  <c r="D40" i="76" s="1"/>
  <c r="D39" i="76" a="1"/>
  <c r="D39" i="76" s="1"/>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E11" i="76" a="1"/>
  <c r="E11" i="76" s="1"/>
  <c r="E10" i="76" a="1"/>
  <c r="E10" i="76" s="1"/>
  <c r="D6" i="76" a="1"/>
  <c r="D6" i="76" s="1"/>
  <c r="D5" i="76" a="1"/>
  <c r="D5" i="76" s="1"/>
  <c r="E110" i="76" a="1"/>
  <c r="E110" i="76" s="1"/>
  <c r="E109" i="76" a="1"/>
  <c r="E109" i="76" s="1"/>
  <c r="P266" i="69" a="1"/>
  <c r="P266" i="69" s="1"/>
  <c r="N263" i="69" a="1"/>
  <c r="N263" i="69" s="1"/>
  <c r="E41" i="76" a="1"/>
  <c r="E7" i="76" a="1"/>
  <c r="E106" i="76" a="1"/>
  <c r="E82" i="76" a="1"/>
  <c r="E129" i="76" a="1"/>
  <c r="E71" i="76" l="1" a="1"/>
  <c r="E71" i="76" s="1"/>
  <c r="H35" i="76"/>
  <c r="R35" i="76"/>
  <c r="G27" i="70" a="1"/>
  <c r="G27" i="70" s="1"/>
  <c r="G23" i="70" a="1"/>
  <c r="G23" i="70" s="1"/>
  <c r="H23" i="70" a="1"/>
  <c r="H23" i="70" s="1"/>
  <c r="H27" i="70" a="1"/>
  <c r="H27" i="70" s="1"/>
  <c r="E27" i="70" a="1"/>
  <c r="E27" i="70" s="1"/>
  <c r="E23" i="70" a="1"/>
  <c r="E23" i="70" s="1"/>
  <c r="F23" i="70" a="1"/>
  <c r="F23" i="70" s="1"/>
  <c r="F27" i="70" a="1"/>
  <c r="F27" i="70"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H76" i="70"/>
  <c r="G76" i="70"/>
  <c r="F76" i="70"/>
  <c r="H105" i="70"/>
  <c r="G105" i="70"/>
  <c r="F105" i="70"/>
  <c r="H98" i="70"/>
  <c r="G98" i="70"/>
  <c r="F98" i="70"/>
  <c r="H91" i="70"/>
  <c r="G91" i="70"/>
  <c r="F91" i="70"/>
  <c r="H84" i="70"/>
  <c r="G84" i="70"/>
  <c r="F84" i="70"/>
  <c r="D48" i="69" a="1"/>
  <c r="D48" i="69" s="1"/>
  <c r="E47" i="69" a="1"/>
  <c r="E7" i="69" a="1"/>
  <c r="D25" i="76" l="1" a="1"/>
  <c r="N25" i="76" a="1"/>
  <c r="N25" i="76" s="1"/>
  <c r="N35" i="76" s="1" a="1"/>
  <c r="N35" i="76" s="1"/>
  <c r="E40" i="69"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Q68" i="69" a="1"/>
  <c r="Q68" i="69" s="1"/>
  <c r="R68" i="69" a="1"/>
  <c r="R68" i="69" s="1"/>
  <c r="O68" i="69" a="1"/>
  <c r="O68" i="69" s="1"/>
  <c r="E68" i="69" a="1"/>
  <c r="E68" i="69" s="1"/>
  <c r="P68" i="69" a="1"/>
  <c r="P68" i="69" s="1"/>
  <c r="G68" i="69" a="1"/>
  <c r="G68" i="69" s="1"/>
  <c r="F68" i="69" a="1"/>
  <c r="F68" i="69" s="1"/>
  <c r="H68" i="69" a="1"/>
  <c r="H68" i="69" s="1"/>
  <c r="E47" i="69"/>
  <c r="E7" i="69"/>
  <c r="Q35" i="76" l="1" a="1"/>
  <c r="Q35" i="76" s="1"/>
  <c r="P35" i="76" a="1"/>
  <c r="P35" i="76" s="1"/>
  <c r="O119" i="76" a="1"/>
  <c r="O119" i="76" s="1"/>
  <c r="N23" i="98" s="1"/>
  <c r="O118" i="76" a="1"/>
  <c r="O118" i="76" s="1"/>
  <c r="O22" i="97" s="1"/>
  <c r="O120" i="76" a="1"/>
  <c r="O120" i="76" s="1"/>
  <c r="O24" i="97" s="1"/>
  <c r="O123" i="76" a="1"/>
  <c r="O123" i="76" s="1"/>
  <c r="O27" i="97" s="1"/>
  <c r="O122" i="76" a="1"/>
  <c r="O122" i="76" s="1"/>
  <c r="O26" i="97" s="1"/>
  <c r="O121" i="76" a="1"/>
  <c r="O121" i="76" s="1"/>
  <c r="O25" i="97" s="1"/>
  <c r="D25" i="76"/>
  <c r="D35" i="76" s="1" a="1"/>
  <c r="D35" i="76" s="1"/>
  <c r="F35" i="76" a="1"/>
  <c r="F35" i="76" s="1"/>
  <c r="E35" i="76" a="1"/>
  <c r="E35" i="76" s="1"/>
  <c r="G35" i="76" a="1"/>
  <c r="G35" i="76" s="1"/>
  <c r="O35" i="76" a="1"/>
  <c r="O35" i="76" s="1"/>
  <c r="O23" i="97" l="1"/>
  <c r="Q123" i="76" a="1"/>
  <c r="Q123" i="76" s="1"/>
  <c r="Q27" i="97" s="1"/>
  <c r="Q122" i="76" a="1"/>
  <c r="Q122" i="76" s="1"/>
  <c r="Q26" i="97" s="1"/>
  <c r="Q121" i="76" a="1"/>
  <c r="Q121" i="76" s="1"/>
  <c r="Q25" i="97" s="1"/>
  <c r="Q120" i="76" a="1"/>
  <c r="Q120" i="76" s="1"/>
  <c r="Q24" i="97" s="1"/>
  <c r="Q119" i="76" a="1"/>
  <c r="Q119" i="76" s="1"/>
  <c r="Q118" i="76" a="1"/>
  <c r="Q118" i="76" s="1"/>
  <c r="Q22" i="97" s="1"/>
  <c r="R122" i="76" a="1"/>
  <c r="R122" i="76" s="1"/>
  <c r="R26" i="97" s="1"/>
  <c r="R120" i="76" a="1"/>
  <c r="R120" i="76" s="1"/>
  <c r="R24" i="97" s="1"/>
  <c r="R119" i="76" a="1"/>
  <c r="R119" i="76" s="1"/>
  <c r="R118" i="76" a="1"/>
  <c r="R118" i="76" s="1"/>
  <c r="R22" i="97" s="1"/>
  <c r="R121" i="76" a="1"/>
  <c r="R121" i="76" s="1"/>
  <c r="R25" i="97" s="1"/>
  <c r="R123" i="76" a="1"/>
  <c r="R123" i="76" s="1"/>
  <c r="R27" i="97" s="1"/>
  <c r="E120" i="76" a="1"/>
  <c r="E120" i="76" s="1"/>
  <c r="E24" i="97" s="1"/>
  <c r="E118" i="76" a="1"/>
  <c r="E118" i="76" s="1"/>
  <c r="E22" i="97" s="1"/>
  <c r="E121" i="76" a="1"/>
  <c r="E121" i="76" s="1"/>
  <c r="E25" i="97" s="1"/>
  <c r="E122" i="76" a="1"/>
  <c r="E122" i="76" s="1"/>
  <c r="E26" i="97" s="1"/>
  <c r="E119" i="76" a="1"/>
  <c r="E119" i="76" s="1"/>
  <c r="E123" i="76" a="1"/>
  <c r="E123" i="76" s="1"/>
  <c r="E27" i="97" s="1"/>
  <c r="P121" i="76" a="1"/>
  <c r="P121" i="76" s="1"/>
  <c r="P25" i="97" s="1"/>
  <c r="P122" i="76" a="1"/>
  <c r="P122" i="76" s="1"/>
  <c r="P26" i="97" s="1"/>
  <c r="P118" i="76" a="1"/>
  <c r="P118" i="76" s="1"/>
  <c r="P22" i="97" s="1"/>
  <c r="P119" i="76" a="1"/>
  <c r="P119" i="76" s="1"/>
  <c r="P120" i="76" a="1"/>
  <c r="P120" i="76" s="1"/>
  <c r="P24" i="97" s="1"/>
  <c r="P123" i="76" a="1"/>
  <c r="P123" i="76" s="1"/>
  <c r="P27" i="97" s="1"/>
  <c r="H119" i="76" a="1"/>
  <c r="H119" i="76" s="1"/>
  <c r="H118" i="76" a="1"/>
  <c r="H118" i="76" s="1"/>
  <c r="H22" i="97" s="1"/>
  <c r="H122" i="76" a="1"/>
  <c r="H122" i="76" s="1"/>
  <c r="H26" i="97" s="1"/>
  <c r="H120" i="76" a="1"/>
  <c r="H120" i="76" s="1"/>
  <c r="H24" i="97" s="1"/>
  <c r="H121" i="76" a="1"/>
  <c r="H121" i="76" s="1"/>
  <c r="H25" i="97" s="1"/>
  <c r="H123" i="76" a="1"/>
  <c r="H123" i="76" s="1"/>
  <c r="H27" i="97" s="1"/>
  <c r="G121" i="76" a="1"/>
  <c r="G121" i="76" s="1"/>
  <c r="G25" i="97" s="1"/>
  <c r="G119" i="76" a="1"/>
  <c r="G119" i="76" s="1"/>
  <c r="G123" i="76" a="1"/>
  <c r="G123" i="76" s="1"/>
  <c r="G27" i="97" s="1"/>
  <c r="G120" i="76" a="1"/>
  <c r="G120" i="76" s="1"/>
  <c r="G24" i="97" s="1"/>
  <c r="G118" i="76" a="1"/>
  <c r="G118" i="76" s="1"/>
  <c r="G22" i="97" s="1"/>
  <c r="G122" i="76" a="1"/>
  <c r="G122" i="76" s="1"/>
  <c r="G26" i="97" s="1"/>
  <c r="F122" i="76" a="1"/>
  <c r="F122" i="76" s="1"/>
  <c r="F26" i="97" s="1"/>
  <c r="F118" i="76" a="1"/>
  <c r="F118" i="76" s="1"/>
  <c r="F22" i="97" s="1"/>
  <c r="F120" i="76" a="1"/>
  <c r="F120" i="76" s="1"/>
  <c r="F24" i="97" s="1"/>
  <c r="F121" i="76" a="1"/>
  <c r="F121" i="76" s="1"/>
  <c r="F25" i="97" s="1"/>
  <c r="F123" i="76" a="1"/>
  <c r="F123" i="76" s="1"/>
  <c r="F27" i="97" s="1"/>
  <c r="F119" i="76" a="1"/>
  <c r="F119" i="76" s="1"/>
  <c r="E105" i="70"/>
  <c r="E98" i="70"/>
  <c r="E91" i="70"/>
  <c r="E84" i="70"/>
  <c r="E76" i="70"/>
  <c r="H113" i="70"/>
  <c r="G113" i="70"/>
  <c r="F113" i="70"/>
  <c r="E113" i="70"/>
  <c r="M75" i="70"/>
  <c r="M74" i="70"/>
  <c r="M73" i="70"/>
  <c r="M83" i="70"/>
  <c r="M82" i="70"/>
  <c r="M81" i="70"/>
  <c r="M80" i="70"/>
  <c r="M90" i="70"/>
  <c r="M89" i="70"/>
  <c r="M88" i="70"/>
  <c r="F91" i="105" s="1" a="1"/>
  <c r="F91" i="105" s="1"/>
  <c r="M97" i="70"/>
  <c r="M96" i="70"/>
  <c r="M95" i="70"/>
  <c r="F95" i="105" s="1" a="1"/>
  <c r="F95" i="105" s="1"/>
  <c r="M104" i="70"/>
  <c r="M103" i="70"/>
  <c r="M102" i="70"/>
  <c r="M112" i="70"/>
  <c r="M111" i="70"/>
  <c r="M110" i="70"/>
  <c r="M109" i="70"/>
  <c r="H68" i="70"/>
  <c r="G68" i="70"/>
  <c r="F68" i="70"/>
  <c r="E68" i="70"/>
  <c r="E108" i="70" s="1"/>
  <c r="F82" i="105" l="1" a="1"/>
  <c r="F82" i="105" s="1"/>
  <c r="F99" i="105" a="1"/>
  <c r="F99" i="105" s="1"/>
  <c r="F86" i="105" a="1"/>
  <c r="F86" i="105" s="1"/>
  <c r="F103" i="105" a="1"/>
  <c r="F103" i="105" s="1"/>
  <c r="P23" i="98"/>
  <c r="Q23" i="97"/>
  <c r="Q23" i="98"/>
  <c r="R23" i="97"/>
  <c r="P23" i="97"/>
  <c r="O23" i="98"/>
  <c r="G23" i="98"/>
  <c r="G23" i="97"/>
  <c r="E23" i="98"/>
  <c r="E23" i="97"/>
  <c r="H23" i="98"/>
  <c r="H23" i="97"/>
  <c r="F23" i="98"/>
  <c r="F23" i="97"/>
  <c r="F266" i="69"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218" i="69" a="1"/>
  <c r="E190" i="69" a="1"/>
  <c r="E74" i="69" a="1"/>
  <c r="E235" i="69" a="1"/>
  <c r="E160" i="69" l="1"/>
  <c r="S122" i="69"/>
  <c r="I122" i="69"/>
  <c r="I200" i="69"/>
  <c r="I68" i="69"/>
  <c r="S68" i="69"/>
  <c r="T165" i="69"/>
  <c r="S37" i="69"/>
  <c r="S103" i="69"/>
  <c r="P261" i="69"/>
  <c r="F261" i="69"/>
  <c r="R259" i="69"/>
  <c r="S206" i="69"/>
  <c r="H26" i="70" a="1"/>
  <c r="H26" i="70" s="1"/>
  <c r="G26" i="70" a="1"/>
  <c r="G26" i="70" s="1"/>
  <c r="F26" i="70" a="1"/>
  <c r="F26" i="70" s="1"/>
  <c r="E26" i="70" a="1"/>
  <c r="E26" i="70" s="1"/>
  <c r="G22" i="70" a="1"/>
  <c r="G22" i="70" s="1"/>
  <c r="H22" i="70" a="1"/>
  <c r="H22" i="70" s="1"/>
  <c r="F22" i="70" a="1"/>
  <c r="F22" i="70" s="1"/>
  <c r="E22" i="70" a="1"/>
  <c r="E22" i="70" s="1"/>
  <c r="I37" i="69"/>
  <c r="E235" i="69"/>
  <c r="E218" i="69"/>
  <c r="E74" i="69"/>
  <c r="E190" i="69"/>
  <c r="I206" i="69"/>
  <c r="J165" i="69"/>
  <c r="I103" i="69"/>
  <c r="H259" i="69"/>
  <c r="D88" i="69" l="1" a="1"/>
  <c r="D88" i="69" s="1"/>
  <c r="N88" i="69" a="1"/>
  <c r="N88" i="69" s="1"/>
  <c r="H28" i="98" a="1"/>
  <c r="H28" i="98" s="1"/>
  <c r="G28" i="98" a="1"/>
  <c r="G28" i="98" s="1"/>
  <c r="E28" i="98" a="1"/>
  <c r="E28" i="98" s="1"/>
  <c r="F28" i="98" a="1"/>
  <c r="F28" i="98" s="1"/>
  <c r="O28" i="98" a="1"/>
  <c r="O28" i="98" s="1"/>
  <c r="P28" i="98" a="1"/>
  <c r="P28" i="98" s="1"/>
  <c r="N28" i="98" a="1"/>
  <c r="N28" i="98" s="1"/>
  <c r="Q28" i="98" a="1"/>
  <c r="Q28" i="98" s="1"/>
  <c r="S58" i="105" l="1"/>
  <c r="S59" i="105"/>
  <c r="R58" i="105"/>
  <c r="R59" i="105"/>
  <c r="Q58" i="105"/>
  <c r="Q59" i="105"/>
  <c r="P58" i="105"/>
  <c r="P59" i="105"/>
  <c r="I58" i="105"/>
  <c r="I59" i="105"/>
  <c r="H58" i="105"/>
  <c r="H59" i="105"/>
  <c r="G58" i="105"/>
  <c r="G59" i="105"/>
  <c r="F58" i="105"/>
  <c r="F59" i="105"/>
  <c r="S56" i="105"/>
  <c r="S57" i="105"/>
  <c r="R56" i="105"/>
  <c r="R57" i="105"/>
  <c r="Q56" i="105"/>
  <c r="Q57" i="105"/>
  <c r="P56" i="105"/>
  <c r="P57" i="105"/>
  <c r="I56" i="105"/>
  <c r="I57" i="105"/>
  <c r="H56" i="105"/>
  <c r="H57" i="105"/>
  <c r="G56" i="105"/>
  <c r="G57" i="105"/>
  <c r="F56" i="105"/>
  <c r="F57" i="105"/>
  <c r="Q47" i="98" a="1"/>
  <c r="Q47" i="98" s="1"/>
  <c r="N47" i="98" a="1"/>
  <c r="N47" i="98" s="1"/>
  <c r="P47" i="98" a="1"/>
  <c r="P47" i="98" s="1"/>
  <c r="O47" i="98" a="1"/>
  <c r="O47" i="98" s="1"/>
  <c r="F47" i="98" a="1"/>
  <c r="F47" i="98" s="1"/>
  <c r="E47" i="98" a="1"/>
  <c r="E47" i="98" s="1"/>
  <c r="G47" i="98" a="1"/>
  <c r="G47" i="98" s="1"/>
  <c r="H47" i="98" a="1"/>
  <c r="H47" i="98" s="1"/>
  <c r="N49" i="98" l="1"/>
  <c r="F10" i="13" s="1"/>
  <c r="E49" i="98"/>
  <c r="E10" i="13" s="1"/>
  <c r="G51" i="98" l="1"/>
  <c r="E54" i="98" s="1" a="1"/>
  <c r="E54" i="98" s="1"/>
  <c r="H10" i="13" s="1"/>
  <c r="P51" i="98"/>
  <c r="N54" i="98" s="1" a="1"/>
  <c r="N54" i="98" s="1"/>
  <c r="I10" i="13" s="1"/>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53" i="70" s="1"/>
  <c r="D58" i="79"/>
  <c r="K41" i="79"/>
  <c r="G41" i="79"/>
  <c r="D36" i="70" s="1"/>
  <c r="D41" i="79"/>
  <c r="D54" i="79"/>
  <c r="E45" i="79"/>
  <c r="L45" i="79"/>
  <c r="H44" i="79"/>
  <c r="D42" i="79"/>
  <c r="K42" i="79"/>
  <c r="D55" i="79"/>
  <c r="E42" i="79"/>
  <c r="L42" i="79"/>
  <c r="G45" i="79"/>
  <c r="D59" i="70" s="1"/>
  <c r="K46" i="79"/>
  <c r="D46" i="79"/>
  <c r="D59" i="79"/>
  <c r="G43" i="79"/>
  <c r="D47" i="70" s="1"/>
  <c r="K44" i="79"/>
  <c r="D57" i="79"/>
  <c r="D44" i="79"/>
  <c r="L41" i="79"/>
  <c r="H41" i="79"/>
  <c r="E41" i="79"/>
  <c r="E46" i="79"/>
  <c r="H45" i="79"/>
  <c r="L46" i="79"/>
  <c r="D43" i="79"/>
  <c r="G42" i="79"/>
  <c r="D41" i="70" s="1"/>
  <c r="D56" i="79"/>
  <c r="K43" i="79"/>
  <c r="L43" i="79"/>
  <c r="H42" i="79"/>
  <c r="E43" i="79"/>
  <c r="D60" i="79"/>
  <c r="D47" i="79"/>
  <c r="D114" i="105" l="1"/>
  <c r="D64" i="97"/>
  <c r="D41" i="97"/>
  <c r="D24" i="97"/>
  <c r="N279" i="76"/>
  <c r="N120" i="76"/>
  <c r="N30" i="69"/>
  <c r="N88" i="97"/>
  <c r="D75" i="97"/>
  <c r="D279" i="76"/>
  <c r="D166" i="76"/>
  <c r="N73" i="76"/>
  <c r="N24" i="97"/>
  <c r="D73" i="76"/>
  <c r="D172" i="69"/>
  <c r="D21" i="69"/>
  <c r="D230" i="105"/>
  <c r="D88" i="97"/>
  <c r="D196" i="76"/>
  <c r="N105" i="69"/>
  <c r="N39" i="69"/>
  <c r="N191" i="105"/>
  <c r="D125" i="105"/>
  <c r="E125" i="105" s="1" a="1"/>
  <c r="E125" i="105" s="1"/>
  <c r="D31" i="105"/>
  <c r="N31" i="105"/>
  <c r="N266" i="76"/>
  <c r="N157" i="69"/>
  <c r="O157" i="69" s="1"/>
  <c r="D105" i="69"/>
  <c r="D39" i="69"/>
  <c r="D55" i="76"/>
  <c r="D157" i="69"/>
  <c r="E157" i="69" s="1"/>
  <c r="D266" i="76"/>
  <c r="D144" i="76"/>
  <c r="D191" i="105"/>
  <c r="D138" i="69"/>
  <c r="N61" i="105"/>
  <c r="N208" i="69"/>
  <c r="D260" i="105"/>
  <c r="N166" i="76"/>
  <c r="N143" i="105"/>
  <c r="D61" i="105"/>
  <c r="D143" i="105"/>
  <c r="D91" i="105"/>
  <c r="D155" i="76"/>
  <c r="D208" i="69"/>
  <c r="D226" i="76"/>
  <c r="N64" i="76"/>
  <c r="N172" i="69"/>
  <c r="D95" i="69"/>
  <c r="E95" i="69" s="1" a="1"/>
  <c r="E95" i="69" s="1"/>
  <c r="D120" i="76"/>
  <c r="D64" i="76"/>
  <c r="N260" i="105"/>
  <c r="N226" i="76"/>
  <c r="N75" i="97"/>
  <c r="N41" i="97"/>
  <c r="D30" i="69"/>
  <c r="D182" i="105"/>
  <c r="N134" i="105"/>
  <c r="D52" i="105"/>
  <c r="D62" i="76"/>
  <c r="D206" i="69"/>
  <c r="N103" i="69"/>
  <c r="D22" i="105"/>
  <c r="N264" i="76"/>
  <c r="D103" i="69"/>
  <c r="D134" i="105"/>
  <c r="D153" i="76"/>
  <c r="D22" i="97"/>
  <c r="N62" i="76"/>
  <c r="D19" i="69"/>
  <c r="N37" i="69"/>
  <c r="D62" i="97"/>
  <c r="N22" i="97"/>
  <c r="D187" i="76"/>
  <c r="N79" i="97"/>
  <c r="D37" i="69"/>
  <c r="D264" i="76"/>
  <c r="D53" i="76"/>
  <c r="D73" i="97"/>
  <c r="D118" i="76"/>
  <c r="D131" i="69"/>
  <c r="D123" i="105"/>
  <c r="N71" i="76"/>
  <c r="N73" i="97"/>
  <c r="N118" i="76"/>
  <c r="D164" i="76"/>
  <c r="N164" i="76"/>
  <c r="N52" i="105"/>
  <c r="D71" i="76"/>
  <c r="N165" i="69"/>
  <c r="D251" i="105"/>
  <c r="N182" i="105"/>
  <c r="N22" i="105"/>
  <c r="D270" i="76"/>
  <c r="N28" i="69"/>
  <c r="D82" i="105"/>
  <c r="D32" i="97"/>
  <c r="N155" i="69"/>
  <c r="O155" i="69" s="1"/>
  <c r="D28" i="69"/>
  <c r="N270" i="76"/>
  <c r="D142" i="76"/>
  <c r="E142" i="76" s="1" a="1"/>
  <c r="E142" i="76" s="1"/>
  <c r="N251" i="105"/>
  <c r="D79" i="97"/>
  <c r="N32" i="97"/>
  <c r="D165" i="69"/>
  <c r="N206" i="69"/>
  <c r="D221" i="105"/>
  <c r="D112" i="105"/>
  <c r="E112" i="105" s="1" a="1"/>
  <c r="E112" i="105" s="1"/>
  <c r="D217" i="76"/>
  <c r="D155" i="69"/>
  <c r="E155" i="69" s="1"/>
  <c r="N217" i="76"/>
  <c r="D93" i="69"/>
  <c r="E93" i="69" s="1" a="1"/>
  <c r="E93" i="69" s="1"/>
  <c r="D64" i="70"/>
  <c r="N147" i="105"/>
  <c r="D267" i="76"/>
  <c r="D200" i="76"/>
  <c r="D56" i="76"/>
  <c r="D106" i="69"/>
  <c r="N264" i="105"/>
  <c r="D147" i="105"/>
  <c r="D35" i="105"/>
  <c r="D25" i="97"/>
  <c r="N230" i="76"/>
  <c r="D22" i="69"/>
  <c r="D141" i="69"/>
  <c r="N65" i="105"/>
  <c r="D65" i="97"/>
  <c r="N267" i="76"/>
  <c r="D230" i="76"/>
  <c r="D158" i="69"/>
  <c r="E158" i="69" s="1"/>
  <c r="D74" i="76"/>
  <c r="D145" i="76"/>
  <c r="E145" i="76" s="1" a="1"/>
  <c r="E145" i="76" s="1"/>
  <c r="N175" i="69"/>
  <c r="D264" i="105"/>
  <c r="D126" i="105"/>
  <c r="E126" i="105" s="1" a="1"/>
  <c r="E126" i="105" s="1"/>
  <c r="D65" i="105"/>
  <c r="N74" i="76"/>
  <c r="D167" i="76"/>
  <c r="N40" i="69"/>
  <c r="D92" i="97"/>
  <c r="N283" i="76"/>
  <c r="D156" i="76"/>
  <c r="E156" i="76" s="1" a="1"/>
  <c r="E156" i="76" s="1"/>
  <c r="N25" i="97"/>
  <c r="D234" i="105"/>
  <c r="D209" i="69"/>
  <c r="D95" i="105"/>
  <c r="N92" i="97"/>
  <c r="N209" i="69"/>
  <c r="D40" i="69"/>
  <c r="D115" i="105"/>
  <c r="E115" i="105" s="1" a="1"/>
  <c r="E115" i="105" s="1"/>
  <c r="D283" i="76"/>
  <c r="N106" i="69"/>
  <c r="D31" i="69"/>
  <c r="N45" i="97"/>
  <c r="D175" i="69"/>
  <c r="N31" i="69"/>
  <c r="N195" i="105"/>
  <c r="N76" i="97"/>
  <c r="D121" i="76"/>
  <c r="N158" i="69"/>
  <c r="O158" i="69" s="1"/>
  <c r="D76" i="97"/>
  <c r="D195" i="105"/>
  <c r="N167" i="76"/>
  <c r="D65" i="76"/>
  <c r="N121" i="76"/>
  <c r="N35" i="105"/>
  <c r="D45" i="97"/>
  <c r="D96" i="69"/>
  <c r="E96" i="69" s="1" a="1"/>
  <c r="E96" i="69" s="1"/>
  <c r="N65" i="76"/>
  <c r="D86" i="105"/>
  <c r="D274" i="76"/>
  <c r="N221" i="76"/>
  <c r="D72" i="76"/>
  <c r="N156" i="69"/>
  <c r="O156" i="69" s="1"/>
  <c r="D265" i="76"/>
  <c r="N38" i="69"/>
  <c r="N74" i="97"/>
  <c r="D36" i="97"/>
  <c r="N165" i="76"/>
  <c r="D38" i="69"/>
  <c r="N255" i="105"/>
  <c r="N23" i="97"/>
  <c r="D63" i="76"/>
  <c r="D20" i="69"/>
  <c r="N56" i="105"/>
  <c r="N265" i="76"/>
  <c r="N168" i="69"/>
  <c r="D104" i="69"/>
  <c r="D63" i="97"/>
  <c r="E63" i="97" s="1" a="1"/>
  <c r="E63" i="97" s="1"/>
  <c r="N36" i="97"/>
  <c r="D23" i="97"/>
  <c r="D191" i="76"/>
  <c r="N274" i="76"/>
  <c r="D255" i="105"/>
  <c r="N104" i="69"/>
  <c r="D54" i="76"/>
  <c r="D156" i="69"/>
  <c r="E156" i="69" s="1"/>
  <c r="M28" i="98"/>
  <c r="D74" i="97"/>
  <c r="D119" i="76"/>
  <c r="M23" i="98"/>
  <c r="D221" i="76"/>
  <c r="D165" i="76"/>
  <c r="D83" i="97"/>
  <c r="D28" i="98"/>
  <c r="D134" i="69"/>
  <c r="D225" i="105"/>
  <c r="D124" i="105"/>
  <c r="E124" i="105" s="1" a="1"/>
  <c r="E124" i="105" s="1"/>
  <c r="N72" i="76"/>
  <c r="D23" i="98"/>
  <c r="N83" i="97"/>
  <c r="D168" i="69"/>
  <c r="D154" i="76"/>
  <c r="E154" i="76" s="1" a="1"/>
  <c r="E154" i="76" s="1"/>
  <c r="N207" i="69"/>
  <c r="N186" i="105"/>
  <c r="N26" i="105"/>
  <c r="D138" i="105"/>
  <c r="D56" i="105"/>
  <c r="M47" i="98"/>
  <c r="D94" i="69"/>
  <c r="E94" i="69" s="1" a="1"/>
  <c r="E94" i="69" s="1"/>
  <c r="D47" i="98"/>
  <c r="N29" i="69"/>
  <c r="D26" i="105"/>
  <c r="D186" i="105"/>
  <c r="N63" i="76"/>
  <c r="N138" i="105"/>
  <c r="D143" i="76"/>
  <c r="E143" i="76" s="1" a="1"/>
  <c r="E143" i="76" s="1"/>
  <c r="D29" i="69"/>
  <c r="D113" i="105"/>
  <c r="E113" i="105" s="1" a="1"/>
  <c r="E113" i="105" s="1"/>
  <c r="N119" i="76"/>
  <c r="D207" i="69"/>
  <c r="D199" i="105"/>
  <c r="D157" i="76"/>
  <c r="E157" i="76" s="1" a="1"/>
  <c r="E157" i="76" s="1"/>
  <c r="N41" i="69"/>
  <c r="N122" i="76"/>
  <c r="D178" i="69"/>
  <c r="D144" i="69"/>
  <c r="N199" i="105"/>
  <c r="N69" i="105"/>
  <c r="D122" i="76"/>
  <c r="D57" i="76"/>
  <c r="D39" i="105"/>
  <c r="N75" i="76"/>
  <c r="D99" i="105"/>
  <c r="N168" i="76"/>
  <c r="D127" i="105"/>
  <c r="E127" i="105" s="1" a="1"/>
  <c r="E127" i="105" s="1"/>
  <c r="D146" i="76"/>
  <c r="E146" i="76" s="1" a="1"/>
  <c r="E146" i="76" s="1"/>
  <c r="D75" i="76"/>
  <c r="N49" i="97"/>
  <c r="N96" i="97"/>
  <c r="D26" i="97"/>
  <c r="D287" i="76"/>
  <c r="N39" i="105"/>
  <c r="D210" i="69"/>
  <c r="D268" i="105"/>
  <c r="N107" i="69"/>
  <c r="D32" i="69"/>
  <c r="D96" i="97"/>
  <c r="D49" i="97"/>
  <c r="N210" i="69"/>
  <c r="D41" i="69"/>
  <c r="N32" i="69"/>
  <c r="N268" i="105"/>
  <c r="D66" i="97"/>
  <c r="E66" i="97" s="1" a="1"/>
  <c r="E66" i="97" s="1"/>
  <c r="N178" i="69"/>
  <c r="N66" i="76"/>
  <c r="N151" i="105"/>
  <c r="D116" i="105"/>
  <c r="D107" i="69"/>
  <c r="N234" i="76"/>
  <c r="D204" i="76"/>
  <c r="D238" i="105"/>
  <c r="N287" i="76"/>
  <c r="N268" i="76"/>
  <c r="D168" i="76"/>
  <c r="D23" i="69"/>
  <c r="D268" i="76"/>
  <c r="D69" i="105"/>
  <c r="D97" i="69"/>
  <c r="E97" i="69" s="1" a="1"/>
  <c r="E97" i="69" s="1"/>
  <c r="N77" i="97"/>
  <c r="N159" i="69"/>
  <c r="O159" i="69" s="1"/>
  <c r="D151" i="105"/>
  <c r="N26" i="97"/>
  <c r="D77" i="97"/>
  <c r="D66" i="76"/>
  <c r="D159" i="69"/>
  <c r="E159" i="69" s="1"/>
  <c r="D234" i="76"/>
  <c r="D44" i="70"/>
  <c r="D42" i="70"/>
  <c r="D43" i="70"/>
  <c r="D49" i="70"/>
  <c r="D48" i="70"/>
  <c r="D50" i="70"/>
  <c r="D62" i="70"/>
  <c r="D60" i="70"/>
  <c r="D61" i="70"/>
  <c r="D39" i="70"/>
  <c r="D38" i="70"/>
  <c r="D55" i="70"/>
  <c r="D56" i="70"/>
  <c r="D54" i="70"/>
  <c r="D37" i="70"/>
  <c r="D159" i="76"/>
  <c r="E159" i="76" s="1" a="1"/>
  <c r="E159" i="76" s="1"/>
  <c r="D148" i="76"/>
  <c r="E148" i="76" s="1" a="1"/>
  <c r="E148" i="76" s="1"/>
  <c r="D68" i="97"/>
  <c r="E68" i="97" s="1" a="1"/>
  <c r="E68" i="97" s="1"/>
  <c r="D129" i="105"/>
  <c r="E129" i="105" s="1" a="1"/>
  <c r="E129" i="105" s="1"/>
  <c r="D118" i="105"/>
  <c r="E118" i="105" s="1" a="1"/>
  <c r="E118" i="105" s="1"/>
  <c r="D76" i="70"/>
  <c r="E128" i="105" a="1"/>
  <c r="E128" i="105" s="1"/>
  <c r="E117" i="105" a="1"/>
  <c r="E117" i="105" s="1"/>
  <c r="E67" i="97" a="1"/>
  <c r="E67" i="97" s="1"/>
  <c r="E147" i="76" a="1"/>
  <c r="E147" i="76" s="1"/>
  <c r="E158" i="76" a="1"/>
  <c r="E158" i="76" s="1"/>
  <c r="D72" i="70"/>
  <c r="D87" i="70"/>
  <c r="D79" i="70"/>
  <c r="D101" i="70"/>
  <c r="D94" i="70"/>
  <c r="E114" i="105" a="1"/>
  <c r="E114" i="105" s="1"/>
  <c r="E116" i="105" a="1"/>
  <c r="E116" i="105" s="1"/>
  <c r="D73" i="70"/>
  <c r="E64" i="97" a="1"/>
  <c r="E64" i="97" s="1"/>
  <c r="E155" i="76" a="1"/>
  <c r="E155" i="76" s="1"/>
  <c r="E144" i="76" a="1"/>
  <c r="E144" i="76" s="1"/>
  <c r="D74" i="70"/>
  <c r="E65" i="97" a="1"/>
  <c r="E65" i="97" s="1"/>
  <c r="D75" i="70"/>
  <c r="O224" i="76" l="1"/>
  <c r="E224" i="76"/>
  <c r="O141" i="105"/>
  <c r="O86" i="97"/>
  <c r="E141" i="105"/>
  <c r="E228" i="105"/>
  <c r="O39" i="97"/>
  <c r="E277" i="76"/>
  <c r="O258" i="105"/>
  <c r="O29" i="105"/>
  <c r="E39" i="97"/>
  <c r="E189" i="105"/>
  <c r="E258" i="105"/>
  <c r="O189" i="105"/>
  <c r="E29" i="105"/>
  <c r="E59" i="105"/>
  <c r="E86" i="97"/>
  <c r="O171" i="69"/>
  <c r="O59" i="105"/>
  <c r="E171" i="69"/>
  <c r="E89" i="105"/>
  <c r="O277" i="76"/>
  <c r="O269" i="105"/>
  <c r="E200" i="105"/>
  <c r="O152" i="105"/>
  <c r="O40" i="105"/>
  <c r="E269" i="105"/>
  <c r="E239" i="105"/>
  <c r="E152" i="105"/>
  <c r="E40" i="105"/>
  <c r="O50" i="97"/>
  <c r="E100" i="105"/>
  <c r="E50" i="97"/>
  <c r="O288" i="76"/>
  <c r="E288" i="76"/>
  <c r="O235" i="76"/>
  <c r="O200" i="105"/>
  <c r="E235" i="76"/>
  <c r="O179" i="69"/>
  <c r="E179" i="69"/>
  <c r="E70" i="105"/>
  <c r="O70" i="105"/>
  <c r="O97" i="97"/>
  <c r="E97" i="97"/>
  <c r="O46" i="105"/>
  <c r="O184" i="69"/>
  <c r="O76" i="105"/>
  <c r="E184" i="69"/>
  <c r="O206" i="105"/>
  <c r="O103" i="97"/>
  <c r="E46" i="105"/>
  <c r="E103" i="97"/>
  <c r="E245" i="105"/>
  <c r="E158" i="105"/>
  <c r="E76" i="105"/>
  <c r="O56" i="97"/>
  <c r="E294" i="76"/>
  <c r="O294" i="76"/>
  <c r="E241" i="76"/>
  <c r="O241" i="76"/>
  <c r="E56" i="97"/>
  <c r="E206" i="105"/>
  <c r="E106" i="105"/>
  <c r="O275" i="105"/>
  <c r="E275" i="105"/>
  <c r="O158" i="105"/>
  <c r="O253" i="105"/>
  <c r="E136" i="105"/>
  <c r="O167" i="69"/>
  <c r="E253" i="105"/>
  <c r="O272" i="76"/>
  <c r="E272" i="76"/>
  <c r="E223" i="105"/>
  <c r="E184" i="105"/>
  <c r="E84" i="105"/>
  <c r="O24" i="105"/>
  <c r="E24" i="105"/>
  <c r="O184" i="105"/>
  <c r="O34" i="97"/>
  <c r="O136" i="105"/>
  <c r="E54" i="105"/>
  <c r="O219" i="76"/>
  <c r="O54" i="105"/>
  <c r="E167" i="69"/>
  <c r="E81" i="97"/>
  <c r="O81" i="97"/>
  <c r="E34" i="97"/>
  <c r="E219" i="76"/>
  <c r="E187" i="105"/>
  <c r="O84" i="97"/>
  <c r="O256" i="105"/>
  <c r="O57" i="105"/>
  <c r="E256" i="105"/>
  <c r="E226" i="105"/>
  <c r="O187" i="105"/>
  <c r="E57" i="105"/>
  <c r="O27" i="105"/>
  <c r="E87" i="105"/>
  <c r="E275" i="76"/>
  <c r="O222" i="76"/>
  <c r="O169" i="69"/>
  <c r="E139" i="105"/>
  <c r="E222" i="76"/>
  <c r="E169" i="69"/>
  <c r="O139" i="105"/>
  <c r="E37" i="97"/>
  <c r="E84" i="97"/>
  <c r="E27" i="105"/>
  <c r="O37" i="97"/>
  <c r="O275" i="76"/>
  <c r="O34" i="105"/>
  <c r="O263" i="105"/>
  <c r="E233" i="105"/>
  <c r="O194" i="105"/>
  <c r="E64" i="105"/>
  <c r="E263" i="105"/>
  <c r="E194" i="105"/>
  <c r="O146" i="105"/>
  <c r="E34" i="105"/>
  <c r="E44" i="97"/>
  <c r="O282" i="76"/>
  <c r="E146" i="105"/>
  <c r="E282" i="76"/>
  <c r="O229" i="76"/>
  <c r="E229" i="76"/>
  <c r="O64" i="105"/>
  <c r="E94" i="105"/>
  <c r="E91" i="97"/>
  <c r="O91" i="97"/>
  <c r="O44" i="97"/>
  <c r="E97" i="105"/>
  <c r="O67" i="105"/>
  <c r="E285" i="76"/>
  <c r="O94" i="97"/>
  <c r="E94" i="97"/>
  <c r="O177" i="69"/>
  <c r="O37" i="105"/>
  <c r="E236" i="105"/>
  <c r="O47" i="97"/>
  <c r="E232" i="76"/>
  <c r="O232" i="76"/>
  <c r="E37" i="105"/>
  <c r="E177" i="69"/>
  <c r="E47" i="97"/>
  <c r="O285" i="76"/>
  <c r="E197" i="105"/>
  <c r="O197" i="105"/>
  <c r="O149" i="105"/>
  <c r="E149" i="105"/>
  <c r="E67" i="105"/>
  <c r="O266" i="105"/>
  <c r="E266" i="105"/>
  <c r="O28" i="105"/>
  <c r="E188" i="105"/>
  <c r="O140" i="105"/>
  <c r="E28" i="105"/>
  <c r="E140" i="105"/>
  <c r="O58" i="105"/>
  <c r="E58" i="105"/>
  <c r="E227" i="105"/>
  <c r="E85" i="97"/>
  <c r="O223" i="76"/>
  <c r="O170" i="69"/>
  <c r="O38" i="97"/>
  <c r="E276" i="76"/>
  <c r="E257" i="105"/>
  <c r="O188" i="105"/>
  <c r="O276" i="76"/>
  <c r="E223" i="76"/>
  <c r="E170" i="69"/>
  <c r="O257" i="105"/>
  <c r="E38" i="97"/>
  <c r="O85" i="97"/>
  <c r="E88" i="105"/>
  <c r="O73" i="105"/>
  <c r="E291" i="76"/>
  <c r="O291" i="76"/>
  <c r="O100" i="97"/>
  <c r="E272" i="105"/>
  <c r="O155" i="105"/>
  <c r="E155" i="105"/>
  <c r="O272" i="105"/>
  <c r="E203" i="105"/>
  <c r="E73" i="105"/>
  <c r="O203" i="105"/>
  <c r="E242" i="105"/>
  <c r="E100" i="97"/>
  <c r="E43" i="105"/>
  <c r="E181" i="69"/>
  <c r="E103" i="105"/>
  <c r="O53" i="97"/>
  <c r="O181" i="69"/>
  <c r="O43" i="105"/>
  <c r="O238" i="76"/>
  <c r="E238" i="76"/>
  <c r="E53" i="97"/>
  <c r="E147" i="69" a="1"/>
  <c r="E147" i="69" s="1"/>
  <c r="E208" i="76" a="1"/>
  <c r="E208" i="76" s="1"/>
  <c r="E218" i="76"/>
  <c r="E166" i="69"/>
  <c r="O80" i="97"/>
  <c r="E80" i="97"/>
  <c r="E222" i="105"/>
  <c r="O23" i="105"/>
  <c r="O183" i="105"/>
  <c r="E135" i="105"/>
  <c r="O166" i="69"/>
  <c r="O135" i="105"/>
  <c r="E53" i="105"/>
  <c r="O53" i="105"/>
  <c r="E252" i="105"/>
  <c r="O33" i="97"/>
  <c r="E271" i="76"/>
  <c r="O218" i="76"/>
  <c r="O252" i="105"/>
  <c r="O271" i="76"/>
  <c r="E83" i="105"/>
  <c r="E33" i="97"/>
  <c r="E183" i="105"/>
  <c r="E23" i="105"/>
  <c r="E193" i="105"/>
  <c r="O90" i="97"/>
  <c r="O63" i="105"/>
  <c r="O262" i="105"/>
  <c r="E232" i="105"/>
  <c r="O193" i="105"/>
  <c r="E262" i="105"/>
  <c r="E281" i="76"/>
  <c r="O228" i="76"/>
  <c r="O43" i="97"/>
  <c r="E43" i="97"/>
  <c r="O281" i="76"/>
  <c r="E145" i="105"/>
  <c r="E63" i="105"/>
  <c r="E93" i="105"/>
  <c r="O174" i="69"/>
  <c r="E228" i="76"/>
  <c r="E33" i="105"/>
  <c r="O145" i="105"/>
  <c r="E174" i="69"/>
  <c r="O33" i="105"/>
  <c r="E90" i="97"/>
  <c r="E52" i="97"/>
  <c r="O290" i="76"/>
  <c r="O72" i="105"/>
  <c r="O237" i="76"/>
  <c r="O154" i="105"/>
  <c r="E154" i="105"/>
  <c r="E72" i="105"/>
  <c r="E237" i="76"/>
  <c r="O271" i="105"/>
  <c r="E271" i="105"/>
  <c r="E202" i="105"/>
  <c r="O202" i="105"/>
  <c r="O99" i="97"/>
  <c r="E241" i="105"/>
  <c r="O52" i="97"/>
  <c r="O42" i="105"/>
  <c r="E102" i="105"/>
  <c r="E42" i="105"/>
  <c r="E290" i="76"/>
  <c r="E99" i="97"/>
  <c r="E205" i="105"/>
  <c r="O102" i="97"/>
  <c r="E105" i="105"/>
  <c r="E55" i="97"/>
  <c r="O183" i="69"/>
  <c r="E45" i="105"/>
  <c r="E244" i="105"/>
  <c r="E183" i="69"/>
  <c r="O45" i="105"/>
  <c r="E102" i="97"/>
  <c r="O274" i="105"/>
  <c r="E157" i="105"/>
  <c r="E75" i="105"/>
  <c r="O240" i="76"/>
  <c r="E274" i="105"/>
  <c r="O157" i="105"/>
  <c r="O75" i="105"/>
  <c r="O55" i="97"/>
  <c r="E293" i="76"/>
  <c r="O293" i="76"/>
  <c r="E240" i="76"/>
  <c r="O205" i="105"/>
  <c r="E56" i="105"/>
  <c r="E36" i="97"/>
  <c r="O255" i="105"/>
  <c r="O186" i="105"/>
  <c r="O36" i="97"/>
  <c r="E255" i="105"/>
  <c r="E86" i="105"/>
  <c r="O274" i="76"/>
  <c r="O56" i="105"/>
  <c r="O221" i="76"/>
  <c r="O168" i="69"/>
  <c r="E274" i="76"/>
  <c r="E221" i="76"/>
  <c r="O83" i="97"/>
  <c r="E168" i="69"/>
  <c r="O26" i="105"/>
  <c r="E83" i="97"/>
  <c r="E225" i="105"/>
  <c r="E186" i="105"/>
  <c r="E26" i="105"/>
  <c r="O138" i="105"/>
  <c r="E138" i="105"/>
  <c r="E191" i="76" a="1"/>
  <c r="E191" i="76" s="1"/>
  <c r="E134" i="69" a="1"/>
  <c r="E134" i="69" s="1"/>
  <c r="O207" i="105"/>
  <c r="E77" i="105"/>
  <c r="E246" i="105"/>
  <c r="E207" i="105"/>
  <c r="O159" i="105"/>
  <c r="O47" i="105"/>
  <c r="O276" i="105"/>
  <c r="E47" i="105"/>
  <c r="O57" i="97"/>
  <c r="O295" i="76"/>
  <c r="E242" i="76"/>
  <c r="E104" i="97"/>
  <c r="O242" i="76"/>
  <c r="O104" i="97"/>
  <c r="E57" i="97"/>
  <c r="E295" i="76"/>
  <c r="E276" i="105"/>
  <c r="E159" i="105"/>
  <c r="O77" i="105"/>
  <c r="E107" i="105"/>
  <c r="O270" i="105"/>
  <c r="E153" i="105"/>
  <c r="E270" i="105"/>
  <c r="O236" i="76"/>
  <c r="E236" i="76"/>
  <c r="O201" i="105"/>
  <c r="E101" i="105"/>
  <c r="E289" i="76"/>
  <c r="E71" i="105"/>
  <c r="E201" i="105"/>
  <c r="O71" i="105"/>
  <c r="O41" i="105"/>
  <c r="E41" i="105"/>
  <c r="O153" i="105"/>
  <c r="O289" i="76"/>
  <c r="O51" i="97"/>
  <c r="O180" i="69"/>
  <c r="E240" i="105"/>
  <c r="O98" i="97"/>
  <c r="E51" i="97"/>
  <c r="E180" i="69"/>
  <c r="E98" i="97"/>
  <c r="O61" i="105"/>
  <c r="O172" i="69"/>
  <c r="E172" i="69"/>
  <c r="E91" i="105"/>
  <c r="E88" i="97"/>
  <c r="O41" i="97"/>
  <c r="O31" i="105"/>
  <c r="E191" i="105"/>
  <c r="O191" i="105"/>
  <c r="E31" i="105"/>
  <c r="E260" i="105"/>
  <c r="E143" i="105"/>
  <c r="O143" i="105"/>
  <c r="E61" i="105"/>
  <c r="O88" i="97"/>
  <c r="E41" i="97"/>
  <c r="E279" i="76"/>
  <c r="O260" i="105"/>
  <c r="E230" i="105"/>
  <c r="O226" i="76"/>
  <c r="O279" i="76"/>
  <c r="E226" i="76"/>
  <c r="E138" i="69" a="1"/>
  <c r="E138" i="69" s="1"/>
  <c r="E196" i="76" a="1"/>
  <c r="E196" i="76" s="1"/>
  <c r="E46" i="97"/>
  <c r="O284" i="76"/>
  <c r="E284" i="76"/>
  <c r="E265" i="105"/>
  <c r="O148" i="105"/>
  <c r="E176" i="69"/>
  <c r="E235" i="105"/>
  <c r="E148" i="105"/>
  <c r="O93" i="97"/>
  <c r="E93" i="97"/>
  <c r="E66" i="105"/>
  <c r="O36" i="105"/>
  <c r="O176" i="69"/>
  <c r="E96" i="105"/>
  <c r="O46" i="97"/>
  <c r="E231" i="76"/>
  <c r="O231" i="76"/>
  <c r="E36" i="105"/>
  <c r="O66" i="105"/>
  <c r="O265" i="105"/>
  <c r="O196" i="105"/>
  <c r="E196" i="105"/>
  <c r="E237" i="105"/>
  <c r="E233" i="76"/>
  <c r="O48" i="97"/>
  <c r="E48" i="97"/>
  <c r="O95" i="97"/>
  <c r="O38" i="105"/>
  <c r="E95" i="97"/>
  <c r="E38" i="105"/>
  <c r="O198" i="105"/>
  <c r="E98" i="105"/>
  <c r="O233" i="76"/>
  <c r="E286" i="76"/>
  <c r="E198" i="105"/>
  <c r="O286" i="76"/>
  <c r="E267" i="105"/>
  <c r="O267" i="105"/>
  <c r="E68" i="105"/>
  <c r="O150" i="105"/>
  <c r="O68" i="105"/>
  <c r="E150" i="105"/>
  <c r="O22" i="105"/>
  <c r="E79" i="97"/>
  <c r="E182" i="105"/>
  <c r="E22" i="105"/>
  <c r="E134" i="105"/>
  <c r="O217" i="76"/>
  <c r="O165" i="69"/>
  <c r="O79" i="97"/>
  <c r="E221" i="105"/>
  <c r="O52" i="105"/>
  <c r="O134" i="105"/>
  <c r="E52" i="105"/>
  <c r="E165" i="69"/>
  <c r="E82" i="105"/>
  <c r="E32" i="97"/>
  <c r="E217" i="76"/>
  <c r="O251" i="105"/>
  <c r="O32" i="97"/>
  <c r="E270" i="76"/>
  <c r="E251" i="105"/>
  <c r="O182" i="105"/>
  <c r="O270" i="76"/>
  <c r="E187" i="76" a="1"/>
  <c r="E187" i="76" s="1"/>
  <c r="E131" i="69" a="1"/>
  <c r="E131" i="69" s="1"/>
  <c r="E35" i="97"/>
  <c r="O82" i="97"/>
  <c r="E82" i="97"/>
  <c r="O185" i="105"/>
  <c r="E25" i="105"/>
  <c r="O254" i="105"/>
  <c r="E185" i="105"/>
  <c r="O35" i="97"/>
  <c r="E85" i="105"/>
  <c r="E254" i="105"/>
  <c r="E55" i="105"/>
  <c r="E273" i="76"/>
  <c r="O273" i="76"/>
  <c r="E220" i="76"/>
  <c r="O220" i="76"/>
  <c r="E224" i="105"/>
  <c r="O137" i="105"/>
  <c r="E137" i="105"/>
  <c r="O55" i="105"/>
  <c r="O25" i="105"/>
  <c r="E239" i="76"/>
  <c r="E101" i="97"/>
  <c r="E104" i="105"/>
  <c r="O54" i="97"/>
  <c r="O273" i="105"/>
  <c r="E156" i="105"/>
  <c r="E243" i="105"/>
  <c r="O101" i="97"/>
  <c r="E182" i="69"/>
  <c r="E273" i="105"/>
  <c r="O182" i="69"/>
  <c r="E204" i="105"/>
  <c r="E74" i="105"/>
  <c r="O156" i="105"/>
  <c r="O74" i="105"/>
  <c r="O239" i="76"/>
  <c r="O204" i="105"/>
  <c r="E54" i="97"/>
  <c r="O44" i="105"/>
  <c r="E44" i="105"/>
  <c r="O292" i="76"/>
  <c r="E292" i="76"/>
  <c r="O259" i="105"/>
  <c r="E142" i="105"/>
  <c r="E259" i="105"/>
  <c r="O278" i="76"/>
  <c r="O87" i="97"/>
  <c r="E229" i="105"/>
  <c r="E87" i="97"/>
  <c r="O30" i="105"/>
  <c r="E190" i="105"/>
  <c r="O190" i="105"/>
  <c r="E30" i="105"/>
  <c r="O142" i="105"/>
  <c r="E90" i="105"/>
  <c r="O40" i="97"/>
  <c r="E278" i="76"/>
  <c r="O225" i="76"/>
  <c r="E40" i="97"/>
  <c r="E225" i="76"/>
  <c r="E60" i="105"/>
  <c r="O60" i="105"/>
  <c r="O39" i="105"/>
  <c r="E96" i="97"/>
  <c r="E178" i="69"/>
  <c r="O69" i="105"/>
  <c r="O199" i="105"/>
  <c r="O268" i="105"/>
  <c r="E199" i="105"/>
  <c r="E99" i="105"/>
  <c r="O49" i="97"/>
  <c r="O287" i="76"/>
  <c r="E49" i="97"/>
  <c r="O178" i="69"/>
  <c r="O151" i="105"/>
  <c r="E268" i="105"/>
  <c r="E39" i="105"/>
  <c r="E151" i="105"/>
  <c r="E238" i="105"/>
  <c r="E234" i="76"/>
  <c r="O96" i="97"/>
  <c r="E287" i="76"/>
  <c r="E69" i="105"/>
  <c r="O234" i="76"/>
  <c r="E144" i="69" a="1"/>
  <c r="E144" i="69" s="1"/>
  <c r="E204" i="76" a="1"/>
  <c r="E204" i="76" s="1"/>
  <c r="E227" i="76"/>
  <c r="E92" i="105"/>
  <c r="E42" i="97"/>
  <c r="O192" i="105"/>
  <c r="O42" i="97"/>
  <c r="E192" i="105"/>
  <c r="O261" i="105"/>
  <c r="E144" i="105"/>
  <c r="O144" i="105"/>
  <c r="E62" i="105"/>
  <c r="O62" i="105"/>
  <c r="O227" i="76"/>
  <c r="E261" i="105"/>
  <c r="O32" i="105"/>
  <c r="E32" i="105"/>
  <c r="O89" i="97"/>
  <c r="O173" i="69"/>
  <c r="E89" i="97"/>
  <c r="E173" i="69"/>
  <c r="O280" i="76"/>
  <c r="E231" i="105"/>
  <c r="E280" i="76"/>
  <c r="O264" i="105"/>
  <c r="E230" i="76"/>
  <c r="E147" i="105"/>
  <c r="E264" i="105"/>
  <c r="E65" i="105"/>
  <c r="O175" i="69"/>
  <c r="O147" i="105"/>
  <c r="E175" i="69"/>
  <c r="E95" i="105"/>
  <c r="O92" i="97"/>
  <c r="O45" i="97"/>
  <c r="O230" i="76"/>
  <c r="O65" i="105"/>
  <c r="E92" i="97"/>
  <c r="O283" i="76"/>
  <c r="E234" i="105"/>
  <c r="O35" i="105"/>
  <c r="E45" i="97"/>
  <c r="E283" i="76"/>
  <c r="E195" i="105"/>
  <c r="O195" i="105"/>
  <c r="E35" i="105"/>
  <c r="E141" i="69" a="1"/>
  <c r="E141" i="69" s="1"/>
  <c r="E200" i="76" a="1"/>
  <c r="E200" i="76" s="1"/>
  <c r="D63" i="69"/>
  <c r="D95" i="76"/>
  <c r="D98" i="69"/>
  <c r="E98" i="69" s="1" a="1"/>
  <c r="E98" i="69" s="1"/>
  <c r="H108" i="69" s="1" a="1"/>
  <c r="H108" i="69" s="1"/>
  <c r="D108" i="70"/>
  <c r="R209" i="69" a="1"/>
  <c r="R209" i="69" s="1"/>
  <c r="Q209" i="69" a="1"/>
  <c r="Q209" i="69" s="1"/>
  <c r="P209" i="69" a="1"/>
  <c r="P209" i="69" s="1"/>
  <c r="O209" i="69" a="1"/>
  <c r="O209" i="69" s="1"/>
  <c r="P211" i="69" a="1"/>
  <c r="P211" i="69" s="1"/>
  <c r="O211" i="69" a="1"/>
  <c r="O211" i="69" s="1"/>
  <c r="Q211" i="69" a="1"/>
  <c r="Q211" i="69" s="1"/>
  <c r="R211" i="69" a="1"/>
  <c r="R211" i="69" s="1"/>
  <c r="Q207" i="69" a="1"/>
  <c r="Q207" i="69" s="1"/>
  <c r="P207" i="69" a="1"/>
  <c r="P207" i="69" s="1"/>
  <c r="O207" i="69" a="1"/>
  <c r="O207" i="69" s="1"/>
  <c r="R207" i="69" a="1"/>
  <c r="R207" i="69" s="1"/>
  <c r="R206" i="69" a="1"/>
  <c r="R206" i="69" s="1"/>
  <c r="Q206" i="69" a="1"/>
  <c r="Q206" i="69" s="1"/>
  <c r="P206" i="69" a="1"/>
  <c r="P206" i="69" s="1"/>
  <c r="O206" i="69" a="1"/>
  <c r="O206" i="69" s="1"/>
  <c r="P210" i="69" a="1"/>
  <c r="P210" i="69" s="1"/>
  <c r="O210" i="69" a="1"/>
  <c r="O210" i="69" s="1"/>
  <c r="R210" i="69" a="1"/>
  <c r="R210" i="69" s="1"/>
  <c r="Q210" i="69" a="1"/>
  <c r="Q210" i="69" s="1"/>
  <c r="R208" i="69" a="1"/>
  <c r="R208" i="69" s="1"/>
  <c r="Q208" i="69" a="1"/>
  <c r="Q208" i="69" s="1"/>
  <c r="P208" i="69" a="1"/>
  <c r="P208" i="69" s="1"/>
  <c r="O208" i="69" a="1"/>
  <c r="O208" i="69" s="1"/>
  <c r="E169" i="76" a="1"/>
  <c r="E169" i="76" s="1"/>
  <c r="Q169" i="76" a="1"/>
  <c r="Q169" i="76" s="1"/>
  <c r="R169" i="76" a="1"/>
  <c r="R169" i="76" s="1"/>
  <c r="H169" i="76" a="1"/>
  <c r="H169" i="76" s="1"/>
  <c r="G169" i="76" a="1"/>
  <c r="G169" i="76" s="1"/>
  <c r="F169" i="76" a="1"/>
  <c r="F169" i="76" s="1"/>
  <c r="P169" i="76" a="1"/>
  <c r="P169" i="76" s="1"/>
  <c r="O169" i="76" a="1"/>
  <c r="O169" i="76" s="1"/>
  <c r="S266" i="76" a="1"/>
  <c r="S266" i="76" s="1"/>
  <c r="R266" i="76" a="1"/>
  <c r="R266" i="76" s="1"/>
  <c r="Q266" i="76" a="1"/>
  <c r="Q266" i="76" s="1"/>
  <c r="P266" i="76" a="1"/>
  <c r="P266" i="76" s="1"/>
  <c r="H266" i="76" a="1"/>
  <c r="H266" i="76" s="1"/>
  <c r="G266" i="76" a="1"/>
  <c r="G266" i="76" s="1"/>
  <c r="F266" i="76" a="1"/>
  <c r="F266" i="76" s="1"/>
  <c r="I266" i="76" a="1"/>
  <c r="I266" i="76" s="1"/>
  <c r="G208" i="69" a="1"/>
  <c r="G208" i="69" s="1"/>
  <c r="H208" i="69" a="1"/>
  <c r="H208" i="69" s="1"/>
  <c r="E208" i="69" a="1"/>
  <c r="E208" i="69" s="1"/>
  <c r="F208" i="69" a="1"/>
  <c r="F208" i="69" s="1"/>
  <c r="P268" i="76" a="1"/>
  <c r="P268" i="76" s="1"/>
  <c r="I268" i="76" a="1"/>
  <c r="I268" i="76" s="1"/>
  <c r="H268" i="76" a="1"/>
  <c r="H268" i="76" s="1"/>
  <c r="G268" i="76" a="1"/>
  <c r="G268" i="76" s="1"/>
  <c r="F268" i="76" a="1"/>
  <c r="F268" i="76" s="1"/>
  <c r="S268" i="76" a="1"/>
  <c r="S268" i="76" s="1"/>
  <c r="R268" i="76" a="1"/>
  <c r="R268" i="76" s="1"/>
  <c r="Q268" i="76" a="1"/>
  <c r="Q268" i="76" s="1"/>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S267" i="76" a="1"/>
  <c r="S267" i="76" s="1"/>
  <c r="R267" i="76" a="1"/>
  <c r="R267" i="76" s="1"/>
  <c r="Q267" i="76" a="1"/>
  <c r="Q267" i="76" s="1"/>
  <c r="P267" i="76" a="1"/>
  <c r="P267" i="76" s="1"/>
  <c r="H267" i="76" a="1"/>
  <c r="H267" i="76" s="1"/>
  <c r="I267" i="76" a="1"/>
  <c r="I267" i="76" s="1"/>
  <c r="G267" i="76" a="1"/>
  <c r="G267" i="76" s="1"/>
  <c r="F267" i="76" a="1"/>
  <c r="F267" i="76" s="1"/>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62" i="97" a="1"/>
  <c r="E62" i="97" s="1"/>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G167" i="76" a="1"/>
  <c r="G167" i="76" s="1"/>
  <c r="O167" i="76" a="1"/>
  <c r="O167" i="76" s="1"/>
  <c r="R167" i="76" a="1"/>
  <c r="R167" i="76" s="1"/>
  <c r="P167" i="76" a="1"/>
  <c r="P167" i="76" s="1"/>
  <c r="E167" i="76" a="1"/>
  <c r="E167" i="76" s="1"/>
  <c r="H167" i="76" a="1"/>
  <c r="H167" i="76" s="1"/>
  <c r="Q167" i="76" a="1"/>
  <c r="Q167" i="76" s="1"/>
  <c r="F167" i="76" a="1"/>
  <c r="F167" i="76" s="1"/>
  <c r="F104" i="69" a="1"/>
  <c r="F104" i="69" s="1"/>
  <c r="E104" i="69" a="1"/>
  <c r="E104" i="69" s="1"/>
  <c r="H104" i="69" a="1"/>
  <c r="H104" i="69" s="1"/>
  <c r="G104" i="69" a="1"/>
  <c r="G104" i="69" s="1"/>
  <c r="P104" i="69" a="1"/>
  <c r="P104" i="69" s="1"/>
  <c r="R104" i="69" a="1"/>
  <c r="R104" i="69" s="1"/>
  <c r="O104" i="69" a="1"/>
  <c r="O104" i="69" s="1"/>
  <c r="Q104" i="69" a="1"/>
  <c r="Q104" i="69" s="1"/>
  <c r="E165" i="76" a="1"/>
  <c r="E165" i="76" s="1"/>
  <c r="P165" i="76" a="1"/>
  <c r="P165" i="76" s="1"/>
  <c r="H165" i="76" a="1"/>
  <c r="H165" i="76" s="1"/>
  <c r="G165" i="76" a="1"/>
  <c r="G165" i="76" s="1"/>
  <c r="Q165" i="76" a="1"/>
  <c r="Q165" i="76" s="1"/>
  <c r="F165" i="76" a="1"/>
  <c r="F165" i="76" s="1"/>
  <c r="O165" i="76" a="1"/>
  <c r="O165" i="76" s="1"/>
  <c r="R165" i="76" a="1"/>
  <c r="R165" i="76" s="1"/>
  <c r="E153" i="76" a="1"/>
  <c r="E153" i="76" s="1"/>
  <c r="P164" i="76" s="1" a="1"/>
  <c r="P164" i="76" s="1"/>
  <c r="F168" i="76" a="1"/>
  <c r="F168" i="76" s="1"/>
  <c r="R168" i="76" a="1"/>
  <c r="R168" i="76" s="1"/>
  <c r="O168" i="76" a="1"/>
  <c r="O168" i="76" s="1"/>
  <c r="Q168" i="76" a="1"/>
  <c r="Q168" i="76" s="1"/>
  <c r="P168" i="76" a="1"/>
  <c r="P168" i="76" s="1"/>
  <c r="H168" i="76" a="1"/>
  <c r="H168" i="76" s="1"/>
  <c r="G168" i="76" a="1"/>
  <c r="G168" i="76" s="1"/>
  <c r="E168" i="76" a="1"/>
  <c r="E168" i="76" s="1"/>
  <c r="R106" i="69" a="1"/>
  <c r="R106" i="69" s="1"/>
  <c r="G106" i="69" a="1"/>
  <c r="G106" i="69" s="1"/>
  <c r="P106" i="69" a="1"/>
  <c r="P106" i="69" s="1"/>
  <c r="F106" i="69" a="1"/>
  <c r="F106" i="69" s="1"/>
  <c r="H106" i="69" a="1"/>
  <c r="H106" i="69" s="1"/>
  <c r="Q106" i="69" a="1"/>
  <c r="Q106" i="69" s="1"/>
  <c r="E106" i="69" a="1"/>
  <c r="E106" i="69" s="1"/>
  <c r="O106" i="69" a="1"/>
  <c r="O106" i="69" s="1"/>
  <c r="O166" i="76" a="1"/>
  <c r="O166" i="76" s="1"/>
  <c r="H166" i="76" a="1"/>
  <c r="H166" i="76" s="1"/>
  <c r="F166" i="76" a="1"/>
  <c r="F166" i="76" s="1"/>
  <c r="Q166" i="76" a="1"/>
  <c r="Q166" i="76" s="1"/>
  <c r="E166" i="76" a="1"/>
  <c r="E166" i="76" s="1"/>
  <c r="P166" i="76" a="1"/>
  <c r="P166" i="76" s="1"/>
  <c r="G166" i="76" a="1"/>
  <c r="G166" i="76" s="1"/>
  <c r="R166" i="76" a="1"/>
  <c r="R166" i="76" s="1"/>
  <c r="F107" i="69" a="1"/>
  <c r="F107" i="69" s="1"/>
  <c r="G107" i="69" a="1"/>
  <c r="G107" i="69" s="1"/>
  <c r="P107" i="69" a="1"/>
  <c r="P107" i="69" s="1"/>
  <c r="E107" i="69" a="1"/>
  <c r="E107" i="69" s="1"/>
  <c r="R107" i="69" a="1"/>
  <c r="R107" i="69" s="1"/>
  <c r="H107" i="69" a="1"/>
  <c r="H107" i="69" s="1"/>
  <c r="O107" i="69" a="1"/>
  <c r="O107" i="69" s="1"/>
  <c r="Q107" i="69" a="1"/>
  <c r="Q107" i="69" s="1"/>
  <c r="F108" i="69" a="1"/>
  <c r="F108" i="69" s="1"/>
  <c r="R108" i="69" a="1"/>
  <c r="R108" i="69" s="1"/>
  <c r="O108" i="69" a="1"/>
  <c r="O108" i="69" s="1"/>
  <c r="P181" i="69" l="1" a="1"/>
  <c r="P181" i="69" s="1"/>
  <c r="P183" i="69" a="1"/>
  <c r="P183" i="69" s="1"/>
  <c r="P184" i="69" a="1"/>
  <c r="P184" i="69" s="1"/>
  <c r="P182" i="69" a="1"/>
  <c r="P182" i="69" s="1"/>
  <c r="S181" i="69" a="1"/>
  <c r="S181" i="69" s="1"/>
  <c r="S184" i="69" a="1"/>
  <c r="S184" i="69" s="1"/>
  <c r="S182" i="69" a="1"/>
  <c r="S182" i="69" s="1"/>
  <c r="S183" i="69" a="1"/>
  <c r="S183" i="69" s="1"/>
  <c r="R180" i="69" a="1"/>
  <c r="R180" i="69" s="1"/>
  <c r="R179" i="69" a="1"/>
  <c r="R179" i="69" s="1"/>
  <c r="Q178" i="69" a="1"/>
  <c r="Q178" i="69" s="1"/>
  <c r="Q180" i="69" a="1"/>
  <c r="Q180" i="69" s="1"/>
  <c r="Q179" i="69" a="1"/>
  <c r="Q179" i="69" s="1"/>
  <c r="P179" i="69" a="1"/>
  <c r="P179" i="69" s="1"/>
  <c r="P180" i="69" a="1"/>
  <c r="P180" i="69" s="1"/>
  <c r="S178" i="69" a="1"/>
  <c r="S178" i="69" s="1"/>
  <c r="S180" i="69" a="1"/>
  <c r="S180" i="69" s="1"/>
  <c r="S179" i="69" a="1"/>
  <c r="S179" i="69" s="1"/>
  <c r="R178" i="69" a="1"/>
  <c r="R178" i="69" s="1"/>
  <c r="P178" i="69" a="1"/>
  <c r="P178" i="69" s="1"/>
  <c r="R177" i="69" a="1"/>
  <c r="R177" i="69" s="1"/>
  <c r="R176" i="69" a="1"/>
  <c r="R176" i="69" s="1"/>
  <c r="Q177" i="69" a="1"/>
  <c r="Q177" i="69" s="1"/>
  <c r="Q176" i="69" a="1"/>
  <c r="Q176" i="69" s="1"/>
  <c r="S177" i="69" a="1"/>
  <c r="S177" i="69" s="1"/>
  <c r="S176" i="69" a="1"/>
  <c r="S176" i="69" s="1"/>
  <c r="P177" i="69" a="1"/>
  <c r="P177" i="69" s="1"/>
  <c r="P176" i="69" a="1"/>
  <c r="P176" i="69" s="1"/>
  <c r="S175" i="69" a="1"/>
  <c r="S175" i="69" s="1"/>
  <c r="P175" i="69" a="1"/>
  <c r="P175" i="69" s="1"/>
  <c r="R175" i="69" a="1"/>
  <c r="R175" i="69" s="1"/>
  <c r="Q175" i="69" a="1"/>
  <c r="Q175" i="69" s="1"/>
  <c r="R174" i="69" a="1"/>
  <c r="R174" i="69" s="1"/>
  <c r="R173" i="69" a="1"/>
  <c r="R173" i="69" s="1"/>
  <c r="S173" i="69" a="1"/>
  <c r="S173" i="69" s="1"/>
  <c r="S174" i="69" a="1"/>
  <c r="S174" i="69" s="1"/>
  <c r="P174" i="69" a="1"/>
  <c r="P174" i="69" s="1"/>
  <c r="P173" i="69" a="1"/>
  <c r="P173" i="69" s="1"/>
  <c r="Q172" i="69" a="1"/>
  <c r="Q172" i="69" s="1"/>
  <c r="Q173" i="69" a="1"/>
  <c r="Q173" i="69" s="1"/>
  <c r="Q174" i="69" a="1"/>
  <c r="Q174" i="69" s="1"/>
  <c r="R172" i="69" a="1"/>
  <c r="R172" i="69" s="1"/>
  <c r="S172" i="69" a="1"/>
  <c r="S172" i="69" s="1"/>
  <c r="P172" i="69" a="1"/>
  <c r="P172" i="69" s="1"/>
  <c r="R168" i="69" a="1"/>
  <c r="R168" i="69" s="1"/>
  <c r="R171" i="69" a="1"/>
  <c r="R171" i="69" s="1"/>
  <c r="R169" i="69" a="1"/>
  <c r="R169" i="69" s="1"/>
  <c r="R170" i="69" a="1"/>
  <c r="R170" i="69" s="1"/>
  <c r="S168" i="69" a="1"/>
  <c r="S168" i="69" s="1"/>
  <c r="S171" i="69" a="1"/>
  <c r="S171" i="69" s="1"/>
  <c r="S169" i="69" a="1"/>
  <c r="S169" i="69" s="1"/>
  <c r="S170" i="69" a="1"/>
  <c r="S170" i="69" s="1"/>
  <c r="Q169" i="69" a="1"/>
  <c r="Q169" i="69" s="1"/>
  <c r="Q171" i="69" a="1"/>
  <c r="Q171" i="69" s="1"/>
  <c r="Q170" i="69" a="1"/>
  <c r="Q170" i="69" s="1"/>
  <c r="P168" i="69" a="1"/>
  <c r="P168" i="69" s="1"/>
  <c r="P169" i="69" a="1"/>
  <c r="P169" i="69" s="1"/>
  <c r="P170" i="69" a="1"/>
  <c r="P170" i="69" s="1"/>
  <c r="P171" i="69" a="1"/>
  <c r="P171" i="69" s="1"/>
  <c r="Q168" i="69" a="1"/>
  <c r="Q168" i="69" s="1"/>
  <c r="Q165" i="69" a="1"/>
  <c r="Q165" i="69" s="1"/>
  <c r="Q167" i="69" a="1"/>
  <c r="Q167" i="69" s="1"/>
  <c r="Q166" i="69" a="1"/>
  <c r="Q166" i="69" s="1"/>
  <c r="P165" i="69" a="1"/>
  <c r="P165" i="69" s="1"/>
  <c r="P166" i="69" a="1"/>
  <c r="P166" i="69" s="1"/>
  <c r="P167" i="69" a="1"/>
  <c r="P167" i="69" s="1"/>
  <c r="R165" i="69" a="1"/>
  <c r="R165" i="69" s="1"/>
  <c r="R166" i="69" a="1"/>
  <c r="R166" i="69" s="1"/>
  <c r="R167" i="69" a="1"/>
  <c r="R167" i="69" s="1"/>
  <c r="S165" i="69" a="1"/>
  <c r="S165" i="69" s="1"/>
  <c r="S167" i="69" a="1"/>
  <c r="S167" i="69" s="1"/>
  <c r="S166" i="69" a="1"/>
  <c r="S166" i="69" s="1"/>
  <c r="G181" i="69" a="1"/>
  <c r="G181" i="69" s="1"/>
  <c r="G184" i="69" a="1"/>
  <c r="G184" i="69" s="1"/>
  <c r="G182" i="69" a="1"/>
  <c r="G182" i="69" s="1"/>
  <c r="G183" i="69" a="1"/>
  <c r="G183" i="69" s="1"/>
  <c r="I181" i="69" a="1"/>
  <c r="I181" i="69" s="1"/>
  <c r="I184" i="69" a="1"/>
  <c r="I184" i="69" s="1"/>
  <c r="I182" i="69" a="1"/>
  <c r="I182" i="69" s="1"/>
  <c r="I183" i="69" a="1"/>
  <c r="I183" i="69" s="1"/>
  <c r="I178" i="69" a="1"/>
  <c r="I178" i="69" s="1"/>
  <c r="I180" i="69" a="1"/>
  <c r="I180" i="69" s="1"/>
  <c r="I179" i="69" a="1"/>
  <c r="I179" i="69" s="1"/>
  <c r="G180" i="69" a="1"/>
  <c r="G180" i="69" s="1"/>
  <c r="G179" i="69" a="1"/>
  <c r="G179" i="69" s="1"/>
  <c r="F178" i="69" a="1"/>
  <c r="F178" i="69" s="1"/>
  <c r="F179" i="69" a="1"/>
  <c r="F179" i="69" s="1"/>
  <c r="F180" i="69" a="1"/>
  <c r="F180" i="69" s="1"/>
  <c r="H178" i="69" a="1"/>
  <c r="H178" i="69" s="1"/>
  <c r="H180" i="69" a="1"/>
  <c r="H180" i="69" s="1"/>
  <c r="H179" i="69" a="1"/>
  <c r="H179" i="69" s="1"/>
  <c r="G178" i="69" a="1"/>
  <c r="G178" i="69" s="1"/>
  <c r="F176" i="69" a="1"/>
  <c r="F176" i="69" s="1"/>
  <c r="F177" i="69" a="1"/>
  <c r="F177" i="69" s="1"/>
  <c r="I175" i="69" a="1"/>
  <c r="I175" i="69" s="1"/>
  <c r="I176" i="69" a="1"/>
  <c r="I176" i="69" s="1"/>
  <c r="I177" i="69" a="1"/>
  <c r="I177" i="69" s="1"/>
  <c r="H177" i="69" a="1"/>
  <c r="H177" i="69" s="1"/>
  <c r="H176" i="69" a="1"/>
  <c r="H176" i="69" s="1"/>
  <c r="G176" i="69" a="1"/>
  <c r="G176" i="69" s="1"/>
  <c r="G177" i="69" a="1"/>
  <c r="G177" i="69" s="1"/>
  <c r="H175" i="69" a="1"/>
  <c r="H175" i="69" s="1"/>
  <c r="G175" i="69" a="1"/>
  <c r="G175" i="69" s="1"/>
  <c r="F175" i="69" a="1"/>
  <c r="F175" i="69" s="1"/>
  <c r="H172" i="69" a="1"/>
  <c r="H172" i="69" s="1"/>
  <c r="H174" i="69" a="1"/>
  <c r="H174" i="69" s="1"/>
  <c r="H173" i="69" a="1"/>
  <c r="H173" i="69" s="1"/>
  <c r="G172" i="69" a="1"/>
  <c r="G172" i="69" s="1"/>
  <c r="G173" i="69" a="1"/>
  <c r="G173" i="69" s="1"/>
  <c r="G174" i="69" a="1"/>
  <c r="G174" i="69" s="1"/>
  <c r="F172" i="69" a="1"/>
  <c r="F172" i="69" s="1"/>
  <c r="F174" i="69" a="1"/>
  <c r="F174" i="69" s="1"/>
  <c r="F173" i="69" a="1"/>
  <c r="F173" i="69" s="1"/>
  <c r="I174" i="69" a="1"/>
  <c r="I174" i="69" s="1"/>
  <c r="I173" i="69" a="1"/>
  <c r="I173" i="69" s="1"/>
  <c r="I172" i="69" a="1"/>
  <c r="I172" i="69" s="1"/>
  <c r="I171" i="69" a="1"/>
  <c r="I171" i="69" s="1"/>
  <c r="I170" i="69" a="1"/>
  <c r="I170" i="69" s="1"/>
  <c r="I169" i="69" a="1"/>
  <c r="I169" i="69" s="1"/>
  <c r="F170" i="69" a="1"/>
  <c r="F170" i="69" s="1"/>
  <c r="F169" i="69" a="1"/>
  <c r="F169" i="69" s="1"/>
  <c r="F171" i="69" a="1"/>
  <c r="F171" i="69" s="1"/>
  <c r="G170" i="69" a="1"/>
  <c r="G170" i="69" s="1"/>
  <c r="G171" i="69" a="1"/>
  <c r="G171" i="69" s="1"/>
  <c r="G169" i="69" a="1"/>
  <c r="G169" i="69" s="1"/>
  <c r="H169" i="69" a="1"/>
  <c r="H169" i="69" s="1"/>
  <c r="H171" i="69" a="1"/>
  <c r="H171" i="69" s="1"/>
  <c r="H170" i="69" a="1"/>
  <c r="H170" i="69" s="1"/>
  <c r="H168" i="69" a="1"/>
  <c r="H168" i="69" s="1"/>
  <c r="I168" i="69" a="1"/>
  <c r="I168" i="69" s="1"/>
  <c r="G168" i="69" a="1"/>
  <c r="G168" i="69" s="1"/>
  <c r="F168" i="69" a="1"/>
  <c r="F168" i="69" s="1"/>
  <c r="G166" i="69" a="1"/>
  <c r="G166" i="69" s="1"/>
  <c r="G167" i="69" a="1"/>
  <c r="G167" i="69" s="1"/>
  <c r="H167" i="69" a="1"/>
  <c r="H167" i="69" s="1"/>
  <c r="H166" i="69" a="1"/>
  <c r="H166" i="69" s="1"/>
  <c r="I167" i="69" a="1"/>
  <c r="I167" i="69" s="1"/>
  <c r="I166" i="69" a="1"/>
  <c r="I166" i="69" s="1"/>
  <c r="F166" i="69" a="1"/>
  <c r="F166" i="69" s="1"/>
  <c r="F167" i="69" a="1"/>
  <c r="F167" i="69" s="1"/>
  <c r="I165" i="69" a="1"/>
  <c r="I165" i="69" s="1"/>
  <c r="H165" i="69" a="1"/>
  <c r="H165" i="69" s="1"/>
  <c r="G165" i="69" a="1"/>
  <c r="G165" i="69" s="1"/>
  <c r="F165" i="69" a="1"/>
  <c r="F165" i="69" s="1"/>
  <c r="E108" i="69" a="1"/>
  <c r="E108" i="69" s="1"/>
  <c r="P108" i="69" a="1"/>
  <c r="P108" i="69" s="1"/>
  <c r="Q108" i="69" a="1"/>
  <c r="Q108" i="69" s="1"/>
  <c r="G108" i="69" a="1"/>
  <c r="G108" i="69" s="1"/>
  <c r="H233" i="76" a="1"/>
  <c r="H233" i="76" s="1"/>
  <c r="H48" i="97" s="1"/>
  <c r="Q220" i="76" a="1"/>
  <c r="Q220" i="76" s="1"/>
  <c r="Q35" i="97" s="1"/>
  <c r="S237" i="76" a="1"/>
  <c r="S237" i="76" s="1"/>
  <c r="S52" i="97" s="1"/>
  <c r="G237" i="76" a="1"/>
  <c r="G237" i="76" s="1"/>
  <c r="G42" i="105" s="1"/>
  <c r="Q237" i="76" a="1"/>
  <c r="Q237" i="76" s="1"/>
  <c r="Q42" i="105" s="1"/>
  <c r="P233" i="76" a="1"/>
  <c r="P233" i="76" s="1"/>
  <c r="P38" i="105" s="1"/>
  <c r="G229" i="76" a="1"/>
  <c r="G229" i="76" s="1"/>
  <c r="G44" i="97" s="1"/>
  <c r="R237" i="76" a="1"/>
  <c r="R237" i="76" s="1"/>
  <c r="R42" i="105" s="1"/>
  <c r="R233" i="76" a="1"/>
  <c r="R233" i="76" s="1"/>
  <c r="R48" i="97" s="1"/>
  <c r="I233" i="76" a="1"/>
  <c r="I233" i="76" s="1"/>
  <c r="I38" i="105" s="1"/>
  <c r="G233" i="76" a="1"/>
  <c r="G233" i="76" s="1"/>
  <c r="G48" i="97" s="1"/>
  <c r="F233" i="76" a="1"/>
  <c r="F233" i="76" s="1"/>
  <c r="F48" i="97" s="1"/>
  <c r="Q233" i="76" a="1"/>
  <c r="Q233" i="76" s="1"/>
  <c r="Q38" i="105" s="1"/>
  <c r="S225" i="76" a="1"/>
  <c r="S225" i="76" s="1"/>
  <c r="S30" i="105" s="1"/>
  <c r="P225" i="76" a="1"/>
  <c r="P225" i="76" s="1"/>
  <c r="P30" i="105" s="1"/>
  <c r="S233" i="76" a="1"/>
  <c r="S233" i="76" s="1"/>
  <c r="S38" i="105" s="1"/>
  <c r="I229" i="76" a="1"/>
  <c r="I229" i="76" s="1"/>
  <c r="I44" i="97" s="1"/>
  <c r="P229" i="76" a="1"/>
  <c r="P229" i="76" s="1"/>
  <c r="P34" i="105" s="1"/>
  <c r="P237" i="76" a="1"/>
  <c r="P237" i="76" s="1"/>
  <c r="P52" i="97" s="1"/>
  <c r="G225" i="76" a="1"/>
  <c r="G225" i="76" s="1"/>
  <c r="G40" i="97" s="1"/>
  <c r="S229" i="76" a="1"/>
  <c r="S229" i="76" s="1"/>
  <c r="S44" i="97" s="1"/>
  <c r="R225" i="76" a="1"/>
  <c r="R225" i="76" s="1"/>
  <c r="R40" i="97" s="1"/>
  <c r="H229" i="76" a="1"/>
  <c r="H229" i="76" s="1"/>
  <c r="H34" i="105" s="1"/>
  <c r="H225" i="76" a="1"/>
  <c r="H225" i="76" s="1"/>
  <c r="H30" i="105" s="1"/>
  <c r="F237" i="76" a="1"/>
  <c r="F237" i="76" s="1"/>
  <c r="F52" i="97" s="1"/>
  <c r="I225" i="76" a="1"/>
  <c r="I225" i="76" s="1"/>
  <c r="I30" i="105" s="1"/>
  <c r="Q229" i="76" a="1"/>
  <c r="Q229" i="76" s="1"/>
  <c r="Q34" i="105" s="1"/>
  <c r="F229" i="76" a="1"/>
  <c r="F229" i="76" s="1"/>
  <c r="F44" i="97" s="1"/>
  <c r="H237" i="76" a="1"/>
  <c r="H237" i="76" s="1"/>
  <c r="H42" i="105" s="1"/>
  <c r="Q225" i="76" a="1"/>
  <c r="Q225" i="76" s="1"/>
  <c r="Q40" i="97" s="1"/>
  <c r="R229" i="76" a="1"/>
  <c r="R229" i="76" s="1"/>
  <c r="R44" i="97" s="1"/>
  <c r="I237" i="76" a="1"/>
  <c r="I237" i="76" s="1"/>
  <c r="I42" i="105" s="1"/>
  <c r="F225" i="76" a="1"/>
  <c r="F225" i="76" s="1"/>
  <c r="F40" i="97" s="1"/>
  <c r="P264" i="76" a="1"/>
  <c r="P264" i="76" s="1"/>
  <c r="I264" i="76" a="1"/>
  <c r="I264" i="76" s="1"/>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G264" i="76" a="1"/>
  <c r="G264" i="76" s="1"/>
  <c r="I242" i="76" a="1"/>
  <c r="I242" i="76" s="1"/>
  <c r="I239" i="76" a="1"/>
  <c r="I239" i="76" s="1"/>
  <c r="I292" i="76" s="1" a="1"/>
  <c r="I292" i="76" s="1"/>
  <c r="I238" i="76" a="1"/>
  <c r="I238" i="76" s="1"/>
  <c r="I240" i="76" a="1"/>
  <c r="I240" i="76" s="1"/>
  <c r="I293" i="76" s="1" a="1"/>
  <c r="I293" i="76" s="1"/>
  <c r="I241" i="76" a="1"/>
  <c r="I241" i="76" s="1"/>
  <c r="I294" i="76" s="1" a="1"/>
  <c r="I294" i="76" s="1"/>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Q264" i="76" a="1"/>
  <c r="Q264" i="76" s="1"/>
  <c r="R264" i="76" a="1"/>
  <c r="R264" i="76" s="1"/>
  <c r="H206" i="69" a="1"/>
  <c r="H206" i="69" s="1"/>
  <c r="F206" i="69" a="1"/>
  <c r="F206" i="69" s="1"/>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S264" i="76" a="1"/>
  <c r="S264" i="76" s="1"/>
  <c r="G239" i="76" a="1"/>
  <c r="G239" i="76" s="1"/>
  <c r="G292" i="76" s="1" a="1"/>
  <c r="G292" i="76" s="1"/>
  <c r="G238" i="76" a="1"/>
  <c r="G238" i="76" s="1"/>
  <c r="G242" i="76" a="1"/>
  <c r="G242" i="76" s="1"/>
  <c r="G241" i="76" a="1"/>
  <c r="G241" i="76" s="1"/>
  <c r="G240" i="76" a="1"/>
  <c r="G240" i="76"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R184" i="69" l="1" a="1"/>
  <c r="R184" i="69" s="1"/>
  <c r="R182" i="69" a="1"/>
  <c r="R182" i="69" s="1"/>
  <c r="R183" i="69" a="1"/>
  <c r="R183" i="69" s="1"/>
  <c r="Q181" i="69" a="1"/>
  <c r="Q181" i="69" s="1"/>
  <c r="Q184" i="69" a="1"/>
  <c r="Q184" i="69" s="1"/>
  <c r="Q182" i="69" a="1"/>
  <c r="Q182" i="69" s="1"/>
  <c r="Q183" i="69" a="1"/>
  <c r="Q183" i="69" s="1"/>
  <c r="R181" i="69" a="1"/>
  <c r="R181" i="69" s="1"/>
  <c r="H184" i="69" a="1"/>
  <c r="H184" i="69" s="1"/>
  <c r="H182" i="69" a="1"/>
  <c r="H182" i="69" s="1"/>
  <c r="H183" i="69" a="1"/>
  <c r="H183" i="69" s="1"/>
  <c r="F183" i="69" a="1"/>
  <c r="F183" i="69" s="1"/>
  <c r="F182" i="69" a="1"/>
  <c r="F182" i="69" s="1"/>
  <c r="F184" i="69" a="1"/>
  <c r="F184" i="69" s="1"/>
  <c r="F181" i="69" a="1"/>
  <c r="F181" i="69" s="1"/>
  <c r="H181" i="69" a="1"/>
  <c r="H181" i="69" s="1"/>
  <c r="H38" i="105"/>
  <c r="H267" i="105" s="1" a="1"/>
  <c r="H267" i="105" s="1"/>
  <c r="Q25" i="105"/>
  <c r="Q137" i="105" s="1" a="1"/>
  <c r="Q137" i="105" s="1"/>
  <c r="S42" i="105"/>
  <c r="S202" i="105" s="1" a="1"/>
  <c r="S202" i="105" s="1"/>
  <c r="Q52" i="97"/>
  <c r="G52" i="97"/>
  <c r="P48" i="97"/>
  <c r="R52" i="97"/>
  <c r="G38" i="105"/>
  <c r="G198" i="105" s="1" a="1"/>
  <c r="G198" i="105" s="1"/>
  <c r="G34" i="105"/>
  <c r="G194" i="105" s="1" a="1"/>
  <c r="G194" i="105" s="1"/>
  <c r="I48" i="97"/>
  <c r="R38" i="105"/>
  <c r="R150" i="105" s="1" a="1"/>
  <c r="R150" i="105" s="1"/>
  <c r="F34" i="105"/>
  <c r="F263" i="105" s="1" a="1"/>
  <c r="F263" i="105" s="1"/>
  <c r="H44" i="97"/>
  <c r="F38" i="105"/>
  <c r="F150" i="105" s="1" a="1"/>
  <c r="F150" i="105" s="1"/>
  <c r="Q30" i="105"/>
  <c r="Q259" i="105" s="1" a="1"/>
  <c r="Q259" i="105" s="1"/>
  <c r="S40" i="97"/>
  <c r="Q48" i="97"/>
  <c r="I34" i="105"/>
  <c r="I263" i="105" s="1" a="1"/>
  <c r="I263" i="105" s="1"/>
  <c r="S48" i="97"/>
  <c r="P44" i="97"/>
  <c r="F30" i="105"/>
  <c r="F259" i="105" s="1" a="1"/>
  <c r="F259" i="105" s="1"/>
  <c r="I52" i="97"/>
  <c r="H52" i="97"/>
  <c r="G30" i="105"/>
  <c r="G142" i="105" s="1" a="1"/>
  <c r="G142" i="105" s="1"/>
  <c r="R34" i="105"/>
  <c r="R146" i="105" s="1" a="1"/>
  <c r="R146" i="105" s="1"/>
  <c r="P40" i="97"/>
  <c r="P42" i="105"/>
  <c r="P271" i="105" s="1" a="1"/>
  <c r="P271" i="105" s="1"/>
  <c r="Q44" i="97"/>
  <c r="F42" i="105"/>
  <c r="F154" i="105" s="1" a="1"/>
  <c r="F154" i="105" s="1"/>
  <c r="I40" i="97"/>
  <c r="H40" i="97"/>
  <c r="R30" i="105"/>
  <c r="R259" i="105" s="1" a="1"/>
  <c r="R259" i="105" s="1"/>
  <c r="S34" i="105"/>
  <c r="S146" i="105" s="1" a="1"/>
  <c r="S146" i="105" s="1"/>
  <c r="P35" i="97"/>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Q47" i="105"/>
  <c r="Q57" i="97"/>
  <c r="P57" i="97"/>
  <c r="P47" i="105"/>
  <c r="P198" i="105" a="1"/>
  <c r="P198" i="105" s="1"/>
  <c r="P267" i="105" a="1"/>
  <c r="P267" i="105" s="1"/>
  <c r="P150" i="105" a="1"/>
  <c r="P150" i="105" s="1"/>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R271" i="105" a="1"/>
  <c r="R271" i="105" s="1"/>
  <c r="R154" i="105" a="1"/>
  <c r="R154" i="105" s="1"/>
  <c r="R202" i="105" a="1"/>
  <c r="R202" i="105" s="1"/>
  <c r="S46" i="105"/>
  <c r="S56" i="97"/>
  <c r="S103" i="97" s="1" a="1"/>
  <c r="S103" i="97" s="1"/>
  <c r="G46" i="105"/>
  <c r="G56" i="97"/>
  <c r="G103" i="97" s="1" a="1"/>
  <c r="G103" i="97" s="1"/>
  <c r="S44" i="105"/>
  <c r="S54" i="97"/>
  <c r="S101" i="97" s="1" a="1"/>
  <c r="S101" i="97" s="1"/>
  <c r="G47" i="105"/>
  <c r="G57" i="97"/>
  <c r="S43" i="105"/>
  <c r="S53" i="97"/>
  <c r="S100" i="97" s="1" a="1"/>
  <c r="S100" i="97" s="1"/>
  <c r="S57" i="97"/>
  <c r="S47" i="105"/>
  <c r="S294" i="76" a="1"/>
  <c r="S294" i="76" s="1"/>
  <c r="G44" i="105"/>
  <c r="G54" i="97"/>
  <c r="G101" i="97" s="1" a="1"/>
  <c r="G101" i="97" s="1"/>
  <c r="G293" i="76" a="1"/>
  <c r="G293" i="76" s="1"/>
  <c r="Q150" i="105" a="1"/>
  <c r="Q150" i="105" s="1"/>
  <c r="Q198" i="105" a="1"/>
  <c r="Q198" i="105" s="1"/>
  <c r="Q267" i="105" a="1"/>
  <c r="Q267" i="105" s="1"/>
  <c r="S150" i="105" a="1"/>
  <c r="S150" i="105" s="1"/>
  <c r="S198" i="105" a="1"/>
  <c r="S198" i="105" s="1"/>
  <c r="S267" i="105" a="1"/>
  <c r="S267" i="105" s="1"/>
  <c r="G53" i="97"/>
  <c r="G100" i="97" s="1" a="1"/>
  <c r="G100" i="97" s="1"/>
  <c r="G43" i="105"/>
  <c r="S35" i="97"/>
  <c r="S25" i="105"/>
  <c r="G35" i="97"/>
  <c r="G25" i="105"/>
  <c r="I267" i="105" a="1"/>
  <c r="I267" i="105" s="1"/>
  <c r="I150" i="105" a="1"/>
  <c r="I150" i="105" s="1"/>
  <c r="I198" i="105" a="1"/>
  <c r="I198" i="105" s="1"/>
  <c r="F294" i="76" a="1"/>
  <c r="F294" i="76" s="1"/>
  <c r="I25" i="105"/>
  <c r="I35" i="97"/>
  <c r="Q263" i="105" a="1"/>
  <c r="Q263" i="105" s="1"/>
  <c r="Q194" i="105" a="1"/>
  <c r="Q194" i="105" s="1"/>
  <c r="Q146" i="105" a="1"/>
  <c r="Q146" i="105" s="1"/>
  <c r="P259" i="105" a="1"/>
  <c r="P259" i="105" s="1"/>
  <c r="P190" i="105" a="1"/>
  <c r="P190" i="105" s="1"/>
  <c r="P142" i="105" a="1"/>
  <c r="P142" i="105" s="1"/>
  <c r="Q202" i="105" a="1"/>
  <c r="Q202" i="105" s="1"/>
  <c r="Q154" i="105" a="1"/>
  <c r="Q154" i="105" s="1"/>
  <c r="Q271" i="105" a="1"/>
  <c r="Q271"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G291" i="76" a="1"/>
  <c r="G291" i="76" s="1"/>
  <c r="R44" i="105"/>
  <c r="R54" i="97"/>
  <c r="R101" i="97" s="1" a="1"/>
  <c r="R101" i="97" s="1"/>
  <c r="I45" i="105"/>
  <c r="I55" i="97"/>
  <c r="I102" i="97" s="1" a="1"/>
  <c r="I102" i="97"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H44" i="105"/>
  <c r="H54" i="97"/>
  <c r="H101" i="97" s="1" a="1"/>
  <c r="H101" i="97" s="1"/>
  <c r="H35" i="97"/>
  <c r="H25" i="105"/>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Q229" i="69" a="1"/>
  <c r="Q229" i="69" s="1"/>
  <c r="Q259" i="69" s="1" a="1"/>
  <c r="Q259" i="69" s="1"/>
  <c r="G229" i="69" a="1"/>
  <c r="G229" i="69" s="1"/>
  <c r="G259" i="69" s="1" a="1"/>
  <c r="G259" i="69" s="1"/>
  <c r="N229" i="69" a="1"/>
  <c r="N229" i="69" s="1"/>
  <c r="N259" i="69" s="1" a="1"/>
  <c r="N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D229" i="69" l="1" a="1"/>
  <c r="D229" i="69" s="1"/>
  <c r="D259" i="69" s="1" a="1"/>
  <c r="D259" i="69" s="1"/>
  <c r="O229" i="69" a="1"/>
  <c r="O229" i="69" s="1"/>
  <c r="O259" i="69" s="1" a="1"/>
  <c r="O259" i="69" s="1"/>
  <c r="P229" i="69" a="1"/>
  <c r="P229" i="69" s="1"/>
  <c r="P259" i="69" s="1" a="1"/>
  <c r="P259" i="69" s="1"/>
  <c r="F229" i="69" a="1"/>
  <c r="F229" i="69" s="1"/>
  <c r="F259" i="69" s="1" a="1"/>
  <c r="F259" i="69" s="1"/>
  <c r="H150" i="105" a="1"/>
  <c r="H150" i="105" s="1"/>
  <c r="H198" i="105" a="1"/>
  <c r="H198" i="105" s="1"/>
  <c r="S154" i="105" a="1"/>
  <c r="S154" i="105" s="1"/>
  <c r="S271" i="105" a="1"/>
  <c r="S271" i="105" s="1"/>
  <c r="Q185" i="105" a="1"/>
  <c r="Q185" i="105" s="1"/>
  <c r="Q254" i="105" a="1"/>
  <c r="Q254" i="105" s="1"/>
  <c r="R198" i="105" a="1"/>
  <c r="R198" i="105" s="1"/>
  <c r="R267" i="105" a="1"/>
  <c r="R267" i="105" s="1"/>
  <c r="G146" i="105" a="1"/>
  <c r="G146" i="105" s="1"/>
  <c r="I146" i="105" a="1"/>
  <c r="I146" i="105" s="1"/>
  <c r="G263" i="105" a="1"/>
  <c r="G263" i="105" s="1"/>
  <c r="G267" i="105" a="1"/>
  <c r="G267" i="105" s="1"/>
  <c r="G150" i="105" a="1"/>
  <c r="G150" i="105" s="1"/>
  <c r="Q190" i="105" a="1"/>
  <c r="Q190" i="105" s="1"/>
  <c r="Q142" i="105" a="1"/>
  <c r="Q142" i="105" s="1"/>
  <c r="F146" i="105" a="1"/>
  <c r="F146" i="105" s="1"/>
  <c r="F194" i="105" a="1"/>
  <c r="F194" i="105" s="1"/>
  <c r="F267" i="105" a="1"/>
  <c r="F267" i="105" s="1"/>
  <c r="R263" i="105" a="1"/>
  <c r="R263" i="105" s="1"/>
  <c r="I194" i="105" a="1"/>
  <c r="I194" i="105" s="1"/>
  <c r="S194" i="105" a="1"/>
  <c r="S194" i="105" s="1"/>
  <c r="F190" i="105" a="1"/>
  <c r="F190" i="105" s="1"/>
  <c r="F142" i="105" a="1"/>
  <c r="F142" i="105" s="1"/>
  <c r="F198" i="105" a="1"/>
  <c r="F198" i="105" s="1"/>
  <c r="R194" i="105" a="1"/>
  <c r="R194" i="105" s="1"/>
  <c r="G190" i="105" a="1"/>
  <c r="G190" i="105" s="1"/>
  <c r="G259" i="105" a="1"/>
  <c r="G259" i="105" s="1"/>
  <c r="S263" i="105" a="1"/>
  <c r="S263" i="105" s="1"/>
  <c r="F202" i="105" a="1"/>
  <c r="F202" i="105" s="1"/>
  <c r="F271" i="105" a="1"/>
  <c r="F271" i="105" s="1"/>
  <c r="P202" i="105" a="1"/>
  <c r="P202" i="105" s="1"/>
  <c r="P154" i="105" a="1"/>
  <c r="P154" i="105" s="1"/>
  <c r="R190" i="105" a="1"/>
  <c r="R190" i="105" s="1"/>
  <c r="R142" i="105" a="1"/>
  <c r="R142" i="105" s="1"/>
  <c r="G23" i="105"/>
  <c r="G252" i="105" s="1" a="1"/>
  <c r="G252" i="105" s="1"/>
  <c r="G271" i="76" a="1"/>
  <c r="G271" i="76" s="1"/>
  <c r="G24" i="105"/>
  <c r="G184" i="105" s="1" a="1"/>
  <c r="G184" i="105" s="1"/>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51" i="105" s="1" a="1"/>
  <c r="H251" i="105" s="1"/>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51" i="105" s="1" a="1"/>
  <c r="I251" i="105" s="1"/>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F33" i="97"/>
  <c r="F80" i="97" s="1" a="1"/>
  <c r="F80" i="97" s="1"/>
  <c r="F34" i="97"/>
  <c r="F81" i="97" s="1" a="1"/>
  <c r="F81" i="97" s="1"/>
  <c r="R32" i="97"/>
  <c r="R79" i="97" s="1" a="1"/>
  <c r="R79" i="97" s="1"/>
  <c r="R34" i="97"/>
  <c r="R81" i="97" s="1" a="1"/>
  <c r="R81" i="97" s="1"/>
  <c r="G32" i="97"/>
  <c r="G79" i="97" s="1" a="1"/>
  <c r="G79" i="97" s="1"/>
  <c r="S34" i="97"/>
  <c r="S81" i="97" s="1" a="1"/>
  <c r="S81" i="97" s="1"/>
  <c r="F32" i="97"/>
  <c r="F79" i="97" s="1" a="1"/>
  <c r="F79" i="97" s="1"/>
  <c r="E261" i="69" l="1"/>
  <c r="E7" i="13" s="1"/>
  <c r="O261" i="69"/>
  <c r="F7" i="13" s="1"/>
  <c r="O297" i="76"/>
  <c r="F8" i="13" s="1"/>
  <c r="E297" i="76"/>
  <c r="E8" i="13" s="1"/>
  <c r="G135" i="105" a="1"/>
  <c r="G135" i="105" s="1"/>
  <c r="G183" i="105" a="1"/>
  <c r="G183" i="105" s="1"/>
  <c r="G253" i="105" a="1"/>
  <c r="G253" i="105" s="1"/>
  <c r="G136" i="105" a="1"/>
  <c r="G136" i="105" s="1"/>
  <c r="H134" i="105" a="1"/>
  <c r="H134" i="105" s="1"/>
  <c r="H182" i="105" a="1"/>
  <c r="H182" i="105" s="1"/>
  <c r="I182" i="105" a="1"/>
  <c r="I182" i="105" s="1"/>
  <c r="I134" i="105" a="1"/>
  <c r="I134" i="105" s="1"/>
  <c r="S253" i="105" a="1"/>
  <c r="S253" i="105" s="1"/>
  <c r="S183" i="105" a="1"/>
  <c r="S183" i="105" s="1"/>
  <c r="P251" i="105"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G263" i="69" l="1"/>
  <c r="E266" i="69" s="1" a="1"/>
  <c r="E266" i="69" s="1"/>
  <c r="H7" i="13" s="1"/>
  <c r="Q263" i="69"/>
  <c r="O266" i="69" s="1" a="1"/>
  <c r="O266" i="69" s="1"/>
  <c r="I7" i="13" s="1"/>
  <c r="O209" i="105"/>
  <c r="O161" i="105"/>
  <c r="E278" i="105"/>
  <c r="E18" i="13" s="1"/>
  <c r="E161" i="105"/>
  <c r="E17" i="13" s="1"/>
  <c r="E209" i="105"/>
  <c r="E19" i="13" s="1"/>
  <c r="O278" i="105"/>
  <c r="Q299" i="76"/>
  <c r="O302" i="76" s="1" a="1"/>
  <c r="O302" i="76" s="1"/>
  <c r="I8" i="13" s="1"/>
  <c r="G299" i="76"/>
  <c r="E302" i="76" s="1" a="1"/>
  <c r="E302" i="76" s="1"/>
  <c r="H8" i="13" s="1"/>
  <c r="I118" i="97"/>
  <c r="E125" i="97" s="1" a="1"/>
  <c r="E125" i="97" s="1"/>
  <c r="E9" i="13" s="1"/>
  <c r="S118" i="97"/>
  <c r="O125" i="97" s="1" a="1"/>
  <c r="O125" i="97" s="1"/>
  <c r="F9" i="13" s="1"/>
  <c r="Q127" i="97" l="1"/>
  <c r="O130" i="97" s="1" a="1"/>
  <c r="O130" i="97" s="1"/>
  <c r="I9" i="13" s="1"/>
  <c r="I11" i="13" s="1"/>
  <c r="G127" i="97"/>
  <c r="E130" i="97" s="1" a="1"/>
  <c r="E130" i="97" s="1"/>
  <c r="H9" i="13" s="1"/>
  <c r="H11"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<sst xmlns="http://schemas.openxmlformats.org/spreadsheetml/2006/main" count="1276" uniqueCount="423">
  <si>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</si>
  <si>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</si>
  <si>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</si>
  <si>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</si>
  <si>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</si>
  <si>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</si>
  <si>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</si>
  <si>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</si>
  <si>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</si>
  <si>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</si>
  <si>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</si>
  <si>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</si>
  <si>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</si>
  <si>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</si>
  <si>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</si>
  <si>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</si>
  <si>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</si>
  <si>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</si>
  <si>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</si>
  <si>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</si>
  <si>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</si>
  <si>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</si>
  <si>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</si>
  <si>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</si>
  <si>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</si>
  <si>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</si>
  <si>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</si>
  <si>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</si>
  <si>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</si>
  <si>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</si>
  <si>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</si>
  <si>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</si>
  <si>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</si>
  <si>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</si>
  <si>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</si>
  <si>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</si>
  <si>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</si>
  <si>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</si>
  <si>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</si>
  <si>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</si>
  <si>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</si>
  <si>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</si>
  <si>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</si>
  <si>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</si>
  <si>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</si>
  <si>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</si>
  <si>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</si>
  <si>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</si>
  <si>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</si>
  <si>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</si>
  <si>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</si>
  <si>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</si>
  <si>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</si>
  <si>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</si>
  <si>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</si>
  <si>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</si>
  <si>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</si>
  <si>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</si>
  <si>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</si>
  <si>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</si>
  <si>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</si>
  <si>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</si>
  <si>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</si>
  <si>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</si>
  <si>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</si>
  <si>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</si>
  <si>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</si>
  <si>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</si>
  <si>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</si>
  <si>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</si>
  <si>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</si>
  <si>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</si>
  <si>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</si>
  <si>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</si>
  <si>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</si>
  <si>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</si>
  <si>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</si>
  <si>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</si>
  <si>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</si>
  <si>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</si>
  <si>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</si>
  <si>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</si>
  <si>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</si>
  <si>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</si>
  <si>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</si>
  <si>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</si>
  <si>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</si>
  <si>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</si>
  <si>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</si>
  <si>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</si>
  <si>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</si>
  <si>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0"/>
        <color rgb="FF183C1B"/>
        <rFont val="Arial"/>
        <family val="1"/>
      </rPr>
      <t>im</t>
    </r>
  </si>
  <si>
    <t>Head</t>
  </si>
  <si>
    <r>
      <t>E</t>
    </r>
    <r>
      <rPr>
        <vertAlign val="subscript"/>
        <sz val="10"/>
        <color theme="1" tint="0.24994659260841701"/>
        <rFont val="Arial"/>
        <family val="1"/>
      </rPr>
      <t>CO2e</t>
    </r>
  </si>
  <si>
    <t>Method 1</t>
  </si>
  <si>
    <t>Method 2</t>
  </si>
  <si>
    <r>
      <t>E</t>
    </r>
    <r>
      <rPr>
        <b/>
        <vertAlign val="subscript"/>
        <sz val="14"/>
        <color theme="1" tint="0.24994659260841701"/>
        <rFont val="Arial"/>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</si>
  <si>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</si>
  <si>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</si>
  <si>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</si>
  <si>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</si>
  <si>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</si>
  <si>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</si>
  <si>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</si>
  <si>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</si>
  <si>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</si>
  <si>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</si>
  <si>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</si>
  <si>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</si>
  <si>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</si>
  <si>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</si>
  <si>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</si>
  <si>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</si>
  <si>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</si>
  <si>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</si>
  <si>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</si>
  <si>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</si>
  <si>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</si>
  <si>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</si>
  <si>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</si>
  <si>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</si>
  <si>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</si>
  <si>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</si>
  <si>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</si>
  <si>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</si>
  <si>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</si>
  <si>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</si>
  <si>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</si>
  <si>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</si>
  <si>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</si>
  <si>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</si>
  <si>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</si>
  <si>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</si>
  <si>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</si>
  <si>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</si>
  <si>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</si>
  <si>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</si>
  <si>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</si>
  <si>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</si>
  <si>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</si>
  <si>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</si>
  <si>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</si>
  <si>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</si>
  <si>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</si>
  <si>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</si>
  <si>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</si>
  <si>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</si>
  <si>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</si>
  <si>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</si>
  <si>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</si>
  <si>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</si>
  <si>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</si>
  <si>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</si>
  <si>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</si>
  <si>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</si>
  <si>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</si>
  <si>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</si>
  <si>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</si>
  <si>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</si>
  <si>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0"/>
        <color rgb="FF183C1B"/>
        <rFont val="Arial"/>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</si>
  <si>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</si>
  <si>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</si>
  <si>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</si>
  <si>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</si>
  <si>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</si>
  <si>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</si>
  <si>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</si>
  <si>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</si>
  <si>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</si>
  <si>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</si>
  <si>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</si>
  <si>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</si>
  <si>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</si>
  <si>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</si>
  <si>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</si>
  <si>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</si>
  <si>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</si>
  <si>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</si>
  <si>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</si>
  <si>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</si>
  <si>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</si>
  <si>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</si>
  <si>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</si>
  <si>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</si>
  <si>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</si>
  <si>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</si>
  <si>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</si>
  <si>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</si>
  <si>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</si>
  <si>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</si>
  <si>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</si>
  <si>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</si>
  <si>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</si>
  <si>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</si>
  <si>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</si>
  <si>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</si>
  <si>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</si>
  <si>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</si>
  <si>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</si>
  <si>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</si>
  <si>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</si>
  <si>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</si>
  <si>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</si>
  <si>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</si>
  <si>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</si>
  <si>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</si>
  <si>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</si>
  <si>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</si>
  <si>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</si>
  <si>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</si>
  <si>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</si>
  <si>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</si>
  <si>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</si>
  <si>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</si>
  <si>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</si>
  <si>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</si>
  <si>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</si>
  <si>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</si>
  <si>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</si>
  <si>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</si>
  <si>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</si>
  <si>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</si>
  <si>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</si>
  <si>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</si>
  <si>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</si>
  <si>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</si>
  <si>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</si>
  <si>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</si>
  <si>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</si>
  <si>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</si>
  <si>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</si>
  <si>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</si>
  <si>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</si>
  <si>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</si>
  <si>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</si>
  <si>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</si>
  <si>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</si>
  <si>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</si>
  <si>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</si>
  <si>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</si>
  <si>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</si>
  <si>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</si>
  <si>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</si>
  <si>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</si>
  <si>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</si>
  <si>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</si>
  <si>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</si>
  <si>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</si>
  <si>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4"/>
        <color theme="1" tint="0.24994659260841701"/>
        <rFont val="Arial"/>
        <family val="1"/>
      </rPr>
      <t>ATMOS</t>
    </r>
  </si>
  <si>
    <t>Where manure was deposited on farm soils, what is the closest match?</t>
  </si>
  <si>
    <t>Swine crop or pasture production systems</t>
  </si>
  <si>
    <r>
      <t>MMS</t>
    </r>
    <r>
      <rPr>
        <b/>
        <vertAlign val="subscript"/>
        <sz val="10"/>
        <color theme="1" tint="0.24994659260841701"/>
        <rFont val="Arial"/>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</si>
  <si>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</si>
  <si>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</si>
  <si>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</si>
  <si>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</si>
  <si>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</si>
  <si>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</si>
  <si>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</si>
  <si>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</si>
  <si>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</si>
  <si>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</si>
  <si>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</si>
  <si>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0"/>
        <color theme="1" tint="0.24994659260841701"/>
        <rFont val="Arial"/>
        <family val="1"/>
      </rPr>
      <t>not</t>
    </r>
    <r>
      <rPr>
        <sz val="10"/>
        <color theme="1" tint="0.24994659260841701"/>
        <rFont val="Arial"/>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</si>
  <si>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</si>
  <si>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</si>
  <si>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</si>
  <si>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</si>
  <si>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</si>
  <si>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</si>
  <si>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</si>
  <si>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</si>
  <si>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</si>
  <si>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4"/>
        <color theme="1" tint="0.24994659260841701"/>
        <rFont val="Arial"/>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</si>
  <si>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</si>
  <si>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</si>
  <si>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</si>
  <si>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</si>
  <si>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</si>
  <si>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</si>
  <si>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</si>
  <si>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</si>
  <si>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</si>
  <si>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</si>
  <si>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</si>
  <si>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</si>
  <si>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</si>
  <si>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</si>
  <si>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</si>
  <si>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</si>
  <si>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</si>
  <si>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</si>
  <si>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</si>
  <si>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</si>
  <si>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</si>
  <si>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</si>
  <si>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</si>
  <si>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</si>
  <si>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</si>
  <si>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4"/>
        <color theme="1" tint="0.24994659260841701"/>
        <rFont val="Arial"/>
        <family val="1"/>
      </rPr>
      <t>scope1</t>
    </r>
  </si>
  <si>
    <t>M2_Table_MN_j_m_T-2</t>
  </si>
  <si>
    <t>Nitrogen in stage 2 MMS (Method 2)</t>
  </si>
  <si>
    <t>M1_Table_MNSoil_scope3</t>
  </si>
  <si>
    <t>Mass of nitrogen applied to soils for scope 3 emissions</t>
  </si>
  <si>
    <r>
      <t>MNSoil</t>
    </r>
    <r>
      <rPr>
        <b/>
        <vertAlign val="subscript"/>
        <sz val="14"/>
        <color theme="1" tint="0.24994659260841701"/>
        <rFont val="Arial"/>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</si>
  <si>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</si>
  <si>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</si>
  <si>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</si>
  <si>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</si>
  <si>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0"/>
        <color rgb="FF183C1B"/>
        <rFont val="Arial"/>
        <family val="1"/>
      </rPr>
      <t>fert</t>
    </r>
  </si>
  <si>
    <t>M1_Table_MNSoil_scope1_fert</t>
  </si>
  <si>
    <r>
      <t>MNSoil</t>
    </r>
    <r>
      <rPr>
        <b/>
        <vertAlign val="subscript"/>
        <sz val="14"/>
        <color theme="1" tint="0.24994659260841701"/>
        <rFont val="Arial"/>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</si>
  <si>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</si>
  <si>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</si>
  <si>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</si>
  <si>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</si>
  <si>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</si>
  <si>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</si>
  <si>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</si>
  <si>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</si>
  <si>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</si>
  <si>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</si>
  <si>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0"/>
        <color theme="1" tint="0.24994659260841701"/>
        <rFont val="Arial"/>
        <family val="1"/>
      </rPr>
      <t>including</t>
    </r>
    <r>
      <rPr>
        <sz val="10"/>
        <color theme="1" tint="0.24994659260841701"/>
        <rFont val="Arial"/>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</si>
  <si>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</si>
  <si>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</si>
  <si>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</si>
  <si>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</si>
  <si>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</si>
  <si>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</si>
  <si>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</si>
  <si>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</si>
  <si>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</si>
  <si>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</si>
  <si>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</si>
  <si>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</si>
  <si>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</si>
  <si>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r>
      <rPr>
        <b/>
        <sz val="10"/>
        <color rgb="FF0070C0"/>
        <rFont val="Arial"/>
        <family val="1"/>
      </rPr>
      <t>Note:</t>
    </r>
    <r>
      <rPr>
        <sz val="10"/>
        <color rgb="FF0070C0"/>
        <rFont val="Arial"/>
        <family val="1"/>
      </rPr>
      <t xml:space="preserve"> Manure that is directly applied to soil after stage 1 is</t>
    </r>
    <r>
      <rPr>
        <i/>
        <sz val="10"/>
        <color rgb="FF0070C0"/>
        <rFont val="Arial"/>
        <family val="1"/>
      </rPr>
      <t xml:space="preserve"> not</t>
    </r>
    <r>
      <rPr>
        <sz val="10"/>
        <color rgb="FF0070C0"/>
        <rFont val="Arial"/>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</si>
  <si>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</si>
  <si>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</si>
  <si>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</si>
  <si>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</si>
  <si>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</si>
  <si>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</si>
  <si>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</si>
  <si>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</si>
  <si>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</si>
  <si>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</si>
  <si>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</si>
  <si>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</si>
  <si>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</si>
  <si>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</si>
  <si>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</si>
  <si>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</si>
  <si>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</si>
  <si>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</si>
  <si>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</si>
  <si>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</si>
  <si>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Solid storage (after solid separation) - Method 1</t>
  </si>
  <si>
    <t>Solid storage (after solid separation) - Method 2</t>
  </si>
  <si>
    <t>Livestock type j</t>
  </si>
  <si>
    <t>Average liveweight (kg)</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</si>
  <si>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</si>
  <si>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</si>
  <si>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</si>
  <si>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</si>
  <si>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</si>
  <si>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</si>
  <si>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</si>
  <si>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</si>
  <si>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</si>
  <si>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</si>
  <si>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</si>
  <si>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</si>
  <si>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</si>
  <si>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</si>
  <si>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</si>
  <si>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</si>
  <si>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</si>
  <si>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</si>
  <si>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</si>
  <si>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</si>
  <si>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</si>
  <si>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</si>
  <si>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</si>
  <si>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</si>
  <si>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</si>
  <si>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</si>
  <si>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</si>
  <si>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</si>
  <si>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</si>
  <si>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</si>
  <si>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</si>
  <si>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</si>
  <si>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</si>
  <si>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</si>
  <si>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</si>
  <si>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</si>
  <si>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</si>
  <si>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</si>
  <si>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</si>
  <si>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</si>
  <si>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</si>
  <si>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</si>
  <si>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</si>
  <si>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</si>
  <si>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</si>
  <si>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</si>
  <si>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</si>
  <si>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</si>
  <si>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</si>
  <si>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</si>
  <si>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</si>
  <si>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</si>
  <si>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</si>
  <si>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</si>
  <si>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</si>
  <si>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</si>
  <si>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</si>
  <si>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Livestock classes</t>
  </si>
  <si>
    <t>Livestock class</t>
  </si>
  <si>
    <t>Table_LivestockClasses_Swine</t>
  </si>
  <si>
    <t>Constants - Common livestock</t>
  </si>
  <si>
    <t>Feed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</si>
</sst>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 numFmtId="171" formatCode="[$-F800]dddd\,\ mmmm\ dd\,\ yyyy"/>
  </numFmts>
  <fonts count="68"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vertAlign val="subscript"/>
      <sz val="10"/>
      <color rgb="FF183C1B"/>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b/>
      <vertAlign val="subscript"/>
      <sz val="10"/>
      <color theme="1" tint="0.24994659260841701"/>
      <name val="Arial"/>
      <family val="1"/>
    </font>
    <font>
      <b/>
      <sz val="18"/>
      <color theme="4" tint="-0.249977111117893"/>
      <name val="Arial"/>
      <family val="1"/>
    </font>
    <font>
      <b/>
      <sz val="10"/>
      <color theme="5" tint="-0.499984740745262"/>
      <name val="Arial"/>
      <family val="1"/>
    </font>
    <font>
      <b/>
      <sz val="10"/>
      <color theme="1" tint="0.499984740745262"/>
      <name val="Arial"/>
      <family val="1"/>
    </font>
    <font>
      <sz val="9"/>
      <color theme="1" tint="0.499984740745262"/>
      <name val="Arial"/>
      <family val="1"/>
    </font>
    <font>
      <i/>
      <sz val="10"/>
      <color theme="1" tint="0.24994659260841701"/>
      <name val="Arial"/>
      <family val="1"/>
    </font>
    <font>
      <b/>
      <sz val="20"/>
      <color theme="5" tint="-0.499984740745262"/>
      <name val="Arial"/>
      <family val="1"/>
    </font>
    <font>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i/>
      <sz val="10"/>
      <color rgb="FF0070C0"/>
      <name val="Arial"/>
      <family val="1"/>
    </font>
    <font>
      <u/>
      <sz val="9"/>
      <color rgb="FF008000"/>
      <name val="Arial"/>
      <family val="2"/>
    </font>
    <font>
      <i/>
      <sz val="9"/>
      <color theme="1" tint="0.14999847407452621"/>
      <name val="Arial"/>
      <family val="1"/>
    </font>
    <font>
      <sz val="9"/>
      <color rgb="FF404040"/>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4" fillId="4" borderId="0">
      <alignment horizontal="left" vertical="center"/>
    </xf>
    <xf numFmtId="0" fontId="40" fillId="4" borderId="0">
      <alignment vertical="center"/>
    </xf>
    <xf numFmtId="0" fontId="3" fillId="4" borderId="0">
      <alignment horizontal="left" vertical="center"/>
    </xf>
    <xf numFmtId="0" fontId="3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5"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1" fillId="13" borderId="8">
      <alignment horizontal="left" vertical="center"/>
    </xf>
    <xf numFmtId="43" fontId="10" fillId="0" borderId="0" applyFont="0" applyFill="0" applyBorder="0" applyAlignment="0" applyProtection="0"/>
    <xf numFmtId="3" fontId="32" fillId="4" borderId="2">
      <alignment horizontal="center" vertical="center"/>
    </xf>
    <xf numFmtId="168" fontId="2" fillId="0" borderId="2">
      <alignment horizontal="center" vertical="center"/>
    </xf>
    <xf numFmtId="0" fontId="33" fillId="0" borderId="0"/>
    <xf numFmtId="0" fontId="10" fillId="0" borderId="0"/>
    <xf numFmtId="0" fontId="33" fillId="0" borderId="0"/>
    <xf numFmtId="166" fontId="32" fillId="4" borderId="2">
      <alignment horizontal="center" vertical="center"/>
    </xf>
    <xf numFmtId="4" fontId="32" fillId="4" borderId="2">
      <alignment horizontal="center" vertical="center"/>
    </xf>
    <xf numFmtId="0" fontId="50" fillId="4" borderId="0">
      <alignment horizontal="left" vertical="center"/>
    </xf>
    <xf numFmtId="0" fontId="35" fillId="4" borderId="0" applyNumberFormat="0">
      <alignment horizontal="center" vertical="center"/>
    </xf>
    <xf numFmtId="165" fontId="32" fillId="4" borderId="2">
      <alignment horizontal="center" vertical="center"/>
    </xf>
    <xf numFmtId="0" fontId="31" fillId="4" borderId="0">
      <alignment horizontal="left" vertical="center"/>
    </xf>
    <xf numFmtId="169" fontId="32" fillId="4" borderId="2">
      <alignment horizontal="center" vertical="center"/>
    </xf>
    <xf numFmtId="0" fontId="32" fillId="4" borderId="2">
      <alignment horizontal="center" vertical="center"/>
    </xf>
    <xf numFmtId="0" fontId="6" fillId="4" borderId="0">
      <alignment horizontal="left" vertical="center"/>
    </xf>
    <xf numFmtId="0" fontId="39" fillId="4" borderId="0">
      <alignment horizontal="left" vertical="center"/>
    </xf>
    <xf numFmtId="0" fontId="10" fillId="0" borderId="0"/>
    <xf numFmtId="0" fontId="2" fillId="0" borderId="2">
      <alignment horizontal="center" vertical="center"/>
    </xf>
    <xf numFmtId="0" fontId="44" fillId="4" borderId="0">
      <alignment horizontal="left" vertical="center"/>
    </xf>
    <xf numFmtId="0" fontId="45" fillId="4" borderId="0">
      <alignment horizontal="left" vertical="center"/>
    </xf>
    <xf numFmtId="0" fontId="51" fillId="4" borderId="0">
      <alignment horizontal="left" vertical="center"/>
    </xf>
    <xf numFmtId="0" fontId="43" fillId="11" borderId="0">
      <alignment horizontal="center" vertical="center"/>
    </xf>
    <xf numFmtId="0" fontId="21" fillId="11" borderId="0">
      <alignment horizontal="left" vertical="center" indent="1"/>
    </xf>
    <xf numFmtId="0" fontId="61" fillId="15" borderId="2">
      <alignment horizontal="center" vertical="center"/>
    </xf>
    <xf numFmtId="0" fontId="62" fillId="16" borderId="2">
      <alignment horizontal="center" vertical="center"/>
    </xf>
    <xf numFmtId="0" fontId="65" fillId="0" borderId="0" applyNumberFormat="0" applyFill="0" applyBorder="0" applyAlignment="0" applyProtection="0"/>
    <xf numFmtId="0" fontId="63" fillId="4" borderId="2">
      <alignment horizontal="left" vertical="center"/>
    </xf>
    <xf numFmtId="0" fontId="32" fillId="4" borderId="2">
      <alignment horizontal="left" vertical="center"/>
    </xf>
    <xf numFmtId="0" fontId="66" fillId="0" borderId="0"/>
  </cellStyleXfs>
  <cellXfs count="147">
    <xf numFmtId="0" fontId="0" fillId="0" borderId="0" xfId="0"/>
    <xf numFmtId="0" fontId="36"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0" fillId="4" borderId="0" xfId="6">
      <alignment vertical="center"/>
    </xf>
    <xf numFmtId="0" fontId="34"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1" fillId="13" borderId="8" xfId="41">
      <alignment horizontal="left" vertical="center"/>
    </xf>
    <xf numFmtId="0" fontId="0" fillId="4" borderId="0" xfId="0" applyFill="1"/>
    <xf numFmtId="2" fontId="29"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8" fillId="4" borderId="0" xfId="0" applyFont="1" applyFill="1"/>
    <xf numFmtId="2" fontId="29" fillId="4" borderId="0" xfId="0" applyNumberFormat="1" applyFont="1" applyFill="1"/>
    <xf numFmtId="0" fontId="6" fillId="4" borderId="0" xfId="12" applyAlignment="1">
      <alignment horizontal="left" indent="1"/>
    </xf>
    <xf numFmtId="0" fontId="29" fillId="4" borderId="1" xfId="0" applyFont="1" applyFill="1" applyBorder="1"/>
    <xf numFmtId="0" fontId="36"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6" fillId="4" borderId="0" xfId="7" applyFont="1" applyAlignment="1">
      <alignment horizontal="center" vertical="center"/>
    </xf>
    <xf numFmtId="166" fontId="26"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4" fillId="0" borderId="0" xfId="5" applyFill="1">
      <alignment horizontal="left" vertical="center"/>
    </xf>
    <xf numFmtId="0" fontId="40" fillId="0" borderId="0" xfId="6" applyFill="1">
      <alignment vertical="center"/>
    </xf>
    <xf numFmtId="0" fontId="36" fillId="0" borderId="0" xfId="8" applyFill="1">
      <alignment horizontal="left" vertical="center"/>
    </xf>
    <xf numFmtId="0" fontId="9" fillId="0" borderId="0" xfId="12" applyFont="1" applyFill="1" applyAlignment="1">
      <alignment horizontal="left" vertical="center"/>
    </xf>
    <xf numFmtId="0" fontId="36"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0"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2" fillId="4" borderId="2" xfId="55">
      <alignment horizontal="center" vertical="center"/>
    </xf>
    <xf numFmtId="0" fontId="38" fillId="4" borderId="0" xfId="8" applyFont="1">
      <alignment horizontal="left" vertical="center"/>
    </xf>
    <xf numFmtId="0" fontId="6" fillId="4" borderId="0" xfId="56">
      <alignment horizontal="left" vertical="center"/>
    </xf>
    <xf numFmtId="0" fontId="39" fillId="4" borderId="0" xfId="57">
      <alignment horizontal="left" vertical="center"/>
    </xf>
    <xf numFmtId="0" fontId="10" fillId="0" borderId="0" xfId="58"/>
    <xf numFmtId="0" fontId="32" fillId="4" borderId="2" xfId="55" applyAlignment="1">
      <alignment horizontal="left" vertical="center"/>
    </xf>
    <xf numFmtId="0" fontId="32" fillId="4" borderId="7" xfId="55" applyBorder="1" applyAlignment="1">
      <alignment horizontal="left" vertical="center"/>
    </xf>
    <xf numFmtId="0" fontId="32"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2"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5" fillId="4" borderId="0" xfId="0" applyFont="1" applyFill="1"/>
    <xf numFmtId="0" fontId="26" fillId="4" borderId="0" xfId="0" applyFont="1" applyFill="1" applyAlignment="1">
      <alignment horizontal="center" vertical="center"/>
    </xf>
    <xf numFmtId="0" fontId="27" fillId="4" borderId="0" xfId="0" applyFont="1" applyFill="1" applyAlignment="1">
      <alignment horizontal="center" vertical="center"/>
    </xf>
    <xf numFmtId="0" fontId="27" fillId="4" borderId="0" xfId="0" applyFont="1" applyFill="1" applyAlignment="1">
      <alignment horizontal="left" vertical="center"/>
    </xf>
    <xf numFmtId="14" fontId="3" fillId="4" borderId="0" xfId="7" applyNumberFormat="1">
      <alignment horizontal="left" vertical="center"/>
    </xf>
    <xf numFmtId="0" fontId="65"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0" fillId="4" borderId="0" xfId="0" applyFont="1" applyFill="1"/>
    <xf numFmtId="0" fontId="41" fillId="13" borderId="10" xfId="41" applyBorder="1">
      <alignment horizontal="left" vertical="center"/>
    </xf>
    <xf numFmtId="0" fontId="41" fillId="13" borderId="12" xfId="41" applyBorder="1">
      <alignment horizontal="left" vertical="center"/>
    </xf>
    <xf numFmtId="0" fontId="41" fillId="13" borderId="14" xfId="41" applyBorder="1">
      <alignment horizontal="left" vertical="center"/>
    </xf>
    <xf numFmtId="0" fontId="41" fillId="13" borderId="13" xfId="41" applyBorder="1">
      <alignment horizontal="left" vertical="center"/>
    </xf>
    <xf numFmtId="0" fontId="41" fillId="13" borderId="15" xfId="41" applyBorder="1">
      <alignment horizontal="left" vertical="center"/>
    </xf>
    <xf numFmtId="0" fontId="41" fillId="13" borderId="17" xfId="41" applyBorder="1">
      <alignment horizontal="left" vertical="center"/>
    </xf>
    <xf numFmtId="0" fontId="41" fillId="13" borderId="11" xfId="41" applyBorder="1">
      <alignment horizontal="left" vertical="center"/>
    </xf>
    <xf numFmtId="0" fontId="41" fillId="13" borderId="16" xfId="41" applyBorder="1">
      <alignment horizontal="left" vertical="center"/>
    </xf>
    <xf numFmtId="0" fontId="41" fillId="13" borderId="18" xfId="41" applyBorder="1">
      <alignment horizontal="left" vertical="center"/>
    </xf>
    <xf numFmtId="0" fontId="42" fillId="13" borderId="9" xfId="41" applyFont="1" applyBorder="1">
      <alignment horizontal="left" vertical="center"/>
    </xf>
    <xf numFmtId="9" fontId="32" fillId="4" borderId="2" xfId="14" applyFont="1" applyFill="1" applyBorder="1" applyAlignment="1">
      <alignment horizontal="center" vertical="center"/>
    </xf>
    <xf numFmtId="0" fontId="45" fillId="4" borderId="0" xfId="61">
      <alignment horizontal="left" vertical="center"/>
    </xf>
    <xf numFmtId="0" fontId="44" fillId="4" borderId="0" xfId="60">
      <alignment horizontal="left" vertical="center"/>
    </xf>
    <xf numFmtId="0" fontId="32" fillId="4" borderId="19" xfId="55" applyBorder="1" applyAlignment="1">
      <alignment horizontal="left" vertical="center"/>
    </xf>
    <xf numFmtId="0" fontId="46" fillId="4" borderId="1" xfId="8" applyFont="1" applyBorder="1">
      <alignment horizontal="left" vertical="center"/>
    </xf>
    <xf numFmtId="0" fontId="47" fillId="4" borderId="1" xfId="8" applyFont="1" applyBorder="1">
      <alignment horizontal="left" vertical="center"/>
    </xf>
    <xf numFmtId="0" fontId="48" fillId="4" borderId="1" xfId="56" applyFont="1" applyBorder="1">
      <alignment horizontal="left" vertical="center"/>
    </xf>
    <xf numFmtId="0" fontId="32" fillId="4" borderId="19" xfId="55" applyBorder="1">
      <alignment horizontal="center" vertical="center"/>
    </xf>
    <xf numFmtId="0" fontId="6" fillId="4" borderId="1" xfId="56" applyBorder="1">
      <alignment horizontal="left" vertical="center"/>
    </xf>
    <xf numFmtId="0" fontId="51" fillId="4" borderId="0" xfId="62">
      <alignment horizontal="left" vertical="center"/>
    </xf>
    <xf numFmtId="0" fontId="36" fillId="14" borderId="0" xfId="8" applyFill="1">
      <alignment horizontal="left" vertical="center"/>
    </xf>
    <xf numFmtId="0" fontId="32" fillId="4" borderId="2" xfId="55" applyAlignment="1">
      <alignment vertical="center"/>
    </xf>
    <xf numFmtId="0" fontId="32" fillId="4" borderId="6" xfId="55" applyBorder="1" applyAlignment="1">
      <alignment vertical="center"/>
    </xf>
    <xf numFmtId="0" fontId="32"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38" fillId="4" borderId="1" xfId="8" applyFont="1" applyBorder="1">
      <alignment horizontal="left" vertical="center"/>
    </xf>
    <xf numFmtId="2" fontId="29" fillId="4" borderId="1" xfId="0" applyNumberFormat="1" applyFont="1" applyFill="1" applyBorder="1" applyAlignment="1">
      <alignment horizontal="center"/>
    </xf>
    <xf numFmtId="0" fontId="43" fillId="11" borderId="0" xfId="63">
      <alignment horizontal="center" vertical="center"/>
    </xf>
    <xf numFmtId="0" fontId="54" fillId="0" borderId="0" xfId="2" applyFont="1"/>
    <xf numFmtId="0" fontId="55"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6" fillId="4" borderId="0" xfId="8" applyFont="1">
      <alignment horizontal="left" vertical="center"/>
    </xf>
    <xf numFmtId="0" fontId="57" fillId="4" borderId="0" xfId="8" applyFont="1">
      <alignment horizontal="left" vertical="center"/>
    </xf>
    <xf numFmtId="3" fontId="32" fillId="4" borderId="2" xfId="55" applyNumberFormat="1">
      <alignment horizontal="center" vertical="center"/>
    </xf>
    <xf numFmtId="0" fontId="36" fillId="4" borderId="0" xfId="8" applyAlignment="1">
      <alignment horizontal="left" vertical="center" indent="3"/>
    </xf>
    <xf numFmtId="0" fontId="38" fillId="4" borderId="0" xfId="8" applyFont="1" applyAlignment="1">
      <alignment horizontal="left" vertical="center" indent="3"/>
    </xf>
    <xf numFmtId="0" fontId="36" fillId="4" borderId="0" xfId="8" applyAlignment="1">
      <alignment horizontal="left" vertical="center" indent="6"/>
    </xf>
    <xf numFmtId="0" fontId="13" fillId="6" borderId="0" xfId="29" applyAlignment="1">
      <alignment horizontal="left" vertical="center" indent="3"/>
    </xf>
    <xf numFmtId="0" fontId="55" fillId="6" borderId="0" xfId="30" applyFont="1" applyAlignment="1" applyProtection="1">
      <alignment horizontal="left" vertical="center"/>
    </xf>
    <xf numFmtId="0" fontId="36" fillId="4" borderId="0" xfId="8" applyAlignment="1">
      <alignment horizontal="center" vertical="center"/>
    </xf>
    <xf numFmtId="0" fontId="59" fillId="4" borderId="0" xfId="62" applyFont="1" applyAlignment="1">
      <alignment horizontal="left" vertical="center" indent="2"/>
    </xf>
    <xf numFmtId="0" fontId="59" fillId="4" borderId="0" xfId="62" applyFont="1">
      <alignment horizontal="left" vertical="center"/>
    </xf>
    <xf numFmtId="0" fontId="41" fillId="13" borderId="9" xfId="41" applyBorder="1">
      <alignment horizontal="left" vertical="center"/>
    </xf>
    <xf numFmtId="0" fontId="60" fillId="4" borderId="0" xfId="62" applyFont="1">
      <alignment horizontal="left" vertical="center"/>
    </xf>
    <xf numFmtId="170" fontId="8" fillId="4" borderId="0" xfId="10" applyNumberFormat="1">
      <alignment horizontal="center" vertical="center"/>
    </xf>
    <xf numFmtId="0" fontId="61" fillId="15" borderId="2" xfId="65">
      <alignment horizontal="center" vertical="center"/>
    </xf>
    <xf numFmtId="0" fontId="62" fillId="16" borderId="2" xfId="66">
      <alignment horizontal="center" vertical="center"/>
    </xf>
    <xf numFmtId="0" fontId="63" fillId="4" borderId="2" xfId="55" applyFont="1" applyAlignment="1">
      <alignment horizontal="left" vertical="center"/>
    </xf>
    <xf numFmtId="0" fontId="62" fillId="16" borderId="6" xfId="66" applyBorder="1">
      <alignment horizontal="center" vertical="center"/>
    </xf>
    <xf numFmtId="0" fontId="63" fillId="4" borderId="2" xfId="68">
      <alignment horizontal="left" vertical="center"/>
    </xf>
    <xf numFmtId="0" fontId="32" fillId="4" borderId="2" xfId="69">
      <alignment horizontal="left" vertical="center"/>
    </xf>
    <xf numFmtId="0" fontId="32" fillId="4" borderId="6" xfId="69" applyBorder="1">
      <alignment horizontal="left" vertical="center"/>
    </xf>
    <xf numFmtId="0" fontId="32" fillId="4" borderId="7" xfId="69" applyBorder="1">
      <alignment horizontal="left" vertical="center"/>
    </xf>
    <xf numFmtId="0" fontId="63" fillId="4" borderId="6" xfId="68" applyBorder="1">
      <alignment horizontal="left" vertical="center"/>
    </xf>
    <xf numFmtId="0" fontId="63" fillId="4" borderId="7" xfId="68" applyBorder="1">
      <alignment horizontal="left" vertical="center"/>
    </xf>
    <xf numFmtId="0" fontId="66" fillId="0" borderId="0" xfId="70"/>
    <xf numFmtId="0" fontId="0" fillId="0" borderId="20" xfId="0" applyBorder="1"/>
    <xf numFmtId="0" fontId="0" fillId="4" borderId="20" xfId="0" applyFill="1" applyBorder="1"/>
    <xf numFmtId="0" fontId="21" fillId="11" borderId="0" xfId="64">
      <alignment horizontal="left" vertical="center" indent="1"/>
    </xf>
    <xf numFmtId="0" fontId="67" fillId="9" borderId="5" xfId="36" applyFont="1">
      <alignment horizontal="left" vertical="center" indent="1"/>
    </xf>
    <xf numFmtId="0" fontId="21" fillId="5" borderId="0" xfId="38">
      <alignment horizontal="left" vertical="center" indent="1"/>
    </xf>
    <xf numFmtId="0" fontId="21" fillId="8" borderId="0" xfId="39">
      <alignment horizontal="left" vertical="center" indent="1"/>
    </xf>
    <xf numFmtId="0" fontId="21" fillId="10" borderId="0" xfId="37">
      <alignment horizontal="left" vertical="center" indent="1"/>
    </xf>
    <xf numFmtId="0" fontId="65" fillId="0" borderId="0" xfId="34"/>
    <xf numFmtId="171" fontId="0" fillId="0" borderId="0" xfId="8" applyNumberFormat="1" applyFont="1" applyFill="1">
      <alignment horizontal="left" vertical="center"/>
    </xf>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8"/>
      <tableStyleElement type="headerRow" dxfId="97"/>
      <tableStyleElement type="totalRow" dxfId="96"/>
      <tableStyleElement type="firstColumn" dxfId="95"/>
      <tableStyleElement type="firstRowStripe" dxfId="94"/>
      <tableStyleElement type="secondRowStripe" dxfId="93"/>
    </tableStyle>
    <tableStyle name="Equation table" pivot="0" count="6" xr9:uid="{B247698E-E41D-4CCD-AA0A-C14817E9DE65}">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Table Style 1" pivot="0" count="0" xr9:uid="{97B370DB-5463-4A31-9160-5A96BD6A559D}"/>
  </tableStyles>
  <colors>
    <mruColors>
      <color rgb="FF0C769E"/>
      <color rgb="FF008000"/>
      <color rgb="FF4F4789"/>
      <color rgb="FFE9F2FB"/>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Arial"/>
              <a:cs typeface="Arial"/>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Arial"/>
              <a:cs typeface="Arial"/>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Arial"/>
              <a:cs typeface="Arial"/>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Arial"/>
              <a:cs typeface="Arial"/>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Arial"/>
              <a:cs typeface="Arial"/>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Arial"/>
              <a:cs typeface="Arial"/>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Arial"/>
              <a:cs typeface="Arial"/>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10027055" y="676836"/>
          <a:ext cx="1904586" cy="891686"/>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6070968" y="3228975"/>
          <a:ext cx="1856013" cy="876300"/>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6061301" y="6029325"/>
          <a:ext cx="1856012"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9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92263" y="8373835"/>
          <a:ext cx="1856014"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9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166009" y="8376557"/>
          <a:ext cx="1856015"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9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7074529" y="8376557"/>
          <a:ext cx="1856014"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9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200" b="0">
              <a:solidFill>
                <a:srgbClr val="0C769E"/>
              </a:solidFill>
            </a:rPr>
            <a:t>4.5.1.1-2</a:t>
          </a:r>
          <a:r>
            <a:rPr lang="en-AU" sz="2200" b="0" baseline="0">
              <a:solidFill>
                <a:srgbClr val="0C769E"/>
              </a:solidFill>
            </a:rPr>
            <a:t> </a:t>
          </a:r>
          <a:br>
            <a:rPr lang="en-AU" sz="2200" b="0" baseline="0">
              <a:solidFill>
                <a:srgbClr val="0C769E"/>
              </a:solidFill>
            </a:rPr>
          </a:br>
          <a:r>
            <a:rPr lang="en-AU" sz="22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2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200" b="0">
              <a:solidFill>
                <a:srgbClr val="4F4789"/>
              </a:solidFill>
            </a:rPr>
            <a:t>4.5.1.3-4 </a:t>
          </a:r>
          <a:br>
            <a:rPr lang="en-AU" sz="2200" b="0">
              <a:solidFill>
                <a:srgbClr val="4F4789"/>
              </a:solidFill>
            </a:rPr>
          </a:br>
          <a:r>
            <a:rPr lang="en-AU" sz="22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Arial"/>
              <a:cs typeface="Arial"/>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Arial"/>
              <a:cs typeface="Arial"/>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Arial"/>
              <a:cs typeface="Arial"/>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200" b="0">
              <a:solidFill>
                <a:schemeClr val="accent6">
                  <a:lumMod val="50000"/>
                </a:schemeClr>
              </a:solidFill>
            </a:rPr>
            <a:t>4.5.1.7-8 Leaching</a:t>
          </a:r>
          <a:r>
            <a:rPr lang="en-AU" sz="2200" b="0" baseline="0">
              <a:solidFill>
                <a:schemeClr val="accent6">
                  <a:lumMod val="50000"/>
                </a:schemeClr>
              </a:solidFill>
            </a:rPr>
            <a:t> and runoff</a:t>
          </a:r>
          <a:endParaRPr lang="en-AU" sz="22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200" b="0">
              <a:solidFill>
                <a:srgbClr val="C00000"/>
              </a:solidFill>
            </a:rPr>
            <a:t>4.5.1.9 </a:t>
          </a:r>
          <a:r>
            <a:rPr lang="en-AU" sz="2200" b="0" baseline="0">
              <a:solidFill>
                <a:srgbClr val="C00000"/>
              </a:solidFill>
            </a:rPr>
            <a:t>Manure applied to soils</a:t>
          </a:r>
          <a:endParaRPr lang="en-AU" sz="22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Arial"/>
              <a:cs typeface="Arial"/>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Arial"/>
              <a:cs typeface="Arial"/>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Arial"/>
              <a:cs typeface="Arial"/>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Arial"/>
              <a:cs typeface="Arial"/>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Arial"/>
              <a:cs typeface="Arial"/>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Arial"/>
              <a:cs typeface="Arial"/>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Arial"/>
              <a:cs typeface="Arial"/>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Arial"/>
              <a:cs typeface="Arial"/>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Arial"/>
              <a:cs typeface="Arial"/>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Arial"/>
              <a:cs typeface="Arial"/>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6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chemeClr val="tx1">
                  <a:lumMod val="65000"/>
                  <a:lumOff val="35000"/>
                </a:schemeClr>
              </a:solidFill>
            </a:rPr>
            <a:t>This sheet shows the flow of</a:t>
          </a:r>
          <a:r>
            <a:rPr lang="en-AU" sz="16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600" baseline="0">
              <a:solidFill>
                <a:schemeClr val="tx1">
                  <a:lumMod val="65000"/>
                  <a:lumOff val="35000"/>
                </a:schemeClr>
              </a:solidFill>
            </a:rPr>
          </a:br>
          <a:r>
            <a:rPr lang="en-AU" sz="1600" b="1" baseline="0">
              <a:solidFill>
                <a:schemeClr val="tx1">
                  <a:lumMod val="65000"/>
                  <a:lumOff val="35000"/>
                </a:schemeClr>
              </a:solidFill>
            </a:rPr>
            <a:t>Click on an equation to view it in detail.</a:t>
          </a:r>
          <a:endParaRPr lang="en-AU" sz="16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𝑉𝑆𝑇_(𝑖𝑗𝑚,𝑇=2)=𝑉𝑆_𝑗×𝐹𝑉𝑆_(𝑗𝑚,𝑇=1)×(1−𝑉𝑆𝐿_(𝑚,𝑇=1) )</a:t>
              </a:r>
              <a:endParaRPr lang="en-AU" sz="10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𝑉𝑆</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𝑀_(𝑖𝑗𝑚,𝑇=2)=𝑉𝑆𝑇_(𝑗𝑚,𝑇=2)×𝐵𝑂×𝑀𝑀𝑆_(𝑗𝑚,𝑇=2)×𝑀𝐶𝐹_𝑖𝑚×𝜌</a:t>
              </a:r>
              <a:endParaRPr lang="en-AU" sz="10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𝐹𝑉𝑆_(𝑗𝑚,𝑇=1)=𝑀𝑀𝑆_(𝑗𝑚,𝑇=1)×(1−𝑆𝑆_𝑚 )</a:t>
              </a:r>
              <a:endParaRPr lang="en-AU" sz="10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44340"/>
                        </a:solidFill>
                        <a:latin typeface="Cambria Math" panose="02040503050406030204" pitchFamily="18" charset="0"/>
                      </a:rPr>
                      <m:t>ORIGINAL</m:t>
                    </m:r>
                    <m:r>
                      <a:rPr lang="en-AU" sz="1000" b="0" i="1">
                        <a:solidFill>
                          <a:srgbClr val="C44340"/>
                        </a:solidFill>
                        <a:latin typeface="Cambria Math" panose="02040503050406030204" pitchFamily="18" charset="0"/>
                      </a:rPr>
                      <m:t>: </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=1,7,9,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e>
                    </m:d>
                  </m:oMath>
                </m:oMathPara>
              </a14:m>
              <a:endParaRPr lang="en-AU" sz="10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44340"/>
                  </a:solidFill>
                  <a:latin typeface="Cambria Math" panose="02040503050406030204" pitchFamily="18" charset="0"/>
                </a:rPr>
                <a:t>ORIGINAL: </a:t>
              </a:r>
              <a:r>
                <a:rPr lang="en-AU" sz="1000" i="0">
                  <a:latin typeface="Cambria Math" panose="02040503050406030204" pitchFamily="18" charset="0"/>
                </a:rPr>
                <a:t>𝐹𝑉𝑆_(𝑗,𝑚=4,𝑇=1)=𝑀𝑀𝑆_(𝑗,𝑚=4,𝑇=1)+(𝑀𝑀𝑆_(𝑗,𝑚=1,7,9,𝑇=1)×𝑆𝑆_𝑚 )</a:t>
              </a:r>
              <a:endParaRPr lang="en-AU" sz="10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𝑖𝑗𝑚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𝑀_(𝑖𝑗𝑚,𝑇=1)=𝑉𝑆_𝑗×𝐹𝑉𝑆_(𝑗𝑚,𝑇=1)×𝑀𝐶𝐹_𝑖𝑚×𝐵𝑂×𝜌</a:t>
              </a:r>
              <a:endParaRPr lang="en-AU" sz="10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𝑚𝑗</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sub>
                            </m:sSub>
                          </m:e>
                        </m:nary>
                        <m:r>
                          <a:rPr lang="en-AU" sz="1000" b="0" i="1">
                            <a:latin typeface="Cambria Math" panose="02040503050406030204" pitchFamily="18" charset="0"/>
                          </a:rPr>
                          <m:t> </m:t>
                        </m:r>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𝑀_𝑚𝑗=∑_𝑚</a:t>
              </a:r>
              <a:r>
                <a:rPr lang="en-AU" sz="1000" b="0" i="0">
                  <a:latin typeface="Cambria Math" panose="02040503050406030204" pitchFamily="18" charset="0"/>
                </a:rPr>
                <a:t>▒〖∑_</a:t>
              </a:r>
              <a:r>
                <a:rPr lang="en-AU" sz="1000" i="0">
                  <a:latin typeface="Cambria Math" panose="02040503050406030204" pitchFamily="18" charset="0"/>
                </a:rPr>
                <a:t>𝑇▒𝑀_𝑗𝑚𝑇 </a:t>
              </a:r>
              <a:r>
                <a:rPr lang="en-AU" sz="1000" b="0" i="0">
                  <a:latin typeface="Cambria Math" panose="02040503050406030204" pitchFamily="18" charset="0"/>
                </a:rPr>
                <a:t>  〗</a:t>
              </a:r>
              <a:endParaRPr lang="en-AU" sz="10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𝐸_𝐶𝐻4=∑_𝑗▒(𝐷_𝑗×𝑀_𝑚𝑗×𝑁_𝑗 ) ×10^(−3)</a:t>
              </a:r>
              <a:endParaRPr lang="en-AU" sz="10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𝑀𝑁_(𝑗𝑚,𝑇=1)=𝐴𝐸_𝑗×𝐹𝑁_(𝑗𝑚,𝑇=1)</a:t>
              </a:r>
              <a:endParaRPr lang="en-AU" sz="10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𝐴𝐸_𝑗=𝑁_𝑗×𝑁𝑊_𝑗×𝐷_𝑗</a:t>
              </a:r>
              <a:endParaRPr lang="en-AU" sz="10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𝑚</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𝐹𝑁_(𝑗𝑚,𝑇=1)=𝑀𝑀𝑆_(𝑗𝑚,𝑇=1)×(1−𝑆𝑁_𝑚 )</a:t>
              </a:r>
              <a:endParaRPr lang="en-AU" sz="10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a:t>
              </a:r>
              <a:r>
                <a:rPr lang="en-AU" sz="1000"/>
                <a:t> </a:t>
              </a:r>
              <a14:m>
                <m:oMath xmlns:m="http://schemas.openxmlformats.org/officeDocument/2006/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=1,7,9,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𝑚</m:t>
                          </m:r>
                        </m:sub>
                      </m:sSub>
                    </m:e>
                  </m:d>
                </m:oMath>
              </a14:m>
              <a:endParaRPr lang="en-AU" sz="10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a:solidFill>
                    <a:srgbClr val="C44340"/>
                  </a:solidFill>
                </a:rPr>
                <a:t>ORIGINAL:</a:t>
              </a:r>
              <a:r>
                <a:rPr lang="en-AU" sz="1000"/>
                <a:t> </a:t>
              </a:r>
              <a:r>
                <a:rPr lang="en-AU" sz="1000" i="0">
                  <a:latin typeface="Cambria Math" panose="02040503050406030204" pitchFamily="18" charset="0"/>
                </a:rPr>
                <a:t>𝐹𝑁_(𝑗𝑚=4,𝑇=1)=𝑀𝑀𝑆_(𝑗𝑚=4,𝑇=1)+(𝑀𝑀𝑆_(𝑗𝑚=1,7,9,𝑇=1)×𝑆𝑁_𝑚 )</a:t>
              </a:r>
              <a:endParaRPr lang="en-AU" sz="10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=4,</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=7,</m:t>
                            </m:r>
                            <m:r>
                              <a:rPr lang="en-AU" sz="1000" i="1">
                                <a:latin typeface="Cambria Math" panose="02040503050406030204" pitchFamily="18" charset="0"/>
                              </a:rPr>
                              <m:t>𝑇</m:t>
                            </m:r>
                            <m:r>
                              <a:rPr lang="en-AU" sz="1000" i="1">
                                <a:latin typeface="Cambria Math" panose="02040503050406030204" pitchFamily="18" charset="0"/>
                              </a:rPr>
                              <m:t>=1</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=9,</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0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=1</m:t>
                            </m:r>
                          </m:sub>
                        </m:sSub>
                      </m:e>
                    </m:d>
                  </m:oMath>
                </m:oMathPara>
              </a14:m>
              <a:endParaRPr lang="en-AU" sz="10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𝑁𝑇_(𝑗𝑚,𝑇=2)=𝑀𝑁_(𝑗𝑚,𝑇=1)×(1−𝐹𝑟𝑎𝑐𝐺𝐴𝑆𝑀_(𝑚,𝑇=1)−𝐸𝐹_(𝑚,𝑇=1) )</a:t>
              </a:r>
              <a:endParaRPr lang="en-AU" sz="10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𝑀𝑁_(𝑗𝑚,𝑇=2)=𝑁𝑇_(𝑗𝑚,𝑇=2)×𝑀𝑀𝑆_(𝑗𝑚,𝑇=2)</a:t>
              </a:r>
              <a:endParaRPr lang="en-AU" sz="10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𝐸_(𝑁2𝑂,𝑑𝑖𝑟)=∑_𝑗▒∑_𝑚▒∑_𝑇▒(𝑀𝑁_𝑗𝑚𝑇×𝐸𝐹_𝑗𝑚×𝐶_𝑁2𝑂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𝑀𝑀𝑆_𝐴𝑇𝑀𝑂𝑆=∑8_𝑗▒∑8_𝑚▒∑8_𝑇▒(𝑀𝑁_𝑗𝑚𝑇×𝐹𝑟𝑎𝑐𝐺𝐴𝑆𝑀_𝑚𝑇 ) </a:t>
              </a:r>
              <a:endParaRPr lang="en-AU" sz="10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𝐸_(𝑁2𝑂,𝑎𝑑)=𝑀𝑀𝑆_𝐴𝑇𝑀𝑂𝑆×𝐸𝐹_𝑁2𝑂×𝐶_𝑁2𝑂×10^(−3)</a:t>
              </a:r>
              <a:endParaRPr lang="en-AU" sz="10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𝐹𝑟𝑎𝑐𝑊𝐸𝑇</m:t>
                    </m:r>
                    <m:r>
                      <a:rPr lang="en-AU" sz="1000" i="1">
                        <a:latin typeface="Cambria Math" panose="02040503050406030204" pitchFamily="18" charset="0"/>
                      </a:rPr>
                      <m:t>×</m:t>
                    </m:r>
                    <m:r>
                      <a:rPr lang="en-AU" sz="1000" i="1">
                        <a:latin typeface="Cambria Math" panose="02040503050406030204" pitchFamily="18" charset="0"/>
                      </a:rPr>
                      <m:t>𝐹𝑟𝑎𝑐𝐿𝐸𝐴𝐶</m:t>
                    </m:r>
                    <m:sSub>
                      <m:sSubPr>
                        <m:ctrlPr>
                          <a:rPr lang="en-AU" sz="1000" i="1">
                            <a:latin typeface="Cambria Math" panose="02040503050406030204" pitchFamily="18" charset="0"/>
                          </a:rPr>
                        </m:ctrlPr>
                      </m:sSubPr>
                      <m:e>
                        <m:r>
                          <a:rPr lang="en-AU" sz="1000" i="1">
                            <a:latin typeface="Cambria Math" panose="02040503050406030204" pitchFamily="18" charset="0"/>
                          </a:rPr>
                          <m:t>𝐻</m:t>
                        </m:r>
                      </m:e>
                      <m:sub>
                        <m:r>
                          <a:rPr lang="en-AU" sz="1000" i="1">
                            <a:latin typeface="Cambria Math" panose="02040503050406030204" pitchFamily="18" charset="0"/>
                          </a:rPr>
                          <m:t>𝑀𝑆</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𝑀𝑁𝐿𝑒𝑎𝑐ℎ_(𝑗𝑚=5)=𝑀𝑁_(𝑗𝑚=5,𝑇=1)×𝐹𝑟𝑎𝑐𝑊𝐸𝑇×𝐹𝑟𝑎𝑐𝐿𝐸𝐴𝐶𝐻_𝑀𝑆</a:t>
              </a:r>
              <a:endParaRPr lang="en-AU" sz="10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𝐸_(𝑁2𝑂,𝑙𝑒𝑎𝑐ℎ)=𝑀𝑁𝐿𝑒𝑎𝑐ℎ_(𝑗𝑚=5)×𝐸𝐹_𝑙𝑒𝑎𝑐ℎ×𝐶_𝑁2𝑂×10^(−3)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e>
                            </m:d>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0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m:t>
                                        </m:r>
                                      </m:sub>
                                    </m:sSub>
                                  </m:e>
                                </m:d>
                                <m:r>
                                  <a:rPr lang="en-AU" sz="1000" i="1">
                                    <a:latin typeface="Cambria Math" panose="02040503050406030204" pitchFamily="18" charset="0"/>
                                  </a:rPr>
                                  <m:t>−</m:t>
                                </m:r>
                                <m:r>
                                  <a:rPr lang="en-AU" sz="1000" i="1">
                                    <a:latin typeface="Cambria Math" panose="02040503050406030204" pitchFamily="18" charset="0"/>
                                  </a:rPr>
                                  <m:t>𝑀𝑁𝐿𝑒𝑎𝑐</m:t>
                                </m:r>
                                <m:sSub>
                                  <m:sSubPr>
                                    <m:ctrlPr>
                                      <a:rPr lang="en-AU" sz="1000" i="1">
                                        <a:latin typeface="Cambria Math" panose="02040503050406030204" pitchFamily="18" charset="0"/>
                                      </a:rPr>
                                    </m:ctrlPr>
                                  </m:sSubPr>
                                  <m:e>
                                    <m:r>
                                      <a:rPr lang="en-AU" sz="1000" i="1">
                                        <a:latin typeface="Cambria Math" panose="02040503050406030204" pitchFamily="18" charset="0"/>
                                      </a:rPr>
                                      <m:t>ℎ</m:t>
                                    </m:r>
                                  </m:e>
                                  <m:sub>
                                    <m:r>
                                      <a:rPr lang="en-AU" sz="1000" i="1">
                                        <a:latin typeface="Cambria Math" panose="02040503050406030204" pitchFamily="18" charset="0"/>
                                      </a:rPr>
                                      <m:t>𝑗𝑚</m:t>
                                    </m:r>
                                    <m:r>
                                      <a:rPr lang="en-AU" sz="1000" i="1">
                                        <a:latin typeface="Cambria Math" panose="02040503050406030204" pitchFamily="18" charset="0"/>
                                      </a:rPr>
                                      <m:t>=5</m:t>
                                    </m:r>
                                  </m:sub>
                                </m:sSub>
                              </m:e>
                            </m:d>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8D19AA0-5FCF-4F1B-9B46-EF0EC1DC236E}" name="Table_Input_LivestockSales" displayName="Table_Input_LivestockSales" ref="D39:I49" totalsRowShown="0">
  <autoFilter ref="D39:I49"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86"/>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G40*H40</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85"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84"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83"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82"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81"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80"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79"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78"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7"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6"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75"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74"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73"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72"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71"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70" dataCellStyle="Content normal">
  <autoFilter ref="D78:E82" xr:uid="{E34928EB-73E5-43B2-830B-089F30DA4EF0}">
    <filterColumn colId="0" hiddenButton="1"/>
    <filterColumn colId="1" hiddenButton="1"/>
  </autoFilter>
  <tableColumns count="2">
    <tableColumn id="1" xr3:uid="{CAC8EB28-568F-4E9F-8E36-EBDFF74A58D3}" name="Class" dataDxfId="69"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68"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7"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6"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65"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64"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A254605-4CDB-415A-A190-7F77AFC9D73A}"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969FF8AE-5D3E-433B-A365-F49AE6130585}" name="Livestock type j">
      <calculatedColumnFormula array="1">Common_InputFunctions.Utility_DisplayArrayInTable(SourceData_Swine.SourceData_Swine_AverageLiveweight_Data(),Table_SourceData_Swine_Liveweight[[#Headers],[Livestock type j]],0)</calculatedColumnFormula>
    </tableColumn>
    <tableColumn id="2" xr3:uid="{9C7E1D4D-8B61-4284-8391-BB58A293649F}" name="Average liveweight (kg)" dataDxfId="63"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C4DD910-502A-46D7-A478-ED538841D3A4}" name="Table_LivestockClasses_Swine" displayName="Table_LivestockClasses_Swine" ref="I8:I12" totalsRowShown="0">
  <autoFilter ref="I8:I12" xr:uid="{AC4DD910-502A-46D7-A478-ED538841D3A4}"/>
  <tableColumns count="1">
    <tableColumn id="1" xr3:uid="{50B043B6-3013-49F5-82E3-ECECE565F3A7}"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01096E-99A2-4146-AC44-88858A50B9F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C4EA083-BFD4-4695-B7CC-7A998070026F}" name="State/Territory">
      <calculatedColumnFormula array="1">Common_InputFunctions.Utility_DisplayArrayInTable(Common_SourceData.Common_SourceData_AustralianStatesTerritories_Data(),Table_AustralianStates[[#Headers],[State/Territory]],0)</calculatedColumnFormula>
    </tableColumn>
    <tableColumn id="2" xr3:uid="{EB92EBE5-C6A0-4E0E-858C-6494C3063999}" name="Common Name">
      <calculatedColumnFormula array="1">Common_InputFunctions.Utility_DisplayArrayInTable(Common_SourceData.Common_SourceData_AustralianStatesTerritories_Data(),Table_AustralianStates[[#Headers],[State/Territory]],0)</calculatedColumnFormula>
    </tableColumn>
    <tableColumn id="3" xr3:uid="{4221FD88-8BE6-4DCF-9089-B6CD2911BE1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8A6856-B227-4D0F-B37A-B48921F7454C}" name="Table_WASA4Areas" displayName="Table_WASA4Areas" ref="D20:D30" totalsRowShown="0">
  <autoFilter ref="D20:D30" xr:uid="{5FA81339-C6C8-4D36-BEEA-6C4AEDD9E676}">
    <filterColumn colId="0" hiddenButton="1"/>
  </autoFilter>
  <tableColumns count="1">
    <tableColumn id="1" xr3:uid="{1A6F81F4-D9B6-460B-B6E3-2B5AC507FDE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6197CA-0BD7-462D-B86B-2B5F4D31F40F}" name="Table_GWPData" displayName="Table_GWPData" ref="D36:E43" totalsRowShown="0">
  <autoFilter ref="D36:E43" xr:uid="{B8E87A66-3E41-4AD3-925D-01EE21B43D7A}">
    <filterColumn colId="0" hiddenButton="1"/>
    <filterColumn colId="1" hiddenButton="1"/>
  </autoFilter>
  <tableColumns count="2">
    <tableColumn id="1" xr3:uid="{2F024C54-3E21-44E9-A982-14840A5DDA28}" name="Gas">
      <calculatedColumnFormula array="1">Common_InputFunctions.Utility_DisplayArrayInTable(Common_SourceData.Common_SourceData_GWP_Data(), Table_GWPData[[#Headers],[Gas]], 0)</calculatedColumnFormula>
    </tableColumn>
    <tableColumn id="2" xr3:uid="{0CD7FCC0-904D-468B-A16D-D75D4465E095}"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EE54BB-BAC2-4380-B8B3-F4658FD4080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DEB724-D063-44D3-AE22-6708EE9EE3C0}" name="Gas">
      <calculatedColumnFormula array="1">Common_InputFunctions.Utility_DisplayArrayInTable(Common_SourceData.Common_SourceData_ConvertGasElementalToMolecular_Data(),Table_GasToMolecularConversionFactor[[#Headers],[Gas]], 0)</calculatedColumnFormula>
    </tableColumn>
    <tableColumn id="5" xr3:uid="{0CC2F75F-F17A-461E-9738-770F6749DAFD}" name="Conversion factor">
      <calculatedColumnFormula array="1">Common_InputFunctions.Utility_DisplayArrayInTable(Common_SourceData.Common_SourceData_ConvertGasElementalToMolecular_Data(),Table_GasToMolecularConversionFactor[[#Headers],[Gas]], 0)</calculatedColumnFormula>
    </tableColumn>
    <tableColumn id="2" xr3:uid="{D73C9402-3418-46F6-968F-BE3C3E9CDFD7}"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5291CFE-768B-481D-A716-2BD027CEC4A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6A37C60-6075-4ECE-9E05-9ED95ED022D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CAFE06-7FD1-4B29-A6DB-655629817A3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1F613D2-D8A8-45A5-93CD-064251DCD2D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9878F40-269B-4DAC-A6D2-415FFE4D629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F6DCCB7A-48B2-43AE-B3BA-AAEEC02BF40D}"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18C0B670-3990-4842-BE4C-AB190A5ECFA7}"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F0458B4-79D8-4E84-A55F-AE8E9FBFDF5F}"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7EDB9159-17B8-4D1C-BC76-9BCCB0FE283E}"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E41F554B-2698-4225-8233-E0B32D03588F}"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1EE95BBB-4CCA-4CAD-BE77-2B221A752B2B}"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7AB05A7D-BE53-4228-B24D-7D8A16297DEE}"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E644564A-56FB-485E-AF54-2A612933924E}"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8E4042DC-E819-4E2C-A56C-FAB0C5C5684E}"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777F060-DB54-494F-8D7D-EDBD6D348187}"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D789D45B-3342-40CA-9DC1-7023974584FE}"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E4AA8218-5C2A-4C32-B1B1-8C0F86BB962B}"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FFD001CF-5F65-4D10-9EED-9DDDF295F903}"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46383F2A-4CA7-4288-9404-8B2B6B2F3F33}"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530E9B0-274B-43A2-8E8F-A6B1F832C01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2CA3987-C754-4440-95B6-BF8014E91B0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62C9C6A-7090-4355-A081-EA2D93D7A870}"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637251-D7D1-4A58-96CC-5599310411A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C42C69B-BEAA-4AE3-BC6E-14B1A4925183}" name="Temperature Zone">
      <calculatedColumnFormula array="1">Common_InputFunctions.Utility_DisplayArrayInTable(Common_SourceData.Common_SourceData_TemperatureZones_Data(),Table_SourceData_TemperatureZones[[#Headers],[Temperature Zone]],0)</calculatedColumnFormula>
    </tableColumn>
    <tableColumn id="2" xr3:uid="{EC665EB0-D01B-4683-8853-6872A431CA58}" name="MAT">
      <calculatedColumnFormula array="1">Common_InputFunctions.Utility_DisplayArrayInTable(Common_SourceData.Common_SourceData_TemperatureZones_Data(),Table_SourceData_TemperatureZones[[#Headers],[Temperature Zone]],0)</calculatedColumnFormula>
    </tableColumn>
    <tableColumn id="3" xr3:uid="{A56CFB9C-8D2E-4291-8F6B-AD6FB570E7C9}" name="Min MAT">
      <calculatedColumnFormula array="1">Common_InputFunctions.Utility_DisplayArrayInTable(Common_SourceData.Common_SourceData_TemperatureZones_Data(),Table_SourceData_TemperatureZones[[#Headers],[Temperature Zone]],0)</calculatedColumnFormula>
    </tableColumn>
    <tableColumn id="4" xr3:uid="{5BF6A887-264D-4D07-9EE0-51413F89831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73C2DE-E4AA-4956-9E19-ED6AC0D2057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83B16FC-40C8-4071-BA79-82548874272A}" name="Rainfall Zone">
      <calculatedColumnFormula array="1">Common_InputFunctions.Utility_DisplayArrayInTable(Common_SourceData.Common_SourceData_RainfallZones_Data(),Table_SourceData_RainfallZones[[#Headers],[Rainfall Zone]],0)</calculatedColumnFormula>
    </tableColumn>
    <tableColumn id="2" xr3:uid="{1E4D6B40-226A-4A10-8E99-7ED5D810A5ED}" name="Annual rainfall">
      <calculatedColumnFormula array="1">Common_InputFunctions.Utility_DisplayArrayInTable(Common_SourceData.Common_SourceData_RainfallZones_Data(),Table_SourceData_RainfallZones[[#Headers],[Rainfall Zone]],0)</calculatedColumnFormula>
    </tableColumn>
    <tableColumn id="3" xr3:uid="{A96B69CA-6B2D-4CB3-8DF8-B6F9B2E546BE}" name="Min rainfall">
      <calculatedColumnFormula array="1">Common_InputFunctions.Utility_DisplayArrayInTable(Common_SourceData.Common_SourceData_RainfallZones_Data(),Table_SourceData_RainfallZones[[#Headers],[Rainfall Zone]],0)</calculatedColumnFormula>
    </tableColumn>
    <tableColumn id="4" xr3:uid="{547FF238-BFB2-4C73-93CC-79A1229CFC8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217059-2D7D-4795-B438-41404EF195B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9E9A28F-ECAE-42B9-A68F-789D617974D5}" name="Leaching Zone">
      <calculatedColumnFormula array="1">Common_InputFunctions.Utility_DisplayArrayInTable(Common_SourceData.Common_SourceData_LeachingZones_Data(), Table_SourceData_LeachingZones[[#Headers],[Leaching Zone]], 0)</calculatedColumnFormula>
    </tableColumn>
    <tableColumn id="2" xr3:uid="{60134C7B-D14E-4373-ACE2-ECF28746D31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2C858F-E682-45A6-94A9-14DC40E662E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D5229F5-6B56-4CC8-9C07-7499A856A215}" name="Data source">
      <calculatedColumnFormula array="1">Common_InputFunctions.Utility_DisplayArrayInTable(Common_SourceData.Common_SourceData_DataScores_Scope3_Data(), Table_SourceData_DataScores_Scope3[[#Headers],[Data source]], 0)</calculatedColumnFormula>
    </tableColumn>
    <tableColumn id="2" xr3:uid="{1EE66D37-CE50-4EAD-9BD8-CE06184D967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D0B85E1-6FF4-403F-B320-BD0D7AF4935D}" name="Table_SourceData_FracWET" displayName="Table_SourceData_FracWET" ref="D134:E136" totalsRowShown="0">
  <autoFilter ref="D134:E136" xr:uid="{308E99BE-FE1F-47A4-B2CA-97217277C4E9}">
    <filterColumn colId="0" hiddenButton="1"/>
    <filterColumn colId="1" hiddenButton="1"/>
  </autoFilter>
  <tableColumns count="2">
    <tableColumn id="1" xr3:uid="{54D258CE-B4A4-4803-8241-9B636DDF2389}" name="Is in leaching zone">
      <calculatedColumnFormula array="1">Common_InputFunctions.Utility_DisplayArrayInTable(Common_SourceData.Common_SourceData_FracWET_Data(),Table_SourceData_FracWET[[#Headers],[Is in leaching zone]],0)</calculatedColumnFormula>
    </tableColumn>
    <tableColumn id="2" xr3:uid="{D8708E43-EBE8-48B8-BB9F-AFC84AC40FE7}"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2FD37B6-B943-40DE-8AE3-9D0A185B8FB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565D3A3-A381-4A5D-89B7-BB6437C3D447}" name="Production system j">
      <calculatedColumnFormula array="1">Common_InputFunctions.Utility_DisplayArrayInTable(Common_SourceData.Common_SourceData_EFN2O_Data(), Table_SourceData_Common_EFN2O[[#Headers],[Production system j]], 0)</calculatedColumnFormula>
    </tableColumn>
    <tableColumn id="2" xr3:uid="{D3BB0652-38D4-4D5B-B1B7-B475DB6530E9}" name="EFN2O">
      <calculatedColumnFormula array="1">Common_InputFunctions.Utility_DisplayArrayInTable(Common_SourceData.Common_SourceData_EFN2O_Data(), Table_SourceData_Common_EFN2O[[#Headers],[Production system j]], 0)</calculatedColumnFormula>
    </tableColumn>
    <tableColumn id="3" xr3:uid="{2514AC7C-E226-4F00-9F8D-C6011D95CB5C}" name="Production system only">
      <calculatedColumnFormula array="1">Common_InputFunctions.Utility_DisplayArrayInTable(Common_SourceData.Common_SourceData_EFN2O_Data(), Table_SourceData_Common_EFN2O[[#Headers],[Production system j]], 0)</calculatedColumnFormula>
    </tableColumn>
    <tableColumn id="4" xr3:uid="{B551FAB0-9F38-488A-82F1-70CDC6236A53}" name="Irrigation method">
      <calculatedColumnFormula array="1">Common_InputFunctions.Utility_DisplayArrayInTable(Common_SourceData.Common_SourceData_EFN2O_Data(), Table_SourceData_Common_EFN2O[[#Headers],[Production system j]], 0)</calculatedColumnFormula>
    </tableColumn>
    <tableColumn id="5" xr3:uid="{07E4D250-A672-4098-90AA-A3E16EE9B90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F2A6219-274B-4314-8EA6-1DC614E86C8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EB7345B-6141-430A-A941-52985CA5EAA4}" name="Irrigation type i">
      <calculatedColumnFormula array="1">Common_InputFunctions.Utility_DisplayArrayInTable(Common_SourceData.Common_SourceData_FracWETIrrigation_Data(), Table_SourceData_FracWETIrrigation[[#Headers],[Irrigation type i]], 0)</calculatedColumnFormula>
    </tableColumn>
    <tableColumn id="2" xr3:uid="{EF7E44A6-D30A-4869-ADA1-3E08CF63A7DE}"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1A6C734-C418-4324-80DB-52FF2C39B0F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898AE92-12EF-48ED-ADAF-19D67519BDF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256D221-4F15-40E6-ACF4-8EC179F5C7A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F5ACE4-7CBC-45E9-9888-07B19AEAA5C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73F77BA-685B-4194-BD56-E50FCF13B4FF}" name="Month">
      <calculatedColumnFormula array="1">Common_InputFunctions.Utility_DisplayArrayInTable(Common_SourceData.Common_SourceData_MonthsToSeasons_Data(), Table_SourceData_Common_MonthToSeason[[#Headers],[Month]], 0)</calculatedColumnFormula>
    </tableColumn>
    <tableColumn id="2" xr3:uid="{95A984B7-7198-4C2D-9205-49325842E2A0}"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ECA3341-2C7F-4738-B94B-D8F9ACDADB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2D4B56A-13A4-4DD1-A7DA-6E39EC80CEB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BB4F5F1-9940-49A4-A84F-03D02E9A3C16}"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891D415-1C13-4465-B7BD-E0EFD5F1E3C2}"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AFD5E43-DBF8-4E7F-9B11-60CEEEA1AD5A}"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F494E2B-2BDA-40E8-8F06-2C65BE679EBF}"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B8DC92F4-EEA3-4B4C-9F3B-40CE374CF3E2}"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C9825-22A9-4F52-AFE2-FD344A99B501}"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CA6E17B-9681-4E19-9B0F-7F002C20FF04}"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B8BBF7-67D7-4F4A-81FC-126EE1705387}"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4FA310C-0E53-4CDC-8F9E-F91F3CF5EAE3}"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2B8AD91-3DAF-4273-9166-07670BB55ADF}"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14CBC30-FA8D-4B9C-9110-5C610F50A3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1BD3185-8883-40C8-9656-B5BCA61BDD44}"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FB58E4D-50EA-41B6-856D-E543882720E6}"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FCDB17A-F853-4577-B465-1F7C67E3012C}"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D2033CC-B4B6-4321-AE00-659E24A7B480}"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BA5B631-E142-490F-87C1-5C3B4D19CBB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0910914-598D-4DDD-8346-46880EF5F30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B3D9B4A-369A-46C0-B9E3-60A3BDEBCA04}"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334E7BB-2DD9-4D93-ABC8-AB0E3B8F9200}"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F207AC0D-B5DD-493A-9CDE-9C48152FFC06}" name="Description" dataDxfId="26" dataCellStyle="Content normal"/>
    <tableColumn id="1" xr3:uid="{A9450AE6-6563-43ED-B0A3-83F3FF3D40F2}" name="ID"/>
    <tableColumn id="3" xr3:uid="{9DF97174-8BB1-46C8-890F-745E307526DF}"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BCDF31D-1DA3-4089-88E9-6A40C1785802}"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1E3213F9-5FC6-4FC3-B9C6-2D1E0A19ED0F}" name="Description"/>
    <tableColumn id="2" xr3:uid="{F8107467-4252-42B7-9B0B-12315E2B7D8C}" name="ID"/>
    <tableColumn id="3" xr3:uid="{CCE0999E-920D-4F3C-869B-0433DBE791C3}"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592C623-1616-4FCE-904D-DE4820195A7D}"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BF9F79B1-2853-4B0B-92FC-61405887ABA0}" name="Description"/>
    <tableColumn id="2" xr3:uid="{89C902CE-5237-4133-ACDB-3D830D88D88E}" name="ID"/>
    <tableColumn id="3" xr3:uid="{6EDDF7C1-A920-4D0E-ADA2-0168B906D3AF}" name="Score"/>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9D6EA8E-40D1-4279-AF37-42CFE4717AF2}"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FDF2C95E-1AFE-47A0-A87D-52934615A581}" name="Description"/>
    <tableColumn id="2" xr3:uid="{CED05DBE-44E8-4BB2-A136-7C09BEA9860F}" name="ID"/>
    <tableColumn id="3" xr3:uid="{7514C76B-0E5C-4217-A6EB-A71BA6EA4792}" name="Score"/>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0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20" x14ac:dyDescent="0.25" customHeight="1"/>
  <sheetData>
    <row r="1" spans="1:1" x14ac:dyDescent="0.25" ht="30" customHeight="1">
      <c r="A1" t="s">
        <v>361</v>
      </c>
    </row>
    <row r="3" spans="1:1" x14ac:dyDescent="0.25" ht="20" customHeight="1">
      <c r="A3" s="145" t="str">
        <f>HYPERLINK("#'Home'!A1", "Home")</f>
        <v>Home</v>
      </c>
    </row>
    <row r="6" spans="1:1" x14ac:dyDescent="0.25" ht="20" customHeight="1">
      <c r="A6" s="141"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sheetPr>
    <tabColor rgb="FF0C769E"/>
  </sheetPr>
  <dimension ref="A1:BV64"/>
  <sheetViews>
    <sheetView showGridLines="0" zoomScaleNormal="100" workbookViewId="0">
      <selection activeCell="A24" sqref="A24"/>
    </sheetView>
  </sheetViews>
  <sheetFormatPr defaultRowHeight="20" x14ac:dyDescent="0.25" customHeight="1"/>
  <sheetData>
    <row r="1" spans="1:1" s="21" customFormat="1" ht="30" x14ac:dyDescent="0.35" customHeight="1">
      <c r="A1" s="64" t="e" vm="1">
        <v>#VALUE!</v>
      </c>
    </row>
    <row r="2" spans="1:1" s="21" customFormat="1" x14ac:dyDescent="0.25" ht="20" customHeight="1">
      <c r="A2"/>
    </row>
    <row r="3" spans="1:1" s="21" customFormat="1" ht="20" x14ac:dyDescent="0.25" customHeight="1">
      <c r="A3" s="17" t="str">
        <f>HYPERLINK("#'Home'!A1", "Home")</f>
        <v>Home</v>
      </c>
    </row>
    <row r="4" spans="1:1" s="21" customFormat="1" ht="20" x14ac:dyDescent="0.25" customHeight="1">
      <c r="A4" s="140" t="str">
        <f>HYPERLINK("#'Overview'!A1", "Overview")</f>
        <v>Overview</v>
      </c>
    </row>
    <row r="5" spans="1:1" s="21" customFormat="1" ht="20" x14ac:dyDescent="0.25" customHeight="1">
      <c r="A5" s="17" t="str">
        <f>HYPERLINK("#'Results'!A1", "Results")</f>
        <v>Results</v>
      </c>
    </row>
    <row r="6" spans="1:1" s="21" customFormat="1" x14ac:dyDescent="0.25" ht="20" customHeight="1">
      <c r="A6"/>
    </row>
    <row r="7" spans="1:1" s="21" customFormat="1" x14ac:dyDescent="0.25" ht="20" customHeight="1">
      <c r="A7"/>
    </row>
    <row r="8" spans="1:1" s="21" customFormat="1" x14ac:dyDescent="0.25" ht="20" customHeight="1">
      <c r="A8" s="19" t="s">
        <v>0</v>
      </c>
    </row>
    <row r="9" spans="1:1" s="21" customFormat="1" ht="20" x14ac:dyDescent="0.25" customHeight="1">
      <c r="A9" s="17" t="str">
        <f>HYPERLINK("#'Input - Site'!A1", "Site")</f>
        <v>Site</v>
      </c>
    </row>
    <row r="10" spans="1:1" s="21" customFormat="1" ht="20" x14ac:dyDescent="0.25" customHeight="1">
      <c r="A10" s="17" t="str">
        <f>HYPERLINK("#'Input - Swine'!A1", "Swine")</f>
        <v>Swine</v>
      </c>
    </row>
    <row r="11" spans="1:1" s="21" customFormat="1" x14ac:dyDescent="0.25" ht="20" customHeight="1">
      <c r="A11"/>
    </row>
    <row r="12" spans="1:1" s="21" customFormat="1" x14ac:dyDescent="0.25" ht="20" customHeight="1">
      <c r="A12"/>
    </row>
    <row r="13" spans="1:1" s="21" customFormat="1" x14ac:dyDescent="0.25" ht="20" customHeight="1">
      <c r="A13" s="18" t="s">
        <v>71</v>
      </c>
    </row>
    <row r="14" spans="1:1" s="138" customFormat="1" ht="20" x14ac:dyDescent="0.25" customHeight="1">
      <c r="A14" s="17" t="str">
        <f>HYPERLINK("#'4.5.1.1-2 Methane'!A1", "4.5.1.1-2 Methane")</f>
        <v>4.5.1.1-2 Methane</v>
      </c>
    </row>
    <row r="15" spans="1:1" ht="20" x14ac:dyDescent="0.25" customHeight="1">
      <c r="A15" s="17" t="str">
        <f>HYPERLINK("#'4.5.1.3-4 Direct N2O'!A1", "4.5.1.3-4 Direct N2O")</f>
        <v>4.5.1.3-4 Direct N2O</v>
      </c>
    </row>
    <row r="16" spans="1:1" ht="20" x14ac:dyDescent="0.25" customHeight="1">
      <c r="A16" s="17" t="str">
        <f>HYPERLINK("#'4.5.1.5-6 Atmos Dep'!A1", "4.5.1.5-6 Atmos Dep")</f>
        <v>4.5.1.5-6 Atmos Dep</v>
      </c>
    </row>
    <row r="17" spans="1:1" ht="20" x14ac:dyDescent="0.25" customHeight="1">
      <c r="A17" s="17" t="str">
        <f>HYPERLINK("#'4.5.1.7-8 Leaching and runoff'!A1", "4.5.1.7-8 Leaching and runoff")</f>
        <v>4.5.1.7-8 Leaching and runoff</v>
      </c>
    </row>
    <row r="18" spans="1:1" ht="20" x14ac:dyDescent="0.25" customHeight="1">
      <c r="A18" s="17" t="str">
        <f>HYPERLINK("#'4.5.1.9 Manure applied to soils'!A1", "4.5.1.9 Manure applied to soils")</f>
        <v>4.5.1.9 Manure applied to soils</v>
      </c>
    </row>
    <row r="21" spans="1:1" x14ac:dyDescent="0.25" ht="20" customHeight="1">
      <c r="A21" s="141" t="s">
        <v>1</v>
      </c>
    </row>
    <row r="22" spans="1:1" ht="20" x14ac:dyDescent="0.25" customHeight="1">
      <c r="A22" s="17" t="str">
        <f>HYPERLINK("#'Constants - Swine'!A1", "Constants - Swine")</f>
        <v>Constants - Swine</v>
      </c>
    </row>
    <row r="23" spans="1:1" ht="20" x14ac:dyDescent="0.25" customHeight="1">
      <c r="A23" s="17" t="str">
        <f>HYPERLINK("#'Constants - Common'!A1", "Constants - Common")</f>
        <v>Constants - Common</v>
      </c>
    </row>
    <row r="24" spans="1:1" ht="20" x14ac:dyDescent="0.25" customHeight="1">
      <c r="A24" s="17" t="str">
        <f>HYPERLINK("#'Constants - Common livestock'!A1", "Constants - Common livestock")</f>
        <v>Constants - Common livestock</v>
      </c>
    </row>
    <row r="25" spans="1:1" ht="20" x14ac:dyDescent="0.25" customHeight="1">
      <c r="A25" s="17" t="str">
        <f>HYPERLINK("#'Acknowledgements'!A1", "Acknowledgements")</f>
        <v>Acknowledgements</v>
      </c>
    </row>
    <row r="26" spans="1:1" ht="20" x14ac:dyDescent="0.25" customHeight="1">
      <c r="A26" s="17" t="str">
        <f>HYPERLINK("#'Tab template'!A1", "Tab template")</f>
        <v>Tab template</v>
      </c>
    </row>
    <row r="34" spans="1:74" x14ac:dyDescent="0.25" ht="20" customHeight="1">
      <c r="BV34" t="s">
        <v>354</v>
      </c>
    </row>
    <row r="37" spans="1:74" s="139" customFormat="1" x14ac:dyDescent="0.25" ht="20" customHeight="1">
      <c r="A37"/>
    </row>
    <row r="38" spans="1:74" s="21" customFormat="1" x14ac:dyDescent="0.25" ht="20" customHeight="1">
      <c r="A38"/>
    </row>
    <row r="39" spans="1:74" s="21" customFormat="1" x14ac:dyDescent="0.25" ht="20" customHeight="1">
      <c r="A39"/>
    </row>
    <row r="40" spans="1:74" s="21" customFormat="1" x14ac:dyDescent="0.25" ht="20" customHeight="1">
      <c r="A40"/>
    </row>
    <row r="41" spans="1:74" s="21" customFormat="1" x14ac:dyDescent="0.25" ht="20" customHeight="1">
      <c r="A41"/>
    </row>
    <row r="42" spans="1:74" s="21" customFormat="1" x14ac:dyDescent="0.25" ht="20" customHeight="1">
      <c r="A42"/>
    </row>
    <row r="43" spans="1:74" s="21" customFormat="1" x14ac:dyDescent="0.25" ht="20" customHeight="1">
      <c r="A43"/>
    </row>
    <row r="44" spans="1:74" s="21" customFormat="1" x14ac:dyDescent="0.25" ht="20" customHeight="1">
      <c r="A44"/>
    </row>
    <row r="45" spans="1:74" s="21" customFormat="1" x14ac:dyDescent="0.25" ht="20" customHeight="1">
      <c r="A45"/>
    </row>
    <row r="46" spans="1:74" s="21" customFormat="1" x14ac:dyDescent="0.25" ht="20" customHeight="1">
      <c r="A46"/>
    </row>
    <row r="47" spans="1:74" s="21" customFormat="1" x14ac:dyDescent="0.25" ht="20" customHeight="1">
      <c r="A47"/>
    </row>
    <row r="48" spans="1:74" s="21" customFormat="1" x14ac:dyDescent="0.25" ht="20" customHeight="1">
      <c r="A48"/>
    </row>
    <row r="49" spans="1:1" s="21" customFormat="1" x14ac:dyDescent="0.25" ht="20" customHeight="1">
      <c r="A49"/>
    </row>
    <row r="50" spans="1:1" s="21" customFormat="1" x14ac:dyDescent="0.25" ht="20" customHeight="1">
      <c r="A50"/>
    </row>
    <row r="51" spans="1:1" s="21" customFormat="1" x14ac:dyDescent="0.25" ht="20" customHeight="1">
      <c r="A51"/>
    </row>
    <row r="52" spans="1:1" s="21" customFormat="1" x14ac:dyDescent="0.25" ht="20" customHeight="1">
      <c r="A52"/>
    </row>
    <row r="53" spans="1:1" s="21" customFormat="1" x14ac:dyDescent="0.25" ht="20" customHeight="1">
      <c r="A53"/>
    </row>
    <row r="54" spans="1:1" s="21" customFormat="1" x14ac:dyDescent="0.25" ht="20" customHeight="1">
      <c r="A54"/>
    </row>
    <row r="55" spans="1:1" s="21" customFormat="1" x14ac:dyDescent="0.25" ht="20" customHeight="1">
      <c r="A55"/>
    </row>
    <row r="56" spans="1:1" s="21" customFormat="1" x14ac:dyDescent="0.25" ht="20" customHeight="1">
      <c r="A56"/>
    </row>
    <row r="57" spans="1:1" s="21" customFormat="1" x14ac:dyDescent="0.25" ht="20" customHeight="1">
      <c r="A57"/>
    </row>
    <row r="58" spans="1:1" s="21" customFormat="1" x14ac:dyDescent="0.25" ht="20" customHeight="1">
      <c r="A58"/>
    </row>
    <row r="59" spans="1:1" s="21" customFormat="1" x14ac:dyDescent="0.25" ht="20" customHeight="1">
      <c r="A59"/>
    </row>
    <row r="60" spans="1:1" s="21" customFormat="1" x14ac:dyDescent="0.25" ht="20" customHeight="1">
      <c r="A60"/>
    </row>
    <row r="61" spans="1:1" s="21" customFormat="1" x14ac:dyDescent="0.25" ht="20" customHeight="1">
      <c r="A61"/>
    </row>
    <row r="62" spans="1:1" s="21" customFormat="1" x14ac:dyDescent="0.25" ht="20" customHeight="1">
      <c r="A62"/>
    </row>
    <row r="63" spans="1:1" s="21" customFormat="1" x14ac:dyDescent="0.25" ht="20" customHeight="1">
      <c r="A63"/>
    </row>
    <row r="64" spans="1:1" s="138" customFormat="1" x14ac:dyDescent="0.25" ht="20" customHeight="1">
      <c r="A6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E7" sqref="E7"/>
    </sheetView>
  </sheetViews>
  <sheetFormatPr defaultRowHeight="20" x14ac:dyDescent="0.25" customHeight="1"/>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4" t="e" vm="1">
        <v>#VALUE!</v>
      </c>
      <c r="C1" s="109" t="s">
        <v>130</v>
      </c>
    </row>
    <row r="2" spans="1:11" ht="20" customHeight="1" x14ac:dyDescent="0.25">
      <c r="C2" s="9"/>
    </row>
    <row r="3" spans="1:11" ht="20" customHeight="1" x14ac:dyDescent="0.25">
      <c r="A3" s="17" t="str">
        <f>HYPERLINK("#'Home'!A1", "Home")</f>
        <v>Home</v>
      </c>
      <c r="C3" s="21"/>
      <c r="D3" s="21"/>
      <c r="E3" s="21"/>
      <c r="F3" s="21"/>
      <c r="G3" s="21"/>
      <c r="H3" s="21"/>
      <c r="I3" s="21"/>
      <c r="J3" s="21"/>
      <c r="K3" s="21"/>
    </row>
    <row r="4" spans="1:11" ht="20" customHeight="1" x14ac:dyDescent="0.25">
      <c r="A4" s="17" t="str">
        <f>HYPERLINK("#'Overview'!A1", "Overview")</f>
        <v>Overview</v>
      </c>
      <c r="C4" s="21"/>
      <c r="D4" s="6" t="s">
        <v>2</v>
      </c>
      <c r="E4" s="23"/>
      <c r="F4" s="23"/>
      <c r="G4" s="23"/>
      <c r="H4" s="6"/>
      <c r="I4" s="6"/>
      <c r="J4" s="6"/>
      <c r="K4" s="24"/>
    </row>
    <row r="5" spans="1:11" ht="20" customHeight="1" x14ac:dyDescent="0.3">
      <c r="A5" s="140" t="str">
        <f>HYPERLINK("#'Results'!A1", "Results")</f>
        <v>Results</v>
      </c>
      <c r="C5" s="21"/>
      <c r="D5" s="25"/>
      <c r="E5" s="26"/>
      <c r="F5" s="26"/>
      <c r="G5" s="26"/>
      <c r="H5" s="23"/>
      <c r="I5" s="21"/>
      <c r="J5" s="21"/>
      <c r="K5" s="21"/>
    </row>
    <row r="6" spans="1:11" ht="20" customHeight="1" x14ac:dyDescent="0.25">
      <c r="C6" s="21"/>
      <c r="D6" s="108" t="s">
        <v>97</v>
      </c>
      <c r="E6" s="108" t="s">
        <v>121</v>
      </c>
      <c r="F6" s="108" t="s">
        <v>122</v>
      </c>
      <c r="G6" s="108" t="s">
        <v>110</v>
      </c>
      <c r="H6" s="108" t="s">
        <v>123</v>
      </c>
      <c r="I6" s="108" t="s">
        <v>124</v>
      </c>
      <c r="J6" s="108" t="s">
        <v>111</v>
      </c>
      <c r="K6" s="21"/>
    </row>
    <row r="7" spans="1:11" ht="20" customHeight="1" x14ac:dyDescent="0.25">
      <c r="C7" s="21"/>
      <c r="D7" s="1" t="s">
        <v>329</v>
      </c>
      <c r="E7" s="126">
        <f ca="1">VEERG_4_5_1_1__1_TotalAnnualMethaneEmissions_Result_Method1</f>
        <v>2.3840372404992007</v>
      </c>
      <c r="F7" s="126">
        <f ca="1">VEERG_4_5_1_1__1_TotalAnnualMethaneEmissions_Result_Method2</f>
        <v>2.4087425821440007</v>
      </c>
      <c r="G7" s="52" t="s">
        <v>117</v>
      </c>
      <c r="H7" s="105">
        <f ca="1">'4.5.1.1-2 Methane'!E266</f>
        <v>66.753042733977622</v>
      </c>
      <c r="I7" s="105">
        <f ca="1">'4.5.1.1-2 Methane'!O266</f>
        <v>67.44479230003202</v>
      </c>
      <c r="J7" s="52" t="s">
        <v>119</v>
      </c>
      <c r="K7" s="21"/>
    </row>
    <row r="8" spans="1:11" ht="20" customHeight="1" x14ac:dyDescent="0.25">
      <c r="A8" s="19" t="s">
        <v>0</v>
      </c>
      <c r="C8" s="21"/>
      <c r="D8" s="1" t="s">
        <v>330</v>
      </c>
      <c r="E8" s="126">
        <f ca="1">VEERG_4_5_1_3__1_TotalAnnualDirectNitrousOxideEmissionsFromMMS_Result_Method1</f>
        <v>7.4343140661428567E-2</v>
      </c>
      <c r="F8" s="126">
        <f ca="1">VEERG_4_5_1_3__1_TotalAnnualDirectNitrousOxideEmissionsFromMMS_Result_Method2</f>
        <v>7.4343140661428567E-2</v>
      </c>
      <c r="G8" s="52" t="s">
        <v>128</v>
      </c>
      <c r="H8" s="105">
        <f ca="1">'4.5.1.3-4 Direct N2O'!E302</f>
        <v>19.700932275278571</v>
      </c>
      <c r="I8" s="105">
        <f ca="1">'4.5.1.3-4 Direct N2O'!O302</f>
        <v>19.700932275278571</v>
      </c>
      <c r="J8" s="52" t="s">
        <v>119</v>
      </c>
      <c r="K8" s="21"/>
    </row>
    <row r="9" spans="1:11" ht="20" customHeight="1" x14ac:dyDescent="0.25">
      <c r="A9" s="17" t="str">
        <f>HYPERLINK("#'Input - Site'!A1", "Site")</f>
        <v>Site</v>
      </c>
      <c r="C9" s="21"/>
      <c r="D9" s="1" t="s">
        <v>331</v>
      </c>
      <c r="E9" s="126">
        <f ca="1">VEERG_4_5_1_5__1_AnnualAtmosphericDepositionEmissionsFromMMS_Result_Method1</f>
        <v>2.4944401836750004E-2</v>
      </c>
      <c r="F9" s="126">
        <f ca="1">VEERG_4_5_1_5__1_AnnualAtmosphericDepositionEmissionsFromMMS_Result_Method2</f>
        <v>2.4944401836750004E-2</v>
      </c>
      <c r="G9" s="52" t="s">
        <v>128</v>
      </c>
      <c r="H9" s="105">
        <f ca="1">'4.5.1.5-6 Atmos Dep'!E130</f>
        <v>6.6102664867387508</v>
      </c>
      <c r="I9" s="105">
        <f ca="1">'4.5.1.5-6 Atmos Dep'!O130</f>
        <v>6.6102664867387508</v>
      </c>
      <c r="J9" s="52" t="s">
        <v>119</v>
      </c>
      <c r="K9" s="21"/>
    </row>
    <row r="10" spans="1:11" ht="20" customHeight="1" x14ac:dyDescent="0.25">
      <c r="A10" s="17" t="str">
        <f>HYPERLINK("#'Input - Swine'!A1", "Swine")</f>
        <v>Swine</v>
      </c>
      <c r="C10" s="21"/>
      <c r="D10" s="1" t="s">
        <v>262</v>
      </c>
      <c r="E10" s="126">
        <f ca="1">VEERG_4_5_1_7__1_AnnualEmissionsFromLeachingAndRunoffFromMMS_Result_Method1</f>
        <v>2.6075015999999998E-4</v>
      </c>
      <c r="F10" s="126">
        <f ca="1">VEERG_4_5_1_7__1_AnnualEmissionsFromLeachingAndRunoffFromMMS_Result_Method2</f>
        <v>2.6075015999999998E-4</v>
      </c>
      <c r="G10" s="52" t="s">
        <v>128</v>
      </c>
      <c r="H10" s="105">
        <f ca="1">'4.5.1.7-8 Leaching and runoff'!E54</f>
        <v>6.9098792399999998E-2</v>
      </c>
      <c r="I10" s="105">
        <f ca="1">'4.5.1.7-8 Leaching and runoff'!N54</f>
        <v>6.9098792399999998E-2</v>
      </c>
      <c r="J10" s="52" t="s">
        <v>119</v>
      </c>
      <c r="K10" s="21"/>
    </row>
    <row r="11" spans="1:11" ht="20" customHeight="1" x14ac:dyDescent="0.3">
      <c r="C11" s="21"/>
      <c r="D11" s="28" t="s">
        <v>109</v>
      </c>
      <c r="E11" s="22"/>
      <c r="F11" s="22"/>
      <c r="G11" s="28"/>
      <c r="H11" s="107">
        <f ca="1">SUM(H7:H10)</f>
        <v>93.133340288394947</v>
      </c>
      <c r="I11" s="107">
        <f ca="1">SUM(I7:I10)</f>
        <v>93.825089854449345</v>
      </c>
      <c r="J11" s="98" t="s">
        <v>119</v>
      </c>
      <c r="K11" s="21"/>
    </row>
    <row r="12" spans="1:11" ht="20" customHeight="1" x14ac:dyDescent="0.25">
      <c r="C12" s="21"/>
      <c r="D12" s="1"/>
      <c r="E12" s="1"/>
      <c r="F12" s="1"/>
      <c r="G12" s="23"/>
      <c r="H12" s="21"/>
      <c r="I12" s="1"/>
      <c r="J12" s="1"/>
      <c r="K12" s="21"/>
    </row>
    <row r="13" spans="1:11" ht="20" customHeight="1" x14ac:dyDescent="0.25">
      <c r="A13" s="18" t="s">
        <v>71</v>
      </c>
      <c r="C13" s="21"/>
      <c r="D13" s="46" t="s">
        <v>278</v>
      </c>
      <c r="E13" s="1"/>
      <c r="F13" s="1"/>
      <c r="G13" s="1"/>
      <c r="H13" s="23"/>
      <c r="I13" s="1"/>
      <c r="J13" s="21"/>
      <c r="K13" s="21"/>
    </row>
    <row r="14" spans="1:11" ht="20" customHeight="1" x14ac:dyDescent="0.25">
      <c r="A14" s="17" t="str">
        <f>HYPERLINK("#'4.5.1.1-2 Methane'!A1", "4.5.1.1-2 Methane")</f>
        <v>4.5.1.1-2 Methane</v>
      </c>
      <c r="C14" s="21"/>
      <c r="D14" s="99" t="s">
        <v>315</v>
      </c>
      <c r="E14" s="1"/>
      <c r="F14" s="1"/>
      <c r="G14" s="1"/>
      <c r="H14" s="1"/>
      <c r="I14" s="1"/>
      <c r="J14" s="21"/>
      <c r="K14" s="21"/>
    </row>
    <row r="15" spans="1:11" ht="20" customHeight="1" x14ac:dyDescent="0.25">
      <c r="A15" s="17" t="str">
        <f>HYPERLINK("#'4.5.1.3-4 Direct N2O'!A1", "4.5.1.3-4 Direct N2O")</f>
        <v>4.5.1.3-4 Direct N2O</v>
      </c>
      <c r="C15" s="21"/>
      <c r="D15" s="125" t="s">
        <v>316</v>
      </c>
      <c r="E15" s="1"/>
      <c r="F15" s="1"/>
      <c r="G15" s="1"/>
      <c r="H15" s="1"/>
      <c r="I15" s="1"/>
      <c r="J15" s="21"/>
      <c r="K15" s="21"/>
    </row>
    <row r="16" spans="1:11" ht="20" customHeight="1" x14ac:dyDescent="0.25">
      <c r="A16" s="17" t="str">
        <f>HYPERLINK("#'4.5.1.5-6 Atmos Dep'!A1", "4.5.1.5-6 Atmos Dep")</f>
        <v>4.5.1.5-6 Atmos Dep</v>
      </c>
      <c r="C16" s="21"/>
      <c r="D16" s="108" t="s">
        <v>317</v>
      </c>
      <c r="E16" s="108" t="s">
        <v>318</v>
      </c>
      <c r="F16" s="108" t="s">
        <v>319</v>
      </c>
      <c r="G16" s="108" t="s">
        <v>320</v>
      </c>
      <c r="H16" s="108" t="s">
        <v>321</v>
      </c>
      <c r="I16" s="1"/>
      <c r="J16" s="21"/>
      <c r="K16" s="21"/>
    </row>
    <row r="17" spans="1:11" ht="20" customHeight="1" x14ac:dyDescent="0.25">
      <c r="A17" s="17" t="str">
        <f>HYPERLINK("#'4.5.1.7-8 Leaching and runoff'!A1", "4.5.1.7-8 Leaching and runoff")</f>
        <v>4.5.1.7-8 Leaching and runoff</v>
      </c>
      <c r="C17" s="21"/>
      <c r="D17" s="1" t="s">
        <v>322</v>
      </c>
      <c r="E17" s="121">
        <f ca="1">'4.5.1.9 Manure applied to soils'!E161</f>
        <v>3256.7704915650011</v>
      </c>
      <c r="F17" s="52" t="str">
        <f>'4.5.1.9 Manure applied to soils'!F161</f>
        <v>kg N</v>
      </c>
      <c r="G17" s="1" t="s">
        <v>328</v>
      </c>
      <c r="H17" s="1" t="s">
        <v>323</v>
      </c>
      <c r="I17" s="1"/>
      <c r="J17" s="21"/>
      <c r="K17" s="21"/>
    </row>
    <row r="18" spans="1:11" ht="20" customHeight="1" x14ac:dyDescent="0.25">
      <c r="A18" s="17" t="str">
        <f>HYPERLINK("#'4.5.1.9 Manure applied to soils'!A1", "4.5.1.9 Manure applied to soils")</f>
        <v>4.5.1.9 Manure applied to soils</v>
      </c>
      <c r="C18" s="21"/>
      <c r="D18" s="1" t="s">
        <v>324</v>
      </c>
      <c r="E18" s="121">
        <f ca="1">'4.5.1.9 Manure applied to soils'!E278</f>
        <v>653.20846285499988</v>
      </c>
      <c r="F18" s="52" t="str">
        <f>'4.5.1.9 Manure applied to soils'!F278</f>
        <v>kg N</v>
      </c>
      <c r="G18" s="1" t="s">
        <v>328</v>
      </c>
      <c r="H18" s="1" t="s">
        <v>323</v>
      </c>
      <c r="I18" s="21"/>
      <c r="J18" s="21"/>
      <c r="K18" s="21"/>
    </row>
    <row r="19" spans="1:11" ht="20" customHeight="1" x14ac:dyDescent="0.25">
      <c r="C19" s="21"/>
      <c r="D19" s="1" t="s">
        <v>325</v>
      </c>
      <c r="E19" s="121">
        <f ca="1">'4.5.1.9 Manure applied to soils'!E209</f>
        <v>653.20846285499988</v>
      </c>
      <c r="F19" s="52" t="str">
        <f>'4.5.1.9 Manure applied to soils'!F209</f>
        <v>kg N</v>
      </c>
      <c r="G19" s="1" t="s">
        <v>326</v>
      </c>
      <c r="H19" s="1" t="s">
        <v>327</v>
      </c>
      <c r="I19" s="21"/>
      <c r="J19" s="21"/>
      <c r="K19" s="21"/>
    </row>
    <row r="20" spans="1:11" ht="20" customHeight="1" x14ac:dyDescent="0.3">
      <c r="C20" s="21"/>
      <c r="D20" s="1"/>
      <c r="E20" s="1"/>
      <c r="F20" s="1"/>
      <c r="G20" s="1"/>
      <c r="H20" s="26"/>
      <c r="I20" s="21"/>
      <c r="J20" s="21"/>
      <c r="K20" s="21"/>
    </row>
    <row r="21" spans="1:11" ht="20" customHeight="1" x14ac:dyDescent="0.3">
      <c r="A21" s="141" t="s">
        <v>1</v>
      </c>
      <c r="C21" s="21"/>
      <c r="D21" s="1"/>
      <c r="E21" s="1"/>
      <c r="F21" s="1"/>
      <c r="G21" s="1"/>
      <c r="H21" s="26"/>
      <c r="I21" s="21"/>
      <c r="J21" s="21"/>
      <c r="K21" s="21"/>
    </row>
    <row r="22" spans="1:11" ht="20" customHeight="1" x14ac:dyDescent="0.3">
      <c r="A22" s="17" t="str">
        <f>HYPERLINK("#'Constants - Swine'!A1", "Constants - Swine")</f>
        <v>Constants - Swine</v>
      </c>
      <c r="C22" s="21"/>
      <c r="D22" s="1"/>
      <c r="E22" s="1"/>
      <c r="F22" s="1"/>
      <c r="G22" s="1"/>
      <c r="H22" s="26"/>
      <c r="I22" s="21"/>
      <c r="J22" s="21"/>
      <c r="K22" s="21"/>
    </row>
    <row r="23" spans="1:11" ht="20" customHeight="1" x14ac:dyDescent="0.3">
      <c r="A23" s="17" t="str">
        <f>HYPERLINK("#'Constants - Common'!A1", "Constants - Common")</f>
        <v>Constants - Common</v>
      </c>
      <c r="C23" s="21"/>
      <c r="D23" s="1"/>
      <c r="E23" s="1"/>
      <c r="F23" s="1"/>
      <c r="G23" s="1"/>
      <c r="H23" s="26"/>
      <c r="I23" s="21"/>
      <c r="J23" s="21"/>
      <c r="K23" s="21"/>
    </row>
    <row r="24" spans="1:11" ht="20" customHeight="1" x14ac:dyDescent="0.3">
      <c r="A24" s="17" t="str">
        <f>HYPERLINK("#'Constants - Common livestock'!A1", "Constants - Common livestock")</f>
        <v>Constants - Common livestock</v>
      </c>
      <c r="C24" s="21"/>
      <c r="D24" s="1"/>
      <c r="E24" s="1"/>
      <c r="F24" s="1"/>
      <c r="G24" s="1"/>
      <c r="H24" s="26"/>
      <c r="I24" s="21"/>
      <c r="J24" s="21"/>
      <c r="K24" s="21"/>
    </row>
    <row r="25" spans="1:11" ht="20" customHeight="1" x14ac:dyDescent="0.3">
      <c r="A25" s="17" t="str">
        <f>HYPERLINK("#'Acknowledgements'!A1", "Acknowledgements")</f>
        <v>Acknowledgements</v>
      </c>
      <c r="C25" s="21"/>
      <c r="D25" s="1"/>
      <c r="E25" s="1"/>
      <c r="F25" s="1"/>
      <c r="G25" s="1"/>
      <c r="H25" s="26"/>
      <c r="I25" s="21"/>
      <c r="J25" s="21"/>
      <c r="K25" s="21"/>
    </row>
    <row r="26" spans="1:11" ht="20" customHeight="1" x14ac:dyDescent="0.3">
      <c r="A26" s="17" t="str">
        <f>HYPERLINK("#'Tab template'!A1", "Tab template")</f>
        <v>Tab template</v>
      </c>
      <c r="C26" s="21"/>
      <c r="D26" s="1"/>
      <c r="E26" s="1"/>
      <c r="F26" s="1"/>
      <c r="G26" s="1"/>
      <c r="H26" s="26"/>
      <c r="I26" s="21"/>
      <c r="J26" s="21"/>
      <c r="K26" s="21"/>
    </row>
    <row r="27" spans="1:11" ht="20" customHeight="1" x14ac:dyDescent="0.25">
      <c r="C27" s="21"/>
      <c r="D27" s="1"/>
      <c r="E27" s="1"/>
      <c r="F27" s="1"/>
      <c r="G27" s="1"/>
      <c r="H27" s="1"/>
      <c r="I27" s="1"/>
      <c r="J27" s="21"/>
      <c r="K27" s="21"/>
    </row>
    <row r="28" spans="1:11" ht="20" customHeight="1" x14ac:dyDescent="0.25">
      <c r="C28" s="21"/>
      <c r="D28" s="1"/>
      <c r="E28" s="1"/>
      <c r="F28" s="1"/>
      <c r="G28" s="1"/>
      <c r="H28" s="1"/>
      <c r="I28" s="1"/>
      <c r="J28" s="21"/>
      <c r="K28" s="21"/>
    </row>
    <row r="29" spans="1:11" ht="20" customHeight="1" x14ac:dyDescent="0.25">
      <c r="C29" s="21"/>
      <c r="D29" s="1"/>
      <c r="E29" s="1"/>
      <c r="F29" s="1"/>
      <c r="G29" s="1"/>
      <c r="H29" s="1"/>
      <c r="I29" s="1"/>
      <c r="J29" s="21"/>
      <c r="K29" s="21"/>
    </row>
    <row r="30" spans="1:11" ht="20" customHeight="1" x14ac:dyDescent="0.25">
      <c r="C30" s="21"/>
      <c r="D30" s="1"/>
      <c r="E30" s="1"/>
      <c r="F30" s="1"/>
      <c r="G30" s="1"/>
      <c r="H30" s="1"/>
      <c r="I30" s="1"/>
      <c r="J30" s="21"/>
      <c r="K30" s="21"/>
    </row>
    <row r="31" spans="1:11" ht="20" customHeight="1" x14ac:dyDescent="0.25">
      <c r="C31" s="21"/>
      <c r="D31" s="1"/>
      <c r="E31" s="1"/>
      <c r="F31" s="1"/>
      <c r="G31" s="1"/>
      <c r="H31" s="1"/>
      <c r="I31" s="1"/>
      <c r="J31" s="21"/>
      <c r="K31" s="21"/>
    </row>
    <row r="32" spans="1:11" ht="20" customHeight="1" x14ac:dyDescent="0.25">
      <c r="C32" s="21"/>
      <c r="D32" s="1"/>
      <c r="E32" s="1"/>
      <c r="F32" s="1"/>
      <c r="G32" s="1"/>
      <c r="H32" s="1"/>
      <c r="I32" s="1"/>
      <c r="J32" s="21"/>
      <c r="K32" s="21"/>
    </row>
    <row r="33" spans="3:11" ht="20" customHeight="1" x14ac:dyDescent="0.25">
      <c r="C33" s="21"/>
      <c r="D33" s="1"/>
      <c r="E33" s="1"/>
      <c r="F33" s="1"/>
      <c r="G33" s="1"/>
      <c r="H33" s="1"/>
      <c r="I33" s="1"/>
      <c r="J33" s="21"/>
      <c r="K33" s="21"/>
    </row>
    <row r="34" spans="3:11" ht="20" customHeight="1" x14ac:dyDescent="0.25">
      <c r="C34" s="21"/>
      <c r="D34" s="1"/>
      <c r="E34" s="1"/>
      <c r="F34" s="1"/>
      <c r="G34" s="1"/>
      <c r="H34" s="1"/>
      <c r="I34" s="21"/>
      <c r="J34" s="21"/>
      <c r="K34" s="21"/>
    </row>
    <row r="35" spans="3:11" ht="20" customHeight="1" x14ac:dyDescent="0.25">
      <c r="C35" s="21"/>
      <c r="D35" s="1"/>
      <c r="E35" s="1"/>
      <c r="F35" s="1"/>
      <c r="G35" s="1"/>
      <c r="H35" s="1"/>
      <c r="I35" s="21"/>
      <c r="J35" s="21"/>
      <c r="K35" s="21"/>
    </row>
    <row r="36" spans="3:11" ht="20" customHeight="1" x14ac:dyDescent="0.25">
      <c r="C36" s="21"/>
      <c r="D36" s="1"/>
      <c r="E36" s="1"/>
      <c r="F36" s="1"/>
      <c r="G36" s="1"/>
      <c r="H36" s="1"/>
      <c r="I36" s="21"/>
      <c r="J36" s="21"/>
      <c r="K36" s="21"/>
    </row>
    <row r="37" spans="3:11" ht="20" customHeight="1" x14ac:dyDescent="0.25">
      <c r="C37" s="21"/>
      <c r="D37" s="1"/>
      <c r="E37" s="1"/>
      <c r="F37" s="1"/>
      <c r="G37" s="1"/>
      <c r="H37" s="1"/>
      <c r="I37" s="21"/>
      <c r="J37" s="21"/>
      <c r="K37" s="21"/>
    </row>
    <row r="38" spans="3:11" ht="20" customHeight="1" x14ac:dyDescent="0.25">
      <c r="C38" s="21"/>
      <c r="D38" s="1"/>
      <c r="E38" s="1"/>
      <c r="F38" s="1"/>
      <c r="G38" s="1"/>
      <c r="H38" s="1"/>
      <c r="I38" s="104"/>
      <c r="J38" s="104"/>
      <c r="K38" s="21"/>
    </row>
    <row r="39" spans="3:11" ht="20" customHeight="1" x14ac:dyDescent="0.25">
      <c r="C39" s="21"/>
      <c r="D39" s="1"/>
      <c r="E39" s="1"/>
      <c r="F39" s="1"/>
      <c r="G39" s="1"/>
      <c r="H39" s="1"/>
      <c r="I39" s="104"/>
      <c r="J39" s="104"/>
      <c r="K39" s="21"/>
    </row>
    <row r="40" spans="3:11" ht="20" customHeight="1" x14ac:dyDescent="0.25">
      <c r="C40" s="21"/>
      <c r="D40" s="1"/>
      <c r="E40" s="1"/>
      <c r="F40" s="1"/>
      <c r="G40" s="1"/>
      <c r="H40" s="1"/>
      <c r="I40" s="104"/>
      <c r="J40" s="104"/>
      <c r="K40" s="21"/>
    </row>
    <row r="41" spans="3:11" ht="20" customHeight="1" x14ac:dyDescent="0.25">
      <c r="C41" s="21"/>
      <c r="D41" s="1"/>
      <c r="E41" s="1"/>
      <c r="F41" s="1"/>
      <c r="G41" s="1"/>
      <c r="H41" s="1"/>
      <c r="I41" s="104"/>
      <c r="J41" s="104"/>
      <c r="K41" s="21"/>
    </row>
    <row r="42" spans="3:11" ht="20" customHeight="1" x14ac:dyDescent="0.25">
      <c r="C42" s="21"/>
      <c r="D42" s="1"/>
      <c r="E42" s="1"/>
      <c r="F42" s="1"/>
      <c r="G42" s="1"/>
      <c r="H42" s="1"/>
      <c r="I42" s="104"/>
      <c r="J42" s="104"/>
      <c r="K42" s="21"/>
    </row>
    <row r="43" spans="3:11" ht="20" customHeight="1" x14ac:dyDescent="0.25">
      <c r="C43" s="21"/>
      <c r="D43" s="1"/>
      <c r="E43" s="1"/>
      <c r="F43" s="1"/>
      <c r="G43" s="1"/>
      <c r="H43" s="1"/>
      <c r="I43" s="104"/>
      <c r="J43" s="104"/>
      <c r="K43" s="21"/>
    </row>
    <row r="44" spans="3:11" ht="20" customHeight="1" x14ac:dyDescent="0.25">
      <c r="C44" s="21"/>
      <c r="D44" s="1"/>
      <c r="E44" s="1"/>
      <c r="F44" s="1"/>
      <c r="G44" s="1"/>
      <c r="H44" s="1"/>
      <c r="I44" s="104"/>
      <c r="J44" s="104"/>
      <c r="K44" s="21"/>
    </row>
    <row r="45" spans="3:11" ht="20" customHeight="1" x14ac:dyDescent="0.25">
      <c r="C45" s="21"/>
      <c r="D45" s="1"/>
      <c r="E45" s="1"/>
      <c r="F45" s="1"/>
      <c r="G45" s="1"/>
      <c r="H45" s="1"/>
      <c r="I45" s="104"/>
      <c r="J45" s="104"/>
      <c r="K45" s="21"/>
    </row>
    <row r="46" spans="3:11" ht="20" customHeight="1" x14ac:dyDescent="0.25">
      <c r="C46" s="21"/>
      <c r="D46" s="1"/>
      <c r="E46" s="1"/>
      <c r="F46" s="1"/>
      <c r="G46" s="1"/>
      <c r="H46" s="1"/>
      <c r="I46" s="104"/>
      <c r="J46" s="104"/>
      <c r="K46" s="21"/>
    </row>
    <row r="47" spans="3:11" ht="20" customHeight="1" x14ac:dyDescent="0.25">
      <c r="C47" s="21"/>
      <c r="D47" s="1"/>
      <c r="E47" s="1"/>
      <c r="F47" s="1"/>
      <c r="G47" s="1"/>
      <c r="H47" s="1"/>
      <c r="I47" s="104"/>
      <c r="J47" s="104"/>
      <c r="K47" s="21"/>
    </row>
    <row r="48" spans="3:11" ht="20" customHeight="1" x14ac:dyDescent="0.25">
      <c r="C48" s="21"/>
      <c r="D48" s="1"/>
      <c r="E48" s="1"/>
      <c r="F48" s="1"/>
      <c r="G48" s="1"/>
      <c r="H48" s="1"/>
      <c r="I48" s="104"/>
      <c r="J48" s="104"/>
      <c r="K48" s="21"/>
    </row>
    <row r="49" spans="3:11" ht="20" customHeight="1" x14ac:dyDescent="0.25">
      <c r="C49" s="21"/>
      <c r="D49" s="1"/>
      <c r="E49" s="1"/>
      <c r="F49" s="1"/>
      <c r="G49" s="1"/>
      <c r="H49" s="104"/>
      <c r="I49" s="104"/>
      <c r="J49" s="104"/>
      <c r="K49" s="21"/>
    </row>
    <row r="50" spans="3:11" ht="20" customHeight="1" x14ac:dyDescent="0.25">
      <c r="C50" s="21"/>
      <c r="D50" s="1"/>
      <c r="E50" s="1"/>
      <c r="F50" s="1"/>
      <c r="G50" s="1"/>
      <c r="H50" s="104"/>
      <c r="I50" s="104"/>
      <c r="J50" s="104"/>
      <c r="K50" s="21"/>
    </row>
    <row r="51" spans="3:11" ht="20" customHeight="1" x14ac:dyDescent="0.25">
      <c r="C51" s="21"/>
      <c r="D51" s="1"/>
      <c r="E51" s="1"/>
      <c r="F51" s="1"/>
      <c r="G51" s="1"/>
      <c r="H51" s="104"/>
      <c r="I51" s="104"/>
      <c r="J51" s="104"/>
      <c r="K51" s="21"/>
    </row>
    <row r="52" spans="3:11" ht="20" customHeight="1" x14ac:dyDescent="0.25">
      <c r="C52" s="21"/>
      <c r="D52" s="1"/>
      <c r="E52" s="1"/>
      <c r="F52" s="1"/>
      <c r="G52" s="1"/>
      <c r="H52" s="104"/>
      <c r="I52" s="104"/>
      <c r="J52" s="104"/>
      <c r="K52" s="21"/>
    </row>
    <row r="53" spans="3:11" ht="20" customHeight="1" x14ac:dyDescent="0.25">
      <c r="C53" s="21"/>
      <c r="D53" s="1"/>
      <c r="E53" s="1"/>
      <c r="F53" s="1"/>
      <c r="G53" s="1"/>
      <c r="H53" s="104"/>
      <c r="I53" s="104"/>
      <c r="J53" s="104"/>
      <c r="K53" s="21"/>
    </row>
    <row r="54" spans="3:11" ht="20" customHeight="1" x14ac:dyDescent="0.25">
      <c r="C54" s="21"/>
      <c r="D54" s="1"/>
      <c r="E54" s="1"/>
      <c r="F54" s="1"/>
      <c r="G54" s="1"/>
      <c r="H54" s="21"/>
      <c r="I54" s="21"/>
      <c r="J54" s="21"/>
      <c r="K54" s="21"/>
    </row>
    <row r="55" spans="3:11" ht="20" customHeight="1" x14ac:dyDescent="0.25">
      <c r="C55" s="21"/>
      <c r="D55" s="1"/>
      <c r="E55" s="1"/>
      <c r="F55" s="1"/>
      <c r="G55" s="1"/>
      <c r="H55" s="21"/>
      <c r="I55" s="21"/>
      <c r="J55" s="21"/>
      <c r="K55" s="21"/>
    </row>
    <row r="56" spans="3:11" ht="20" customHeight="1" x14ac:dyDescent="0.25">
      <c r="C56" s="21"/>
      <c r="D56" s="1"/>
      <c r="E56" s="1"/>
      <c r="F56" s="1"/>
      <c r="G56" s="1"/>
      <c r="H56" s="21"/>
      <c r="I56" s="21"/>
      <c r="J56" s="21"/>
      <c r="K56" s="21"/>
    </row>
    <row r="57" spans="3:11" ht="20" customHeight="1" x14ac:dyDescent="0.25">
      <c r="C57" s="21"/>
      <c r="D57" s="1"/>
      <c r="E57" s="1"/>
      <c r="F57" s="1"/>
      <c r="G57" s="1"/>
      <c r="H57" s="21"/>
      <c r="I57" s="21"/>
      <c r="J57" s="21"/>
      <c r="K57" s="21"/>
    </row>
    <row r="58" spans="3:11" ht="20" customHeight="1" x14ac:dyDescent="0.25">
      <c r="C58" s="21"/>
      <c r="D58" s="1"/>
      <c r="E58" s="29"/>
      <c r="F58" s="27"/>
      <c r="G58" s="21"/>
      <c r="H58" s="21"/>
      <c r="I58" s="21"/>
      <c r="J58" s="21"/>
      <c r="K58" s="21"/>
    </row>
    <row r="59" spans="3:11" ht="20" customHeight="1" x14ac:dyDescent="0.25">
      <c r="C59" s="21"/>
      <c r="D59" s="1"/>
      <c r="E59" s="1"/>
      <c r="F59" s="1"/>
      <c r="G59" s="1"/>
      <c r="H59" s="1"/>
      <c r="I59" s="1"/>
      <c r="J59" s="1"/>
      <c r="K59" s="21"/>
    </row>
    <row r="60" spans="3:11" ht="20" customHeight="1" x14ac:dyDescent="0.25">
      <c r="C60" s="21"/>
      <c r="D60" s="1"/>
      <c r="E60" s="1"/>
      <c r="F60" s="1"/>
      <c r="G60" s="1"/>
      <c r="H60" s="1"/>
      <c r="I60" s="1"/>
      <c r="J60" s="1"/>
      <c r="K60" s="21"/>
    </row>
    <row r="61" spans="3:11" ht="20" customHeight="1" x14ac:dyDescent="0.25">
      <c r="C61" s="21"/>
      <c r="D61" s="1"/>
      <c r="E61" s="1"/>
      <c r="F61" s="1"/>
      <c r="G61" s="1"/>
      <c r="H61" s="1"/>
      <c r="I61" s="1"/>
      <c r="J61" s="1"/>
      <c r="K61" s="21"/>
    </row>
    <row r="62" spans="3:11" ht="20" customHeight="1" x14ac:dyDescent="0.25">
      <c r="C62" s="21"/>
      <c r="D62" s="1"/>
      <c r="E62" s="1"/>
      <c r="F62" s="1"/>
      <c r="G62" s="1"/>
      <c r="H62" s="1"/>
      <c r="I62" s="1"/>
      <c r="J62" s="1"/>
      <c r="K62" s="21"/>
    </row>
    <row r="63" spans="3:11" ht="20" customHeight="1" x14ac:dyDescent="0.25">
      <c r="C63" s="21"/>
      <c r="D63" s="1"/>
      <c r="E63" s="1"/>
      <c r="F63" s="1"/>
      <c r="G63" s="1"/>
      <c r="H63" s="1"/>
      <c r="I63" s="1"/>
      <c r="J63" s="1"/>
      <c r="K63" s="21"/>
    </row>
    <row r="64" spans="3:11" ht="20" customHeight="1" x14ac:dyDescent="0.25">
      <c r="C64" s="21"/>
      <c r="D64" s="1"/>
      <c r="E64" s="1"/>
      <c r="F64" s="1"/>
      <c r="G64" s="1"/>
      <c r="H64" s="1"/>
      <c r="I64" s="1"/>
      <c r="J64" s="1"/>
      <c r="K64" s="21"/>
    </row>
    <row r="65" spans="3:11" ht="20" customHeight="1" x14ac:dyDescent="0.25">
      <c r="C65" s="21"/>
      <c r="D65" s="1"/>
      <c r="E65" s="1"/>
      <c r="F65" s="1"/>
      <c r="G65" s="1"/>
      <c r="H65" s="1"/>
      <c r="I65" s="1"/>
      <c r="J65" s="1"/>
      <c r="K65" s="21"/>
    </row>
    <row r="66" spans="3:11" ht="20" customHeight="1" x14ac:dyDescent="0.25">
      <c r="C66" s="21"/>
      <c r="D66" s="1"/>
      <c r="E66" s="1"/>
      <c r="F66" s="1"/>
      <c r="G66" s="1"/>
      <c r="H66" s="1"/>
      <c r="I66" s="1"/>
      <c r="J66" s="1"/>
      <c r="K66" s="21"/>
    </row>
    <row r="67" spans="3:11" ht="20" customHeight="1" x14ac:dyDescent="0.25">
      <c r="C67" s="21"/>
      <c r="D67" s="1"/>
      <c r="E67" s="1"/>
      <c r="F67" s="1"/>
      <c r="G67" s="1"/>
      <c r="H67" s="1"/>
      <c r="I67" s="1"/>
      <c r="J67" s="1"/>
      <c r="K67" s="21"/>
    </row>
    <row r="68" spans="3:11" ht="20" customHeight="1" x14ac:dyDescent="0.25">
      <c r="C68" s="21"/>
      <c r="D68" s="1"/>
      <c r="E68" s="1"/>
      <c r="F68" s="1"/>
      <c r="G68" s="1"/>
      <c r="H68" s="1"/>
      <c r="I68" s="1"/>
      <c r="J68" s="1"/>
      <c r="K68" s="21"/>
    </row>
    <row r="69" spans="3:11" ht="20" customHeight="1" x14ac:dyDescent="0.25">
      <c r="C69" s="21"/>
      <c r="D69" s="1"/>
      <c r="E69" s="1"/>
      <c r="F69" s="1"/>
      <c r="G69" s="1"/>
      <c r="H69" s="1"/>
      <c r="I69" s="1"/>
      <c r="J69" s="1"/>
      <c r="K69" s="21"/>
    </row>
    <row r="70" spans="3:11" ht="20" customHeight="1" x14ac:dyDescent="0.25">
      <c r="C70" s="21"/>
      <c r="D70" s="1"/>
      <c r="E70" s="1"/>
      <c r="F70" s="1"/>
      <c r="G70" s="1"/>
      <c r="H70" s="1"/>
      <c r="I70" s="1"/>
      <c r="J70" s="1"/>
      <c r="K70" s="21"/>
    </row>
    <row r="71" spans="3:11" ht="20" customHeight="1" x14ac:dyDescent="0.25">
      <c r="C71" s="21"/>
      <c r="D71" s="1"/>
      <c r="E71" s="1"/>
      <c r="F71" s="1"/>
      <c r="G71" s="1"/>
      <c r="H71" s="1"/>
      <c r="I71" s="1"/>
      <c r="J71" s="1"/>
      <c r="K71" s="21"/>
    </row>
    <row r="72" spans="3:11" ht="20" customHeight="1" x14ac:dyDescent="0.25">
      <c r="C72" s="21"/>
      <c r="D72" s="1"/>
      <c r="E72" s="1"/>
      <c r="F72" s="1"/>
      <c r="G72" s="1"/>
      <c r="H72" s="1"/>
      <c r="I72" s="1"/>
      <c r="J72" s="1"/>
      <c r="K72" s="21"/>
    </row>
    <row r="73" spans="3:11" ht="20" customHeight="1" x14ac:dyDescent="0.25">
      <c r="C73" s="21"/>
      <c r="D73" s="1"/>
      <c r="E73" s="1"/>
      <c r="F73" s="1"/>
      <c r="G73" s="1"/>
      <c r="H73" s="1"/>
      <c r="I73" s="1"/>
      <c r="J73" s="1"/>
      <c r="K73" s="21"/>
    </row>
    <row r="74" spans="3:11" ht="20" customHeight="1" x14ac:dyDescent="0.25">
      <c r="C74" s="21"/>
      <c r="D74" s="1"/>
      <c r="E74" s="1"/>
      <c r="F74" s="1"/>
      <c r="G74" s="1"/>
      <c r="H74" s="1"/>
      <c r="I74" s="1"/>
      <c r="J74" s="1"/>
      <c r="K74" s="21"/>
    </row>
    <row r="75" spans="3:11" ht="20" customHeight="1" x14ac:dyDescent="0.25">
      <c r="C75" s="21"/>
      <c r="D75" s="1"/>
      <c r="E75" s="1"/>
      <c r="F75" s="1"/>
      <c r="G75" s="1"/>
      <c r="H75" s="1"/>
      <c r="I75" s="1"/>
      <c r="J75" s="1"/>
      <c r="K75" s="21"/>
    </row>
    <row r="76" spans="3:11" ht="20" x14ac:dyDescent="0.25" customHeight="1">
      <c r="C76" s="21"/>
      <c r="D76" s="1"/>
      <c r="E76" s="1"/>
      <c r="F76" s="1"/>
      <c r="G76" s="1"/>
      <c r="H76" s="1"/>
      <c r="I76" s="1"/>
      <c r="J76" s="1"/>
      <c r="K76" s="21"/>
    </row>
    <row r="77" spans="3:11" ht="20" x14ac:dyDescent="0.25" customHeight="1">
      <c r="C77" s="21"/>
      <c r="D77" s="1"/>
      <c r="E77" s="1"/>
      <c r="F77" s="1"/>
      <c r="G77" s="1"/>
      <c r="H77" s="1"/>
      <c r="I77" s="1"/>
      <c r="J77" s="1"/>
      <c r="K77" s="21"/>
    </row>
    <row r="78" spans="3:11" ht="20" x14ac:dyDescent="0.25" customHeight="1">
      <c r="C78" s="21"/>
      <c r="D78" s="1"/>
      <c r="E78" s="1"/>
      <c r="F78" s="1"/>
      <c r="G78" s="1"/>
      <c r="H78" s="1"/>
      <c r="I78" s="1"/>
      <c r="J78" s="1"/>
      <c r="K78" s="21"/>
    </row>
    <row r="79" spans="3:11" ht="20" x14ac:dyDescent="0.25" customHeight="1">
      <c r="C79" s="21"/>
      <c r="D79" s="1"/>
      <c r="E79" s="1"/>
      <c r="F79" s="1"/>
      <c r="G79" s="1"/>
      <c r="H79" s="1"/>
      <c r="I79" s="1"/>
      <c r="J79" s="1"/>
      <c r="K79" s="21"/>
    </row>
    <row r="80" spans="3:11" ht="20" x14ac:dyDescent="0.25" customHeight="1">
      <c r="C80" s="21"/>
      <c r="D80" s="1"/>
      <c r="E80" s="1"/>
      <c r="F80" s="1"/>
      <c r="G80" s="1"/>
      <c r="H80" s="1"/>
      <c r="I80" s="1"/>
      <c r="J80" s="1"/>
      <c r="K80" s="21"/>
    </row>
    <row r="81" spans="3:11" ht="20" x14ac:dyDescent="0.25" customHeight="1">
      <c r="C81" s="21"/>
      <c r="D81" s="1"/>
      <c r="E81" s="1"/>
      <c r="F81" s="1"/>
      <c r="G81" s="1"/>
      <c r="H81" s="1"/>
      <c r="I81" s="1"/>
      <c r="J81" s="1"/>
      <c r="K81" s="21"/>
    </row>
    <row r="82" spans="3:11" ht="20" x14ac:dyDescent="0.25" customHeight="1">
      <c r="C82" s="21"/>
      <c r="D82" s="1"/>
      <c r="E82" s="1"/>
      <c r="F82" s="1"/>
      <c r="G82" s="1"/>
      <c r="H82" s="1"/>
      <c r="I82" s="1"/>
      <c r="J82" s="1"/>
      <c r="K82" s="21"/>
    </row>
    <row r="83" spans="3:11" ht="20" x14ac:dyDescent="0.25" customHeight="1">
      <c r="C83" s="21"/>
      <c r="D83" s="1"/>
      <c r="E83" s="1"/>
      <c r="F83" s="1"/>
      <c r="G83" s="1"/>
      <c r="H83" s="1"/>
      <c r="I83" s="1"/>
      <c r="J83" s="1"/>
      <c r="K83" s="21"/>
    </row>
    <row r="84" spans="3:11" ht="20" x14ac:dyDescent="0.25" customHeight="1">
      <c r="C84" s="21"/>
      <c r="D84" s="1"/>
      <c r="E84" s="1"/>
      <c r="F84" s="1"/>
      <c r="G84" s="1"/>
      <c r="H84" s="1"/>
      <c r="I84" s="1"/>
      <c r="J84" s="1"/>
      <c r="K84" s="21"/>
    </row>
    <row r="85" spans="3:11" ht="20" x14ac:dyDescent="0.25" customHeight="1">
      <c r="C85" s="21"/>
      <c r="D85" s="1"/>
      <c r="E85" s="1"/>
      <c r="F85" s="1"/>
      <c r="G85" s="1"/>
      <c r="H85" s="1"/>
      <c r="I85" s="1"/>
      <c r="J85" s="1"/>
      <c r="K85" s="21"/>
    </row>
    <row r="86" spans="3:11" x14ac:dyDescent="0.25" ht="20" customHeight="1">
      <c r="C86" s="21"/>
      <c r="D86" s="21"/>
      <c r="E86" s="21"/>
      <c r="F86" s="21"/>
      <c r="G86" s="21"/>
      <c r="H86" s="21"/>
      <c r="I86" s="21"/>
      <c r="J86" s="21"/>
      <c r="K86" s="21"/>
    </row>
    <row r="87" spans="3:11" x14ac:dyDescent="0.25" ht="20" customHeight="1">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A5" sqref="A5"/>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4" t="e" vm="1">
        <v>#VALUE!</v>
      </c>
      <c r="C1" s="12" t="s">
        <v>84</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HYPERLINK("#'Overview'!A1", "Overview")</f>
        <v>Overview</v>
      </c>
      <c r="C4" s="65"/>
      <c r="D4" s="65"/>
      <c r="E4" s="65"/>
      <c r="F4" s="65"/>
      <c r="G4" s="65"/>
      <c r="H4" s="65"/>
      <c r="I4" s="65"/>
      <c r="J4" s="65"/>
      <c r="K4" s="65"/>
    </row>
    <row r="5" spans="1:24" ht="20" customHeight="1" x14ac:dyDescent="0.25">
      <c r="A5" s="17" t="str">
        <f>HYPERLINK("#'Results'!A1", "Results")</f>
        <v>Results</v>
      </c>
      <c r="D5" s="6" t="s">
        <v>12</v>
      </c>
      <c r="N5" s="39"/>
    </row>
    <row r="6" spans="1:24" ht="20" customHeight="1" x14ac:dyDescent="0.25">
      <c r="A6"/>
      <c r="D6" s="14"/>
      <c r="N6" s="40"/>
    </row>
    <row r="7" spans="1:24" ht="20" customHeight="1" x14ac:dyDescent="0.25">
      <c r="A7"/>
      <c r="D7" s="1" t="s">
        <v>4</v>
      </c>
      <c r="E7" s="32" t="s">
        <v>3</v>
      </c>
      <c r="F7" s="2"/>
    </row>
    <row r="8" spans="1:24" ht="20" customHeight="1" x14ac:dyDescent="0.25">
      <c r="A8" s="19" t="s">
        <v>0</v>
      </c>
      <c r="D8" s="10" t="s">
        <v>69</v>
      </c>
      <c r="E8" s="32" t="s">
        <v>70</v>
      </c>
    </row>
    <row r="9" spans="1:24" ht="20" customHeight="1" x14ac:dyDescent="0.25">
      <c r="A9" s="142" t="str">
        <f>HYPERLINK("#'Input - Site'!A1", "Site")</f>
        <v>Site</v>
      </c>
      <c r="N9" s="41"/>
    </row>
    <row r="10" spans="1:24" ht="20" customHeight="1" x14ac:dyDescent="0.25">
      <c r="A10" s="17" t="str">
        <f>HYPERLINK("#'Input - Swine'!A1", "Swine")</f>
        <v>Swine</v>
      </c>
      <c r="D10" s="87" t="s">
        <v>83</v>
      </c>
      <c r="E10" s="85"/>
      <c r="F10" s="88"/>
      <c r="G10" s="82"/>
      <c r="N10" s="41"/>
    </row>
    <row r="11" spans="1:24" ht="20" customHeight="1" x14ac:dyDescent="0.25">
      <c r="A11"/>
      <c r="N11" s="42"/>
    </row>
    <row r="12" spans="1:24" ht="20" customHeight="1" x14ac:dyDescent="0.25">
      <c r="A12"/>
      <c r="D12" s="10" t="s">
        <v>89</v>
      </c>
      <c r="E12" s="62">
        <v>45292</v>
      </c>
      <c r="F12" s="2" t="s">
        <v>67</v>
      </c>
    </row>
    <row r="13" spans="1:24" ht="20" customHeight="1" x14ac:dyDescent="0.25">
      <c r="A13" s="18" t="s">
        <v>71</v>
      </c>
      <c r="D13" s="10" t="s">
        <v>90</v>
      </c>
      <c r="E13" s="66">
        <f>DATE(YEAR(X_Cell_Site_StartDate)+1,MONTH(X_Cell_Site_StartDate),DAY(X_Cell_Site_StartDate))-1</f>
        <v>45657</v>
      </c>
      <c r="F13" s="2" t="s">
        <v>14</v>
      </c>
      <c r="N13" s="37"/>
      <c r="O13" s="37"/>
    </row>
    <row r="14" spans="1:24" ht="20" customHeight="1" x14ac:dyDescent="0.25">
      <c r="A14" s="17" t="str">
        <f>HYPERLINK("#'4.5.1.1-2 Methane'!A1", "4.5.1.1-2 Methane")</f>
        <v>4.5.1.1-2 Methane</v>
      </c>
      <c r="N14" s="37"/>
      <c r="O14" s="37"/>
    </row>
    <row r="15" spans="1:24" ht="20" customHeight="1" x14ac:dyDescent="0.25">
      <c r="A15" s="17" t="str">
        <f>HYPERLINK("#'4.5.1.3-4 Direct N2O'!A1", "4.5.1.3-4 Direct N2O")</f>
        <v>4.5.1.3-4 Direct N2O</v>
      </c>
      <c r="N15" s="37"/>
      <c r="O15" s="37"/>
    </row>
    <row r="16" spans="1:24" ht="20" customHeight="1" x14ac:dyDescent="0.25">
      <c r="A16" s="17" t="str">
        <f>HYPERLINK("#'4.5.1.5-6 Atmos Dep'!A1", "4.5.1.5-6 Atmos Dep")</f>
        <v>4.5.1.5-6 Atmos Dep</v>
      </c>
      <c r="D16" s="6" t="s">
        <v>11</v>
      </c>
      <c r="N16" s="37"/>
      <c r="O16" s="37"/>
    </row>
    <row r="17" spans="1:25" ht="20" customHeight="1" x14ac:dyDescent="0.25">
      <c r="A17" s="17" t="str">
        <f>HYPERLINK("#'4.5.1.7-8 Leaching and runoff'!A1", "4.5.1.7-8 Leaching and runoff")</f>
        <v>4.5.1.7-8 Leaching and runoff</v>
      </c>
    </row>
    <row r="18" spans="1:25" ht="20" customHeight="1" x14ac:dyDescent="0.25">
      <c r="A18" s="17" t="str">
        <f>HYPERLINK("#'4.5.1.9 Manure applied to soils'!A1", "4.5.1.9 Manure applied to soils")</f>
        <v>4.5.1.9 Manure applied to soils</v>
      </c>
      <c r="D18" s="89" t="s">
        <v>13</v>
      </c>
      <c r="E18" s="84"/>
      <c r="F18" s="84"/>
      <c r="G18" s="80"/>
    </row>
    <row r="19" spans="1:25" ht="20" customHeight="1" x14ac:dyDescent="0.25">
      <c r="A19"/>
      <c r="D19" s="86" t="s">
        <v>68</v>
      </c>
      <c r="E19" s="83"/>
      <c r="F19" s="83"/>
      <c r="G19" s="81"/>
      <c r="N19" s="39"/>
    </row>
    <row r="20" spans="1:25" ht="20" customHeight="1" x14ac:dyDescent="0.25">
      <c r="A20"/>
      <c r="D20" s="1"/>
      <c r="E20" s="30"/>
      <c r="F20" s="2"/>
      <c r="N20" s="40"/>
    </row>
    <row r="21" spans="1:25" ht="20" customHeight="1" x14ac:dyDescent="0.25">
      <c r="A21" s="141" t="s">
        <v>1</v>
      </c>
      <c r="D21" s="1" t="s">
        <v>5</v>
      </c>
      <c r="E21" s="38" t="s">
        <v>126</v>
      </c>
      <c r="F21" s="2" t="s">
        <v>8</v>
      </c>
    </row>
    <row r="22" spans="1:25" ht="20" customHeight="1" x14ac:dyDescent="0.25">
      <c r="A22" s="17" t="str">
        <f>HYPERLINK("#'Constants - Swine'!A1", "Constants - Swine")</f>
        <v>Constants - Swine</v>
      </c>
      <c r="D22" s="1" t="s">
        <v>22</v>
      </c>
      <c r="E22" s="38" t="s">
        <v>31</v>
      </c>
      <c r="F22" s="2" t="s">
        <v>8</v>
      </c>
      <c r="G22" s="1"/>
    </row>
    <row r="23" spans="1:25" ht="20" customHeight="1" x14ac:dyDescent="0.25">
      <c r="A23" s="17" t="str">
        <f>HYPERLINK("#'Constants - Common'!A1", "Constants - Common")</f>
        <v>Constants - Common</v>
      </c>
      <c r="D23" s="1" t="s">
        <v>6</v>
      </c>
      <c r="E23" s="38" t="s">
        <v>88</v>
      </c>
      <c r="F23" s="2" t="s">
        <v>8</v>
      </c>
    </row>
    <row r="24" spans="1:25" ht="20" customHeight="1" x14ac:dyDescent="0.25">
      <c r="A24" s="17" t="str">
        <f>HYPERLINK("#'Constants - Common livestock'!A1", "Constants - Common livestock")</f>
        <v>Constants - Common livestock</v>
      </c>
      <c r="D24" s="1" t="s">
        <v>36</v>
      </c>
      <c r="E24" s="32">
        <v>307.7</v>
      </c>
      <c r="F24" s="2" t="s">
        <v>50</v>
      </c>
    </row>
    <row r="25" spans="1:25" ht="20" customHeight="1" x14ac:dyDescent="0.25">
      <c r="A25" s="17" t="str">
        <f>HYPERLINK("#'Acknowledgements'!A1", "Acknowledgements")</f>
        <v>Acknowledgements</v>
      </c>
      <c r="D25" s="1" t="s">
        <v>58</v>
      </c>
      <c r="E25" s="32">
        <v>18</v>
      </c>
      <c r="F25" s="2" t="s">
        <v>9</v>
      </c>
      <c r="N25" s="40"/>
    </row>
    <row r="26" spans="1:25" ht="20" customHeight="1" x14ac:dyDescent="0.25">
      <c r="A26" s="17" t="str">
        <f>HYPERLINK("#'Tab template'!A1", "Tab template")</f>
        <v>Tab template</v>
      </c>
      <c r="D26" s="1" t="s">
        <v>59</v>
      </c>
      <c r="E26" s="32">
        <v>601</v>
      </c>
      <c r="F26" s="2" t="s">
        <v>10</v>
      </c>
    </row>
    <row r="27" spans="1:25" ht="20" customHeight="1" x14ac:dyDescent="0.25">
      <c r="A27"/>
      <c r="D27" s="10" t="s">
        <v>60</v>
      </c>
      <c r="E27" s="32">
        <v>1326</v>
      </c>
      <c r="F27" s="2" t="s">
        <v>10</v>
      </c>
    </row>
    <row r="28" spans="1:25" ht="20" customHeight="1" x14ac:dyDescent="0.25">
      <c r="A28"/>
      <c r="D28" s="1" t="s">
        <v>61</v>
      </c>
      <c r="E28" s="32">
        <v>7</v>
      </c>
      <c r="F28" s="2" t="s">
        <v>51</v>
      </c>
    </row>
    <row r="29" spans="1:25" ht="20" customHeight="1" x14ac:dyDescent="0.25">
      <c r="A29"/>
      <c r="D29" s="10" t="s">
        <v>57</v>
      </c>
      <c r="E29" s="50">
        <f>X_Cell_Site_TotalRainfall/X_Cell_Site_PotentialEvapotranspiration</f>
        <v>0.45324283559577677</v>
      </c>
      <c r="F29" s="2"/>
    </row>
    <row r="30" spans="1:25" ht="20" customHeight="1" x14ac:dyDescent="0.25">
      <c r="A30"/>
      <c r="D30" s="10" t="s">
        <v>32</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 customHeight="1" x14ac:dyDescent="0.25">
      <c r="A32"/>
      <c r="D32" s="1" t="s">
        <v>85</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 customHeight="1" x14ac:dyDescent="0.25">
      <c r="A33"/>
      <c r="D33" s="1" t="s">
        <v>49</v>
      </c>
      <c r="E33" s="50" t="str">
        <f>Common_InputFunctions.Utility_LookupItemFromMinMax(X_Cell_Site_AverageTemperature,Table_SourceData_TemperatureZones[Min MAT],Table_SourceData_TemperatureZones[Max MAT],Table_SourceData_TemperatureZones[Temperature Zone])</f>
        <v>Temperate</v>
      </c>
      <c r="G33" s="67"/>
      <c r="L33" s="45"/>
      <c r="M33" s="45"/>
      <c r="N33" s="45"/>
      <c r="O33" s="45"/>
      <c r="P33" s="45"/>
      <c r="Q33" s="45"/>
      <c r="R33" s="45"/>
      <c r="S33" s="45"/>
      <c r="T33" s="45"/>
      <c r="U33" s="45"/>
      <c r="V33" s="45"/>
      <c r="W33" s="45"/>
      <c r="X33" s="45"/>
      <c r="Y33" s="45"/>
    </row>
    <row r="34" spans="1:25" ht="20" customHeight="1" x14ac:dyDescent="0.25">
      <c r="A34"/>
      <c r="J34" s="59"/>
      <c r="K34" s="70"/>
      <c r="L34" s="45"/>
      <c r="M34" s="45"/>
      <c r="N34" s="45"/>
      <c r="O34" s="45"/>
      <c r="P34" s="45"/>
      <c r="Q34" s="45"/>
      <c r="R34" s="45"/>
      <c r="S34" s="45"/>
      <c r="T34" s="45"/>
      <c r="U34" s="45"/>
      <c r="V34" s="45"/>
      <c r="W34" s="45"/>
      <c r="X34" s="45"/>
      <c r="Y34" s="45"/>
    </row>
    <row r="35" spans="1:25" ht="20" customHeight="1" x14ac:dyDescent="0.25">
      <c r="A35"/>
      <c r="J35" s="59"/>
      <c r="K35" s="70"/>
      <c r="L35" s="45"/>
      <c r="M35" s="45"/>
      <c r="N35" s="45"/>
      <c r="O35" s="45"/>
      <c r="P35" s="45"/>
      <c r="Q35" s="45"/>
      <c r="R35" s="45"/>
      <c r="S35" s="45"/>
      <c r="T35" s="45"/>
      <c r="U35" s="45"/>
      <c r="V35" s="45"/>
      <c r="W35" s="45"/>
      <c r="X35" s="45"/>
      <c r="Y35" s="45"/>
    </row>
    <row r="36" spans="1:25" ht="20" customHeight="1" x14ac:dyDescent="0.25">
      <c r="A36"/>
      <c r="D36" s="68"/>
      <c r="E36" s="68"/>
      <c r="F36" s="69"/>
      <c r="G36" s="59"/>
      <c r="H36" s="59"/>
      <c r="I36" s="60"/>
      <c r="J36" s="59"/>
      <c r="K36" s="70"/>
      <c r="L36" s="45"/>
      <c r="M36" s="45"/>
      <c r="N36" s="45"/>
      <c r="O36" s="45"/>
      <c r="P36" s="45"/>
      <c r="Q36" s="45"/>
      <c r="R36" s="45"/>
      <c r="S36" s="45"/>
      <c r="T36" s="45"/>
      <c r="U36" s="45"/>
      <c r="V36" s="45"/>
      <c r="W36" s="45"/>
      <c r="X36" s="45"/>
      <c r="Y36" s="45"/>
    </row>
    <row r="37" spans="1:25" ht="20" customHeight="1" x14ac:dyDescent="0.25">
      <c r="A37"/>
      <c r="D37" s="68"/>
      <c r="E37" s="68"/>
      <c r="F37" s="69"/>
      <c r="G37" s="59"/>
      <c r="H37" s="59"/>
      <c r="I37" s="60"/>
      <c r="J37" s="59"/>
      <c r="K37" s="70"/>
      <c r="L37" s="45"/>
      <c r="M37" s="45"/>
      <c r="N37" s="45"/>
      <c r="O37" s="45"/>
      <c r="P37" s="45"/>
      <c r="Q37" s="45"/>
      <c r="R37" s="45"/>
      <c r="S37" s="45"/>
      <c r="T37" s="45"/>
      <c r="U37" s="45"/>
      <c r="V37" s="45"/>
      <c r="W37" s="45"/>
      <c r="X37" s="45"/>
      <c r="Y37" s="45"/>
    </row>
    <row r="38" spans="1:25" ht="20" customHeight="1" x14ac:dyDescent="0.25">
      <c r="A38"/>
      <c r="D38" s="99" t="s">
        <v>411</v>
      </c>
      <c r="E38" s="1"/>
      <c r="F38" s="1"/>
      <c r="G38" s="1"/>
      <c r="H38" s="1"/>
      <c r="I38" s="1"/>
      <c r="J38" s="59"/>
      <c r="K38" s="70"/>
      <c r="L38" s="45"/>
      <c r="M38" s="45"/>
      <c r="N38" s="45"/>
      <c r="O38" s="45"/>
      <c r="P38" s="45"/>
      <c r="Q38" s="45"/>
      <c r="R38" s="45"/>
      <c r="S38" s="45"/>
      <c r="T38" s="45"/>
      <c r="U38" s="45"/>
      <c r="V38" s="45"/>
      <c r="W38" s="45"/>
      <c r="X38" s="45"/>
      <c r="Y38" s="45"/>
    </row>
    <row r="39" spans="1:25" ht="20" customHeight="1" x14ac:dyDescent="0.25">
      <c r="A39"/>
      <c r="D39" s="36" t="s">
        <v>412</v>
      </c>
      <c r="E39" s="36" t="s">
        <v>413</v>
      </c>
      <c r="F39" s="36" t="s">
        <v>414</v>
      </c>
      <c r="G39" s="36" t="s">
        <v>415</v>
      </c>
      <c r="H39" s="36" t="s">
        <v>416</v>
      </c>
      <c r="I39" s="36" t="s">
        <v>417</v>
      </c>
      <c r="J39" s="59"/>
      <c r="K39" s="70"/>
      <c r="L39" s="45"/>
      <c r="M39" s="45"/>
      <c r="N39" s="45"/>
      <c r="O39" s="45"/>
      <c r="P39" s="45"/>
      <c r="Q39" s="45"/>
      <c r="R39" s="45"/>
      <c r="S39" s="45"/>
      <c r="T39" s="45"/>
      <c r="U39" s="45"/>
      <c r="V39" s="45"/>
      <c r="W39" s="45"/>
      <c r="X39" s="45"/>
      <c r="Y39" s="45"/>
    </row>
    <row r="40" spans="1:25" ht="20" customHeight="1" x14ac:dyDescent="0.25">
      <c r="A40"/>
      <c r="D40" s="32"/>
      <c r="E40" s="38"/>
      <c r="F40" s="146">
        <v>45566</v>
      </c>
      <c r="G40" s="36">
        <v>10</v>
      </c>
      <c r="H40" s="36">
        <v>500</v>
      </c>
      <c r="I40" s="50">
        <f t="shared" ref="I40:I49" si="0">G40*H40</f>
        <v>5000</v>
      </c>
      <c r="J40" s="71"/>
      <c r="K40" s="71"/>
      <c r="L40" s="48"/>
      <c r="M40" s="48"/>
      <c r="N40" s="48"/>
      <c r="O40" s="48"/>
      <c r="P40" s="48"/>
      <c r="Q40" s="48"/>
      <c r="R40" s="48"/>
      <c r="S40" s="48"/>
      <c r="T40" s="48"/>
      <c r="U40" s="48"/>
      <c r="V40" s="48"/>
      <c r="W40" s="48"/>
      <c r="X40" s="48"/>
      <c r="Y40" s="48"/>
    </row>
    <row r="41" spans="1:25" ht="20" customHeight="1" x14ac:dyDescent="0.25">
      <c r="A41"/>
      <c r="D41" s="32"/>
      <c r="E41" s="38"/>
      <c r="F41" s="146"/>
      <c r="G41" s="36"/>
      <c r="H41" s="36"/>
      <c r="I41" s="50">
        <f t="shared" si="0"/>
        <v>0</v>
      </c>
    </row>
    <row r="42" spans="1:25" ht="20" customHeight="1" x14ac:dyDescent="0.25">
      <c r="A42"/>
      <c r="D42" s="32"/>
      <c r="E42" s="38"/>
      <c r="F42" s="146"/>
      <c r="G42" s="36"/>
      <c r="H42" s="36"/>
      <c r="I42" s="50">
        <f t="shared" si="0"/>
        <v>0</v>
      </c>
    </row>
    <row r="43" spans="1:25" ht="20" customHeight="1" x14ac:dyDescent="0.25">
      <c r="A43"/>
      <c r="D43" s="32"/>
      <c r="E43" s="38"/>
      <c r="F43" s="146"/>
      <c r="G43" s="36"/>
      <c r="H43" s="36"/>
      <c r="I43" s="50">
        <f t="shared" si="0"/>
        <v>0</v>
      </c>
    </row>
    <row r="44" spans="1:25" ht="20" customHeight="1" x14ac:dyDescent="0.25">
      <c r="A44"/>
      <c r="D44" s="32"/>
      <c r="E44" s="38"/>
      <c r="F44" s="146"/>
      <c r="G44" s="36"/>
      <c r="H44" s="36"/>
      <c r="I44" s="50">
        <f t="shared" si="0"/>
        <v>0</v>
      </c>
    </row>
    <row r="45" spans="1:25" ht="20" customHeight="1" x14ac:dyDescent="0.25">
      <c r="A45"/>
      <c r="D45" s="32"/>
      <c r="E45" s="38"/>
      <c r="F45" s="146"/>
      <c r="G45" s="36"/>
      <c r="H45" s="36"/>
      <c r="I45" s="50">
        <f t="shared" si="0"/>
        <v>0</v>
      </c>
    </row>
    <row r="46" spans="1:25" ht="20" customHeight="1" x14ac:dyDescent="0.25">
      <c r="A46"/>
      <c r="D46" s="32"/>
      <c r="E46" s="38"/>
      <c r="F46" s="146"/>
      <c r="G46" s="36"/>
      <c r="H46" s="36"/>
      <c r="I46" s="50">
        <f t="shared" si="0"/>
        <v>0</v>
      </c>
    </row>
    <row r="47" spans="1:25" ht="20" customHeight="1" x14ac:dyDescent="0.25">
      <c r="A47"/>
      <c r="D47" s="32"/>
      <c r="E47" s="38"/>
      <c r="F47" s="146"/>
      <c r="G47" s="36"/>
      <c r="H47" s="36"/>
      <c r="I47" s="50">
        <f t="shared" si="0"/>
        <v>0</v>
      </c>
    </row>
    <row r="48" spans="1:25" ht="20" customHeight="1" x14ac:dyDescent="0.25">
      <c r="A48"/>
      <c r="D48" s="32"/>
      <c r="E48" s="38"/>
      <c r="F48" s="146"/>
      <c r="G48" s="36"/>
      <c r="H48" s="36"/>
      <c r="I48" s="50">
        <f t="shared" si="0"/>
        <v>0</v>
      </c>
    </row>
    <row r="49" spans="1:9" ht="20" customHeight="1" x14ac:dyDescent="0.25">
      <c r="A49"/>
      <c r="D49" s="32"/>
      <c r="E49" s="38"/>
      <c r="F49" s="146"/>
      <c r="G49" s="36"/>
      <c r="H49" s="36"/>
      <c r="I49" s="50">
        <f t="shared" si="0"/>
        <v>0</v>
      </c>
    </row>
    <row r="50" spans="1:9" ht="20" customHeight="1" x14ac:dyDescent="0.25">
      <c r="A50"/>
      <c r="D50" s="33"/>
      <c r="E50" s="33"/>
      <c r="F50" s="34"/>
      <c r="G50" s="34"/>
      <c r="H50" s="33"/>
    </row>
    <row r="51" spans="1:9" ht="20" customHeight="1" x14ac:dyDescent="0.25">
      <c r="A51"/>
      <c r="D51" s="72"/>
      <c r="E51" s="73"/>
      <c r="F51" s="73"/>
      <c r="G51" s="73"/>
      <c r="H51" s="74"/>
    </row>
    <row r="52" spans="1:9" ht="20" customHeight="1" x14ac:dyDescent="0.25">
      <c r="A52"/>
    </row>
    <row r="53" spans="1:9" ht="20" customHeight="1" x14ac:dyDescent="0.25">
      <c r="A53"/>
    </row>
    <row r="54" spans="1:9" ht="20" customHeight="1" x14ac:dyDescent="0.25">
      <c r="A54"/>
      <c r="D54" s="77"/>
      <c r="G54" s="75"/>
    </row>
    <row r="55" spans="1:9" ht="20" customHeight="1" x14ac:dyDescent="0.25">
      <c r="A55"/>
      <c r="D55" s="77"/>
    </row>
    <row r="56" spans="1:9" ht="20" customHeight="1" x14ac:dyDescent="0.25">
      <c r="A56"/>
      <c r="D56" s="77"/>
    </row>
    <row r="57" spans="1:9" ht="20" customHeight="1" x14ac:dyDescent="0.25">
      <c r="A57"/>
      <c r="D57" s="77"/>
      <c r="F57" s="76"/>
    </row>
    <row r="58" spans="1:9" ht="20" customHeight="1" x14ac:dyDescent="0.25">
      <c r="A58"/>
      <c r="D58" s="77"/>
      <c r="E58" s="77"/>
    </row>
    <row r="59" spans="1:9" ht="20" customHeight="1" x14ac:dyDescent="0.25">
      <c r="A59"/>
      <c r="D59" s="77"/>
      <c r="E59" s="77"/>
    </row>
    <row r="60" spans="1:9" ht="20" customHeight="1" x14ac:dyDescent="0.25">
      <c r="A60"/>
      <c r="D60" s="77"/>
      <c r="E60" s="78"/>
    </row>
    <row r="61" spans="1:9" ht="20" customHeight="1" x14ac:dyDescent="0.25">
      <c r="A61"/>
      <c r="D61" s="77"/>
    </row>
    <row r="62" spans="1:9" ht="20" customHeight="1" x14ac:dyDescent="0.25">
      <c r="A62"/>
      <c r="D62" s="77"/>
    </row>
    <row r="63" spans="1:9" ht="20" customHeight="1" x14ac:dyDescent="0.25">
      <c r="A63"/>
      <c r="D63" s="77"/>
    </row>
    <row r="64" spans="1:9" ht="20" customHeight="1" x14ac:dyDescent="0.25">
      <c r="A64"/>
      <c r="D64" s="77"/>
      <c r="E64" s="77"/>
    </row>
    <row r="65" spans="1:9" ht="20" customHeight="1" x14ac:dyDescent="0.25">
      <c r="A65"/>
      <c r="D65" s="77"/>
      <c r="E65" s="77"/>
    </row>
    <row r="66" spans="1:9" ht="20" customHeight="1" x14ac:dyDescent="0.25">
      <c r="A66"/>
      <c r="D66" s="77"/>
      <c r="E66" s="78"/>
    </row>
    <row r="67" spans="1:9" ht="20" customHeight="1" x14ac:dyDescent="0.25">
      <c r="A67"/>
    </row>
    <row r="68" spans="1:9" ht="20" customHeight="1" x14ac:dyDescent="0.25">
      <c r="A68"/>
    </row>
    <row r="69" spans="1:9" ht="20" customHeight="1" x14ac:dyDescent="0.25">
      <c r="A69"/>
      <c r="D69" s="58"/>
      <c r="E69" s="58"/>
      <c r="F69" s="58"/>
      <c r="G69" s="58"/>
      <c r="H69" s="58"/>
      <c r="I69" s="58"/>
    </row>
    <row r="70" spans="1:9" ht="20" customHeight="1" x14ac:dyDescent="0.25">
      <c r="A70"/>
      <c r="D70" s="58"/>
      <c r="E70" s="58"/>
      <c r="F70" s="58"/>
      <c r="G70" s="58"/>
      <c r="H70" s="58"/>
      <c r="I70" s="58"/>
    </row>
    <row r="71" spans="1:9" ht="20" customHeight="1" x14ac:dyDescent="0.25">
      <c r="A71"/>
      <c r="D71" s="58"/>
      <c r="E71" s="58"/>
      <c r="F71" s="58"/>
      <c r="G71" s="58"/>
      <c r="H71" s="58"/>
      <c r="I71" s="58"/>
    </row>
    <row r="72" spans="1:9" ht="20" customHeight="1" x14ac:dyDescent="0.25">
      <c r="A72"/>
      <c r="D72" s="58"/>
      <c r="E72" s="58"/>
      <c r="F72" s="58"/>
      <c r="G72" s="58"/>
      <c r="H72" s="58"/>
      <c r="I72" s="58"/>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79"/>
    </row>
    <row r="79" spans="1:9" ht="20" customHeight="1" x14ac:dyDescent="0.25">
      <c r="A79"/>
      <c r="D79" s="79"/>
    </row>
    <row r="80" spans="1:9" ht="20" customHeight="1" x14ac:dyDescent="0.25">
      <c r="A80"/>
      <c r="D80" s="79"/>
    </row>
    <row r="81" spans="1:4" ht="20" customHeight="1" x14ac:dyDescent="0.25">
      <c r="A81"/>
      <c r="D81" s="79"/>
    </row>
    <row r="82" spans="1:4" ht="20" customHeight="1" x14ac:dyDescent="0.25">
      <c r="A82"/>
      <c r="D82" s="79"/>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2" type="noConversion"/>
  <dataValidations count="5">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7"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 type="list" allowBlank="1" showInputMessage="1" showErrorMessage="1" sqref="E40:E49" xr:uid="{083DF14A-00E2-452A-8599-A053B3BDEC80}">
      <formula1>INDIRECT("Table_LivestockClasses_Swine[Livestock class]")</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W356"/>
  <sheetViews>
    <sheetView showGridLines="0" topLeftCell="A85" zoomScaleNormal="100" workbookViewId="0">
      <selection activeCell="D109" sqref="D109:D113"/>
    </sheetView>
  </sheetViews>
  <sheetFormatPr defaultRowHeight="20" x14ac:dyDescent="0.25" customHeight="1"/>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54" customWidth="1"/>
    <col min="17" max="17" width="38.42578125" style="54" customWidth="1"/>
    <col min="18" max="22" width="30.7109375" style="54" customWidth="1"/>
    <col min="23" max="23" width="4.7109375" style="54" customWidth="1"/>
  </cols>
  <sheetData>
    <row r="1" spans="1:23" s="64" customFormat="1" ht="30" customHeight="1" x14ac:dyDescent="0.35">
      <c r="A1" s="64" t="e" vm="1">
        <v>#VALUE!</v>
      </c>
      <c r="C1" s="64" t="s">
        <v>131</v>
      </c>
      <c r="O1" s="54"/>
      <c r="P1" s="54"/>
      <c r="Q1" s="54"/>
      <c r="R1" s="54"/>
      <c r="S1" s="54"/>
      <c r="T1" s="54"/>
      <c r="U1" s="54"/>
      <c r="V1" s="54"/>
      <c r="W1" s="54"/>
    </row>
    <row r="2" spans="1:23" s="9" customFormat="1" ht="20" customHeight="1" x14ac:dyDescent="0.25">
      <c r="A2"/>
      <c r="O2" s="54"/>
      <c r="P2" s="54"/>
      <c r="Q2" s="54"/>
      <c r="R2" s="54"/>
      <c r="S2" s="54"/>
      <c r="T2" s="54"/>
      <c r="U2" s="54"/>
      <c r="V2" s="54"/>
      <c r="W2" s="54"/>
    </row>
    <row r="3" spans="1:23" ht="20" customHeight="1" x14ac:dyDescent="0.25">
      <c r="A3" s="17" t="str">
        <f>HYPERLINK("#'Home'!A1", "Home")</f>
        <v>Home</v>
      </c>
      <c r="C3" s="15"/>
      <c r="D3" s="15"/>
      <c r="E3" s="15"/>
      <c r="F3" s="15"/>
      <c r="G3" s="15"/>
      <c r="H3" s="15"/>
      <c r="I3" s="15"/>
      <c r="J3" s="15"/>
      <c r="K3" s="15"/>
      <c r="L3" s="15"/>
      <c r="M3" s="15"/>
      <c r="N3" s="15"/>
    </row>
    <row r="4" spans="1:23" ht="20" customHeight="1" x14ac:dyDescent="0.25">
      <c r="A4" s="17" t="str">
        <f>HYPERLINK("#'Overview'!A1", "Overview")</f>
        <v>Overview</v>
      </c>
    </row>
    <row r="5" spans="1:23" ht="20" customHeight="1" x14ac:dyDescent="0.25">
      <c r="A5" s="17" t="str">
        <f>HYPERLINK("#'Results'!A1", "Results")</f>
        <v>Results</v>
      </c>
      <c r="E5" s="110" t="s">
        <v>134</v>
      </c>
      <c r="F5" s="110" t="s">
        <v>135</v>
      </c>
      <c r="G5" s="110" t="s">
        <v>136</v>
      </c>
      <c r="H5" s="110" t="s">
        <v>192</v>
      </c>
      <c r="R5" s="7"/>
    </row>
    <row r="6" spans="1:23" ht="20" customHeight="1" x14ac:dyDescent="0.25">
      <c r="D6" s="1" t="str">
        <f>"Average duration of stay between " &amp; TEXT(X_Cell_Site_StartDate, "dd mmm yy") &amp; " and " &amp; TEXT(X_Cell_Site_EndDate, "dd mmm yy")</f>
        <v>Average duration of stay between 01 Jan 24 and 31 Dec 24</v>
      </c>
      <c r="E6" s="63">
        <v>365</v>
      </c>
      <c r="F6" s="63">
        <v>365</v>
      </c>
      <c r="G6" s="63">
        <v>365</v>
      </c>
      <c r="H6" s="63">
        <v>365</v>
      </c>
      <c r="I6" s="2" t="s">
        <v>51</v>
      </c>
      <c r="J6" s="2"/>
      <c r="R6" s="7"/>
    </row>
    <row r="7" spans="1:23" ht="20" customHeight="1" x14ac:dyDescent="0.25">
      <c r="D7" s="1" t="str">
        <f>"Average number of head between " &amp; TEXT(X_Cell_Site_StartDate, "dd mmm yy") &amp; " and " &amp; TEXT(X_Cell_Site_EndDate, "dd mmm yy")</f>
        <v>Average number of head between 01 Jan 24 and 31 Dec 24</v>
      </c>
      <c r="E7" s="63">
        <v>100</v>
      </c>
      <c r="F7" s="63">
        <v>100</v>
      </c>
      <c r="G7" s="63">
        <v>100</v>
      </c>
      <c r="H7" s="63">
        <v>100</v>
      </c>
      <c r="I7" s="2" t="s">
        <v>92</v>
      </c>
      <c r="J7" s="2"/>
      <c r="R7" s="7"/>
    </row>
    <row r="8" spans="1:23" ht="20" customHeight="1" x14ac:dyDescent="0.25">
      <c r="A8" s="19" t="s">
        <v>0</v>
      </c>
      <c r="R8" s="7"/>
    </row>
    <row r="9" spans="1:23" ht="20" customHeight="1" x14ac:dyDescent="0.25">
      <c r="A9" s="17" t="str">
        <f>HYPERLINK("#'Input - Site'!A1", "Site")</f>
        <v>Site</v>
      </c>
      <c r="R9" s="7"/>
    </row>
    <row r="10" spans="1:23" ht="20" customHeight="1" x14ac:dyDescent="0.25">
      <c r="A10" s="142" t="str">
        <f>HYPERLINK("#'Input - Swine'!A1", "Swine")</f>
        <v>Swine</v>
      </c>
      <c r="D10" s="6" t="s">
        <v>422</v>
      </c>
      <c r="R10" s="7"/>
    </row>
    <row r="11" spans="1:23" ht="20" customHeight="1" x14ac:dyDescent="0.25">
      <c r="R11" s="7"/>
    </row>
    <row r="12" spans="1:23" ht="20" customHeight="1" x14ac:dyDescent="0.25">
      <c r="D12" s="61" t="s">
        <v>189</v>
      </c>
      <c r="E12" s="110" t="s">
        <v>134</v>
      </c>
      <c r="F12" s="110" t="s">
        <v>135</v>
      </c>
      <c r="G12" s="110" t="s">
        <v>136</v>
      </c>
      <c r="H12" s="110" t="s">
        <v>192</v>
      </c>
      <c r="R12" s="7"/>
    </row>
    <row r="13" spans="1:23" ht="20" customHeight="1" x14ac:dyDescent="0.25">
      <c r="A13" s="18" t="s">
        <v>71</v>
      </c>
      <c r="D13" s="1" t="s">
        <v>422</v>
      </c>
      <c r="E13" s="50" cm="1">
        <f t="array" ref="E13">Common_InputFunctions.Utility_LookupValueInTableNumber(E12, Table_SourceData_Swine_FeedIntake[Class],Table_SourceData_Swine_FeedIntake[Ij])</f>
        <v>2.62</v>
      </c>
      <c r="F13" s="50" cm="1">
        <f t="array" ref="F13">Common_InputFunctions.Utility_LookupValueInTableNumber(F12, Table_SourceData_Swine_FeedIntake[Class],Table_SourceData_Swine_FeedIntake[Ij])</f>
        <v>2.2999999999999998</v>
      </c>
      <c r="G13" s="50" cm="1">
        <f t="array" ref="G13">Common_InputFunctions.Utility_LookupValueInTableNumber(G12, Table_SourceData_Swine_FeedIntake[Class],Table_SourceData_Swine_FeedIntake[Ij])</f>
        <v>2.5</v>
      </c>
      <c r="H13" s="50" cm="1">
        <f t="array" ref="H13">Common_InputFunctions.Utility_LookupValueInTableNumber(H12, Table_SourceData_Swine_FeedIntake[Class],Table_SourceData_Swine_FeedIntake[Ij])</f>
        <v>1.71</v>
      </c>
      <c r="I13" s="2" t="s">
        <v>113</v>
      </c>
      <c r="R13" s="37"/>
    </row>
    <row r="14" spans="1:23" ht="20" customHeight="1" x14ac:dyDescent="0.25">
      <c r="A14" s="17" t="str">
        <f>HYPERLINK("#'4.5.1.1-2 Methane'!A1", "4.5.1.1-2 Methane")</f>
        <v>4.5.1.1-2 Methane</v>
      </c>
      <c r="R14" s="37"/>
    </row>
    <row r="15" spans="1:23" ht="20" customHeight="1" x14ac:dyDescent="0.25">
      <c r="A15" s="17" t="str">
        <f>HYPERLINK("#'4.5.1.3-4 Direct N2O'!A1", "4.5.1.3-4 Direct N2O")</f>
        <v>4.5.1.3-4 Direct N2O</v>
      </c>
      <c r="D15" s="61" t="s">
        <v>190</v>
      </c>
      <c r="E15" s="110" t="s">
        <v>134</v>
      </c>
      <c r="F15" s="110" t="s">
        <v>135</v>
      </c>
      <c r="G15" s="110" t="s">
        <v>136</v>
      </c>
      <c r="H15" s="110" t="s">
        <v>192</v>
      </c>
      <c r="R15" s="37"/>
    </row>
    <row r="16" spans="1:23" ht="20" customHeight="1" x14ac:dyDescent="0.25">
      <c r="A16" s="17" t="str">
        <f>HYPERLINK("#'4.5.1.5-6 Atmos Dep'!A1", "4.5.1.5-6 Atmos Dep")</f>
        <v>4.5.1.5-6 Atmos Dep</v>
      </c>
      <c r="D16" s="1" t="s">
        <v>422</v>
      </c>
      <c r="E16" s="63" cm="1">
        <f t="array" ref="E16">Common_InputFunctions.Utility_LookupValueInTableNumber(E15, Table_SourceData_Swine_FeedIntake[Class],Table_SourceData_Swine_FeedIntake[Ij])</f>
        <v>2.62</v>
      </c>
      <c r="F16" s="63" cm="1">
        <f t="array" ref="F16">Common_InputFunctions.Utility_LookupValueInTableNumber(F15, Table_SourceData_Swine_FeedIntake[Class],Table_SourceData_Swine_FeedIntake[Ij])</f>
        <v>2.2999999999999998</v>
      </c>
      <c r="G16" s="63" cm="1">
        <f t="array" ref="G16">Common_InputFunctions.Utility_LookupValueInTableNumber(G15, Table_SourceData_Swine_FeedIntake[Class],Table_SourceData_Swine_FeedIntake[Ij])</f>
        <v>2.5</v>
      </c>
      <c r="H16" s="63" cm="1">
        <f t="array" ref="H16">Common_InputFunctions.Utility_LookupValueInTableNumber(H15, Table_SourceData_Swine_FeedIntake[Class],Table_SourceData_Swine_FeedIntake[Ij])</f>
        <v>1.71</v>
      </c>
      <c r="I16" s="2" t="s">
        <v>113</v>
      </c>
      <c r="R16" s="37"/>
    </row>
    <row r="17" spans="1:18" ht="20" customHeight="1" x14ac:dyDescent="0.25">
      <c r="A17" s="17" t="str">
        <f>HYPERLINK("#'4.5.1.7-8 Leaching and runoff'!A1", "4.5.1.7-8 Leaching and runoff")</f>
        <v>4.5.1.7-8 Leaching and runoff</v>
      </c>
      <c r="R17" s="7"/>
    </row>
    <row r="18" spans="1:18" ht="20" customHeight="1" x14ac:dyDescent="0.25">
      <c r="A18" s="17" t="str">
        <f>HYPERLINK("#'4.5.1.9 Manure applied to soils'!A1", "4.5.1.9 Manure applied to soils")</f>
        <v>4.5.1.9 Manure applied to soils</v>
      </c>
      <c r="R18" s="7"/>
    </row>
    <row r="19" spans="1:18" ht="20" customHeight="1" x14ac:dyDescent="0.25">
      <c r="D19" s="6" t="s">
        <v>133</v>
      </c>
      <c r="R19" s="7"/>
    </row>
    <row r="20" spans="1:18" ht="20" customHeight="1" x14ac:dyDescent="0.25">
      <c r="R20" s="7"/>
    </row>
    <row r="21" spans="1:18" ht="20" customHeight="1" x14ac:dyDescent="0.25">
      <c r="A21" s="141" t="s">
        <v>1</v>
      </c>
      <c r="D21" s="61" t="s">
        <v>189</v>
      </c>
      <c r="E21" s="110" t="s">
        <v>134</v>
      </c>
      <c r="F21" s="110" t="s">
        <v>135</v>
      </c>
      <c r="G21" s="110" t="s">
        <v>136</v>
      </c>
      <c r="H21" s="110" t="s">
        <v>192</v>
      </c>
      <c r="R21" s="7"/>
    </row>
    <row r="22" spans="1:18" ht="20" customHeight="1" x14ac:dyDescent="0.25">
      <c r="A22" s="17" t="str">
        <f>HYPERLINK("#'Constants - Swine'!A1", "Constants - Swine")</f>
        <v>Constants - Swine</v>
      </c>
      <c r="D22" s="1" t="s">
        <v>137</v>
      </c>
      <c r="E22" s="50" cm="1">
        <f t="array" ref="E22">Common_InputFunctions.Utility_LookupValueInTableNumber(E21, Table_SourceData_Swine_VolatileSolids[Class], Table_SourceData_Swine_VolatileSolids[VSj])</f>
        <v>0.4</v>
      </c>
      <c r="F22" s="50" cm="1">
        <f t="array" ref="F22">Common_InputFunctions.Utility_LookupValueInTableNumber(F21, Table_SourceData_Swine_VolatileSolids[Class], Table_SourceData_Swine_VolatileSolids[VSj])</f>
        <v>0.46</v>
      </c>
      <c r="G22" s="50" cm="1">
        <f t="array" ref="G22">Common_InputFunctions.Utility_LookupValueInTableNumber(G21, Table_SourceData_Swine_VolatileSolids[Class], Table_SourceData_Swine_VolatileSolids[VSj])</f>
        <v>0.55000000000000004</v>
      </c>
      <c r="H22" s="50" cm="1">
        <f t="array" ref="H22">Common_InputFunctions.Utility_LookupValueInTableNumber(H21, Table_SourceData_Swine_VolatileSolids[Class], Table_SourceData_Swine_VolatileSolids[VSj])</f>
        <v>0.39</v>
      </c>
      <c r="I22" s="2" t="s">
        <v>113</v>
      </c>
      <c r="J22" s="2"/>
      <c r="R22" s="7"/>
    </row>
    <row r="23" spans="1:18" ht="20" customHeight="1" x14ac:dyDescent="0.25">
      <c r="A23" s="17" t="str">
        <f>HYPERLINK("#'Constants - Common'!A1", "Constants - Common")</f>
        <v>Constants - Common</v>
      </c>
      <c r="D23" s="1" t="s">
        <v>138</v>
      </c>
      <c r="E23" s="50" cm="1">
        <f t="array" ref="E23">Common_InputFunctions.Utility_LookupValueInTableNumber(E21, Table_SourceData_Swine_NitrogenInWaste[Class name], Table_SourceData_Swine_NitrogenInWaste[NWj Daily])</f>
        <v>4.5999999999999999E-2</v>
      </c>
      <c r="F23" s="50" cm="1">
        <f t="array" ref="F23">Common_InputFunctions.Utility_LookupValueInTableNumber(F21, Table_SourceData_Swine_NitrogenInWaste[Class name], Table_SourceData_Swine_NitrogenInWaste[NWj Daily])</f>
        <v>4.9000000000000002E-2</v>
      </c>
      <c r="G23" s="50" cm="1">
        <f t="array" ref="G23">Common_InputFunctions.Utility_LookupValueInTableNumber(G21, Table_SourceData_Swine_NitrogenInWaste[Class name], Table_SourceData_Swine_NitrogenInWaste[NWj Daily])</f>
        <v>4.5999999999999999E-2</v>
      </c>
      <c r="H23" s="50" cm="1">
        <f t="array" ref="H23">Common_InputFunctions.Utility_LookupValueInTableNumber(H21, Table_SourceData_Swine_NitrogenInWaste[Class name], Table_SourceData_Swine_NitrogenInWaste[NWj Daily])</f>
        <v>3.1199999999999999E-2</v>
      </c>
      <c r="I23" s="2" t="s">
        <v>139</v>
      </c>
      <c r="J23" s="2"/>
      <c r="R23" s="7"/>
    </row>
    <row r="24" spans="1:18" ht="20" customHeight="1" x14ac:dyDescent="0.25">
      <c r="A24" s="17" t="str">
        <f>HYPERLINK("#'Constants - Common livestock'!A1", "Constants - Common livestock")</f>
        <v>Constants - Common livestock</v>
      </c>
      <c r="K24" s="2"/>
      <c r="R24" s="7"/>
    </row>
    <row r="25" spans="1:18" ht="20" customHeight="1" x14ac:dyDescent="0.25">
      <c r="A25" s="17" t="str">
        <f>HYPERLINK("#'Acknowledgements'!A1", "Acknowledgements")</f>
        <v>Acknowledgements</v>
      </c>
      <c r="D25" s="61" t="s">
        <v>190</v>
      </c>
      <c r="E25" s="110" t="s">
        <v>134</v>
      </c>
      <c r="F25" s="110" t="s">
        <v>135</v>
      </c>
      <c r="G25" s="110" t="s">
        <v>136</v>
      </c>
      <c r="H25" s="110" t="s">
        <v>192</v>
      </c>
      <c r="R25" s="7"/>
    </row>
    <row r="26" spans="1:18" ht="20" customHeight="1" x14ac:dyDescent="0.25">
      <c r="A26" s="17" t="str">
        <f>HYPERLINK("#'Tab template'!A1", "Tab template")</f>
        <v>Tab template</v>
      </c>
      <c r="D26" s="1" t="s">
        <v>137</v>
      </c>
      <c r="E26" s="63" cm="1">
        <f t="array" ref="E26">Common_InputFunctions.Utility_LookupValueInTableNumber(E25, Table_SourceData_Swine_VolatileSolids[Class], Table_SourceData_Swine_VolatileSolids[VSj])</f>
        <v>0.4</v>
      </c>
      <c r="F26" s="63" cm="1">
        <f t="array" ref="F26">Common_InputFunctions.Utility_LookupValueInTableNumber(F25, Table_SourceData_Swine_VolatileSolids[Class], Table_SourceData_Swine_VolatileSolids[VSj])</f>
        <v>0.46</v>
      </c>
      <c r="G26" s="63" cm="1">
        <f t="array" ref="G26">Common_InputFunctions.Utility_LookupValueInTableNumber(G25, Table_SourceData_Swine_VolatileSolids[Class], Table_SourceData_Swine_VolatileSolids[VSj])</f>
        <v>0.55000000000000004</v>
      </c>
      <c r="H26" s="63" cm="1">
        <f t="array" ref="H26">Common_InputFunctions.Utility_LookupValueInTableNumber(H25, Table_SourceData_Swine_VolatileSolids[Class], Table_SourceData_Swine_VolatileSolids[VSj])</f>
        <v>0.39</v>
      </c>
      <c r="I26" s="2" t="s">
        <v>113</v>
      </c>
      <c r="J26" s="2"/>
      <c r="R26" s="7"/>
    </row>
    <row r="27" spans="1:18" ht="20" customHeight="1" x14ac:dyDescent="0.25">
      <c r="D27" s="1" t="s">
        <v>138</v>
      </c>
      <c r="E27" s="63" cm="1">
        <f t="array" ref="E27">Common_InputFunctions.Utility_LookupValueInTableNumber(E25, Table_SourceData_Swine_NitrogenInWaste[Class name], Table_SourceData_Swine_NitrogenInWaste[NWj Daily])</f>
        <v>4.5999999999999999E-2</v>
      </c>
      <c r="F27" s="63" cm="1">
        <f t="array" ref="F27">Common_InputFunctions.Utility_LookupValueInTableNumber(F25, Table_SourceData_Swine_NitrogenInWaste[Class name], Table_SourceData_Swine_NitrogenInWaste[NWj Daily])</f>
        <v>4.9000000000000002E-2</v>
      </c>
      <c r="G27" s="63" cm="1">
        <f t="array" ref="G27">Common_InputFunctions.Utility_LookupValueInTableNumber(G25, Table_SourceData_Swine_NitrogenInWaste[Class name], Table_SourceData_Swine_NitrogenInWaste[NWj Daily])</f>
        <v>4.5999999999999999E-2</v>
      </c>
      <c r="H27" s="63" cm="1">
        <f t="array" ref="H27">Common_InputFunctions.Utility_LookupValueInTableNumber(H25, Table_SourceData_Swine_NitrogenInWaste[Class name], Table_SourceData_Swine_NitrogenInWaste[NWj Daily])</f>
        <v>3.1199999999999999E-2</v>
      </c>
      <c r="I27" s="2" t="s">
        <v>139</v>
      </c>
      <c r="J27" s="2"/>
      <c r="R27" s="7"/>
    </row>
    <row r="28" spans="1:18" ht="20" customHeight="1" x14ac:dyDescent="0.25">
      <c r="R28" s="7"/>
    </row>
    <row r="29" spans="1:18" ht="20" customHeight="1" x14ac:dyDescent="0.25">
      <c r="R29" s="7"/>
    </row>
    <row r="30" spans="1:18" ht="20" customHeight="1" x14ac:dyDescent="0.25">
      <c r="D30" s="6" t="s">
        <v>170</v>
      </c>
      <c r="R30" s="7"/>
    </row>
    <row r="31" spans="1:18" ht="20" customHeight="1" x14ac:dyDescent="0.25">
      <c r="R31" s="7"/>
    </row>
    <row r="32" spans="1:18" ht="20" customHeight="1" x14ac:dyDescent="0.25">
      <c r="D32" s="1" t="s">
        <v>102</v>
      </c>
      <c r="E32" s="38" t="s">
        <v>333</v>
      </c>
      <c r="F32" s="2" t="s">
        <v>8</v>
      </c>
      <c r="R32" s="7"/>
    </row>
    <row r="33" spans="4:18" ht="20" customHeight="1" x14ac:dyDescent="0.25">
      <c r="E33" s="99" t="str">
        <f>IF(X_Cell_Swine_ProductionSystem="Outdoor/free range", "In an outdoor/free range system the only likely stage 1 MMS is 'Drylot (feed pad)'", "")</f>
        <v>In an outdoor/free range system the only likely stage 1 MMS is 'Drylot (feed pad)'</v>
      </c>
      <c r="R33" s="7"/>
    </row>
    <row r="34" spans="4:18" ht="20" customHeight="1" x14ac:dyDescent="0.25">
      <c r="D34" s="61" t="s">
        <v>171</v>
      </c>
      <c r="E34" s="110" t="s">
        <v>134</v>
      </c>
      <c r="F34" s="110" t="s">
        <v>135</v>
      </c>
      <c r="G34" s="110" t="s">
        <v>136</v>
      </c>
      <c r="H34" s="110" t="s">
        <v>192</v>
      </c>
      <c r="R34" s="7"/>
    </row>
    <row r="35" spans="4:18" ht="20" customHeight="1" x14ac:dyDescent="0.25">
      <c r="R35" s="7"/>
    </row>
    <row r="36" spans="4:18" ht="20" customHeight="1" x14ac:dyDescent="0.25">
      <c r="D36" s="51" t="str">
        <f>'Constants - Swine'!$G$41</f>
        <v>Anaerobic lagoon</v>
      </c>
      <c r="E36" s="44">
        <v>0.15</v>
      </c>
      <c r="F36" s="44">
        <v>0.15</v>
      </c>
      <c r="G36" s="44">
        <v>0.15</v>
      </c>
      <c r="H36" s="44">
        <v>0.15</v>
      </c>
      <c r="I36" s="2" t="s">
        <v>15</v>
      </c>
      <c r="J36" s="2"/>
      <c r="R36" s="7"/>
    </row>
    <row r="37" spans="4:18" ht="20" customHeight="1" x14ac:dyDescent="0.25">
      <c r="D37" s="116" t="str">
        <f>"Were solids separated from " &amp; $D$36 &amp; "?"</f>
        <v>Were solids separated from Anaerobic lagoon?</v>
      </c>
      <c r="E37" s="38" t="s">
        <v>140</v>
      </c>
      <c r="R37" s="7"/>
    </row>
    <row r="38" spans="4:18" ht="20" customHeight="1" x14ac:dyDescent="0.25">
      <c r="D38" s="116" t="str">
        <f>"Percent solids separated from " &amp; D36 &amp; " (Method 1)"</f>
        <v>Percent solids separated from Anaerobic lagoon (Method 1)</v>
      </c>
      <c r="E38" s="90">
        <v>0.2</v>
      </c>
      <c r="R38" s="7"/>
    </row>
    <row r="39" spans="4:18" ht="20" customHeight="1" x14ac:dyDescent="0.25">
      <c r="D39" s="116" t="str">
        <f>"Percent solids separated from " &amp; D36 &amp; " (Method 2)"</f>
        <v>Percent solids separated from Anaerobic lagoon (Method 2)</v>
      </c>
      <c r="E39" s="44">
        <v>0.2</v>
      </c>
      <c r="R39" s="7"/>
    </row>
    <row r="40" spans="4:18" ht="20" customHeight="1" x14ac:dyDescent="0.25">
      <c r="R40" s="7"/>
    </row>
    <row r="41" spans="4:18" ht="20" customHeight="1" x14ac:dyDescent="0.25">
      <c r="D41" s="51" t="str">
        <f>'Constants - Swine'!$G$42</f>
        <v>Drylot (feed pad)</v>
      </c>
      <c r="E41" s="44">
        <v>0.15</v>
      </c>
      <c r="F41" s="44">
        <v>0.15</v>
      </c>
      <c r="G41" s="44">
        <v>0.15</v>
      </c>
      <c r="H41" s="44">
        <v>0.15</v>
      </c>
      <c r="I41" s="2" t="s">
        <v>15</v>
      </c>
      <c r="J41" s="2"/>
      <c r="R41" s="7"/>
    </row>
    <row r="42" spans="4:18" ht="20" customHeight="1" x14ac:dyDescent="0.25">
      <c r="D42" s="116" t="str">
        <f>"Were solids separated from " &amp; $D$41 &amp; "?"</f>
        <v>Were solids separated from Drylot (feed pad)?</v>
      </c>
      <c r="E42" s="38" t="s">
        <v>140</v>
      </c>
      <c r="R42" s="7"/>
    </row>
    <row r="43" spans="4:18" ht="20" customHeight="1" x14ac:dyDescent="0.25">
      <c r="D43" s="116" t="str">
        <f>"Percent solids separated from " &amp; D41 &amp; " (Method 1)"</f>
        <v>Percent solids separated from Drylot (feed pad) (Method 1)</v>
      </c>
      <c r="E43" s="90">
        <v>0.2</v>
      </c>
      <c r="R43" s="7"/>
    </row>
    <row r="44" spans="4:18" ht="20" customHeight="1" x14ac:dyDescent="0.25">
      <c r="D44" s="116" t="str">
        <f>"Percent solids separated from " &amp; D41 &amp; " (Method 2)"</f>
        <v>Percent solids separated from Drylot (feed pad) (Method 2)</v>
      </c>
      <c r="E44" s="44">
        <v>0.2</v>
      </c>
      <c r="R44" s="7"/>
    </row>
    <row r="45" spans="4:18" ht="20" customHeight="1" x14ac:dyDescent="0.25">
      <c r="R45" s="7"/>
    </row>
    <row r="46" spans="4:18" ht="20" customHeight="1" x14ac:dyDescent="0.25">
      <c r="R46" s="7"/>
    </row>
    <row r="47" spans="4:18" ht="20" customHeight="1" x14ac:dyDescent="0.25">
      <c r="D47" s="51" t="str">
        <f>'Constants - Swine'!$G$43</f>
        <v>Digester / covered lagoons</v>
      </c>
      <c r="E47" s="44">
        <v>0.15</v>
      </c>
      <c r="F47" s="44">
        <v>0.15</v>
      </c>
      <c r="G47" s="44">
        <v>0.15</v>
      </c>
      <c r="H47" s="44">
        <v>0.15</v>
      </c>
      <c r="I47" s="2" t="s">
        <v>15</v>
      </c>
      <c r="J47" s="2"/>
      <c r="R47" s="7"/>
    </row>
    <row r="48" spans="4:18" ht="20" customHeight="1" x14ac:dyDescent="0.25">
      <c r="D48" s="116" t="str">
        <f>"Were solids separated from " &amp; $D$47 &amp; "?"</f>
        <v>Were solids separated from Digester / covered lagoons?</v>
      </c>
      <c r="E48" s="38" t="s">
        <v>140</v>
      </c>
      <c r="R48" s="7"/>
    </row>
    <row r="49" spans="4:18" ht="20" customHeight="1" x14ac:dyDescent="0.25">
      <c r="D49" s="116" t="str">
        <f>"Percent solids separated from " &amp; D47 &amp; " (Method 1)"</f>
        <v>Percent solids separated from Digester / covered lagoons (Method 1)</v>
      </c>
      <c r="E49" s="90">
        <v>0.2</v>
      </c>
      <c r="R49" s="7"/>
    </row>
    <row r="50" spans="4:18" ht="20" customHeight="1" x14ac:dyDescent="0.25">
      <c r="D50" s="116" t="str">
        <f>"Percent solids separated from " &amp; D47 &amp; " (Method 2)"</f>
        <v>Percent solids separated from Digester / covered lagoons (Method 2)</v>
      </c>
      <c r="E50" s="44">
        <v>0.2</v>
      </c>
      <c r="R50" s="7"/>
    </row>
    <row r="51" spans="4:18" ht="20" customHeight="1" x14ac:dyDescent="0.25">
      <c r="R51" s="7"/>
    </row>
    <row r="52" spans="4:18" ht="20" customHeight="1" x14ac:dyDescent="0.25">
      <c r="R52" s="7"/>
    </row>
    <row r="53" spans="4:18" ht="20" customHeight="1" x14ac:dyDescent="0.25">
      <c r="D53" s="51" t="str">
        <f>'Constants - Swine'!$G$44</f>
        <v>Deep litter</v>
      </c>
      <c r="E53" s="44">
        <v>0.15</v>
      </c>
      <c r="F53" s="44">
        <v>0.15</v>
      </c>
      <c r="G53" s="44">
        <v>0.15</v>
      </c>
      <c r="H53" s="44">
        <v>0.15</v>
      </c>
      <c r="I53" s="2" t="s">
        <v>15</v>
      </c>
      <c r="J53" s="2"/>
      <c r="R53" s="7"/>
    </row>
    <row r="54" spans="4:18" ht="20" customHeight="1" x14ac:dyDescent="0.25">
      <c r="D54" s="116" t="str">
        <f>"Were solids separated from " &amp; $D$53 &amp; "?"</f>
        <v>Were solids separated from Deep litter?</v>
      </c>
      <c r="E54" s="38" t="s">
        <v>140</v>
      </c>
      <c r="R54" s="7"/>
    </row>
    <row r="55" spans="4:18" ht="20" customHeight="1" x14ac:dyDescent="0.25">
      <c r="D55" s="116" t="str">
        <f>"Percent solids separated from " &amp; D53 &amp; " (Method 1)"</f>
        <v>Percent solids separated from Deep litter (Method 1)</v>
      </c>
      <c r="E55" s="90">
        <v>0.2</v>
      </c>
      <c r="R55" s="7"/>
    </row>
    <row r="56" spans="4:18" ht="20" customHeight="1" x14ac:dyDescent="0.25">
      <c r="D56" s="116" t="str">
        <f>"Percent solids separated from " &amp; D53 &amp; " (Method 2)"</f>
        <v>Percent solids separated from Deep litter (Method 2)</v>
      </c>
      <c r="E56" s="44">
        <v>0.2</v>
      </c>
      <c r="R56" s="7"/>
    </row>
    <row r="57" spans="4:18" ht="20" customHeight="1" x14ac:dyDescent="0.25">
      <c r="R57" s="7"/>
    </row>
    <row r="58" spans="4:18" ht="20" customHeight="1" x14ac:dyDescent="0.25">
      <c r="R58" s="7"/>
    </row>
    <row r="59" spans="4:18" ht="20" customHeight="1" x14ac:dyDescent="0.25">
      <c r="D59" s="51" t="str">
        <f>'Constants - Swine'!$G$45</f>
        <v>Pit storage</v>
      </c>
      <c r="E59" s="44">
        <v>0.15</v>
      </c>
      <c r="F59" s="44">
        <v>0.15</v>
      </c>
      <c r="G59" s="44">
        <v>0.15</v>
      </c>
      <c r="H59" s="44">
        <v>0.15</v>
      </c>
      <c r="I59" s="2" t="s">
        <v>15</v>
      </c>
      <c r="J59" s="2"/>
      <c r="R59" s="7"/>
    </row>
    <row r="60" spans="4:18" ht="20" customHeight="1" x14ac:dyDescent="0.25">
      <c r="D60" s="116" t="str">
        <f>"Were solids separated from " &amp; $D$59 &amp; "?"</f>
        <v>Were solids separated from Pit storage?</v>
      </c>
      <c r="E60" s="38" t="s">
        <v>140</v>
      </c>
      <c r="R60" s="7"/>
    </row>
    <row r="61" spans="4:18" ht="20" customHeight="1" x14ac:dyDescent="0.25">
      <c r="D61" s="116" t="str">
        <f>"Percent solids separated from " &amp; D59 &amp; " (Method 1)"</f>
        <v>Percent solids separated from Pit storage (Method 1)</v>
      </c>
      <c r="E61" s="90">
        <v>0.2</v>
      </c>
      <c r="R61" s="7"/>
    </row>
    <row r="62" spans="4:18" ht="20" customHeight="1" x14ac:dyDescent="0.25">
      <c r="D62" s="116" t="str">
        <f>"Percent solids separated from " &amp; D59 &amp; " (Method 2)"</f>
        <v>Percent solids separated from Pit storage (Method 2)</v>
      </c>
      <c r="E62" s="44">
        <v>0.2</v>
      </c>
      <c r="R62" s="7"/>
    </row>
    <row r="63" spans="4:18" ht="20" customHeight="1" x14ac:dyDescent="0.25">
      <c r="R63" s="7"/>
    </row>
    <row r="64" spans="4:18" ht="20" customHeight="1" x14ac:dyDescent="0.25">
      <c r="D64" s="51" t="str">
        <f>'Constants - Swine'!$D$42 &amp; " (before solid separation)"</f>
        <v>Solid storage (before solid separation)</v>
      </c>
      <c r="E64" s="44">
        <v>0.25</v>
      </c>
      <c r="F64" s="44">
        <v>0.25</v>
      </c>
      <c r="G64" s="44">
        <v>0.25</v>
      </c>
      <c r="H64" s="44">
        <v>0.25</v>
      </c>
      <c r="I64" s="2" t="s">
        <v>15</v>
      </c>
      <c r="J64" s="2"/>
      <c r="R64" s="7"/>
    </row>
    <row r="65" spans="4:18" ht="20" customHeight="1" x14ac:dyDescent="0.25">
      <c r="D65" s="1" t="s">
        <v>357</v>
      </c>
      <c r="E65" s="90">
        <f>E64+(E36*X_Cell_Swine_Stage1MMS_AnaerobicLagoon_AmountSeparated_Method1)+(E41*X_Cell_Swine_Stage1MMS_Drylot_AmountSeparated_Method1)+(E47*X_Cell_Swine_Stage1MMS_DigesterCoveredLagoons_AmountSeparated_Method1)+(E53*X_Cell_Swine_Stage1MMS_DeepLitter_AmountSeparated_Method1)+(E59*X_Cell_Swine_Stage1MMS_PitStorage_AmountSeparated_Method1)</f>
        <v>0.40000000000000013</v>
      </c>
      <c r="F65" s="90">
        <f>F64+(F36*X_Cell_Swine_Stage1MMS_AnaerobicLagoon_AmountSeparated_Method1)+(F41*X_Cell_Swine_Stage1MMS_Drylot_AmountSeparated_Method1)+(F47*X_Cell_Swine_Stage1MMS_DigesterCoveredLagoons_AmountSeparated_Method1)+(F53*X_Cell_Swine_Stage1MMS_DeepLitter_AmountSeparated_Method1)+(F59*X_Cell_Swine_Stage1MMS_PitStorage_AmountSeparated_Method1)</f>
        <v>0.40000000000000013</v>
      </c>
      <c r="G65" s="90">
        <f>G64+(G36*X_Cell_Swine_Stage1MMS_AnaerobicLagoon_AmountSeparated_Method1)+(G41*X_Cell_Swine_Stage1MMS_Drylot_AmountSeparated_Method1)+(G47*X_Cell_Swine_Stage1MMS_DigesterCoveredLagoons_AmountSeparated_Method1)+(G53*X_Cell_Swine_Stage1MMS_DeepLitter_AmountSeparated_Method1)+(G59*X_Cell_Swine_Stage1MMS_PitStorage_AmountSeparated_Method1)</f>
        <v>0.40000000000000013</v>
      </c>
      <c r="H65" s="90">
        <f>H64+(H36*X_Cell_Swine_Stage1MMS_AnaerobicLagoon_AmountSeparated_Method1)+(H41*X_Cell_Swine_Stage1MMS_Drylot_AmountSeparated_Method1)+(H47*X_Cell_Swine_Stage1MMS_DigesterCoveredLagoons_AmountSeparated_Method1)+(H53*X_Cell_Swine_Stage1MMS_DeepLitter_AmountSeparated_Method1)+(H59*X_Cell_Swine_Stage1MMS_PitStorage_AmountSeparated_Method1)</f>
        <v>0.40000000000000013</v>
      </c>
      <c r="R65" s="7"/>
    </row>
    <row r="66" spans="4:18" ht="20" customHeight="1" x14ac:dyDescent="0.25">
      <c r="D66" s="1" t="s">
        <v>358</v>
      </c>
      <c r="E66" s="90">
        <f>E64+(E36*X_Cell_Swine_Stage1MMS_AnaerobicLagoon_AmountSeparated_Method2)+(E41*X_Cell_Swine_Stage1MMS_Drylot_AmountSeparated_Method2)+(E47*X_Cell_Swine_Stage1MMS_DigesterCoveredLagoons_AmountSeparated_Method2)+(E53*X_Cell_Swine_Stage1MMS_DeepLitter_AmountSeparated_Method2)+(E59*X_Cell_Swine_Stage1MMS_PitStorage_AmountSeparated_Method2)</f>
        <v>0.40000000000000013</v>
      </c>
      <c r="F66" s="90">
        <f>F64+(F36*X_Cell_Swine_Stage1MMS_AnaerobicLagoon_AmountSeparated_Method2)+(F41*X_Cell_Swine_Stage1MMS_Drylot_AmountSeparated_Method2)+(F47*X_Cell_Swine_Stage1MMS_DigesterCoveredLagoons_AmountSeparated_Method2)+(F53*X_Cell_Swine_Stage1MMS_DeepLitter_AmountSeparated_Method2)+(F59*X_Cell_Swine_Stage1MMS_PitStorage_AmountSeparated_Method2)</f>
        <v>0.40000000000000013</v>
      </c>
      <c r="G66" s="90">
        <f>G64+(G36*X_Cell_Swine_Stage1MMS_AnaerobicLagoon_AmountSeparated_Method2)+(G41*X_Cell_Swine_Stage1MMS_Drylot_AmountSeparated_Method2)+(G47*X_Cell_Swine_Stage1MMS_DigesterCoveredLagoons_AmountSeparated_Method2)+(G53*X_Cell_Swine_Stage1MMS_DeepLitter_AmountSeparated_Method2)+(G59*X_Cell_Swine_Stage1MMS_PitStorage_AmountSeparated_Method2)</f>
        <v>0.40000000000000013</v>
      </c>
      <c r="H66" s="90">
        <f>H64+(H36*X_Cell_Swine_Stage1MMS_AnaerobicLagoon_AmountSeparated_Method2)+(H41*X_Cell_Swine_Stage1MMS_Drylot_AmountSeparated_Method2)+(H47*X_Cell_Swine_Stage1MMS_DigesterCoveredLagoons_AmountSeparated_Method2)+(H53*X_Cell_Swine_Stage1MMS_DeepLitter_AmountSeparated_Method2)+(H59*X_Cell_Swine_Stage1MMS_PitStorage_AmountSeparated_Method2)</f>
        <v>0.40000000000000013</v>
      </c>
    </row>
    <row r="67" spans="4:18" ht="20" customHeight="1" x14ac:dyDescent="0.25"/>
    <row r="68" spans="4:18" ht="20" customHeight="1" x14ac:dyDescent="0.25">
      <c r="D68" s="1" t="s">
        <v>172</v>
      </c>
      <c r="E68" s="90">
        <f>SUM(E36,E41,E47,E53,E59,E64)</f>
        <v>1</v>
      </c>
      <c r="F68" s="90">
        <f>SUM(F36,F41,F47,F53,F59,F64)</f>
        <v>1</v>
      </c>
      <c r="G68" s="90">
        <f>SUM(G36,G41,G47,G53,G59,G64)</f>
        <v>1</v>
      </c>
      <c r="H68" s="90">
        <f>SUM(H36,H41,H47,H53,H59,H64)</f>
        <v>1</v>
      </c>
    </row>
    <row r="69" spans="4:18" ht="20" customHeight="1" x14ac:dyDescent="0.25"/>
    <row r="70" spans="4:18" ht="20" customHeight="1" x14ac:dyDescent="0.25">
      <c r="D70" s="122" t="s">
        <v>178</v>
      </c>
      <c r="R70" s="7"/>
    </row>
    <row r="71" spans="4:18" ht="20" customHeight="1" x14ac:dyDescent="0.25">
      <c r="D71" s="119" t="s">
        <v>173</v>
      </c>
      <c r="E71" s="120" t="s">
        <v>134</v>
      </c>
      <c r="F71" s="120" t="s">
        <v>135</v>
      </c>
      <c r="G71" s="120" t="s">
        <v>136</v>
      </c>
      <c r="H71" s="120" t="s">
        <v>192</v>
      </c>
      <c r="I71" s="123" t="s">
        <v>179</v>
      </c>
      <c r="J71" s="123"/>
      <c r="K71" s="61" t="s">
        <v>174</v>
      </c>
      <c r="L71" s="61"/>
      <c r="M71" s="111"/>
      <c r="R71" s="7"/>
    </row>
    <row r="72" spans="4:18" ht="20" customHeight="1" x14ac:dyDescent="0.25">
      <c r="D72" s="117" t="str">
        <f>"From stage 1: " &amp; $D$36</f>
        <v>From stage 1: Anaerobic lagoon</v>
      </c>
      <c r="E72" s="99" t="str">
        <f>IF(SUM(E36:H36)&gt;0,"Manure was sent to this MMS, please complete this section.","NO manure was sent to this MMS. Leave this section blank.")</f>
        <v>Manure was sent to this MMS, please complete this section.</v>
      </c>
      <c r="K72" s="121" t="s">
        <v>175</v>
      </c>
      <c r="L72" s="121" t="s">
        <v>176</v>
      </c>
      <c r="M72" s="121" t="s">
        <v>177</v>
      </c>
      <c r="R72" s="7"/>
    </row>
    <row r="73" spans="4:18" ht="20" customHeight="1" x14ac:dyDescent="0.25">
      <c r="D73" s="118" t="str">
        <f>$D$47</f>
        <v>Digester / covered lagoons</v>
      </c>
      <c r="E73" s="44">
        <v>0.2</v>
      </c>
      <c r="F73" s="44">
        <v>0.25</v>
      </c>
      <c r="G73" s="44">
        <v>0.25</v>
      </c>
      <c r="H73" s="44">
        <v>0.25</v>
      </c>
      <c r="I73" s="2" t="s">
        <v>15</v>
      </c>
      <c r="J73" s="2"/>
      <c r="K73" s="44">
        <v>0.25</v>
      </c>
      <c r="L73" s="44">
        <v>0.25</v>
      </c>
      <c r="M73" s="90">
        <f t="shared" ref="M73:M75" si="0">1-SUM(K73:L73)</f>
        <v>0.5</v>
      </c>
      <c r="R73" s="7"/>
    </row>
    <row r="74" spans="4:18" ht="20" customHeight="1" x14ac:dyDescent="0.25">
      <c r="D74" s="118" t="str">
        <f>$D$53</f>
        <v>Deep litter</v>
      </c>
      <c r="E74" s="44">
        <v>0.2</v>
      </c>
      <c r="F74" s="44">
        <v>0.25</v>
      </c>
      <c r="G74" s="44">
        <v>0.25</v>
      </c>
      <c r="H74" s="44">
        <v>0.25</v>
      </c>
      <c r="I74" s="2" t="s">
        <v>15</v>
      </c>
      <c r="J74" s="2"/>
      <c r="K74" s="44">
        <v>0.25</v>
      </c>
      <c r="L74" s="44">
        <v>0.25</v>
      </c>
      <c r="M74" s="90">
        <f t="shared" si="0"/>
        <v>0.5</v>
      </c>
    </row>
    <row r="75" spans="4:18" ht="20" customHeight="1" x14ac:dyDescent="0.25">
      <c r="D75" s="118" t="str">
        <f>$D$59</f>
        <v>Pit storage</v>
      </c>
      <c r="E75" s="44">
        <v>0.2</v>
      </c>
      <c r="F75" s="44">
        <v>0.25</v>
      </c>
      <c r="G75" s="44">
        <v>0.25</v>
      </c>
      <c r="H75" s="44">
        <v>0.25</v>
      </c>
      <c r="I75" s="2" t="s">
        <v>15</v>
      </c>
      <c r="J75" s="2"/>
      <c r="K75" s="44">
        <v>0.25</v>
      </c>
      <c r="L75" s="44">
        <v>0.25</v>
      </c>
      <c r="M75" s="90">
        <f t="shared" si="0"/>
        <v>0.5</v>
      </c>
    </row>
    <row r="76" spans="4:18" ht="20" customHeight="1" x14ac:dyDescent="0.25">
      <c r="D76" s="118" t="str">
        <f>'Constants - Swine'!$D$47</f>
        <v>Direct application</v>
      </c>
      <c r="E76" s="90">
        <f>1-SUM(E73:E75)</f>
        <v>0.39999999999999991</v>
      </c>
      <c r="F76" s="90">
        <f>1-SUM(F73:F75)</f>
        <v>0.25</v>
      </c>
      <c r="G76" s="90">
        <f>1-SUM(G73:G75)</f>
        <v>0.25</v>
      </c>
      <c r="H76" s="90">
        <f>1-SUM(H73:H75)</f>
        <v>0.25</v>
      </c>
      <c r="I76" s="2" t="s">
        <v>15</v>
      </c>
      <c r="J76" s="2"/>
      <c r="K76" s="90">
        <v>0</v>
      </c>
      <c r="L76" s="90">
        <v>0</v>
      </c>
      <c r="M76" s="90">
        <f>1-SUM(K76:L76)</f>
        <v>1</v>
      </c>
    </row>
    <row r="77" spans="4:18" ht="20" customHeight="1" x14ac:dyDescent="0.25"/>
    <row r="78" spans="4:18" ht="20" customHeight="1" x14ac:dyDescent="0.25">
      <c r="D78" s="118"/>
      <c r="F78" s="2"/>
      <c r="R78" s="7"/>
    </row>
    <row r="79" spans="4:18" ht="20" customHeight="1" x14ac:dyDescent="0.25">
      <c r="D79" s="117" t="str">
        <f>"From stage 1: " &amp; $D$41</f>
        <v>From stage 1: Drylot (feed pad)</v>
      </c>
      <c r="E79" s="99" t="str">
        <f>IF(SUM(E41:H41)&gt;0,"Manure was sent to this MMS, please complete this section.","NO manure was sent to this MMS. Leave this section blank.")</f>
        <v>Manure was sent to this MMS, please complete this section.</v>
      </c>
      <c r="K79" s="121" t="s">
        <v>175</v>
      </c>
      <c r="L79" s="121" t="s">
        <v>176</v>
      </c>
      <c r="M79" s="121" t="s">
        <v>177</v>
      </c>
      <c r="R79" s="7"/>
    </row>
    <row r="80" spans="4:18" ht="20" customHeight="1" x14ac:dyDescent="0.25">
      <c r="D80" s="118" t="s">
        <v>338</v>
      </c>
      <c r="E80" s="44">
        <v>0.2</v>
      </c>
      <c r="F80" s="44">
        <v>0.25</v>
      </c>
      <c r="G80" s="44">
        <v>0.25</v>
      </c>
      <c r="H80" s="44">
        <v>0.25</v>
      </c>
      <c r="I80" s="2" t="s">
        <v>15</v>
      </c>
      <c r="J80" s="2"/>
      <c r="K80" s="44">
        <v>0.25</v>
      </c>
      <c r="L80" s="44">
        <v>0.25</v>
      </c>
      <c r="M80" s="90">
        <f>1-SUM(K80:L80)</f>
        <v>0.5</v>
      </c>
      <c r="R80" s="7"/>
    </row>
    <row r="81" spans="4:18" ht="20" customHeight="1" x14ac:dyDescent="0.25">
      <c r="D81" s="118" t="s">
        <v>339</v>
      </c>
      <c r="E81" s="44">
        <v>0.2</v>
      </c>
      <c r="F81" s="44">
        <v>0.25</v>
      </c>
      <c r="G81" s="44">
        <v>0.25</v>
      </c>
      <c r="H81" s="44">
        <v>0.25</v>
      </c>
      <c r="I81" s="2" t="s">
        <v>15</v>
      </c>
      <c r="J81" s="2"/>
      <c r="K81" s="44">
        <v>0.25</v>
      </c>
      <c r="L81" s="44">
        <v>0.25</v>
      </c>
      <c r="M81" s="90">
        <f t="shared" ref="M81:M83" si="1">1-SUM(K81:L81)</f>
        <v>0.5</v>
      </c>
      <c r="R81" s="7"/>
    </row>
    <row r="82" spans="4:18" ht="20" customHeight="1" x14ac:dyDescent="0.25">
      <c r="D82" s="118" t="s">
        <v>345</v>
      </c>
      <c r="E82" s="44">
        <v>0.2</v>
      </c>
      <c r="F82" s="44">
        <v>0.25</v>
      </c>
      <c r="G82" s="44">
        <v>0.25</v>
      </c>
      <c r="H82" s="44">
        <v>0.25</v>
      </c>
      <c r="I82" s="2" t="s">
        <v>15</v>
      </c>
      <c r="J82" s="2"/>
      <c r="K82" s="44">
        <v>0.25</v>
      </c>
      <c r="L82" s="44">
        <v>0.25</v>
      </c>
      <c r="M82" s="90">
        <f t="shared" si="1"/>
        <v>0.5</v>
      </c>
    </row>
    <row r="83" spans="4:18" ht="20" customHeight="1" x14ac:dyDescent="0.25">
      <c r="D83" s="118" t="s">
        <v>344</v>
      </c>
      <c r="E83" s="44">
        <v>0.2</v>
      </c>
      <c r="F83" s="44">
        <v>0.25</v>
      </c>
      <c r="G83" s="44">
        <v>0.25</v>
      </c>
      <c r="H83" s="44">
        <v>0.25</v>
      </c>
      <c r="I83" s="2" t="s">
        <v>15</v>
      </c>
      <c r="J83" s="2"/>
      <c r="K83" s="44">
        <v>0.25</v>
      </c>
      <c r="L83" s="44">
        <v>0.25</v>
      </c>
      <c r="M83" s="90">
        <f t="shared" si="1"/>
        <v>0.5</v>
      </c>
    </row>
    <row r="84" spans="4:18" ht="20" customHeight="1" x14ac:dyDescent="0.25">
      <c r="D84" s="118" t="s">
        <v>349</v>
      </c>
      <c r="E84" s="90">
        <f>1-SUM(E80:E83)</f>
        <v>0.19999999999999996</v>
      </c>
      <c r="F84" s="90">
        <f t="shared" ref="F84:H84" si="2">1-SUM(F80:F83)</f>
        <v>0</v>
      </c>
      <c r="G84" s="90">
        <f t="shared" si="2"/>
        <v>0</v>
      </c>
      <c r="H84" s="90">
        <f t="shared" si="2"/>
        <v>0</v>
      </c>
      <c r="K84" s="90">
        <v>0</v>
      </c>
      <c r="L84" s="90">
        <v>0</v>
      </c>
      <c r="M84" s="90">
        <f>1-SUM(K84:L84)</f>
        <v>1</v>
      </c>
    </row>
    <row r="85" spans="4:18" ht="20" customHeight="1" x14ac:dyDescent="0.25">
      <c r="R85" s="7"/>
    </row>
    <row r="86" spans="4:18" ht="20" customHeight="1" x14ac:dyDescent="0.25">
      <c r="R86" s="7"/>
    </row>
    <row r="87" spans="4:18" ht="20" customHeight="1" x14ac:dyDescent="0.25">
      <c r="D87" s="117" t="str">
        <f>"From stage 1: " &amp; $D$47</f>
        <v>From stage 1: Digester / covered lagoons</v>
      </c>
      <c r="E87" s="99" t="str">
        <f>IF(SUM(E47:H47)&gt;0,"Manure was sent to this MMS, please complete this section.","NO manure was sent to this MMS. Leave this section blank.")</f>
        <v>Manure was sent to this MMS, please complete this section.</v>
      </c>
      <c r="K87" s="121" t="s">
        <v>175</v>
      </c>
      <c r="L87" s="121" t="s">
        <v>176</v>
      </c>
      <c r="M87" s="121" t="s">
        <v>177</v>
      </c>
      <c r="R87" s="7"/>
    </row>
    <row r="88" spans="4:18" ht="20" customHeight="1" x14ac:dyDescent="0.25">
      <c r="D88" s="118" t="s">
        <v>338</v>
      </c>
      <c r="E88" s="44">
        <v>0.2</v>
      </c>
      <c r="F88" s="44">
        <v>0.25</v>
      </c>
      <c r="G88" s="44">
        <v>0.25</v>
      </c>
      <c r="H88" s="44">
        <v>0.25</v>
      </c>
      <c r="I88" s="2" t="s">
        <v>15</v>
      </c>
      <c r="J88" s="2"/>
      <c r="K88" s="44">
        <v>0.25</v>
      </c>
      <c r="L88" s="44">
        <v>0.25</v>
      </c>
      <c r="M88" s="90">
        <f>1-SUM(K88:L88)</f>
        <v>0.5</v>
      </c>
      <c r="R88" s="7"/>
    </row>
    <row r="89" spans="4:18" ht="20" customHeight="1" x14ac:dyDescent="0.25">
      <c r="D89" s="118" t="s">
        <v>345</v>
      </c>
      <c r="E89" s="44">
        <v>0.2</v>
      </c>
      <c r="F89" s="44">
        <v>0.25</v>
      </c>
      <c r="G89" s="44">
        <v>0.25</v>
      </c>
      <c r="H89" s="44">
        <v>0.25</v>
      </c>
      <c r="I89" s="2" t="s">
        <v>15</v>
      </c>
      <c r="J89" s="2"/>
      <c r="K89" s="44">
        <v>0.25</v>
      </c>
      <c r="L89" s="44">
        <v>0.25</v>
      </c>
      <c r="M89" s="90">
        <f>1-SUM(K89:L89)</f>
        <v>0.5</v>
      </c>
    </row>
    <row r="90" spans="4:18" ht="20" customHeight="1" x14ac:dyDescent="0.25">
      <c r="D90" s="118" t="s">
        <v>344</v>
      </c>
      <c r="E90" s="44">
        <v>0.2</v>
      </c>
      <c r="F90" s="44">
        <v>0.25</v>
      </c>
      <c r="G90" s="44">
        <v>0.25</v>
      </c>
      <c r="H90" s="44">
        <v>0.25</v>
      </c>
      <c r="I90" s="2" t="s">
        <v>15</v>
      </c>
      <c r="J90" s="2"/>
      <c r="K90" s="44">
        <v>0.25</v>
      </c>
      <c r="L90" s="44">
        <v>0.25</v>
      </c>
      <c r="M90" s="90">
        <f>1-SUM(K90:L90)</f>
        <v>0.5</v>
      </c>
    </row>
    <row r="91" spans="4:18" ht="20" customHeight="1" x14ac:dyDescent="0.25">
      <c r="D91" s="118" t="s">
        <v>349</v>
      </c>
      <c r="E91" s="90">
        <f>1-SUM(E88:E90)</f>
        <v>0.39999999999999991</v>
      </c>
      <c r="F91" s="90">
        <f>1-SUM(F88:F90)</f>
        <v>0.25</v>
      </c>
      <c r="G91" s="90">
        <f>1-SUM(G88:G90)</f>
        <v>0.25</v>
      </c>
      <c r="H91" s="90">
        <f>1-SUM(H88:H90)</f>
        <v>0.25</v>
      </c>
      <c r="I91" s="2" t="s">
        <v>15</v>
      </c>
      <c r="J91" s="2"/>
      <c r="K91" s="90">
        <v>0</v>
      </c>
      <c r="L91" s="90">
        <v>0</v>
      </c>
      <c r="M91" s="90">
        <f>1-SUM(K91:L91)</f>
        <v>1</v>
      </c>
    </row>
    <row r="92" spans="4:18" ht="20" customHeight="1" x14ac:dyDescent="0.25">
      <c r="R92" s="7"/>
    </row>
    <row r="93" spans="4:18" ht="20" customHeight="1" x14ac:dyDescent="0.25">
      <c r="D93" s="116"/>
      <c r="R93" s="7"/>
    </row>
    <row r="94" spans="4:18" ht="20" customHeight="1" x14ac:dyDescent="0.25">
      <c r="D94" s="117" t="str">
        <f>"From stage 1: " &amp; $D$53</f>
        <v>From stage 1: Deep litter</v>
      </c>
      <c r="E94" s="99" t="str">
        <f>IF(SUM(E53:H53)&gt;0,"Manure was sent to this MMS, please complete this section.","NO manure was sent to this MMS. Leave this section blank.")</f>
        <v>Manure was sent to this MMS, please complete this section.</v>
      </c>
      <c r="K94" s="121" t="s">
        <v>175</v>
      </c>
      <c r="L94" s="121" t="s">
        <v>176</v>
      </c>
      <c r="M94" s="121" t="s">
        <v>177</v>
      </c>
      <c r="R94" s="7"/>
    </row>
    <row r="95" spans="4:18" ht="20" customHeight="1" x14ac:dyDescent="0.25">
      <c r="D95" s="118" t="s">
        <v>338</v>
      </c>
      <c r="E95" s="44">
        <v>0.2</v>
      </c>
      <c r="F95" s="44">
        <v>0.25</v>
      </c>
      <c r="G95" s="44">
        <v>0.25</v>
      </c>
      <c r="H95" s="44">
        <v>0.25</v>
      </c>
      <c r="I95" s="2" t="s">
        <v>15</v>
      </c>
      <c r="J95" s="2"/>
      <c r="K95" s="44">
        <v>0.25</v>
      </c>
      <c r="L95" s="44">
        <v>0.25</v>
      </c>
      <c r="M95" s="90">
        <f>1-SUM(K95:L95)</f>
        <v>0.5</v>
      </c>
      <c r="R95" s="7"/>
    </row>
    <row r="96" spans="4:18" ht="20" customHeight="1" x14ac:dyDescent="0.25">
      <c r="D96" s="118" t="s">
        <v>339</v>
      </c>
      <c r="E96" s="44">
        <v>0.2</v>
      </c>
      <c r="F96" s="44">
        <v>0.25</v>
      </c>
      <c r="G96" s="44">
        <v>0.25</v>
      </c>
      <c r="H96" s="44">
        <v>0.25</v>
      </c>
      <c r="I96" s="2" t="s">
        <v>15</v>
      </c>
      <c r="J96" s="2"/>
      <c r="K96" s="44">
        <v>0.25</v>
      </c>
      <c r="L96" s="44">
        <v>0.25</v>
      </c>
      <c r="M96" s="90">
        <f>1-SUM(K96:L96)</f>
        <v>0.5</v>
      </c>
    </row>
    <row r="97" spans="4:18" ht="20" customHeight="1" x14ac:dyDescent="0.25">
      <c r="D97" s="118" t="s">
        <v>344</v>
      </c>
      <c r="E97" s="44">
        <v>0.2</v>
      </c>
      <c r="F97" s="44">
        <v>0.25</v>
      </c>
      <c r="G97" s="44">
        <v>0.25</v>
      </c>
      <c r="H97" s="44">
        <v>0.25</v>
      </c>
      <c r="I97" s="2" t="s">
        <v>15</v>
      </c>
      <c r="J97" s="2"/>
      <c r="K97" s="44">
        <v>0.25</v>
      </c>
      <c r="L97" s="44">
        <v>0.25</v>
      </c>
      <c r="M97" s="90">
        <f>1-SUM(K97:L97)</f>
        <v>0.5</v>
      </c>
    </row>
    <row r="98" spans="4:18" ht="20" customHeight="1" x14ac:dyDescent="0.25">
      <c r="D98" s="118" t="s">
        <v>349</v>
      </c>
      <c r="E98" s="90">
        <f>1-SUM(E95:E97)</f>
        <v>0.39999999999999991</v>
      </c>
      <c r="F98" s="90">
        <f>1-SUM(F95:F97)</f>
        <v>0.25</v>
      </c>
      <c r="G98" s="90">
        <f>1-SUM(G95:G97)</f>
        <v>0.25</v>
      </c>
      <c r="H98" s="90">
        <f>1-SUM(H95:H97)</f>
        <v>0.25</v>
      </c>
      <c r="I98" s="2" t="s">
        <v>15</v>
      </c>
      <c r="J98" s="2"/>
      <c r="K98" s="90">
        <v>0</v>
      </c>
      <c r="L98" s="90">
        <v>0</v>
      </c>
      <c r="M98" s="90">
        <f>1-SUM(K98:L98)</f>
        <v>1</v>
      </c>
    </row>
    <row r="99" spans="4:18" ht="20" customHeight="1" x14ac:dyDescent="0.25">
      <c r="R99" s="7"/>
    </row>
    <row r="100" spans="4:18" ht="20" customHeight="1" x14ac:dyDescent="0.25">
      <c r="R100" s="7"/>
    </row>
    <row r="101" spans="4:18" ht="20" customHeight="1" x14ac:dyDescent="0.25">
      <c r="D101" s="117" t="str">
        <f>"From stage 1: " &amp; $D$59</f>
        <v>From stage 1: Pit storage</v>
      </c>
      <c r="E101" s="99" t="str">
        <f>IF(SUM(E59:H59)&gt;0,"Manure was sent to this MMS, please complete this section.","NO manure was sent to this MMS. Leave this section blank.")</f>
        <v>Manure was sent to this MMS, please complete this section.</v>
      </c>
      <c r="K101" s="121" t="s">
        <v>175</v>
      </c>
      <c r="L101" s="121" t="s">
        <v>176</v>
      </c>
      <c r="M101" s="121" t="s">
        <v>177</v>
      </c>
      <c r="R101" s="7"/>
    </row>
    <row r="102" spans="4:18" ht="20" customHeight="1" x14ac:dyDescent="0.25">
      <c r="D102" s="118" t="s">
        <v>338</v>
      </c>
      <c r="E102" s="44">
        <v>0.2</v>
      </c>
      <c r="F102" s="44">
        <v>0.25</v>
      </c>
      <c r="G102" s="44">
        <v>0.25</v>
      </c>
      <c r="H102" s="44">
        <v>0.25</v>
      </c>
      <c r="I102" s="2" t="s">
        <v>15</v>
      </c>
      <c r="J102" s="2"/>
      <c r="K102" s="44">
        <v>0.25</v>
      </c>
      <c r="L102" s="44">
        <v>0.25</v>
      </c>
      <c r="M102" s="90">
        <f>1-SUM(K102:L102)</f>
        <v>0.5</v>
      </c>
      <c r="R102" s="7"/>
    </row>
    <row r="103" spans="4:18" ht="20" customHeight="1" x14ac:dyDescent="0.25">
      <c r="D103" s="118" t="s">
        <v>339</v>
      </c>
      <c r="E103" s="44">
        <v>0.2</v>
      </c>
      <c r="F103" s="44">
        <v>0.25</v>
      </c>
      <c r="G103" s="44">
        <v>0.25</v>
      </c>
      <c r="H103" s="44">
        <v>0.25</v>
      </c>
      <c r="I103" s="2" t="s">
        <v>15</v>
      </c>
      <c r="J103" s="2"/>
      <c r="K103" s="44">
        <v>0.25</v>
      </c>
      <c r="L103" s="44">
        <v>0.25</v>
      </c>
      <c r="M103" s="90">
        <f>1-SUM(K103:L103)</f>
        <v>0.5</v>
      </c>
    </row>
    <row r="104" spans="4:18" ht="20" customHeight="1" x14ac:dyDescent="0.25">
      <c r="D104" s="118" t="s">
        <v>345</v>
      </c>
      <c r="E104" s="44">
        <v>0.2</v>
      </c>
      <c r="F104" s="44">
        <v>0.25</v>
      </c>
      <c r="G104" s="44">
        <v>0.25</v>
      </c>
      <c r="H104" s="44">
        <v>0.25</v>
      </c>
      <c r="I104" s="2" t="s">
        <v>15</v>
      </c>
      <c r="J104" s="2"/>
      <c r="K104" s="44">
        <v>0.25</v>
      </c>
      <c r="L104" s="44">
        <v>0.25</v>
      </c>
      <c r="M104" s="90">
        <f>1-SUM(K104:L104)</f>
        <v>0.5</v>
      </c>
      <c r="N104" s="3"/>
    </row>
    <row r="105" spans="4:18" ht="20" customHeight="1" x14ac:dyDescent="0.25">
      <c r="D105" s="118" t="s">
        <v>349</v>
      </c>
      <c r="E105" s="90">
        <f>1-SUM(E102:E104)</f>
        <v>0.39999999999999991</v>
      </c>
      <c r="F105" s="90">
        <f>1-SUM(F102:F104)</f>
        <v>0.25</v>
      </c>
      <c r="G105" s="90">
        <f>1-SUM(G102:G104)</f>
        <v>0.25</v>
      </c>
      <c r="H105" s="90">
        <f>1-SUM(H102:H104)</f>
        <v>0.25</v>
      </c>
      <c r="I105" s="2" t="s">
        <v>15</v>
      </c>
      <c r="J105" s="2"/>
      <c r="K105" s="90">
        <v>0</v>
      </c>
      <c r="L105" s="90">
        <v>0</v>
      </c>
      <c r="M105" s="90">
        <f>1-SUM(K105:L105)</f>
        <v>1</v>
      </c>
      <c r="N105" s="3"/>
    </row>
    <row r="106" spans="4:18" ht="20" customHeight="1" x14ac:dyDescent="0.25">
      <c r="N106" s="3"/>
    </row>
    <row r="107" spans="4:18" ht="20" customHeight="1" x14ac:dyDescent="0.25">
      <c r="N107" s="3"/>
    </row>
    <row r="108" spans="4:18" ht="20" customHeight="1" x14ac:dyDescent="0.25">
      <c r="D108" s="117" t="str">
        <f>"From stage 1: " &amp; SUBSTITUTE($D$64, " (before solid separation)", "")</f>
        <v>From stage 1: Solid storage</v>
      </c>
      <c r="E108" s="99" t="str">
        <f>IF(OR(SUM(E64:H64)&gt;0,COUNTIF(E36:E68,"Yes")&gt;0),"Manure was sent to this MMS, please complete this section.","NO manure was sent to this MMS. Leave this section blank.")</f>
        <v>Manure was sent to this MMS, please complete this section.</v>
      </c>
      <c r="K108" s="121" t="s">
        <v>175</v>
      </c>
      <c r="L108" s="121" t="s">
        <v>176</v>
      </c>
      <c r="M108" s="121" t="s">
        <v>177</v>
      </c>
      <c r="N108" s="3"/>
    </row>
    <row r="109" spans="4:18" ht="20" customHeight="1" x14ac:dyDescent="0.25">
      <c r="D109" s="118" t="s">
        <v>338</v>
      </c>
      <c r="E109" s="44">
        <v>0.2</v>
      </c>
      <c r="F109" s="44">
        <v>0.2</v>
      </c>
      <c r="G109" s="44">
        <v>0.2</v>
      </c>
      <c r="H109" s="44">
        <v>0.2</v>
      </c>
      <c r="I109" s="2" t="s">
        <v>15</v>
      </c>
      <c r="J109" s="2"/>
      <c r="K109" s="44">
        <v>0.25</v>
      </c>
      <c r="L109" s="44">
        <v>0.25</v>
      </c>
      <c r="M109" s="90">
        <f>1-SUM(K109:L109)</f>
        <v>0.5</v>
      </c>
      <c r="N109" s="3"/>
    </row>
    <row r="110" spans="4:18" ht="20" customHeight="1" x14ac:dyDescent="0.25">
      <c r="D110" s="118" t="s">
        <v>339</v>
      </c>
      <c r="E110" s="44">
        <v>0.2</v>
      </c>
      <c r="F110" s="44">
        <v>0.2</v>
      </c>
      <c r="G110" s="44">
        <v>0.2</v>
      </c>
      <c r="H110" s="44">
        <v>0.2</v>
      </c>
      <c r="I110" s="2" t="s">
        <v>15</v>
      </c>
      <c r="J110" s="2"/>
      <c r="K110" s="44">
        <v>0.25</v>
      </c>
      <c r="L110" s="44">
        <v>0.25</v>
      </c>
      <c r="M110" s="90">
        <f>1-SUM(K110:L110)</f>
        <v>0.5</v>
      </c>
      <c r="N110" s="3"/>
    </row>
    <row r="111" spans="4:18" ht="20" customHeight="1" x14ac:dyDescent="0.25">
      <c r="D111" s="118" t="s">
        <v>345</v>
      </c>
      <c r="E111" s="44">
        <v>0.2</v>
      </c>
      <c r="F111" s="44">
        <v>0.2</v>
      </c>
      <c r="G111" s="44">
        <v>0.2</v>
      </c>
      <c r="H111" s="44">
        <v>0.2</v>
      </c>
      <c r="I111" s="2" t="s">
        <v>15</v>
      </c>
      <c r="J111" s="2"/>
      <c r="K111" s="44">
        <v>0.25</v>
      </c>
      <c r="L111" s="44">
        <v>0.25</v>
      </c>
      <c r="M111" s="90">
        <f>1-SUM(K111:L111)</f>
        <v>0.5</v>
      </c>
      <c r="N111" s="3"/>
    </row>
    <row r="112" spans="4:18" ht="20" customHeight="1" x14ac:dyDescent="0.25">
      <c r="D112" s="118" t="s">
        <v>344</v>
      </c>
      <c r="E112" s="44">
        <v>0.1</v>
      </c>
      <c r="F112" s="44">
        <v>0.1</v>
      </c>
      <c r="G112" s="44">
        <v>0.1</v>
      </c>
      <c r="H112" s="44">
        <v>0.1</v>
      </c>
      <c r="I112" s="2" t="s">
        <v>15</v>
      </c>
      <c r="J112" s="2"/>
      <c r="K112" s="44">
        <v>0.25</v>
      </c>
      <c r="L112" s="44">
        <v>0.25</v>
      </c>
      <c r="M112" s="90">
        <f>1-SUM(K112:L112)</f>
        <v>0.5</v>
      </c>
      <c r="N112" s="3"/>
    </row>
    <row r="113" spans="4:14" ht="20" customHeight="1" x14ac:dyDescent="0.25">
      <c r="D113" s="118" t="s">
        <v>349</v>
      </c>
      <c r="E113" s="90">
        <f>1-SUM(E109:E112)</f>
        <v>0.29999999999999993</v>
      </c>
      <c r="F113" s="90">
        <f>1-SUM(F109:F112)</f>
        <v>0.29999999999999993</v>
      </c>
      <c r="G113" s="90">
        <f>1-SUM(G109:G112)</f>
        <v>0.29999999999999993</v>
      </c>
      <c r="H113" s="90">
        <f>1-SUM(H109:H112)</f>
        <v>0.29999999999999993</v>
      </c>
      <c r="I113" s="2" t="s">
        <v>15</v>
      </c>
      <c r="J113" s="2"/>
      <c r="K113" s="90">
        <v>0</v>
      </c>
      <c r="L113" s="90">
        <v>0</v>
      </c>
      <c r="M113" s="90">
        <f>1-SUM(K113:L113)</f>
        <v>1</v>
      </c>
      <c r="N113" s="3"/>
    </row>
    <row r="114" spans="4:14" ht="20" customHeight="1" x14ac:dyDescent="0.25">
      <c r="N114" s="3"/>
    </row>
    <row r="115" spans="4:14" ht="20" customHeight="1" x14ac:dyDescent="0.25">
      <c r="N115" s="3"/>
    </row>
    <row r="116" spans="4:14" ht="20" customHeight="1" x14ac:dyDescent="0.25">
      <c r="D116" s="1" t="s">
        <v>249</v>
      </c>
      <c r="E116" s="38" t="s">
        <v>129</v>
      </c>
      <c r="F116" s="2" t="s">
        <v>8</v>
      </c>
      <c r="N116" s="3"/>
    </row>
    <row r="117" spans="4:14" ht="20" customHeight="1" x14ac:dyDescent="0.25">
      <c r="D117" s="1" t="s">
        <v>101</v>
      </c>
      <c r="E117" s="38" t="s">
        <v>106</v>
      </c>
      <c r="F117" s="2" t="s">
        <v>8</v>
      </c>
      <c r="N117" s="3"/>
    </row>
    <row r="118" spans="4:14" ht="20" customHeight="1" x14ac:dyDescent="0.25">
      <c r="N118" s="3"/>
    </row>
    <row r="119" spans="4:14" ht="20" customHeight="1" x14ac:dyDescent="0.25"/>
    <row r="120" spans="4:14" ht="20" customHeight="1" x14ac:dyDescent="0.25"/>
    <row r="121" spans="4:14" ht="20" customHeight="1" x14ac:dyDescent="0.25"/>
    <row r="122" spans="4:14" ht="20" customHeight="1" x14ac:dyDescent="0.25"/>
    <row r="123" spans="4:14" ht="20" customHeight="1" x14ac:dyDescent="0.25">
      <c r="N123" s="3"/>
    </row>
    <row r="124" spans="4:14" ht="20" customHeight="1" x14ac:dyDescent="0.25">
      <c r="N124" s="3"/>
    </row>
    <row r="125" spans="4:14" ht="20" customHeight="1" x14ac:dyDescent="0.25">
      <c r="N125" s="3"/>
    </row>
    <row r="126" spans="4:14" ht="20" customHeight="1" x14ac:dyDescent="0.25">
      <c r="N126" s="3"/>
    </row>
    <row r="127" spans="4:14" ht="20" customHeight="1" x14ac:dyDescent="0.25">
      <c r="N127" s="3"/>
    </row>
    <row r="128" spans="4:14" ht="20" customHeight="1" x14ac:dyDescent="0.25">
      <c r="N128" s="3"/>
    </row>
    <row r="129" spans="14:14" ht="20" customHeight="1" x14ac:dyDescent="0.25">
      <c r="N129" s="3"/>
    </row>
    <row r="130" spans="14:14" ht="20" customHeight="1" x14ac:dyDescent="0.25"/>
    <row r="131" spans="14:14" ht="20" customHeight="1" x14ac:dyDescent="0.25"/>
    <row r="132" spans="14:14" ht="20" customHeight="1" x14ac:dyDescent="0.25"/>
    <row r="133" spans="14:14" ht="20" customHeight="1" x14ac:dyDescent="0.25"/>
    <row r="134" spans="14:14" ht="20" customHeight="1" x14ac:dyDescent="0.25"/>
    <row r="135" spans="14:14" ht="20" customHeight="1" x14ac:dyDescent="0.25"/>
    <row r="136" spans="14:14" ht="20" customHeight="1" x14ac:dyDescent="0.25"/>
    <row r="137" spans="14:14" ht="20" customHeight="1" x14ac:dyDescent="0.25"/>
    <row r="138" spans="14:14" ht="20" customHeight="1" x14ac:dyDescent="0.25"/>
    <row r="139" spans="14:14" ht="20" customHeight="1" x14ac:dyDescent="0.25"/>
    <row r="140" spans="14:14" ht="20" customHeight="1" x14ac:dyDescent="0.25"/>
    <row r="141" spans="14:14" ht="20" customHeight="1" x14ac:dyDescent="0.25"/>
    <row r="142" spans="14:14" ht="20" customHeight="1" x14ac:dyDescent="0.25"/>
    <row r="143" spans="14:14" ht="20" customHeight="1" x14ac:dyDescent="0.25"/>
    <row r="144" spans="14:1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206" spans="13:13" x14ac:dyDescent="0.25" ht="20" customHeight="1">
      <c r="M206" s="2"/>
    </row>
    <row r="207" spans="13:13" x14ac:dyDescent="0.25" ht="20" customHeight="1">
      <c r="M207" s="2"/>
    </row>
    <row r="208" spans="13:13" x14ac:dyDescent="0.25" ht="20" customHeight="1">
      <c r="M208" s="2"/>
    </row>
    <row r="209" spans="13:13" x14ac:dyDescent="0.25" ht="20" customHeight="1">
      <c r="M209" s="2"/>
    </row>
    <row r="210" spans="13:13" x14ac:dyDescent="0.25" ht="20" customHeight="1">
      <c r="M210" s="2"/>
    </row>
    <row r="212" spans="13:13" x14ac:dyDescent="0.25" ht="20" customHeight="1">
      <c r="M212" s="2"/>
    </row>
    <row r="214" spans="13:13" x14ac:dyDescent="0.25" ht="20" customHeight="1">
      <c r="M214" s="2"/>
    </row>
    <row r="215" spans="13:13" x14ac:dyDescent="0.25" ht="20" customHeight="1">
      <c r="M215" s="2"/>
    </row>
    <row r="216" spans="13:13" x14ac:dyDescent="0.25" ht="20" customHeight="1">
      <c r="M216" s="2"/>
    </row>
    <row r="217" spans="13:13" x14ac:dyDescent="0.25" ht="20" customHeight="1">
      <c r="M217" s="2"/>
    </row>
    <row r="219" spans="13:13" x14ac:dyDescent="0.25" ht="20" customHeight="1">
      <c r="M219" s="2"/>
    </row>
    <row r="227" spans="13:13" x14ac:dyDescent="0.25" ht="20" customHeight="1">
      <c r="M227" s="2"/>
    </row>
    <row r="228" spans="13:13" x14ac:dyDescent="0.25" ht="20" customHeight="1">
      <c r="M228" s="2"/>
    </row>
    <row r="229" spans="13:13" x14ac:dyDescent="0.25" ht="20" customHeight="1">
      <c r="M229" s="2"/>
    </row>
    <row r="232" spans="13:13" x14ac:dyDescent="0.25" ht="20" customHeight="1">
      <c r="M232" s="2"/>
    </row>
    <row r="233" spans="13:13" x14ac:dyDescent="0.25" ht="20" customHeight="1">
      <c r="M233" s="2"/>
    </row>
    <row r="234" spans="13:13" x14ac:dyDescent="0.25" ht="20" customHeight="1">
      <c r="M234" s="2"/>
    </row>
    <row r="237" spans="13:13" x14ac:dyDescent="0.25" ht="20" customHeight="1">
      <c r="M237" s="2"/>
    </row>
    <row r="238" spans="13:13" x14ac:dyDescent="0.25" ht="20" customHeight="1">
      <c r="M238" s="2"/>
    </row>
    <row r="239" spans="13:13" x14ac:dyDescent="0.25" ht="20" customHeight="1">
      <c r="M239" s="2"/>
    </row>
    <row r="242" spans="12:13" x14ac:dyDescent="0.25" ht="20" customHeight="1">
      <c r="M242" s="2"/>
    </row>
    <row r="243" spans="12:13" x14ac:dyDescent="0.25" ht="20" customHeight="1">
      <c r="L243" s="2"/>
      <c r="M243" s="2"/>
    </row>
    <row r="244" spans="12:13" x14ac:dyDescent="0.25" ht="20" customHeight="1">
      <c r="M244" s="2"/>
    </row>
    <row r="248" spans="12:13" x14ac:dyDescent="0.25" ht="20" customHeight="1">
      <c r="L248" s="2"/>
    </row>
    <row r="251" spans="12:13" x14ac:dyDescent="0.25" ht="20" customHeight="1">
      <c r="M251" s="2"/>
    </row>
    <row r="252" spans="12:13" x14ac:dyDescent="0.25" ht="20" customHeight="1">
      <c r="M252" s="2"/>
    </row>
    <row r="253" spans="12:13" x14ac:dyDescent="0.25" ht="20" customHeight="1">
      <c r="L253" s="2"/>
      <c r="M253" s="2"/>
    </row>
    <row r="256" spans="12:13" x14ac:dyDescent="0.25" ht="20" customHeight="1">
      <c r="M256" s="2"/>
    </row>
    <row r="257" spans="12:13" x14ac:dyDescent="0.25" ht="20" customHeight="1">
      <c r="M257" s="2"/>
    </row>
    <row r="258" spans="12:13" x14ac:dyDescent="0.25" ht="20" customHeight="1">
      <c r="L258" s="2"/>
      <c r="M258" s="2"/>
    </row>
    <row r="259" spans="12:13" x14ac:dyDescent="0.25" ht="20" customHeight="1">
      <c r="L259" s="2"/>
    </row>
    <row r="260" spans="12:13" x14ac:dyDescent="0.25" ht="20" customHeight="1">
      <c r="L260" s="2"/>
    </row>
    <row r="261" spans="12:13" x14ac:dyDescent="0.25" ht="20" customHeight="1">
      <c r="L261" s="2"/>
      <c r="M261" s="2"/>
    </row>
    <row r="262" spans="12:13" x14ac:dyDescent="0.25" ht="20" customHeight="1">
      <c r="L262" s="2"/>
      <c r="M262" s="2"/>
    </row>
    <row r="263" spans="12:13" x14ac:dyDescent="0.25" ht="20" customHeight="1">
      <c r="M263" s="2"/>
    </row>
    <row r="264" spans="12:13" x14ac:dyDescent="0.25" ht="20" customHeight="1">
      <c r="L264" s="2"/>
    </row>
    <row r="266" spans="12:13" x14ac:dyDescent="0.25" ht="20" customHeight="1">
      <c r="L266" s="2"/>
      <c r="M266" s="2"/>
    </row>
    <row r="267" spans="12:13" x14ac:dyDescent="0.25" ht="20" customHeight="1">
      <c r="L267" s="2"/>
      <c r="M267" s="2"/>
    </row>
    <row r="268" spans="12:13" x14ac:dyDescent="0.25" ht="20" customHeight="1">
      <c r="L268" s="2"/>
      <c r="M268" s="2"/>
    </row>
    <row r="269" spans="12:13" x14ac:dyDescent="0.25" ht="20" customHeight="1">
      <c r="L269" s="2"/>
    </row>
    <row r="271" spans="12:13" x14ac:dyDescent="0.25" ht="20" customHeight="1">
      <c r="L271" s="2"/>
    </row>
    <row r="277" spans="12:12" x14ac:dyDescent="0.25" ht="20" customHeight="1">
      <c r="L277" s="2"/>
    </row>
    <row r="282" spans="12:12" x14ac:dyDescent="0.25" ht="20" customHeight="1">
      <c r="L282" s="2"/>
    </row>
    <row r="287" spans="12:12" x14ac:dyDescent="0.25" ht="20" customHeight="1">
      <c r="L287" s="2"/>
    </row>
    <row r="292" spans="12:12" x14ac:dyDescent="0.25" ht="20" customHeight="1">
      <c r="L292" s="2"/>
    </row>
    <row r="293" spans="12:12" x14ac:dyDescent="0.25" ht="20" customHeight="1">
      <c r="L293" s="2"/>
    </row>
    <row r="294" spans="12:12" x14ac:dyDescent="0.25" ht="20" customHeight="1">
      <c r="L294" s="2"/>
    </row>
    <row r="295" spans="12:12" x14ac:dyDescent="0.25" ht="20" customHeight="1">
      <c r="L295" s="2"/>
    </row>
    <row r="296" spans="12:12" x14ac:dyDescent="0.25" ht="20" customHeight="1">
      <c r="L296" s="2"/>
    </row>
    <row r="298" spans="12:12" x14ac:dyDescent="0.25" ht="20" customHeight="1">
      <c r="L298" s="2"/>
    </row>
    <row r="300" spans="12:12" x14ac:dyDescent="0.25" ht="20" customHeight="1">
      <c r="L300" s="2"/>
    </row>
    <row r="301" spans="12:12" x14ac:dyDescent="0.25" ht="20" customHeight="1">
      <c r="L301" s="2"/>
    </row>
    <row r="302" spans="12:12" x14ac:dyDescent="0.25" ht="20" customHeight="1">
      <c r="L302" s="2"/>
    </row>
    <row r="303" spans="12:12" x14ac:dyDescent="0.25" ht="20" customHeight="1">
      <c r="L303" s="2"/>
    </row>
    <row r="305" spans="12:12" x14ac:dyDescent="0.25" ht="20" customHeight="1">
      <c r="L305" s="2"/>
    </row>
    <row r="313" spans="12:12" x14ac:dyDescent="0.25" ht="20" customHeight="1">
      <c r="L313" s="2"/>
    </row>
    <row r="314" spans="12:12" x14ac:dyDescent="0.25" ht="20" customHeight="1">
      <c r="L314" s="2"/>
    </row>
    <row r="315" spans="12:12" x14ac:dyDescent="0.25" ht="20" customHeight="1">
      <c r="L315" s="2"/>
    </row>
    <row r="318" spans="12:12" x14ac:dyDescent="0.25" ht="20" customHeight="1">
      <c r="L318" s="2"/>
    </row>
    <row r="319" spans="12:12" x14ac:dyDescent="0.25" ht="20" customHeight="1">
      <c r="L319" s="2"/>
    </row>
    <row r="320" spans="12:12" x14ac:dyDescent="0.25" ht="20" customHeight="1">
      <c r="L320" s="2"/>
    </row>
    <row r="323" spans="12:12" x14ac:dyDescent="0.25" ht="20" customHeight="1">
      <c r="L323" s="2"/>
    </row>
    <row r="324" spans="12:12" x14ac:dyDescent="0.25" ht="20" customHeight="1">
      <c r="L324" s="2"/>
    </row>
    <row r="325" spans="12:12" x14ac:dyDescent="0.25" ht="20" customHeight="1">
      <c r="L325" s="2"/>
    </row>
    <row r="328" spans="12:12" x14ac:dyDescent="0.25" ht="20" customHeight="1">
      <c r="L328" s="2"/>
    </row>
    <row r="329" spans="12:12" x14ac:dyDescent="0.25" ht="20" customHeight="1">
      <c r="L329" s="2"/>
    </row>
    <row r="330" spans="12:12" x14ac:dyDescent="0.25" ht="20" customHeight="1">
      <c r="L330" s="2"/>
    </row>
    <row r="337" spans="12:12" x14ac:dyDescent="0.25" ht="20" customHeight="1">
      <c r="L337" s="2"/>
    </row>
    <row r="338" spans="12:12" x14ac:dyDescent="0.25" ht="20" customHeight="1">
      <c r="L338" s="2"/>
    </row>
    <row r="339" spans="12:12" x14ac:dyDescent="0.25" ht="20" customHeight="1">
      <c r="L339" s="2"/>
    </row>
    <row r="342" spans="12:12" x14ac:dyDescent="0.25" ht="20" customHeight="1">
      <c r="L342" s="2"/>
    </row>
    <row r="343" spans="12:12" x14ac:dyDescent="0.25" ht="20" customHeight="1">
      <c r="L343" s="2"/>
    </row>
    <row r="344" spans="12:12" x14ac:dyDescent="0.25" ht="20" customHeight="1">
      <c r="L344" s="2"/>
    </row>
    <row r="347" spans="12:12" x14ac:dyDescent="0.25" ht="20" customHeight="1">
      <c r="L347" s="2"/>
    </row>
    <row r="348" spans="12:12" x14ac:dyDescent="0.25" ht="20" customHeight="1">
      <c r="L348" s="2"/>
    </row>
    <row r="349" spans="12:12" x14ac:dyDescent="0.25" ht="20" customHeight="1">
      <c r="L349" s="2"/>
    </row>
    <row r="352" spans="12:12" x14ac:dyDescent="0.25" ht="20" customHeight="1">
      <c r="L352" s="2"/>
    </row>
    <row r="353" spans="4:12" x14ac:dyDescent="0.25" ht="20" customHeight="1">
      <c r="L353" s="2"/>
    </row>
    <row r="354" spans="4:12" x14ac:dyDescent="0.25" ht="20" customHeight="1">
      <c r="L354" s="2"/>
    </row>
    <row r="356" spans="4:12" x14ac:dyDescent="0.25" ht="20" customHeight="1">
      <c r="D356" s="99"/>
    </row>
  </sheetData>
  <conditionalFormatting sqref="F78">
    <cfRule type="cellIs" dxfId="25" priority="62" operator="lessThan">
      <formula>0</formula>
    </cfRule>
  </conditionalFormatting>
  <conditionalFormatting sqref="F133:F134">
    <cfRule type="cellIs" dxfId="24" priority="20" operator="lessThan">
      <formula>0</formula>
    </cfRule>
  </conditionalFormatting>
  <conditionalFormatting sqref="F145:F146">
    <cfRule type="cellIs" dxfId="23" priority="19" operator="lessThan">
      <formula>0</formula>
    </cfRule>
  </conditionalFormatting>
  <conditionalFormatting sqref="F157:F158">
    <cfRule type="cellIs" dxfId="22" priority="18" operator="lessThan">
      <formula>0</formula>
    </cfRule>
  </conditionalFormatting>
  <conditionalFormatting sqref="F245:F246">
    <cfRule type="cellIs" dxfId="21" priority="93" operator="lessThan">
      <formula>0</formula>
    </cfRule>
  </conditionalFormatting>
  <conditionalFormatting sqref="F250:F251">
    <cfRule type="cellIs" dxfId="20" priority="92" operator="lessThan">
      <formula>0</formula>
    </cfRule>
  </conditionalFormatting>
  <conditionalFormatting sqref="F255:F256">
    <cfRule type="cellIs" dxfId="19" priority="91" operator="lessThan">
      <formula>0</formula>
    </cfRule>
  </conditionalFormatting>
  <conditionalFormatting sqref="F279:F280">
    <cfRule type="cellIs" dxfId="18" priority="85" operator="lessThan">
      <formula>0</formula>
    </cfRule>
  </conditionalFormatting>
  <conditionalFormatting sqref="F284:F285">
    <cfRule type="cellIs" dxfId="17" priority="84" operator="lessThan">
      <formula>0</formula>
    </cfRule>
  </conditionalFormatting>
  <conditionalFormatting sqref="F289:F290">
    <cfRule type="cellIs" dxfId="16" priority="83" operator="lessThan">
      <formula>0</formula>
    </cfRule>
  </conditionalFormatting>
  <conditionalFormatting sqref="I36:J36 I41:J41 E43 I47:J47 E49 I53:J53 I59:J59 I64:J64 E205:G205">
    <cfRule type="cellIs" dxfId="15" priority="79" operator="lessThan">
      <formula>0</formula>
    </cfRule>
  </conditionalFormatting>
  <conditionalFormatting sqref="I80:J84">
    <cfRule type="cellIs" dxfId="14" priority="6" operator="lessThan">
      <formula>0</formula>
    </cfRule>
  </conditionalFormatting>
  <conditionalFormatting sqref="I88:J91">
    <cfRule type="cellIs" dxfId="13" priority="5" operator="lessThan">
      <formula>0</formula>
    </cfRule>
  </conditionalFormatting>
  <conditionalFormatting sqref="I95:J98">
    <cfRule type="cellIs" dxfId="12" priority="4" operator="lessThan">
      <formula>0</formula>
    </cfRule>
  </conditionalFormatting>
  <conditionalFormatting sqref="I102:J105">
    <cfRule type="cellIs" dxfId="11" priority="3" operator="lessThan">
      <formula>0</formula>
    </cfRule>
  </conditionalFormatting>
  <conditionalFormatting sqref="I109:J113">
    <cfRule type="cellIs" dxfId="10" priority="1" operator="lessThan">
      <formula>0</formula>
    </cfRule>
  </conditionalFormatting>
  <conditionalFormatting sqref="K147">
    <cfRule type="cellIs" dxfId="9" priority="24" operator="lessThan">
      <formula>0</formula>
    </cfRule>
  </conditionalFormatting>
  <conditionalFormatting sqref="M125:M128">
    <cfRule type="cellIs" dxfId="8" priority="10" operator="lessThan">
      <formula>0</formula>
    </cfRule>
  </conditionalFormatting>
  <conditionalFormatting sqref="M131">
    <cfRule type="cellIs" dxfId="7" priority="16" operator="lessThan">
      <formula>0</formula>
    </cfRule>
  </conditionalFormatting>
  <conditionalFormatting sqref="M137:M140">
    <cfRule type="cellIs" dxfId="6" priority="9" operator="lessThan">
      <formula>0</formula>
    </cfRule>
  </conditionalFormatting>
  <conditionalFormatting sqref="M143">
    <cfRule type="cellIs" dxfId="5" priority="15" operator="lessThan">
      <formula>0</formula>
    </cfRule>
  </conditionalFormatting>
  <conditionalFormatting sqref="M149:M152">
    <cfRule type="cellIs" dxfId="4" priority="8" operator="lessThan">
      <formula>0</formula>
    </cfRule>
  </conditionalFormatting>
  <conditionalFormatting sqref="M155">
    <cfRule type="cellIs" dxfId="3" priority="14" operator="lessThan">
      <formula>0</formula>
    </cfRule>
  </conditionalFormatting>
  <conditionalFormatting sqref="M159:M160">
    <cfRule type="cellIs" dxfId="2"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1" priority="102" operator="lessThan">
      <formula>0</formula>
    </cfRule>
  </conditionalFormatting>
  <conditionalFormatting sqref="O43:P43 I73:J76 N97 L180:M180 L184:M185 L188:M189 L194:M195 L198:M198 I199:M199 I205:M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37 E42 E48 E54 E60" xr:uid="{00A4EA4C-90D3-4150-979D-4D71C7F37A31}">
      <formula1>"Yes, No"</formula1>
    </dataValidation>
    <dataValidation type="list" allowBlank="1" showInputMessage="1" showErrorMessage="1" sqref="E32" xr:uid="{7CE3F3B3-74F0-4147-9434-E417CDC75C10}">
      <formula1>INDIRECT("Table_SourceData_Swine_ProductionSystems[Production system]")</formula1>
    </dataValidation>
    <dataValidation type="list" allowBlank="1" showInputMessage="1" showErrorMessage="1" sqref="E117" xr:uid="{DBA884B0-B52E-420E-8FD2-21B082EB75E2}">
      <formula1>INDIRECT("Table_SourceData_Swine_IrrigationMethods[Irrigation method]")</formula1>
    </dataValidation>
    <dataValidation type="list" allowBlank="1" showInputMessage="1" showErrorMessage="1" sqref="E116"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342"/>
  <sheetViews>
    <sheetView showGridLines="0" tabSelected="1" topLeftCell="G160" zoomScaleNormal="100" workbookViewId="0">
      <selection activeCell="S181" sqref="P181:S184"/>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152</v>
      </c>
    </row>
    <row r="2" spans="1:21" s="9" customFormat="1" ht="20" customHeight="1" x14ac:dyDescent="0.25">
      <c r="A2"/>
    </row>
    <row r="3" spans="1:21" ht="20"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 customHeight="1" x14ac:dyDescent="0.25">
      <c r="D6" s="5" t="str" cm="1">
        <f t="array" ref="D6">MMS_Swine_Methane_Equations.VEERG_4_5_1_1__4_FractionVolatileSolidsPrimarySystem_Source()</f>
        <v>VEERG 2026: 4.5.1.1, Equation (4)</v>
      </c>
    </row>
    <row r="7" spans="1:21" ht="20" customHeight="1" x14ac:dyDescent="0.25">
      <c r="D7" s="13" t="s">
        <v>23</v>
      </c>
      <c r="E7" s="13" t="str" cm="1">
        <f t="array" aca="1" ref="E7" ca="1">Common_InputFunctions.Utility_DisplayFunctionName($E$37)</f>
        <v>=MMS_Swine_Methane_Equations.VEERG_4_5_1_1__4_FractionVolatileSolidsPrimarySystem</v>
      </c>
    </row>
    <row r="8" spans="1:21" ht="20" customHeight="1" x14ac:dyDescent="0.25">
      <c r="A8" s="19" t="s">
        <v>0</v>
      </c>
      <c r="D8" s="53"/>
    </row>
    <row r="9" spans="1:21" ht="20" customHeight="1" x14ac:dyDescent="0.25">
      <c r="A9" s="17" t="str">
        <f>HYPERLINK("#'Input - Site'!A1", "Site")</f>
        <v>Site</v>
      </c>
    </row>
    <row r="10" spans="1:21" ht="20" customHeight="1" x14ac:dyDescent="0.25">
      <c r="A10" s="17" t="str">
        <f>HYPERLINK("#'Input - Swine'!A1", "Swine")</f>
        <v>Swine</v>
      </c>
      <c r="D10" s="51" t="s">
        <v>26</v>
      </c>
      <c r="E10" s="1" t="str" cm="1">
        <f t="array" ref="E10">MMS_Swine_Methane_Equations.VEERG_4_5_1_1__4_FractionVolatileSolidsPrimarySystem_Variable()</f>
        <v>FVSjmT1</v>
      </c>
    </row>
    <row r="11" spans="1:21" ht="20" customHeight="1" x14ac:dyDescent="0.25">
      <c r="D11" s="51" t="s">
        <v>16</v>
      </c>
      <c r="E11" s="52" t="str" cm="1">
        <f t="array" ref="E11">MMS_Swine_Methane_Equations.VEERG_4_5_1_1__4_FractionVolatileSolidsPrimarySystem_Unit()</f>
        <v>fraction</v>
      </c>
    </row>
    <row r="12" spans="1:21" ht="20" customHeight="1" x14ac:dyDescent="0.25"/>
    <row r="13" spans="1:21" ht="20" customHeight="1" x14ac:dyDescent="0.25">
      <c r="A13" s="18" t="s">
        <v>71</v>
      </c>
      <c r="D13" s="55" t="str" cm="1">
        <f t="array" ref="D13:E14">Common_InputFunctions.Utility_DisplayArguments_1_2(MMS_Swine_Methane_Equations.VEERG_4_5_1_1__4_FractionVolatileSolidsPrimarySystem_Arguments())</f>
        <v>MMSjmT1</v>
      </c>
      <c r="E13" s="56" t="str">
        <v>fraction of manure to each primary MMS for each class prior to solid separation</v>
      </c>
      <c r="F13" s="93"/>
      <c r="G13" s="55" t="str" cm="1">
        <f t="array" ref="G13:H14">Common_InputFunctions.Utility_DisplayArguments_3_4(MMS_Swine_Methane_Equations.VEERG_4_5_1_1__4_FractionVolatileSolidsPrimarySystem_Arguments())</f>
        <v>fraction</v>
      </c>
      <c r="H13" s="130" t="str">
        <v>Input</v>
      </c>
      <c r="I13" s="131" t="str" cm="1">
        <f t="array" aca="1" ref="I13" ca="1">HYPERLINK(Common_InputFunctions.Utility_SourceHyperlink($D$16), $D$16)</f>
        <v>Table_MMS_j_m_T-1</v>
      </c>
    </row>
    <row r="14" spans="1:21" ht="20" customHeight="1" x14ac:dyDescent="0.25">
      <c r="A14" s="143" t="str">
        <f>HYPERLINK("#'4.5.1.1-2 Methane'!A1", "4.5.1.1-2 Methane")</f>
        <v>4.5.1.1-2 Methane</v>
      </c>
      <c r="D14" s="55" t="str">
        <v>SSm</v>
      </c>
      <c r="E14" s="56" t="str">
        <v>fraction of volatile solids separated to solid storage for each MMS</v>
      </c>
      <c r="F14" s="93"/>
      <c r="G14" s="55" t="str">
        <v>fraction</v>
      </c>
      <c r="H14" s="130" t="str">
        <v>Input</v>
      </c>
      <c r="I14" s="131" t="str" cm="1">
        <f t="array" aca="1" ref="I14" ca="1">HYPERLINK(Common_InputFunctions.Utility_SourceHyperlink($D$25), $D$25)</f>
        <v>M1_Table_SS_m</v>
      </c>
    </row>
    <row r="15" spans="1:21" ht="20" customHeight="1" x14ac:dyDescent="0.25">
      <c r="A15" s="17" t="str">
        <f>HYPERLINK("#'4.5.1.3-4 Direct N2O'!A1", "4.5.1.3-4 Direct N2O")</f>
        <v>4.5.1.3-4 Direct N2O</v>
      </c>
    </row>
    <row r="16" spans="1:21" ht="20" customHeight="1" x14ac:dyDescent="0.25">
      <c r="A16" s="17" t="str">
        <f>HYPERLINK("#'4.5.1.5-6 Atmos Dep'!A1", "4.5.1.5-6 Atmos Dep")</f>
        <v>4.5.1.5-6 Atmos Dep</v>
      </c>
      <c r="D16" s="113" t="s">
        <v>230</v>
      </c>
    </row>
    <row r="17" spans="1:19" ht="20" customHeight="1" x14ac:dyDescent="0.25">
      <c r="A17" s="17" t="str">
        <f>HYPERLINK("#'4.5.1.7-8 Leaching and runoff'!A1", "4.5.1.7-8 Leaching and runoff")</f>
        <v>4.5.1.7-8 Leaching and runoff</v>
      </c>
      <c r="D17" s="114" t="s">
        <v>154</v>
      </c>
    </row>
    <row r="18" spans="1:19" ht="20" customHeight="1" x14ac:dyDescent="0.25">
      <c r="A18" s="17" t="str">
        <f>HYPERLINK("#'4.5.1.9 Manure applied to soils'!A1", "4.5.1.9 Manure applied to soils")</f>
        <v>4.5.1.9 Manure applied to soils</v>
      </c>
      <c r="D18" s="111" t="s">
        <v>155</v>
      </c>
      <c r="E18" s="111" t="s">
        <v>134</v>
      </c>
      <c r="F18" s="111" t="s">
        <v>135</v>
      </c>
      <c r="G18" s="111" t="s">
        <v>136</v>
      </c>
      <c r="H18" s="111" t="s">
        <v>192</v>
      </c>
    </row>
    <row r="19" spans="1:19" ht="20" customHeight="1" x14ac:dyDescent="0.25">
      <c r="D19" s="55" t="str">
        <f>INDEX(X_Table_Swine_Stage1MMS_AnaerobicLagoon,2,1)</f>
        <v>Anaerobic lagoon</v>
      </c>
      <c r="E19" s="50" cm="1">
        <f t="array" aca="1" ref="E19:H19" ca="1">OFFSET(X_Table_Swine_Stage1MMS_AnaerobicLagoon,1,1,1,4)</f>
        <v>0.15</v>
      </c>
      <c r="F19" s="50">
        <f ca="1"/>
        <v>0.15</v>
      </c>
      <c r="G19" s="50">
        <f ca="1"/>
        <v>0.15</v>
      </c>
      <c r="H19" s="50">
        <f ca="1"/>
        <v>0.15</v>
      </c>
      <c r="I19" s="2" t="str">
        <f>G13</f>
        <v>fraction</v>
      </c>
    </row>
    <row r="20" spans="1:19" ht="20" customHeight="1" x14ac:dyDescent="0.25">
      <c r="D20" s="55" t="str">
        <f>INDEX(X_Table_Swine_Stage1MMS_Drylot,2,1)</f>
        <v>Drylot (feed pad)</v>
      </c>
      <c r="E20" s="50" cm="1">
        <f t="array" aca="1" ref="E20:H20" ca="1">OFFSET(X_Table_Swine_Stage1MMS_Drylot,1,1,1,4)</f>
        <v>0.15</v>
      </c>
      <c r="F20" s="50">
        <f ca="1"/>
        <v>0.15</v>
      </c>
      <c r="G20" s="50">
        <f ca="1"/>
        <v>0.15</v>
      </c>
      <c r="H20" s="50">
        <f ca="1"/>
        <v>0.15</v>
      </c>
      <c r="I20" s="2"/>
    </row>
    <row r="21" spans="1:19" ht="20" customHeight="1" x14ac:dyDescent="0.25">
      <c r="A21" s="141" t="s">
        <v>1</v>
      </c>
      <c r="D21" s="55" t="str">
        <f>INDEX(X_Table_Swine_Stage1MMS_DigesterCoveredLagoons,2,1)</f>
        <v>Digester / covered lagoons</v>
      </c>
      <c r="E21" s="50" cm="1">
        <f t="array" aca="1" ref="E21:H21" ca="1">OFFSET(X_Table_Swine_Stage1MMS_DigesterCoveredLagoons,1,1,1,4)</f>
        <v>0.15</v>
      </c>
      <c r="F21" s="50">
        <f ca="1"/>
        <v>0.15</v>
      </c>
      <c r="G21" s="50">
        <f ca="1"/>
        <v>0.15</v>
      </c>
      <c r="H21" s="50">
        <f ca="1"/>
        <v>0.15</v>
      </c>
      <c r="I21" s="2"/>
    </row>
    <row r="22" spans="1:19" ht="20" customHeight="1" x14ac:dyDescent="0.25">
      <c r="A22" s="17" t="str">
        <f>HYPERLINK("#'Constants - Swine'!A1", "Constants - Swine")</f>
        <v>Constants - Swine</v>
      </c>
      <c r="D22" s="55" t="str">
        <f>INDEX(X_Table_Swine_Stage1MMS_DeepLitter,2,1)</f>
        <v>Deep litter</v>
      </c>
      <c r="E22" s="50" cm="1">
        <f t="array" aca="1" ref="E22:H22" ca="1">OFFSET(X_Table_Swine_Stage1MMS_DeepLitter,1,1,1,4)</f>
        <v>0.15</v>
      </c>
      <c r="F22" s="50">
        <f ca="1"/>
        <v>0.15</v>
      </c>
      <c r="G22" s="50">
        <f ca="1"/>
        <v>0.15</v>
      </c>
      <c r="H22" s="50">
        <f ca="1"/>
        <v>0.15</v>
      </c>
      <c r="I22" s="2"/>
    </row>
    <row r="23" spans="1:19" ht="20" customHeight="1" x14ac:dyDescent="0.25">
      <c r="A23" s="17" t="str">
        <f>HYPERLINK("#'Constants - Common'!A1", "Constants - Common")</f>
        <v>Constants - Common</v>
      </c>
      <c r="D23" s="55" t="str">
        <f>INDEX(X_Table_Swine_Stage1MMS_PitStorage,2,1)</f>
        <v>Pit storage</v>
      </c>
      <c r="E23" s="50" cm="1">
        <f t="array" aca="1" ref="E23:H23" ca="1">OFFSET(X_Table_Swine_Stage1MMS_PitStorage,1,1,1,4)</f>
        <v>0.15</v>
      </c>
      <c r="F23" s="50">
        <f ca="1"/>
        <v>0.15</v>
      </c>
      <c r="G23" s="50">
        <f ca="1"/>
        <v>0.15</v>
      </c>
      <c r="H23" s="50">
        <f ca="1"/>
        <v>0.15</v>
      </c>
      <c r="I23" s="2"/>
    </row>
    <row r="24" spans="1:19" ht="20" customHeight="1" x14ac:dyDescent="0.25">
      <c r="A24" s="17" t="str">
        <f>HYPERLINK("#'Constants - Common livestock'!A1", "Constants - Common livestock")</f>
        <v>Constants - Common livestock</v>
      </c>
    </row>
    <row r="25" spans="1:19" ht="20" customHeight="1" x14ac:dyDescent="0.25">
      <c r="A25" s="17" t="str">
        <f>HYPERLINK("#'Acknowledgements'!A1", "Acknowledgements")</f>
        <v>Acknowledgements</v>
      </c>
      <c r="D25" s="113" t="s">
        <v>231</v>
      </c>
      <c r="N25" s="113" t="s">
        <v>193</v>
      </c>
    </row>
    <row r="26" spans="1:19" ht="20" customHeight="1" x14ac:dyDescent="0.25">
      <c r="A26" s="17" t="str">
        <f>HYPERLINK("#'Tab template'!A1", "Tab template")</f>
        <v>Tab template</v>
      </c>
      <c r="D26" s="114" t="s">
        <v>180</v>
      </c>
      <c r="N26" s="114" t="s">
        <v>194</v>
      </c>
    </row>
    <row r="27" spans="1:19" ht="20" customHeight="1" x14ac:dyDescent="0.25">
      <c r="D27" s="111" t="s">
        <v>155</v>
      </c>
      <c r="E27" s="111" t="s">
        <v>134</v>
      </c>
      <c r="F27" s="111" t="s">
        <v>135</v>
      </c>
      <c r="G27" s="111" t="s">
        <v>136</v>
      </c>
      <c r="H27" s="111" t="s">
        <v>192</v>
      </c>
      <c r="N27" s="111" t="s">
        <v>155</v>
      </c>
      <c r="O27" s="111" t="s">
        <v>134</v>
      </c>
      <c r="P27" s="111" t="s">
        <v>135</v>
      </c>
      <c r="Q27" s="111" t="s">
        <v>136</v>
      </c>
      <c r="R27" s="111" t="s">
        <v>192</v>
      </c>
    </row>
    <row r="28" spans="1:19" ht="20" customHeight="1" x14ac:dyDescent="0.25">
      <c r="D28" s="55" t="str">
        <f>INDEX(X_Table_Swine_Stage1MMS_AnaerobicLagoon,2,1)</f>
        <v>Anaerobic lagoon</v>
      </c>
      <c r="E28" s="50">
        <f>X_Cell_Swine_Stage1MMS_AnaerobicLagoon_AmountSeparated_Method1</f>
        <v>0.2</v>
      </c>
      <c r="F28" s="50">
        <f>X_Cell_Swine_Stage1MMS_AnaerobicLagoon_AmountSeparated_Method1</f>
        <v>0.2</v>
      </c>
      <c r="G28" s="50">
        <f>X_Cell_Swine_Stage1MMS_AnaerobicLagoon_AmountSeparated_Method1</f>
        <v>0.2</v>
      </c>
      <c r="H28" s="50">
        <f>X_Cell_Swine_Stage1MMS_AnaerobicLagoon_AmountSeparated_Method1</f>
        <v>0.2</v>
      </c>
      <c r="I28" s="2" t="str">
        <f>G14</f>
        <v>fraction</v>
      </c>
      <c r="N28" s="55" t="str">
        <f>INDEX(X_Table_Swine_Stage1MMS_AnaerobicLagoon,2,1)</f>
        <v>Anaerobic lagoon</v>
      </c>
      <c r="O28" s="50">
        <f>X_Cell_Swine_Stage1MMS_AnaerobicLagoon_AmountSeparated_Method2</f>
        <v>0.2</v>
      </c>
      <c r="P28" s="50">
        <f>X_Cell_Swine_Stage1MMS_AnaerobicLagoon_AmountSeparated_Method2</f>
        <v>0.2</v>
      </c>
      <c r="Q28" s="50">
        <f>X_Cell_Swine_Stage1MMS_AnaerobicLagoon_AmountSeparated_Method2</f>
        <v>0.2</v>
      </c>
      <c r="R28" s="50">
        <f>X_Cell_Swine_Stage1MMS_AnaerobicLagoon_AmountSeparated_Method2</f>
        <v>0.2</v>
      </c>
      <c r="S28" s="2" t="str">
        <f>G14</f>
        <v>fraction</v>
      </c>
    </row>
    <row r="29" spans="1:19" ht="20" customHeight="1" x14ac:dyDescent="0.25">
      <c r="D29" s="55" t="str">
        <f>INDEX(X_Table_Swine_Stage1MMS_Drylot,2,1)</f>
        <v>Drylot (feed pad)</v>
      </c>
      <c r="E29" s="50">
        <f>X_Cell_Swine_Stage1MMS_Drylot_AmountSeparated_Method1</f>
        <v>0.2</v>
      </c>
      <c r="F29" s="50">
        <f>X_Cell_Swine_Stage1MMS_Drylot_AmountSeparated_Method1</f>
        <v>0.2</v>
      </c>
      <c r="G29" s="50">
        <f>X_Cell_Swine_Stage1MMS_Drylot_AmountSeparated_Method1</f>
        <v>0.2</v>
      </c>
      <c r="H29" s="50">
        <f>X_Cell_Swine_Stage1MMS_Drylot_AmountSeparated_Method1</f>
        <v>0.2</v>
      </c>
      <c r="I29" s="2"/>
      <c r="N29" s="55" t="str">
        <f>INDEX(X_Table_Swine_Stage1MMS_Drylot,2,1)</f>
        <v>Drylot (feed pad)</v>
      </c>
      <c r="O29" s="50">
        <f>X_Cell_Swine_Stage1MMS_Drylot_AmountSeparated_Method2</f>
        <v>0.2</v>
      </c>
      <c r="P29" s="50">
        <f>X_Cell_Swine_Stage1MMS_Drylot_AmountSeparated_Method2</f>
        <v>0.2</v>
      </c>
      <c r="Q29" s="50">
        <f>X_Cell_Swine_Stage1MMS_Drylot_AmountSeparated_Method2</f>
        <v>0.2</v>
      </c>
      <c r="R29" s="50">
        <f>X_Cell_Swine_Stage1MMS_Drylot_AmountSeparated_Method2</f>
        <v>0.2</v>
      </c>
      <c r="S29" s="2"/>
    </row>
    <row r="30" spans="1:19" ht="20" customHeight="1" x14ac:dyDescent="0.25">
      <c r="D30" s="55" t="str">
        <f>INDEX(X_Table_Swine_Stage1MMS_DigesterCoveredLagoons,2,1)</f>
        <v>Digester / covered lagoons</v>
      </c>
      <c r="E30" s="50">
        <f>X_Cell_Swine_Stage1MMS_DigesterCoveredLagoons_AmountSeparated_Method1</f>
        <v>0.2</v>
      </c>
      <c r="F30" s="50">
        <f>X_Cell_Swine_Stage1MMS_DigesterCoveredLagoons_AmountSeparated_Method1</f>
        <v>0.2</v>
      </c>
      <c r="G30" s="50">
        <f>X_Cell_Swine_Stage1MMS_DigesterCoveredLagoons_AmountSeparated_Method1</f>
        <v>0.2</v>
      </c>
      <c r="H30" s="50">
        <f>X_Cell_Swine_Stage1MMS_DigesterCoveredLagoons_AmountSeparated_Method1</f>
        <v>0.2</v>
      </c>
      <c r="I30" s="2"/>
      <c r="N30" s="55" t="str">
        <f>INDEX(X_Table_Swine_Stage1MMS_DigesterCoveredLagoons,2,1)</f>
        <v>Digester / covered lagoons</v>
      </c>
      <c r="O30" s="50">
        <f>X_Cell_Swine_Stage1MMS_DigesterCoveredLagoons_AmountSeparated_Method2</f>
        <v>0.2</v>
      </c>
      <c r="P30" s="50">
        <f>X_Cell_Swine_Stage1MMS_DigesterCoveredLagoons_AmountSeparated_Method2</f>
        <v>0.2</v>
      </c>
      <c r="Q30" s="50">
        <f>X_Cell_Swine_Stage1MMS_DigesterCoveredLagoons_AmountSeparated_Method2</f>
        <v>0.2</v>
      </c>
      <c r="R30" s="50">
        <f>X_Cell_Swine_Stage1MMS_DigesterCoveredLagoons_AmountSeparated_Method2</f>
        <v>0.2</v>
      </c>
      <c r="S30" s="2"/>
    </row>
    <row r="31" spans="1:19" ht="20" customHeight="1" x14ac:dyDescent="0.25">
      <c r="D31" s="55" t="str">
        <f>INDEX(X_Table_Swine_Stage1MMS_DeepLitter,2,1)</f>
        <v>Deep litter</v>
      </c>
      <c r="E31" s="50">
        <f>X_Cell_Swine_Stage1MMS_DeepLitter_AmountSeparated_Method1</f>
        <v>0.2</v>
      </c>
      <c r="F31" s="50">
        <f>X_Cell_Swine_Stage1MMS_DeepLitter_AmountSeparated_Method1</f>
        <v>0.2</v>
      </c>
      <c r="G31" s="50">
        <f>X_Cell_Swine_Stage1MMS_DeepLitter_AmountSeparated_Method1</f>
        <v>0.2</v>
      </c>
      <c r="H31" s="50">
        <f>X_Cell_Swine_Stage1MMS_DeepLitter_AmountSeparated_Method1</f>
        <v>0.2</v>
      </c>
      <c r="I31" s="2"/>
      <c r="N31" s="55" t="str">
        <f>INDEX(X_Table_Swine_Stage1MMS_DeepLitter,2,1)</f>
        <v>Deep litter</v>
      </c>
      <c r="O31" s="50">
        <f>X_Cell_Swine_Stage1MMS_DeepLitter_AmountSeparated_Method2</f>
        <v>0.2</v>
      </c>
      <c r="P31" s="50">
        <f>X_Cell_Swine_Stage1MMS_DeepLitter_AmountSeparated_Method2</f>
        <v>0.2</v>
      </c>
      <c r="Q31" s="50">
        <f>X_Cell_Swine_Stage1MMS_DeepLitter_AmountSeparated_Method2</f>
        <v>0.2</v>
      </c>
      <c r="R31" s="50">
        <f>X_Cell_Swine_Stage1MMS_DeepLitter_AmountSeparated_Method2</f>
        <v>0.2</v>
      </c>
      <c r="S31" s="2"/>
    </row>
    <row r="32" spans="1:19" ht="20" customHeight="1" x14ac:dyDescent="0.25">
      <c r="D32" s="55" t="str">
        <f>INDEX(X_Table_Swine_Stage1MMS_PitStorage,2,1)</f>
        <v>Pit storage</v>
      </c>
      <c r="E32" s="50">
        <f>X_Cell_Swine_Stage1MMS_PitStorage_AmountSeparated_Method1</f>
        <v>0.2</v>
      </c>
      <c r="F32" s="50">
        <f>X_Cell_Swine_Stage1MMS_PitStorage_AmountSeparated_Method1</f>
        <v>0.2</v>
      </c>
      <c r="G32" s="50">
        <f>X_Cell_Swine_Stage1MMS_PitStorage_AmountSeparated_Method1</f>
        <v>0.2</v>
      </c>
      <c r="H32" s="50">
        <f>X_Cell_Swine_Stage1MMS_PitStorage_AmountSeparated_Method1</f>
        <v>0.2</v>
      </c>
      <c r="I32" s="2"/>
      <c r="N32" s="55" t="str">
        <f>INDEX(X_Table_Swine_Stage1MMS_PitStorage,2,1)</f>
        <v>Pit storage</v>
      </c>
      <c r="O32" s="50">
        <f>X_Cell_Swine_Stage1MMS_PitStorage_AmountSeparated_Method2</f>
        <v>0.2</v>
      </c>
      <c r="P32" s="50">
        <f>X_Cell_Swine_Stage1MMS_PitStorage_AmountSeparated_Method2</f>
        <v>0.2</v>
      </c>
      <c r="Q32" s="50">
        <f>X_Cell_Swine_Stage1MMS_PitStorage_AmountSeparated_Method2</f>
        <v>0.2</v>
      </c>
      <c r="R32" s="50">
        <f>X_Cell_Swine_Stage1MMS_PitStorage_AmountSeparated_Method2</f>
        <v>0.2</v>
      </c>
      <c r="S32" s="2"/>
    </row>
    <row r="33" spans="3:21" ht="20" customHeight="1" x14ac:dyDescent="0.25"/>
    <row r="34" spans="3:21" ht="20" customHeight="1" x14ac:dyDescent="0.25">
      <c r="D34" s="113" t="s">
        <v>228</v>
      </c>
      <c r="N34" s="113" t="s">
        <v>229</v>
      </c>
    </row>
    <row r="35" spans="3:21" ht="20" customHeight="1" x14ac:dyDescent="0.25">
      <c r="D35" s="114" t="s">
        <v>181</v>
      </c>
      <c r="N35" s="114" t="s">
        <v>195</v>
      </c>
    </row>
    <row r="36" spans="3:21" ht="20" customHeight="1" x14ac:dyDescent="0.25">
      <c r="D36" s="49" t="s">
        <v>155</v>
      </c>
      <c r="E36" s="49" t="s">
        <v>134</v>
      </c>
      <c r="F36" s="49" t="s">
        <v>135</v>
      </c>
      <c r="G36" s="49" t="s">
        <v>136</v>
      </c>
      <c r="H36" s="49" t="s">
        <v>192</v>
      </c>
      <c r="N36" s="49" t="s">
        <v>155</v>
      </c>
      <c r="O36" s="49" t="s">
        <v>134</v>
      </c>
      <c r="P36" s="49" t="s">
        <v>135</v>
      </c>
      <c r="Q36" s="49" t="s">
        <v>136</v>
      </c>
      <c r="R36" s="49" t="s">
        <v>192</v>
      </c>
    </row>
    <row r="37" spans="3:21" ht="20" customHeight="1" x14ac:dyDescent="0.25">
      <c r="D37" s="55" t="str">
        <f>INDEX(X_Table_Swine_Stage1MMS_AnaerobicLagoon,2,1)</f>
        <v>Anaerobic lagoon</v>
      </c>
      <c r="E37" s="50" cm="1">
        <f t="array" aca="1" ref="E37" ca="1">MMS_Swine_Methane_Equations.VEERG_4_5_1_1__4_FractionVolatileSolidsPrimarySystem(E19,E28)</f>
        <v>0.12</v>
      </c>
      <c r="F37" s="50" cm="1">
        <f t="array" aca="1" ref="F37" ca="1">MMS_Swine_Methane_Equations.VEERG_4_5_1_1__4_FractionVolatileSolidsPrimarySystem(F19,F28)</f>
        <v>0.12</v>
      </c>
      <c r="G37" s="50" cm="1">
        <f t="array" aca="1" ref="G37" ca="1">MMS_Swine_Methane_Equations.VEERG_4_5_1_1__4_FractionVolatileSolidsPrimarySystem(G19,G28)</f>
        <v>0.12</v>
      </c>
      <c r="H37" s="50" cm="1">
        <f t="array" aca="1" ref="H37" ca="1">MMS_Swine_Methane_Equations.VEERG_4_5_1_1__4_FractionVolatileSolidsPrimarySystem(H19,H28)</f>
        <v>0.12</v>
      </c>
      <c r="I37" s="2" t="str">
        <f>$E$11</f>
        <v>fraction</v>
      </c>
      <c r="N37" s="55" t="str">
        <f>INDEX(X_Table_Swine_Stage1MMS_AnaerobicLagoon,2,1)</f>
        <v>Anaerobic lagoon</v>
      </c>
      <c r="O37" s="50" cm="1">
        <f t="array" aca="1" ref="O37" ca="1">MMS_Swine_Methane_Equations.VEERG_4_5_1_1__4_FractionVolatileSolidsPrimarySystem(E19,O28)</f>
        <v>0.12</v>
      </c>
      <c r="P37" s="50" cm="1">
        <f t="array" aca="1" ref="P37" ca="1">MMS_Swine_Methane_Equations.VEERG_4_5_1_1__4_FractionVolatileSolidsPrimarySystem(F19,P28)</f>
        <v>0.12</v>
      </c>
      <c r="Q37" s="50" cm="1">
        <f t="array" aca="1" ref="Q37" ca="1">MMS_Swine_Methane_Equations.VEERG_4_5_1_1__4_FractionVolatileSolidsPrimarySystem(G19,Q28)</f>
        <v>0.12</v>
      </c>
      <c r="R37" s="50" cm="1">
        <f t="array" aca="1" ref="R37" ca="1">MMS_Swine_Methane_Equations.VEERG_4_5_1_1__4_FractionVolatileSolidsPrimarySystem(H19,R28)</f>
        <v>0.12</v>
      </c>
      <c r="S37" s="2" t="str">
        <f>$E$11</f>
        <v>fraction</v>
      </c>
    </row>
    <row r="38" spans="3:21" ht="20" customHeight="1" x14ac:dyDescent="0.25">
      <c r="D38" s="55" t="str">
        <f>INDEX(X_Table_Swine_Stage1MMS_Drylot,2,1)</f>
        <v>Drylot (feed pad)</v>
      </c>
      <c r="E38" s="50" cm="1">
        <f t="array" aca="1" ref="E38" ca="1">MMS_Swine_Methane_Equations.VEERG_4_5_1_1__4_FractionVolatileSolidsPrimarySystem(E20,E29)</f>
        <v>0.12</v>
      </c>
      <c r="F38" s="50" cm="1">
        <f t="array" aca="1" ref="F38" ca="1">MMS_Swine_Methane_Equations.VEERG_4_5_1_1__4_FractionVolatileSolidsPrimarySystem(F20,F29)</f>
        <v>0.12</v>
      </c>
      <c r="G38" s="50" cm="1">
        <f t="array" aca="1" ref="G38" ca="1">MMS_Swine_Methane_Equations.VEERG_4_5_1_1__4_FractionVolatileSolidsPrimarySystem(G20,G29)</f>
        <v>0.12</v>
      </c>
      <c r="H38" s="50" cm="1">
        <f t="array" aca="1" ref="H38" ca="1">MMS_Swine_Methane_Equations.VEERG_4_5_1_1__4_FractionVolatileSolidsPrimarySystem(H20,H29)</f>
        <v>0.12</v>
      </c>
      <c r="I38" s="2"/>
      <c r="N38" s="55" t="str">
        <f>INDEX(X_Table_Swine_Stage1MMS_Drylot,2,1)</f>
        <v>Drylot (feed pad)</v>
      </c>
      <c r="O38" s="50" cm="1">
        <f t="array" aca="1" ref="O38" ca="1">MMS_Swine_Methane_Equations.VEERG_4_5_1_1__4_FractionVolatileSolidsPrimarySystem(E20,O29)</f>
        <v>0.12</v>
      </c>
      <c r="P38" s="50" cm="1">
        <f t="array" aca="1" ref="P38" ca="1">MMS_Swine_Methane_Equations.VEERG_4_5_1_1__4_FractionVolatileSolidsPrimarySystem(F20,P29)</f>
        <v>0.12</v>
      </c>
      <c r="Q38" s="50" cm="1">
        <f t="array" aca="1" ref="Q38" ca="1">MMS_Swine_Methane_Equations.VEERG_4_5_1_1__4_FractionVolatileSolidsPrimarySystem(G20,Q29)</f>
        <v>0.12</v>
      </c>
      <c r="R38" s="50" cm="1">
        <f t="array" aca="1" ref="R38" ca="1">MMS_Swine_Methane_Equations.VEERG_4_5_1_1__4_FractionVolatileSolidsPrimarySystem(H20,R29)</f>
        <v>0.12</v>
      </c>
      <c r="S38" s="2"/>
    </row>
    <row r="39" spans="3:21" ht="20" customHeight="1" x14ac:dyDescent="0.25">
      <c r="D39" s="55" t="str">
        <f>INDEX(X_Table_Swine_Stage1MMS_DigesterCoveredLagoons,2,1)</f>
        <v>Digester / covered lagoons</v>
      </c>
      <c r="E39" s="50" cm="1">
        <f t="array" aca="1" ref="E39" ca="1">MMS_Swine_Methane_Equations.VEERG_4_5_1_1__4_FractionVolatileSolidsPrimarySystem(E21,E30)</f>
        <v>0.12</v>
      </c>
      <c r="F39" s="50" cm="1">
        <f t="array" aca="1" ref="F39" ca="1">MMS_Swine_Methane_Equations.VEERG_4_5_1_1__4_FractionVolatileSolidsPrimarySystem(F21,F30)</f>
        <v>0.12</v>
      </c>
      <c r="G39" s="50" cm="1">
        <f t="array" aca="1" ref="G39" ca="1">MMS_Swine_Methane_Equations.VEERG_4_5_1_1__4_FractionVolatileSolidsPrimarySystem(G21,G30)</f>
        <v>0.12</v>
      </c>
      <c r="H39" s="50" cm="1">
        <f t="array" aca="1" ref="H39" ca="1">MMS_Swine_Methane_Equations.VEERG_4_5_1_1__4_FractionVolatileSolidsPrimarySystem(H21,H30)</f>
        <v>0.12</v>
      </c>
      <c r="I39" s="2"/>
      <c r="N39" s="55" t="str">
        <f>INDEX(X_Table_Swine_Stage1MMS_DigesterCoveredLagoons,2,1)</f>
        <v>Digester / covered lagoons</v>
      </c>
      <c r="O39" s="50" cm="1">
        <f t="array" aca="1" ref="O39" ca="1">MMS_Swine_Methane_Equations.VEERG_4_5_1_1__4_FractionVolatileSolidsPrimarySystem(E21,O30)</f>
        <v>0.12</v>
      </c>
      <c r="P39" s="50" cm="1">
        <f t="array" aca="1" ref="P39" ca="1">MMS_Swine_Methane_Equations.VEERG_4_5_1_1__4_FractionVolatileSolidsPrimarySystem(F21,P30)</f>
        <v>0.12</v>
      </c>
      <c r="Q39" s="50" cm="1">
        <f t="array" aca="1" ref="Q39" ca="1">MMS_Swine_Methane_Equations.VEERG_4_5_1_1__4_FractionVolatileSolidsPrimarySystem(G21,Q30)</f>
        <v>0.12</v>
      </c>
      <c r="R39" s="50" cm="1">
        <f t="array" aca="1" ref="R39" ca="1">MMS_Swine_Methane_Equations.VEERG_4_5_1_1__4_FractionVolatileSolidsPrimarySystem(H21,R30)</f>
        <v>0.12</v>
      </c>
      <c r="S39" s="2"/>
    </row>
    <row r="40" spans="3:21" ht="20" customHeight="1" x14ac:dyDescent="0.25">
      <c r="D40" s="55" t="str">
        <f>INDEX(X_Table_Swine_Stage1MMS_DeepLitter,2,1)</f>
        <v>Deep litter</v>
      </c>
      <c r="E40" s="50" cm="1">
        <f t="array" aca="1" ref="E40" ca="1">MMS_Swine_Methane_Equations.VEERG_4_5_1_1__4_FractionVolatileSolidsPrimarySystem(E22,E31)</f>
        <v>0.12</v>
      </c>
      <c r="F40" s="50" cm="1">
        <f t="array" aca="1" ref="F40" ca="1">MMS_Swine_Methane_Equations.VEERG_4_5_1_1__4_FractionVolatileSolidsPrimarySystem(F22,F31)</f>
        <v>0.12</v>
      </c>
      <c r="G40" s="50" cm="1">
        <f t="array" aca="1" ref="G40" ca="1">MMS_Swine_Methane_Equations.VEERG_4_5_1_1__4_FractionVolatileSolidsPrimarySystem(G22,G31)</f>
        <v>0.12</v>
      </c>
      <c r="H40" s="50" cm="1">
        <f t="array" aca="1" ref="H40" ca="1">MMS_Swine_Methane_Equations.VEERG_4_5_1_1__4_FractionVolatileSolidsPrimarySystem(H22,H31)</f>
        <v>0.12</v>
      </c>
      <c r="I40" s="2"/>
      <c r="N40" s="55" t="str">
        <f>INDEX(X_Table_Swine_Stage1MMS_DeepLitter,2,1)</f>
        <v>Deep litter</v>
      </c>
      <c r="O40" s="50" cm="1">
        <f t="array" aca="1" ref="O40" ca="1">MMS_Swine_Methane_Equations.VEERG_4_5_1_1__4_FractionVolatileSolidsPrimarySystem(E22,O31)</f>
        <v>0.12</v>
      </c>
      <c r="P40" s="50" cm="1">
        <f t="array" aca="1" ref="P40" ca="1">MMS_Swine_Methane_Equations.VEERG_4_5_1_1__4_FractionVolatileSolidsPrimarySystem(F22,P31)</f>
        <v>0.12</v>
      </c>
      <c r="Q40" s="50" cm="1">
        <f t="array" aca="1" ref="Q40" ca="1">MMS_Swine_Methane_Equations.VEERG_4_5_1_1__4_FractionVolatileSolidsPrimarySystem(G22,Q31)</f>
        <v>0.12</v>
      </c>
      <c r="R40" s="50" cm="1">
        <f t="array" aca="1" ref="R40" ca="1">MMS_Swine_Methane_Equations.VEERG_4_5_1_1__4_FractionVolatileSolidsPrimarySystem(H22,R31)</f>
        <v>0.12</v>
      </c>
      <c r="S40" s="2"/>
    </row>
    <row r="41" spans="3:21" ht="20" customHeight="1" x14ac:dyDescent="0.25">
      <c r="D41" s="55" t="str">
        <f>INDEX(X_Table_Swine_Stage1MMS_PitStorage,2,1)</f>
        <v>Pit storage</v>
      </c>
      <c r="E41" s="50" cm="1">
        <f t="array" aca="1" ref="E41" ca="1">MMS_Swine_Methane_Equations.VEERG_4_5_1_1__4_FractionVolatileSolidsPrimarySystem(E23,E32)</f>
        <v>0.12</v>
      </c>
      <c r="F41" s="50" cm="1">
        <f t="array" aca="1" ref="F41" ca="1">MMS_Swine_Methane_Equations.VEERG_4_5_1_1__4_FractionVolatileSolidsPrimarySystem(F23,F32)</f>
        <v>0.12</v>
      </c>
      <c r="G41" s="50" cm="1">
        <f t="array" aca="1" ref="G41" ca="1">MMS_Swine_Methane_Equations.VEERG_4_5_1_1__4_FractionVolatileSolidsPrimarySystem(G23,G32)</f>
        <v>0.12</v>
      </c>
      <c r="H41" s="50" cm="1">
        <f t="array" aca="1" ref="H41" ca="1">MMS_Swine_Methane_Equations.VEERG_4_5_1_1__4_FractionVolatileSolidsPrimarySystem(H23,H32)</f>
        <v>0.12</v>
      </c>
      <c r="I41" s="2"/>
      <c r="N41" s="55" t="str">
        <f>INDEX(X_Table_Swine_Stage1MMS_PitStorage,2,1)</f>
        <v>Pit storage</v>
      </c>
      <c r="O41" s="50" cm="1">
        <f t="array" aca="1" ref="O41" ca="1">MMS_Swine_Methane_Equations.VEERG_4_5_1_1__4_FractionVolatileSolidsPrimarySystem(E23,O32)</f>
        <v>0.12</v>
      </c>
      <c r="P41" s="50" cm="1">
        <f t="array" aca="1" ref="P41" ca="1">MMS_Swine_Methane_Equations.VEERG_4_5_1_1__4_FractionVolatileSolidsPrimarySystem(F23,P32)</f>
        <v>0.12</v>
      </c>
      <c r="Q41" s="50" cm="1">
        <f t="array" aca="1" ref="Q41" ca="1">MMS_Swine_Methane_Equations.VEERG_4_5_1_1__4_FractionVolatileSolidsPrimarySystem(G23,Q32)</f>
        <v>0.12</v>
      </c>
      <c r="R41" s="50" cm="1">
        <f t="array" aca="1" ref="R41" ca="1">MMS_Swine_Methane_Equations.VEERG_4_5_1_1__4_FractionVolatileSolidsPrimarySystem(H23,R32)</f>
        <v>0.12</v>
      </c>
      <c r="S41" s="2"/>
    </row>
    <row r="42" spans="3:21" ht="20" customHeight="1" x14ac:dyDescent="0.25"/>
    <row r="43" spans="3:21" ht="20" customHeight="1" x14ac:dyDescent="0.25"/>
    <row r="44" spans="3:21" ht="20" customHeight="1" x14ac:dyDescent="0.25">
      <c r="C44" s="43"/>
      <c r="D44" s="43"/>
      <c r="E44" s="43"/>
      <c r="F44" s="43"/>
      <c r="G44" s="43"/>
      <c r="H44" s="43"/>
      <c r="I44" s="43"/>
      <c r="J44" s="43"/>
      <c r="K44" s="43"/>
      <c r="M44" s="43"/>
      <c r="N44" s="43"/>
      <c r="O44" s="43"/>
      <c r="P44" s="43"/>
      <c r="Q44" s="43"/>
      <c r="R44" s="43"/>
      <c r="S44" s="43"/>
      <c r="T44" s="43"/>
      <c r="U44" s="43"/>
    </row>
    <row r="45" spans="3:21" ht="20" customHeight="1" x14ac:dyDescent="0.25">
      <c r="D45" s="6" t="str" cm="1">
        <f t="array" ref="D45">MMS_Swine_Methane_Equations.VEERG_4_5_1_1__5_FractionVolatileSolidsSolidStorage_Title()</f>
        <v>Fraction of volatile solids in solid storage</v>
      </c>
    </row>
    <row r="46" spans="3:21" ht="20" customHeight="1" x14ac:dyDescent="0.25">
      <c r="D46" s="5" t="str" cm="1">
        <f t="array" ref="D46">MMS_Swine_Methane_Equations.VEERG_4_5_1_1__5_FractionVolatileSolidsSolidStorage_Source()</f>
        <v>VEERG 2026: 4.5.1.1, Equation (5)</v>
      </c>
    </row>
    <row r="47" spans="3:21" ht="20" customHeight="1" x14ac:dyDescent="0.25">
      <c r="D47" s="13" t="s">
        <v>23</v>
      </c>
      <c r="E47" s="13" t="str" cm="1">
        <f t="array" aca="1" ref="E47" ca="1">Common_InputFunctions.Utility_DisplayFunctionName($E$68)</f>
        <v>=MMS_Swine_Methane_Equations.VEERG_4_5_1_1__5_FractionVolatileSolidsSolidStorageVariation</v>
      </c>
    </row>
    <row r="48" spans="3:21" ht="20" customHeight="1" x14ac:dyDescent="0.25">
      <c r="D48" s="53" t="str" cm="1">
        <f t="array" ref="D48">MMS_Swine_Methane_Equations.VEERG_4_5_1_1__5_FractionVolatileSolidsSolidStorage_Variation()</f>
        <v>VARIATION ON SOURCE: Split equation for MMSm=1,7,9 into separate items to allow for calculation</v>
      </c>
    </row>
    <row r="49" spans="4:9" ht="20" customHeight="1" x14ac:dyDescent="0.25"/>
    <row r="50" spans="4:9" ht="20" customHeight="1" x14ac:dyDescent="0.25"/>
    <row r="51" spans="4:9" ht="20" customHeight="1" x14ac:dyDescent="0.25">
      <c r="D51" s="6"/>
      <c r="H51" s="53"/>
    </row>
    <row r="52" spans="4:9" ht="20" customHeight="1" x14ac:dyDescent="0.25"/>
    <row r="53" spans="4:9" ht="20" customHeight="1" x14ac:dyDescent="0.25">
      <c r="D53" s="51" t="s">
        <v>26</v>
      </c>
      <c r="E53" s="1" t="str" cm="1">
        <f t="array" ref="E53">MMS_Swine_Methane_Equations.VEERG_4_5_1_1__5_FractionVolatileSolidsSolidStorage_Variable()</f>
        <v>FVSjm4T1</v>
      </c>
    </row>
    <row r="54" spans="4:9" ht="20" customHeight="1" x14ac:dyDescent="0.25">
      <c r="D54" s="51" t="s">
        <v>16</v>
      </c>
      <c r="E54" s="52" t="str" cm="1">
        <f t="array" ref="E54">MMS_Swine_Methane_Equations.VEERG_4_5_1_1__5_FractionVolatileSolidsSolidStorage_Unit()</f>
        <v>fraction</v>
      </c>
    </row>
    <row r="55" spans="4:9" ht="20" customHeight="1" x14ac:dyDescent="0.25"/>
    <row r="56" spans="4:9" ht="20" customHeight="1" x14ac:dyDescent="0.25">
      <c r="D56" s="101" t="str" cm="1">
        <f t="array" ref="D56:E58">Common_InputFunctions.Utility_DisplayArguments_1_2(MMS_Swine_Methane_Equations.VEERG_4_5_1_1__5_FractionVolatileSolidsSolidStorage_Arguments())</f>
        <v>MMSjm4T1</v>
      </c>
      <c r="E56" s="103" t="str">
        <v>fraction of manure in solid storage primary system</v>
      </c>
      <c r="F56" s="102"/>
      <c r="G56" s="101" t="str" cm="1">
        <f t="array" ref="G56:H58">Common_InputFunctions.Utility_DisplayArguments_3_4(MMS_Swine_Methane_Equations.VEERG_4_5_1_1__5_FractionVolatileSolidsSolidStorage_Arguments())</f>
        <v>fraction</v>
      </c>
      <c r="H56" s="128" t="str">
        <v>Input</v>
      </c>
      <c r="I56" s="131" t="str" cm="1">
        <f t="array" aca="1" ref="I56" ca="1">HYPERLINK(Common_InputFunctions.Utility_SourceHyperlink($D$60), $D$60)</f>
        <v>Table_MMS_j_m-4_T-1</v>
      </c>
    </row>
    <row r="57" spans="4:9" ht="20" customHeight="1" x14ac:dyDescent="0.25">
      <c r="D57" s="101" t="str">
        <v>MMSjm179T1</v>
      </c>
      <c r="E57" s="103" t="str">
        <v>fraction of manure in MMS 1, 7, and 9 in treatment stage 1</v>
      </c>
      <c r="F57" s="102"/>
      <c r="G57" s="101" t="str">
        <v>fraction</v>
      </c>
      <c r="H57" s="128" t="str">
        <v>Input</v>
      </c>
      <c r="I57" s="131" t="str" cm="1">
        <f t="array" aca="1" ref="I57" ca="1">HYPERLINK(Common_InputFunctions.Utility_SourceHyperlink($D$16), $D$16)</f>
        <v>Table_MMS_j_m_T-1</v>
      </c>
    </row>
    <row r="58" spans="4:9" ht="20" customHeight="1" x14ac:dyDescent="0.25">
      <c r="D58" s="101" t="str">
        <v>SSm</v>
      </c>
      <c r="E58" s="103" t="str">
        <v>fraction of volatile solids separated to solid storage for each MMS</v>
      </c>
      <c r="F58" s="102"/>
      <c r="G58" s="101" t="str">
        <v>fraction</v>
      </c>
      <c r="H58" s="128" t="str">
        <v>Input</v>
      </c>
      <c r="I58" s="131" t="str" cm="1">
        <f t="array" aca="1" ref="I58" ca="1">HYPERLINK(Common_InputFunctions.Utility_SourceHyperlink($D$25), $D$25)</f>
        <v>M1_Table_SS_m</v>
      </c>
    </row>
    <row r="59" spans="4:9" ht="20" customHeight="1" x14ac:dyDescent="0.25"/>
    <row r="60" spans="4:9" ht="20" customHeight="1" x14ac:dyDescent="0.25">
      <c r="D60" s="113" t="s">
        <v>156</v>
      </c>
    </row>
    <row r="61" spans="4:9" ht="20" customHeight="1" x14ac:dyDescent="0.25">
      <c r="D61" s="114" t="s">
        <v>157</v>
      </c>
    </row>
    <row r="62" spans="4:9" ht="20" customHeight="1" x14ac:dyDescent="0.25">
      <c r="D62" s="111" t="s">
        <v>155</v>
      </c>
      <c r="E62" s="111" t="s">
        <v>134</v>
      </c>
      <c r="F62" s="111" t="s">
        <v>135</v>
      </c>
      <c r="G62" s="111" t="s">
        <v>136</v>
      </c>
      <c r="H62" s="111" t="s">
        <v>192</v>
      </c>
    </row>
    <row r="63" spans="4:9" ht="20" customHeight="1" x14ac:dyDescent="0.25">
      <c r="D63" s="55" t="str">
        <f>INDEX(X_Table_Swine_Stage1MMS_SolidStorage,2,1)</f>
        <v>Solid storage (before solid separation)</v>
      </c>
      <c r="E63" s="50" cm="1">
        <f t="array" aca="1" ref="E63:H63" ca="1">OFFSET(X_Table_Swine_Stage1MMS_SolidStorage,1,1,1,4)</f>
        <v>0.25</v>
      </c>
      <c r="F63" s="50">
        <f ca="1"/>
        <v>0.25</v>
      </c>
      <c r="G63" s="50">
        <f ca="1"/>
        <v>0.25</v>
      </c>
      <c r="H63" s="50">
        <f ca="1"/>
        <v>0.25</v>
      </c>
      <c r="I63" s="2" t="str">
        <f>$G$56</f>
        <v>fraction</v>
      </c>
    </row>
    <row r="64" spans="4:9" ht="20" customHeight="1" x14ac:dyDescent="0.25"/>
    <row r="65" spans="3:21" ht="20" customHeight="1" x14ac:dyDescent="0.25">
      <c r="D65" s="113" t="s">
        <v>182</v>
      </c>
      <c r="N65" s="113" t="s">
        <v>196</v>
      </c>
    </row>
    <row r="66" spans="3:21" ht="20" customHeight="1" x14ac:dyDescent="0.25">
      <c r="D66" s="114" t="s">
        <v>183</v>
      </c>
      <c r="N66" s="114" t="s">
        <v>197</v>
      </c>
    </row>
    <row r="67" spans="3:21" ht="20" customHeight="1" x14ac:dyDescent="0.25">
      <c r="D67" s="49" t="s">
        <v>155</v>
      </c>
      <c r="E67" s="49" t="s">
        <v>134</v>
      </c>
      <c r="F67" s="49" t="s">
        <v>135</v>
      </c>
      <c r="G67" s="49" t="s">
        <v>136</v>
      </c>
      <c r="H67" s="49" t="s">
        <v>192</v>
      </c>
      <c r="N67" s="49" t="s">
        <v>155</v>
      </c>
      <c r="O67" s="49" t="s">
        <v>134</v>
      </c>
      <c r="P67" s="49" t="s">
        <v>135</v>
      </c>
      <c r="Q67" s="49" t="s">
        <v>136</v>
      </c>
      <c r="R67" s="49" t="s">
        <v>192</v>
      </c>
    </row>
    <row r="68" spans="3:21" ht="20" customHeight="1" x14ac:dyDescent="0.25">
      <c r="D68" s="55" t="s">
        <v>343</v>
      </c>
      <c r="E68" s="50" cm="1">
        <f t="array" aca="1" ref="E68" ca="1">MMS_Swine_Methane_Equations.VEERG_4_5_1_1__5_FractionVolatileSolidsSolidStorageVariation(E63,E19,E20,E21,E22,E23,E28,E29,E30,E31,E32)</f>
        <v>0.40000000000000013</v>
      </c>
      <c r="F68" s="50" cm="1">
        <f t="array" aca="1" ref="F68" ca="1">MMS_Swine_Methane_Equations.VEERG_4_5_1_1__5_FractionVolatileSolidsSolidStorageVariation(F63,F19,F20,F21,F22,F23,F28,F29,F30,F31,F32)</f>
        <v>0.40000000000000013</v>
      </c>
      <c r="G68" s="50" cm="1">
        <f t="array" aca="1" ref="G68" ca="1">MMS_Swine_Methane_Equations.VEERG_4_5_1_1__5_FractionVolatileSolidsSolidStorageVariation(G63,G19,G20,G21,G22,G23,G28,G29,G30,G31,G32)</f>
        <v>0.40000000000000013</v>
      </c>
      <c r="H68" s="50" cm="1">
        <f t="array" aca="1" ref="H68" ca="1">MMS_Swine_Methane_Equations.VEERG_4_5_1_1__5_FractionVolatileSolidsSolidStorageVariation(H63,H19,H20,H21,H22,H23,H28,H29,H30,H31,H32)</f>
        <v>0.40000000000000013</v>
      </c>
      <c r="I68" s="2" t="str">
        <f>$E$54</f>
        <v>fraction</v>
      </c>
      <c r="N68" s="55" t="s">
        <v>343</v>
      </c>
      <c r="O68" s="50" cm="1">
        <f t="array" aca="1" ref="O68" ca="1">MMS_Swine_Methane_Equations.VEERG_4_5_1_1__5_FractionVolatileSolidsSolidStorageVariation(E63,E19,E20,E21,E22,E23,O28,O29,O30,O31,O32)</f>
        <v>0.40000000000000013</v>
      </c>
      <c r="P68" s="50" cm="1">
        <f t="array" aca="1" ref="P68" ca="1">MMS_Swine_Methane_Equations.VEERG_4_5_1_1__5_FractionVolatileSolidsSolidStorageVariation(F63,F19,F20,F21,F22,F23,P28,P29,P30,P31,P32)</f>
        <v>0.40000000000000013</v>
      </c>
      <c r="Q68" s="50" cm="1">
        <f t="array" aca="1" ref="Q68" ca="1">MMS_Swine_Methane_Equations.VEERG_4_5_1_1__5_FractionVolatileSolidsSolidStorageVariation(G63,G19,G20,G21,G22,G23,Q28,Q29,Q30,Q31,Q32)</f>
        <v>0.40000000000000013</v>
      </c>
      <c r="R68" s="50" cm="1">
        <f t="array" aca="1" ref="R68" ca="1">MMS_Swine_Methane_Equations.VEERG_4_5_1_1__5_FractionVolatileSolidsSolidStorageVariation(H63,H19,H20,H21,H22,H23,R28,R29,R30,R31,R32)</f>
        <v>0.40000000000000013</v>
      </c>
      <c r="S68" s="2" t="str">
        <f>$E$54</f>
        <v>fraction</v>
      </c>
    </row>
    <row r="69" spans="3:21" ht="20" customHeight="1" x14ac:dyDescent="0.25"/>
    <row r="70" spans="3:21" ht="20" customHeight="1" x14ac:dyDescent="0.25"/>
    <row r="71" spans="3:21" ht="20" customHeight="1" x14ac:dyDescent="0.25">
      <c r="C71" s="43"/>
      <c r="D71" s="43"/>
      <c r="E71" s="43"/>
      <c r="F71" s="43"/>
      <c r="G71" s="43"/>
      <c r="H71" s="43"/>
      <c r="I71" s="43"/>
      <c r="J71" s="43"/>
      <c r="K71" s="43"/>
      <c r="M71" s="43"/>
      <c r="N71" s="43"/>
      <c r="O71" s="43"/>
      <c r="P71" s="43"/>
      <c r="Q71" s="43"/>
      <c r="R71" s="43"/>
      <c r="S71" s="43"/>
      <c r="T71" s="43"/>
      <c r="U71" s="43"/>
    </row>
    <row r="72" spans="3:21" ht="20" customHeight="1" x14ac:dyDescent="0.25">
      <c r="D72" s="6" t="str" cm="1">
        <f t="array" ref="D72">MMS_Swine_Methane_Equations.VEERG_4_5_1_1__7_VolatileSolidsTransferredStage2_Title()</f>
        <v>Volatile solids transferred to treatment stage 2 MMS</v>
      </c>
    </row>
    <row r="73" spans="3:21" ht="20" customHeight="1" x14ac:dyDescent="0.25">
      <c r="D73" s="5" t="str" cm="1">
        <f t="array" ref="D73">MMS_Swine_Methane_Equations.VEERG_4_5_1_1__7_VolatileSolidsTransferredStage2_Source()</f>
        <v>VEERG 2026: 4.5.1.1, Equation (7)</v>
      </c>
    </row>
    <row r="74" spans="3:21" ht="20" customHeight="1" x14ac:dyDescent="0.25">
      <c r="D74" s="13" t="s">
        <v>23</v>
      </c>
      <c r="E74" s="13" t="str" cm="1">
        <f t="array" aca="1" ref="E74" ca="1">Common_InputFunctions.Utility_DisplayFunctionName(E103)</f>
        <v>=MMS_Swine_Methane_Equations.VEERG_4_5_1_1__7_VolatileSolidsTransferredStage2</v>
      </c>
    </row>
    <row r="75" spans="3:21" ht="20" customHeight="1" x14ac:dyDescent="0.25"/>
    <row r="76" spans="3:21" ht="20" customHeight="1" x14ac:dyDescent="0.25"/>
    <row r="77" spans="3:21" ht="20" customHeight="1" x14ac:dyDescent="0.25"/>
    <row r="78" spans="3:21" ht="20" customHeight="1" x14ac:dyDescent="0.25">
      <c r="D78" s="51" t="s">
        <v>26</v>
      </c>
      <c r="E78" s="1" t="str" cm="1">
        <f t="array" ref="E78">MMS_Swine_Methane_Equations.VEERG_4_5_1_1__7_VolatileSolidsTransferredStage2_Variable()</f>
        <v>VSTijmT2</v>
      </c>
    </row>
    <row r="79" spans="3:21" ht="20" customHeight="1" x14ac:dyDescent="0.25">
      <c r="D79" s="51" t="s">
        <v>16</v>
      </c>
      <c r="E79" s="52" t="str" cm="1">
        <f t="array" ref="E79">MMS_Swine_Methane_Equations.VEERG_4_5_1_1__7_VolatileSolidsTransferredStage2_Unit()</f>
        <v>kg VS</v>
      </c>
    </row>
    <row r="80" spans="3:21" ht="20" customHeight="1" x14ac:dyDescent="0.25"/>
    <row r="81" spans="4:18" ht="20" customHeight="1" x14ac:dyDescent="0.25">
      <c r="D81" s="55" t="str" cm="1">
        <f t="array" ref="D81:E83">Common_InputFunctions.Utility_DisplayArguments_1_2(MMS_Swine_Methane_Equations.VEERG_4_5_1_1__7_VolatileSolidsTransferredStage2_Arguments())</f>
        <v>VSj</v>
      </c>
      <c r="E81" s="56" t="str">
        <v>volatile solid production from swine in each class</v>
      </c>
      <c r="F81" s="57"/>
      <c r="G81" s="55" t="str" cm="1">
        <f t="array" ref="G81:H83">Common_InputFunctions.Utility_DisplayArguments_3_4(MMS_Swine_Methane_Equations.VEERG_4_5_1_1__7_VolatileSolidsTransferredStage2_Arguments())</f>
        <v>kg/head/day</v>
      </c>
      <c r="H81" s="128" t="str">
        <v>Input</v>
      </c>
      <c r="I81" s="131" t="str" cm="1">
        <f t="array" aca="1" ref="I81" ca="1">HYPERLINK(Common_InputFunctions.Utility_SourceHyperlink(D85), D85)</f>
        <v>M1_Table_VS_j</v>
      </c>
      <c r="J81" s="131"/>
    </row>
    <row r="82" spans="4:18" ht="20" customHeight="1" x14ac:dyDescent="0.25">
      <c r="D82" s="55" t="str">
        <v>FVSjmT1</v>
      </c>
      <c r="E82" s="56" t="str">
        <v>fraction of volatile solids in each primary system</v>
      </c>
      <c r="F82" s="57"/>
      <c r="G82" s="55" t="str">
        <v>fraction</v>
      </c>
      <c r="H82" s="127" t="str">
        <v>Calculated from 4.5.1.1 (4)(5)</v>
      </c>
      <c r="I82" s="131" t="str" cm="1">
        <f t="array" aca="1" ref="I82" ca="1">HYPERLINK(Common_InputFunctions.Utility_SourceHyperlink($D$34), $D$34)</f>
        <v>M1_Table_FVS_j_m_T-1</v>
      </c>
      <c r="J82" s="131" t="str" cm="1">
        <f t="array" aca="1" ref="J82" ca="1">HYPERLINK(Common_InputFunctions.Utility_SourceHyperlink($D$65), $D$65)</f>
        <v>M1_Table_FVS_j_m-4_T-1</v>
      </c>
    </row>
    <row r="83" spans="4:18" ht="20" customHeight="1" x14ac:dyDescent="0.25">
      <c r="D83" s="55" t="str">
        <v>VSLmT1</v>
      </c>
      <c r="E83" s="56" t="str">
        <v>fraction of volatile solids lost during storage in the primary system</v>
      </c>
      <c r="F83" s="57"/>
      <c r="G83" s="55" t="str">
        <v>fraction</v>
      </c>
      <c r="H83" s="127" t="str">
        <v>Lookup</v>
      </c>
      <c r="I83" s="131" t="str" cm="1">
        <f t="array" aca="1" ref="I83" ca="1">HYPERLINK(Common_InputFunctions.Utility_SourceHyperlink($D$90), $D$90)</f>
        <v>Table_VSL_m_T-1</v>
      </c>
      <c r="J83" s="131"/>
    </row>
    <row r="84" spans="4:18" ht="20" customHeight="1" x14ac:dyDescent="0.25"/>
    <row r="85" spans="4:18" ht="20" customHeight="1" x14ac:dyDescent="0.25">
      <c r="D85" s="113" t="s">
        <v>198</v>
      </c>
      <c r="N85" s="113" t="s">
        <v>200</v>
      </c>
    </row>
    <row r="86" spans="4:18" ht="20" customHeight="1" x14ac:dyDescent="0.25">
      <c r="D86" s="114" t="s">
        <v>199</v>
      </c>
      <c r="N86" s="114" t="s">
        <v>201</v>
      </c>
    </row>
    <row r="87" spans="4:18" ht="20" customHeight="1" x14ac:dyDescent="0.25">
      <c r="D87" s="111" t="s">
        <v>134</v>
      </c>
      <c r="E87" s="111" t="s">
        <v>135</v>
      </c>
      <c r="F87" s="111" t="s">
        <v>136</v>
      </c>
      <c r="G87" s="111" t="s">
        <v>192</v>
      </c>
      <c r="I87" s="2"/>
      <c r="J87" s="2"/>
      <c r="N87" s="111" t="s">
        <v>134</v>
      </c>
      <c r="O87" s="111" t="s">
        <v>135</v>
      </c>
      <c r="P87" s="111" t="s">
        <v>136</v>
      </c>
      <c r="Q87" s="111" t="s">
        <v>192</v>
      </c>
    </row>
    <row r="88" spans="4:18" ht="20" customHeight="1" x14ac:dyDescent="0.25">
      <c r="D88" s="50" cm="1">
        <f t="array" aca="1" ref="D88:G88" ca="1">OFFSET(X_Table_Swine_ManureProduction_Method1,1,1,1,4)</f>
        <v>0.4</v>
      </c>
      <c r="E88" s="50">
        <f ca="1"/>
        <v>0.46</v>
      </c>
      <c r="F88" s="50">
        <f ca="1"/>
        <v>0.55000000000000004</v>
      </c>
      <c r="G88" s="50">
        <f ca="1"/>
        <v>0.39</v>
      </c>
      <c r="H88" s="2" t="str">
        <f>$G$81</f>
        <v>kg/head/day</v>
      </c>
      <c r="N88" s="50" cm="1">
        <f t="array" aca="1" ref="N88:Q88" ca="1">OFFSET(X_Table_Swine_ManureProduction_Method2,1,1,1,4)</f>
        <v>0.4</v>
      </c>
      <c r="O88" s="50">
        <f ca="1"/>
        <v>0.46</v>
      </c>
      <c r="P88" s="50">
        <f ca="1"/>
        <v>0.55000000000000004</v>
      </c>
      <c r="Q88" s="50">
        <f ca="1"/>
        <v>0.39</v>
      </c>
      <c r="R88" s="2" t="str">
        <f>$G$81</f>
        <v>kg/head/day</v>
      </c>
    </row>
    <row r="89" spans="4:18" ht="20" customHeight="1" x14ac:dyDescent="0.25"/>
    <row r="90" spans="4:18" ht="20" customHeight="1" x14ac:dyDescent="0.25">
      <c r="D90" s="113" t="s">
        <v>158</v>
      </c>
    </row>
    <row r="91" spans="4:18" ht="20" customHeight="1" x14ac:dyDescent="0.25">
      <c r="D91" s="114" t="s">
        <v>149</v>
      </c>
    </row>
    <row r="92" spans="4:18" ht="20" customHeight="1" x14ac:dyDescent="0.25">
      <c r="D92" s="49" t="s">
        <v>155</v>
      </c>
      <c r="E92" s="49" t="s">
        <v>159</v>
      </c>
    </row>
    <row r="93" spans="4:18" ht="20" customHeight="1" x14ac:dyDescent="0.25">
      <c r="D93" s="55" t="str">
        <f>INDEX(X_Table_Swine_Stage1MMS_AnaerobicLagoon,2,1)</f>
        <v>Anaerobic lagoon</v>
      </c>
      <c r="E93" s="50" cm="1">
        <f t="array" ref="E93">Common_InputFunctions.Utility_LookupValueInTableNumber(D93,Table_SourceData_SwineVSL[MMS],Table_SourceData_SwineVSL[VSL])</f>
        <v>0</v>
      </c>
      <c r="F93" s="2" t="str">
        <f>G83</f>
        <v>fraction</v>
      </c>
    </row>
    <row r="94" spans="4:18" ht="20" customHeight="1" x14ac:dyDescent="0.25">
      <c r="D94" s="55" t="str">
        <f>INDEX(X_Table_Swine_Stage1MMS_Drylot,2,1)</f>
        <v>Drylot (feed pad)</v>
      </c>
      <c r="E94" s="50" cm="1">
        <f t="array" ref="E94">Common_InputFunctions.Utility_LookupValueInTableNumber(D94,Table_SourceData_SwineVSL[MMS],Table_SourceData_SwineVSL[VSL])</f>
        <v>0</v>
      </c>
      <c r="F94" s="2"/>
    </row>
    <row r="95" spans="4:18" ht="20" customHeight="1" x14ac:dyDescent="0.25">
      <c r="D95" s="55" t="str">
        <f>INDEX(X_Table_Swine_Stage1MMS_DigesterCoveredLagoons,2,1)</f>
        <v>Digester / covered lagoons</v>
      </c>
      <c r="E95" s="50" cm="1">
        <f t="array" ref="E95">Common_InputFunctions.Utility_LookupValueInTableNumber(D95,Table_SourceData_SwineVSL[MMS],Table_SourceData_SwineVSL[VSL])</f>
        <v>0.75</v>
      </c>
      <c r="F95" s="2"/>
    </row>
    <row r="96" spans="4:18" ht="20" customHeight="1" x14ac:dyDescent="0.25">
      <c r="D96" s="55" t="str">
        <f>INDEX(X_Table_Swine_Stage1MMS_DeepLitter,2,1)</f>
        <v>Deep litter</v>
      </c>
      <c r="E96" s="50" cm="1">
        <f t="array" ref="E96">Common_InputFunctions.Utility_LookupValueInTableNumber(D96,Table_SourceData_SwineVSL[MMS],Table_SourceData_SwineVSL[VSL])</f>
        <v>0.05</v>
      </c>
      <c r="F96" s="2"/>
      <c r="G96" s="100" t="s">
        <v>160</v>
      </c>
    </row>
    <row r="97" spans="3:21" ht="20" customHeight="1" x14ac:dyDescent="0.25">
      <c r="D97" s="55" t="str">
        <f>INDEX(X_Table_Swine_Stage1MMS_PitStorage,2,1)</f>
        <v>Pit storage</v>
      </c>
      <c r="E97" s="50" cm="1">
        <f t="array" ref="E97">Common_InputFunctions.Utility_LookupValueInTableNumber(D97,Table_SourceData_SwineVSL[MMS],Table_SourceData_SwineVSL[VSL])</f>
        <v>0</v>
      </c>
      <c r="F97" s="2"/>
    </row>
    <row r="98" spans="3:21" ht="20" customHeight="1" x14ac:dyDescent="0.25">
      <c r="D98" s="55" t="str">
        <f>INDEX(X_Table_Swine_Stage1MMS_SolidStorage,2,1)</f>
        <v>Solid storage (before solid separation)</v>
      </c>
      <c r="E98" s="50" cm="1">
        <f t="array" ref="E98">Common_InputFunctions.Utility_LookupValueInTableNumber(D98,Table_SourceData_SwineVSL[MMS],Table_SourceData_SwineVSL[VSL])</f>
        <v>0</v>
      </c>
      <c r="F98" s="2"/>
    </row>
    <row r="99" spans="3:21" ht="20" customHeight="1" x14ac:dyDescent="0.25"/>
    <row r="100" spans="3:21" ht="20" customHeight="1" x14ac:dyDescent="0.25">
      <c r="D100" s="113" t="s">
        <v>187</v>
      </c>
      <c r="N100" s="113" t="s">
        <v>202</v>
      </c>
    </row>
    <row r="101" spans="3:21" ht="20" customHeight="1" x14ac:dyDescent="0.25">
      <c r="D101" s="114" t="s">
        <v>188</v>
      </c>
      <c r="N101" s="114" t="s">
        <v>203</v>
      </c>
    </row>
    <row r="102" spans="3:21" ht="20" customHeight="1" x14ac:dyDescent="0.25">
      <c r="D102" s="49" t="s">
        <v>155</v>
      </c>
      <c r="E102" s="49" t="s">
        <v>134</v>
      </c>
      <c r="F102" s="49" t="s">
        <v>135</v>
      </c>
      <c r="G102" s="49" t="s">
        <v>136</v>
      </c>
      <c r="H102" s="49" t="s">
        <v>192</v>
      </c>
      <c r="N102" s="49" t="s">
        <v>155</v>
      </c>
      <c r="O102" s="49" t="s">
        <v>134</v>
      </c>
      <c r="P102" s="49" t="s">
        <v>135</v>
      </c>
      <c r="Q102" s="49" t="s">
        <v>136</v>
      </c>
      <c r="R102" s="49" t="s">
        <v>192</v>
      </c>
    </row>
    <row r="103" spans="3:21" ht="20" customHeight="1" x14ac:dyDescent="0.25">
      <c r="D103" s="55" t="str">
        <f>INDEX(X_Table_Swine_Stage1MMS_AnaerobicLagoon,2,1)</f>
        <v>Anaerobic lagoon</v>
      </c>
      <c r="E103" s="50" cm="1">
        <f t="array" aca="1" ref="E103" ca="1">MMS_Swine_Methane_Equations.VEERG_4_5_1_1__7_VolatileSolidsTransferredStage2(D$88,E37,$E93)</f>
        <v>4.8000000000000001E-2</v>
      </c>
      <c r="F103" s="50" cm="1">
        <f t="array" aca="1" ref="F103" ca="1">MMS_Swine_Methane_Equations.VEERG_4_5_1_1__7_VolatileSolidsTransferredStage2(E$88,F37,$E93)</f>
        <v>5.5199999999999999E-2</v>
      </c>
      <c r="G103" s="50" cm="1">
        <f t="array" aca="1" ref="G103" ca="1">MMS_Swine_Methane_Equations.VEERG_4_5_1_1__7_VolatileSolidsTransferredStage2(F$88,G37,$E93)</f>
        <v>6.6000000000000003E-2</v>
      </c>
      <c r="H103" s="50" cm="1">
        <f t="array" aca="1" ref="H103" ca="1">MMS_Swine_Methane_Equations.VEERG_4_5_1_1__7_VolatileSolidsTransferredStage2(G$88,H37,$E93)</f>
        <v>4.6800000000000001E-2</v>
      </c>
      <c r="I103" s="2" t="str">
        <f>$E$79</f>
        <v>kg VS</v>
      </c>
      <c r="N103" s="55" t="str">
        <f>INDEX(X_Table_Swine_Stage1MMS_AnaerobicLagoon,2,1)</f>
        <v>Anaerobic lagoon</v>
      </c>
      <c r="O103" s="50" cm="1">
        <f t="array" aca="1" ref="O103" ca="1">MMS_Swine_Methane_Equations.VEERG_4_5_1_1__7_VolatileSolidsTransferredStage2(N$88,O37,$E93)</f>
        <v>4.8000000000000001E-2</v>
      </c>
      <c r="P103" s="50" cm="1">
        <f t="array" aca="1" ref="P103" ca="1">MMS_Swine_Methane_Equations.VEERG_4_5_1_1__7_VolatileSolidsTransferredStage2(O$88,P37,$E93)</f>
        <v>5.5199999999999999E-2</v>
      </c>
      <c r="Q103" s="50" cm="1">
        <f t="array" aca="1" ref="Q103" ca="1">MMS_Swine_Methane_Equations.VEERG_4_5_1_1__7_VolatileSolidsTransferredStage2(P$88,Q37,$E93)</f>
        <v>6.6000000000000003E-2</v>
      </c>
      <c r="R103" s="50" cm="1">
        <f t="array" aca="1" ref="R103" ca="1">MMS_Swine_Methane_Equations.VEERG_4_5_1_1__7_VolatileSolidsTransferredStage2(Q$88,R37,$E93)</f>
        <v>4.6800000000000001E-2</v>
      </c>
      <c r="S103" s="2" t="str">
        <f t="shared" ref="S103" si="0">$E$79</f>
        <v>kg VS</v>
      </c>
    </row>
    <row r="104" spans="3:21" ht="20" customHeight="1" x14ac:dyDescent="0.25">
      <c r="D104" s="55" t="str">
        <f>INDEX(X_Table_Swine_Stage1MMS_Drylot,2,1)</f>
        <v>Drylot (feed pad)</v>
      </c>
      <c r="E104" s="50" cm="1">
        <f t="array" aca="1" ref="E104" ca="1">MMS_Swine_Methane_Equations.VEERG_4_5_1_1__7_VolatileSolidsTransferredStage2(D$88,E38,$E94)</f>
        <v>4.8000000000000001E-2</v>
      </c>
      <c r="F104" s="50" cm="1">
        <f t="array" aca="1" ref="F104" ca="1">MMS_Swine_Methane_Equations.VEERG_4_5_1_1__7_VolatileSolidsTransferredStage2(E$88,F38,$E94)</f>
        <v>5.5199999999999999E-2</v>
      </c>
      <c r="G104" s="50" cm="1">
        <f t="array" aca="1" ref="G104" ca="1">MMS_Swine_Methane_Equations.VEERG_4_5_1_1__7_VolatileSolidsTransferredStage2(F$88,G38,$E94)</f>
        <v>6.6000000000000003E-2</v>
      </c>
      <c r="H104" s="50" cm="1">
        <f t="array" aca="1" ref="H104" ca="1">MMS_Swine_Methane_Equations.VEERG_4_5_1_1__7_VolatileSolidsTransferredStage2(G$88,H38,$E94)</f>
        <v>4.6800000000000001E-2</v>
      </c>
      <c r="I104" s="2"/>
      <c r="N104" s="55" t="str">
        <f>INDEX(X_Table_Swine_Stage1MMS_Drylot,2,1)</f>
        <v>Drylot (feed pad)</v>
      </c>
      <c r="O104" s="50" cm="1">
        <f t="array" aca="1" ref="O104" ca="1">MMS_Swine_Methane_Equations.VEERG_4_5_1_1__7_VolatileSolidsTransferredStage2(N$88,O38,$E94)</f>
        <v>4.8000000000000001E-2</v>
      </c>
      <c r="P104" s="50" cm="1">
        <f t="array" aca="1" ref="P104" ca="1">MMS_Swine_Methane_Equations.VEERG_4_5_1_1__7_VolatileSolidsTransferredStage2(O$88,P38,$E94)</f>
        <v>5.5199999999999999E-2</v>
      </c>
      <c r="Q104" s="50" cm="1">
        <f t="array" aca="1" ref="Q104" ca="1">MMS_Swine_Methane_Equations.VEERG_4_5_1_1__7_VolatileSolidsTransferredStage2(P$88,Q38,$E94)</f>
        <v>6.6000000000000003E-2</v>
      </c>
      <c r="R104" s="50" cm="1">
        <f t="array" aca="1" ref="R104" ca="1">MMS_Swine_Methane_Equations.VEERG_4_5_1_1__7_VolatileSolidsTransferredStage2(Q$88,R38,$E94)</f>
        <v>4.6800000000000001E-2</v>
      </c>
      <c r="S104" s="2"/>
    </row>
    <row r="105" spans="3:21" ht="20" customHeight="1" x14ac:dyDescent="0.25">
      <c r="D105" s="55" t="str">
        <f>INDEX(X_Table_Swine_Stage1MMS_DigesterCoveredLagoons,2,1)</f>
        <v>Digester / covered lagoons</v>
      </c>
      <c r="E105" s="50" cm="1">
        <f t="array" aca="1" ref="E105" ca="1">MMS_Swine_Methane_Equations.VEERG_4_5_1_1__7_VolatileSolidsTransferredStage2(D$88,E39,$E95)</f>
        <v>1.2E-2</v>
      </c>
      <c r="F105" s="50" cm="1">
        <f t="array" aca="1" ref="F105" ca="1">MMS_Swine_Methane_Equations.VEERG_4_5_1_1__7_VolatileSolidsTransferredStage2(E$88,F39,$E95)</f>
        <v>1.38E-2</v>
      </c>
      <c r="G105" s="50" cm="1">
        <f t="array" aca="1" ref="G105" ca="1">MMS_Swine_Methane_Equations.VEERG_4_5_1_1__7_VolatileSolidsTransferredStage2(F$88,G39,$E95)</f>
        <v>1.6500000000000001E-2</v>
      </c>
      <c r="H105" s="50" cm="1">
        <f t="array" aca="1" ref="H105" ca="1">MMS_Swine_Methane_Equations.VEERG_4_5_1_1__7_VolatileSolidsTransferredStage2(G$88,H39,$E95)</f>
        <v>1.17E-2</v>
      </c>
      <c r="I105" s="2"/>
      <c r="N105" s="55" t="str">
        <f>INDEX(X_Table_Swine_Stage1MMS_DigesterCoveredLagoons,2,1)</f>
        <v>Digester / covered lagoons</v>
      </c>
      <c r="O105" s="50" cm="1">
        <f t="array" aca="1" ref="O105" ca="1">MMS_Swine_Methane_Equations.VEERG_4_5_1_1__7_VolatileSolidsTransferredStage2(N$88,O39,$E95)</f>
        <v>1.2E-2</v>
      </c>
      <c r="P105" s="50" cm="1">
        <f t="array" aca="1" ref="P105" ca="1">MMS_Swine_Methane_Equations.VEERG_4_5_1_1__7_VolatileSolidsTransferredStage2(O$88,P39,$E95)</f>
        <v>1.38E-2</v>
      </c>
      <c r="Q105" s="50" cm="1">
        <f t="array" aca="1" ref="Q105" ca="1">MMS_Swine_Methane_Equations.VEERG_4_5_1_1__7_VolatileSolidsTransferredStage2(P$88,Q39,$E95)</f>
        <v>1.6500000000000001E-2</v>
      </c>
      <c r="R105" s="50" cm="1">
        <f t="array" aca="1" ref="R105" ca="1">MMS_Swine_Methane_Equations.VEERG_4_5_1_1__7_VolatileSolidsTransferredStage2(Q$88,R39,$E95)</f>
        <v>1.17E-2</v>
      </c>
      <c r="S105" s="2"/>
    </row>
    <row r="106" spans="3:21" ht="20" customHeight="1" x14ac:dyDescent="0.25">
      <c r="D106" s="55" t="str">
        <f>INDEX(X_Table_Swine_Stage1MMS_DeepLitter,2,1)</f>
        <v>Deep litter</v>
      </c>
      <c r="E106" s="50" cm="1">
        <f t="array" aca="1" ref="E106" ca="1">MMS_Swine_Methane_Equations.VEERG_4_5_1_1__7_VolatileSolidsTransferredStage2(D$88,E40,$E96)</f>
        <v>4.5600000000000002E-2</v>
      </c>
      <c r="F106" s="50" cm="1">
        <f t="array" aca="1" ref="F106" ca="1">MMS_Swine_Methane_Equations.VEERG_4_5_1_1__7_VolatileSolidsTransferredStage2(E$88,F40,$E96)</f>
        <v>5.2439999999999994E-2</v>
      </c>
      <c r="G106" s="50" cm="1">
        <f t="array" aca="1" ref="G106" ca="1">MMS_Swine_Methane_Equations.VEERG_4_5_1_1__7_VolatileSolidsTransferredStage2(F$88,G40,$E96)</f>
        <v>6.2700000000000006E-2</v>
      </c>
      <c r="H106" s="50" cm="1">
        <f t="array" aca="1" ref="H106" ca="1">MMS_Swine_Methane_Equations.VEERG_4_5_1_1__7_VolatileSolidsTransferredStage2(G$88,H40,$E96)</f>
        <v>4.446E-2</v>
      </c>
      <c r="I106" s="2"/>
      <c r="N106" s="55" t="str">
        <f>INDEX(X_Table_Swine_Stage1MMS_DeepLitter,2,1)</f>
        <v>Deep litter</v>
      </c>
      <c r="O106" s="50" cm="1">
        <f t="array" aca="1" ref="O106" ca="1">MMS_Swine_Methane_Equations.VEERG_4_5_1_1__7_VolatileSolidsTransferredStage2(N$88,O40,$E96)</f>
        <v>4.5600000000000002E-2</v>
      </c>
      <c r="P106" s="50" cm="1">
        <f t="array" aca="1" ref="P106" ca="1">MMS_Swine_Methane_Equations.VEERG_4_5_1_1__7_VolatileSolidsTransferredStage2(O$88,P40,$E96)</f>
        <v>5.2439999999999994E-2</v>
      </c>
      <c r="Q106" s="50" cm="1">
        <f t="array" aca="1" ref="Q106" ca="1">MMS_Swine_Methane_Equations.VEERG_4_5_1_1__7_VolatileSolidsTransferredStage2(P$88,Q40,$E96)</f>
        <v>6.2700000000000006E-2</v>
      </c>
      <c r="R106" s="50" cm="1">
        <f t="array" aca="1" ref="R106" ca="1">MMS_Swine_Methane_Equations.VEERG_4_5_1_1__7_VolatileSolidsTransferredStage2(Q$88,R40,$E96)</f>
        <v>4.446E-2</v>
      </c>
      <c r="S106" s="2"/>
    </row>
    <row r="107" spans="3:21" ht="20" customHeight="1" x14ac:dyDescent="0.25">
      <c r="D107" s="55" t="str">
        <f>INDEX(X_Table_Swine_Stage1MMS_PitStorage,2,1)</f>
        <v>Pit storage</v>
      </c>
      <c r="E107" s="50" cm="1">
        <f t="array" aca="1" ref="E107" ca="1">MMS_Swine_Methane_Equations.VEERG_4_5_1_1__7_VolatileSolidsTransferredStage2(D$88,E41,$E97)</f>
        <v>4.8000000000000001E-2</v>
      </c>
      <c r="F107" s="50" cm="1">
        <f t="array" aca="1" ref="F107" ca="1">MMS_Swine_Methane_Equations.VEERG_4_5_1_1__7_VolatileSolidsTransferredStage2(E$88,F41,$E97)</f>
        <v>5.5199999999999999E-2</v>
      </c>
      <c r="G107" s="50" cm="1">
        <f t="array" aca="1" ref="G107" ca="1">MMS_Swine_Methane_Equations.VEERG_4_5_1_1__7_VolatileSolidsTransferredStage2(F$88,G41,$E97)</f>
        <v>6.6000000000000003E-2</v>
      </c>
      <c r="H107" s="50" cm="1">
        <f t="array" aca="1" ref="H107" ca="1">MMS_Swine_Methane_Equations.VEERG_4_5_1_1__7_VolatileSolidsTransferredStage2(G$88,H41,$E97)</f>
        <v>4.6800000000000001E-2</v>
      </c>
      <c r="I107" s="2"/>
      <c r="N107" s="55" t="str">
        <f>INDEX(X_Table_Swine_Stage1MMS_PitStorage,2,1)</f>
        <v>Pit storage</v>
      </c>
      <c r="O107" s="50" cm="1">
        <f t="array" aca="1" ref="O107" ca="1">MMS_Swine_Methane_Equations.VEERG_4_5_1_1__7_VolatileSolidsTransferredStage2(N$88,O41,$E97)</f>
        <v>4.8000000000000001E-2</v>
      </c>
      <c r="P107" s="50" cm="1">
        <f t="array" aca="1" ref="P107" ca="1">MMS_Swine_Methane_Equations.VEERG_4_5_1_1__7_VolatileSolidsTransferredStage2(O$88,P41,$E97)</f>
        <v>5.5199999999999999E-2</v>
      </c>
      <c r="Q107" s="50" cm="1">
        <f t="array" aca="1" ref="Q107" ca="1">MMS_Swine_Methane_Equations.VEERG_4_5_1_1__7_VolatileSolidsTransferredStage2(P$88,Q41,$E97)</f>
        <v>6.6000000000000003E-2</v>
      </c>
      <c r="R107" s="50" cm="1">
        <f t="array" aca="1" ref="R107" ca="1">MMS_Swine_Methane_Equations.VEERG_4_5_1_1__7_VolatileSolidsTransferredStage2(Q$88,R41,$E97)</f>
        <v>4.6800000000000001E-2</v>
      </c>
      <c r="S107" s="2"/>
    </row>
    <row r="108" spans="3:21" ht="20" customHeight="1" x14ac:dyDescent="0.25">
      <c r="D108" s="55" t="s">
        <v>343</v>
      </c>
      <c r="E108" s="50" cm="1">
        <f t="array" aca="1" ref="E108" ca="1">MMS_Swine_Methane_Equations.VEERG_4_5_1_1__7_VolatileSolidsTransferredStage2(D$88,E68,$E98)</f>
        <v>0.16000000000000006</v>
      </c>
      <c r="F108" s="50" cm="1">
        <f t="array" aca="1" ref="F108" ca="1">MMS_Swine_Methane_Equations.VEERG_4_5_1_1__7_VolatileSolidsTransferredStage2(E$88,F68,$E98)</f>
        <v>0.18400000000000008</v>
      </c>
      <c r="G108" s="50" cm="1">
        <f t="array" aca="1" ref="G108" ca="1">MMS_Swine_Methane_Equations.VEERG_4_5_1_1__7_VolatileSolidsTransferredStage2(F$88,G68,$E98)</f>
        <v>0.22000000000000008</v>
      </c>
      <c r="H108" s="50" cm="1">
        <f t="array" aca="1" ref="H108" ca="1">MMS_Swine_Methane_Equations.VEERG_4_5_1_1__7_VolatileSolidsTransferredStage2(G$88,H68,$E98)</f>
        <v>0.15600000000000006</v>
      </c>
      <c r="I108" s="2"/>
      <c r="N108" s="55" t="s">
        <v>343</v>
      </c>
      <c r="O108" s="50" cm="1">
        <f t="array" aca="1" ref="O108" ca="1">MMS_Swine_Methane_Equations.VEERG_4_5_1_1__7_VolatileSolidsTransferredStage2(N$88,O68,$E98)</f>
        <v>0.16000000000000006</v>
      </c>
      <c r="P108" s="50" cm="1">
        <f t="array" aca="1" ref="P108" ca="1">MMS_Swine_Methane_Equations.VEERG_4_5_1_1__7_VolatileSolidsTransferredStage2(O$88,P68,$E98)</f>
        <v>0.18400000000000008</v>
      </c>
      <c r="Q108" s="50" cm="1">
        <f t="array" aca="1" ref="Q108" ca="1">MMS_Swine_Methane_Equations.VEERG_4_5_1_1__7_VolatileSolidsTransferredStage2(P$88,Q68,$E98)</f>
        <v>0.22000000000000008</v>
      </c>
      <c r="R108" s="50" cm="1">
        <f t="array" aca="1" ref="R108" ca="1">MMS_Swine_Methane_Equations.VEERG_4_5_1_1__7_VolatileSolidsTransferredStage2(Q$88,R68,$E98)</f>
        <v>0.15600000000000006</v>
      </c>
      <c r="S108" s="2"/>
    </row>
    <row r="109" spans="3:21" ht="20" customHeight="1" x14ac:dyDescent="0.25"/>
    <row r="110" spans="3:21" ht="20" customHeight="1" x14ac:dyDescent="0.25"/>
    <row r="111" spans="3:21" ht="20" customHeight="1" x14ac:dyDescent="0.25">
      <c r="C111" s="43"/>
      <c r="D111" s="43"/>
      <c r="E111" s="43"/>
      <c r="F111" s="43"/>
      <c r="G111" s="43"/>
      <c r="H111" s="43"/>
      <c r="I111" s="43"/>
      <c r="J111" s="43"/>
      <c r="K111" s="43"/>
      <c r="M111" s="43"/>
      <c r="N111" s="43"/>
      <c r="O111" s="43"/>
      <c r="P111" s="43"/>
      <c r="Q111" s="43"/>
      <c r="R111" s="43"/>
      <c r="S111" s="43"/>
      <c r="T111" s="43"/>
      <c r="U111" s="43"/>
    </row>
    <row r="112" spans="3:21" ht="20" customHeight="1" x14ac:dyDescent="0.25">
      <c r="D112" s="6" t="str" cm="1">
        <f t="array" ref="D112">MMS_Swine_Methane_Equations.VEERG_4_5_1_1__6_Stage2MethaneProduction_Title()</f>
        <v>Production of methane in each treatment stage 2 MMS</v>
      </c>
    </row>
    <row r="113" spans="4:19" ht="20" customHeight="1" x14ac:dyDescent="0.25">
      <c r="D113" s="5" t="str" cm="1">
        <f t="array" ref="D113">MMS_Swine_Methane_Equations.VEERG_4_5_1_1__6_Stage2MethaneProduction_Source()</f>
        <v>VEERG 2026: 4.5.1.1, Equation (6)</v>
      </c>
    </row>
    <row r="114" spans="4:19" ht="20" customHeight="1" x14ac:dyDescent="0.25">
      <c r="D114" s="13" t="s">
        <v>23</v>
      </c>
      <c r="E114" s="13" t="str" cm="1">
        <f t="array" aca="1" ref="E114" ca="1">Common_InputFunctions.Utility_DisplayFunctionName(F165)</f>
        <v>=MMS_Swine_Methane_Equations.VEERG_4_5_1_1__6_Stage2MethaneProduction</v>
      </c>
    </row>
    <row r="115" spans="4:19" ht="20" customHeight="1" x14ac:dyDescent="0.25"/>
    <row r="116" spans="4:19" ht="20" customHeight="1" x14ac:dyDescent="0.25"/>
    <row r="117" spans="4:19" ht="20" customHeight="1" x14ac:dyDescent="0.25"/>
    <row r="118" spans="4:19" ht="20" customHeight="1" x14ac:dyDescent="0.25">
      <c r="D118" s="51" t="s">
        <v>26</v>
      </c>
      <c r="E118" s="1" t="str" cm="1">
        <f t="array" ref="E118">MMS_Swine_Methane_Equations.VEERG_4_5_1_1__6_Stage2MethaneProduction_Variable()</f>
        <v>MijmT2</v>
      </c>
    </row>
    <row r="119" spans="4:19" ht="20" customHeight="1" x14ac:dyDescent="0.25">
      <c r="D119" s="51" t="s">
        <v>16</v>
      </c>
      <c r="E119" s="52" t="str" cm="1">
        <f t="array" ref="E119">MMS_Swine_Methane_Equations.VEERG_4_5_1_1__6_Stage2MethaneProduction_Unit()</f>
        <v>kg CH4/head/day</v>
      </c>
    </row>
    <row r="120" spans="4:19" ht="20" customHeight="1" x14ac:dyDescent="0.25"/>
    <row r="121" spans="4:19" ht="20" customHeight="1" x14ac:dyDescent="0.25">
      <c r="D121" s="132" t="str" cm="1">
        <f t="array" ref="D121:E126">Common_InputFunctions.Utility_DisplayArguments_1_2(MMS_Swine_Methane_Equations.VEERG_4_5_1_1__6_Stage2MethaneProduction_Arguments())</f>
        <v>VSTjmT2</v>
      </c>
      <c r="E121" s="134" t="str">
        <v>volatile solids transferred to treatment stage 2 MMS</v>
      </c>
      <c r="F121" s="133"/>
      <c r="G121" s="132" t="str" cm="1">
        <f t="array" ref="G121:H126">Common_InputFunctions.Utility_DisplayArguments_3_4(MMS_Swine_Methane_Equations.VEERG_4_5_1_1__6_Stage2MethaneProduction_Arguments())</f>
        <v>kg/head/day</v>
      </c>
      <c r="H121" s="127" t="str">
        <v>Calculated from 4.5.1.1 (7)</v>
      </c>
      <c r="I121" s="131" t="str" cm="1">
        <f t="array" aca="1" ref="I121" ca="1">HYPERLINK(Common_InputFunctions.Utility_SourceHyperlink($D$100), $D$100)</f>
        <v>M1 Table_VST_j_m_T-2</v>
      </c>
      <c r="N121" s="55" t="str" cm="1">
        <f t="array" ref="N121:O126">Common_InputFunctions.Utility_DisplayArguments_1_2(MMS_Swine_Methane_Equations.VEERG_4_5_1_1__6_Stage2MethaneProduction_Arguments_Method2())</f>
        <v>VSTjmT2</v>
      </c>
      <c r="O121" s="56" t="str">
        <v>volatile solids transferred to treatment stage 2 MMS</v>
      </c>
      <c r="P121" s="57"/>
      <c r="Q121" s="55" t="str" cm="1">
        <f t="array" ref="Q121:R126">Common_InputFunctions.Utility_DisplayArguments_3_4(MMS_Swine_Methane_Equations.VEERG_4_5_1_1__6_Stage2MethaneProduction_Arguments_Method2())</f>
        <v>kg/head/day</v>
      </c>
      <c r="R121" s="127" t="str">
        <v>Calculated from 4.5.1.1 (7)</v>
      </c>
      <c r="S121" s="131"/>
    </row>
    <row r="122" spans="4:19" ht="20" customHeight="1" x14ac:dyDescent="0.25">
      <c r="D122" s="132" t="str">
        <v>BO</v>
      </c>
      <c r="E122" s="134" t="str">
        <v>emissions potential</v>
      </c>
      <c r="F122" s="133"/>
      <c r="G122" s="132" t="str">
        <v>m3 CH4/kg VS</v>
      </c>
      <c r="H122" s="127" t="str">
        <v>Constant</v>
      </c>
      <c r="I122" s="132">
        <f>SourceData_Swine_MethaneVolatileSolidsEmissionsPotential_Data</f>
        <v>0.19</v>
      </c>
      <c r="N122" s="55" t="str">
        <v>BO</v>
      </c>
      <c r="O122" s="56" t="str">
        <v>emissions potential</v>
      </c>
      <c r="P122" s="57"/>
      <c r="Q122" s="55" t="str">
        <v>m3 CH4/kg VS</v>
      </c>
      <c r="R122" s="127" t="str">
        <v>Constant</v>
      </c>
      <c r="S122" s="55">
        <f>SourceData_Swine_MethaneVolatileSolidsEmissionsPotential_Data</f>
        <v>0.19</v>
      </c>
    </row>
    <row r="123" spans="4:19" ht="20" customHeight="1" x14ac:dyDescent="0.25">
      <c r="D123" s="132" t="str">
        <v>MMSjmT2</v>
      </c>
      <c r="E123" s="134" t="str">
        <v>fraction of manure in each secondary system</v>
      </c>
      <c r="F123" s="133"/>
      <c r="G123" s="132" t="str">
        <v>fraction</v>
      </c>
      <c r="H123" s="128" t="str">
        <v>Input</v>
      </c>
      <c r="I123" s="131" t="str" cm="1">
        <f t="array" aca="1" ref="I123" ca="1">HYPERLINK(Common_InputFunctions.Utility_SourceHyperlink($D$128), $D$128)</f>
        <v>Table_MMS_j_m_T-2</v>
      </c>
      <c r="N123" s="55" t="str">
        <v>MMSjmT2</v>
      </c>
      <c r="O123" s="56" t="str">
        <v>fraction of manure in each secondary system</v>
      </c>
      <c r="P123" s="57"/>
      <c r="Q123" s="55" t="str">
        <v>fraction</v>
      </c>
      <c r="R123" s="128" t="str">
        <v>Input</v>
      </c>
      <c r="S123" s="131"/>
    </row>
    <row r="124" spans="4:19" ht="20" customHeight="1" x14ac:dyDescent="0.25">
      <c r="D124" s="132" t="str">
        <v>MCFim</v>
      </c>
      <c r="E124" s="134" t="str">
        <v>methane conversion factor for temperate zone and system</v>
      </c>
      <c r="F124" s="133"/>
      <c r="G124" s="132" t="str">
        <v>fraction</v>
      </c>
      <c r="H124" s="127" t="str">
        <v>Constant</v>
      </c>
      <c r="I124" s="131" t="str" cm="1">
        <f t="array" aca="1" ref="I124" ca="1">HYPERLINK(Common_InputFunctions.Utility_SourceHyperlink($D$152), $D$152)</f>
        <v>M1_Table_MCF_i_m</v>
      </c>
      <c r="N124" s="55" t="str">
        <v>MCFim</v>
      </c>
      <c r="O124" s="56" t="str">
        <v>methane conversion factor for temperate zone and system</v>
      </c>
      <c r="P124" s="57"/>
      <c r="Q124" s="55" t="str">
        <v>fraction</v>
      </c>
      <c r="R124" s="127" t="str">
        <v>Constant</v>
      </c>
      <c r="S124" s="131"/>
    </row>
    <row r="125" spans="4:19" ht="20" customHeight="1" x14ac:dyDescent="0.25">
      <c r="D125" s="132" t="str">
        <v>rho</v>
      </c>
      <c r="E125" s="134" t="str">
        <v>density of methane</v>
      </c>
      <c r="F125" s="133"/>
      <c r="G125" s="132" t="str">
        <v>kg/m3</v>
      </c>
      <c r="H125" s="127" t="str">
        <v>Constant</v>
      </c>
      <c r="I125" s="132">
        <f>Common_SourceData_DensityOfMethane_Data</f>
        <v>0.6784</v>
      </c>
      <c r="N125" s="55" t="str">
        <v>rho</v>
      </c>
      <c r="O125" s="56" t="str">
        <v>density of methane</v>
      </c>
      <c r="P125" s="57"/>
      <c r="Q125" s="55" t="str">
        <v>kg/m3</v>
      </c>
      <c r="R125" s="127" t="str">
        <v>Constant</v>
      </c>
      <c r="S125" s="55"/>
    </row>
    <row r="126" spans="4:19" ht="20" customHeight="1" x14ac:dyDescent="0.25">
      <c r="D126" s="132" t="str">
        <v>i</v>
      </c>
      <c r="E126" s="134" t="str">
        <v>state</v>
      </c>
      <c r="F126" s="133"/>
      <c r="G126" s="132" t="str">
        <v/>
      </c>
      <c r="H126" s="128" t="str">
        <v>Input</v>
      </c>
      <c r="I126" s="132" t="str">
        <f>X_Cell_Site_State</f>
        <v>Western Australia</v>
      </c>
      <c r="N126" s="55" t="str">
        <v>MAT</v>
      </c>
      <c r="O126" s="56" t="str">
        <v>Mean annual temperature</v>
      </c>
      <c r="P126" s="57"/>
      <c r="Q126" s="55" t="str">
        <v>°C</v>
      </c>
      <c r="R126" s="128" t="str">
        <v>Input</v>
      </c>
      <c r="S126" s="55">
        <f>X_Cell_Site_AverageTemperature</f>
        <v>18</v>
      </c>
    </row>
    <row r="127" spans="4:19" ht="20" customHeight="1" x14ac:dyDescent="0.25"/>
    <row r="128" spans="4:19" ht="20" customHeight="1" x14ac:dyDescent="0.25">
      <c r="D128" s="113" t="s">
        <v>161</v>
      </c>
    </row>
    <row r="129" spans="4:10" ht="20" customHeight="1" x14ac:dyDescent="0.25">
      <c r="D129" s="114" t="s">
        <v>162</v>
      </c>
    </row>
    <row r="130" spans="4:10" ht="20" customHeight="1" x14ac:dyDescent="0.25">
      <c r="D130" s="111" t="s">
        <v>155</v>
      </c>
      <c r="E130" s="111" t="s">
        <v>163</v>
      </c>
      <c r="F130" s="111" t="s">
        <v>134</v>
      </c>
      <c r="G130" s="111" t="s">
        <v>135</v>
      </c>
      <c r="H130" s="111" t="s">
        <v>136</v>
      </c>
      <c r="I130" s="111" t="s">
        <v>192</v>
      </c>
    </row>
    <row r="131" spans="4:10" ht="20" customHeight="1" x14ac:dyDescent="0.25">
      <c r="D131" s="55" t="str">
        <f>INDEX(X_Table_Swine_Stage1MMS_AnaerobicLagoon,2,1)</f>
        <v>Anaerobic lagoon</v>
      </c>
      <c r="E131" s="101" t="str" cm="1">
        <f t="array" aca="1" ref="E131:I133" ca="1">OFFSET(X_Table_Swine_Stage2MMS_From_AnaerobicLagoon,1,0,3,5)</f>
        <v>Digester / covered lagoons</v>
      </c>
      <c r="F131" s="50">
        <f ca="1"/>
        <v>0.2</v>
      </c>
      <c r="G131" s="50">
        <f ca="1"/>
        <v>0.25</v>
      </c>
      <c r="H131" s="50">
        <f ca="1"/>
        <v>0.25</v>
      </c>
      <c r="I131" s="50">
        <f ca="1"/>
        <v>0.25</v>
      </c>
      <c r="J131" s="2" t="str">
        <f>$G$123</f>
        <v>fraction</v>
      </c>
    </row>
    <row r="132" spans="4:10" ht="20" customHeight="1" x14ac:dyDescent="0.25">
      <c r="D132" s="55"/>
      <c r="E132" s="101" t="str">
        <f ca="1"/>
        <v>Deep litter</v>
      </c>
      <c r="F132" s="50">
        <f ca="1"/>
        <v>0.2</v>
      </c>
      <c r="G132" s="50">
        <f ca="1"/>
        <v>0.25</v>
      </c>
      <c r="H132" s="50">
        <f ca="1"/>
        <v>0.25</v>
      </c>
      <c r="I132" s="50">
        <f ca="1"/>
        <v>0.25</v>
      </c>
      <c r="J132" s="2"/>
    </row>
    <row r="133" spans="4:10" ht="20" customHeight="1" x14ac:dyDescent="0.25">
      <c r="D133" s="55"/>
      <c r="E133" s="101" t="str">
        <f ca="1"/>
        <v>Pit storage</v>
      </c>
      <c r="F133" s="50">
        <f ca="1"/>
        <v>0.2</v>
      </c>
      <c r="G133" s="50">
        <f ca="1"/>
        <v>0.25</v>
      </c>
      <c r="H133" s="50">
        <f ca="1"/>
        <v>0.25</v>
      </c>
      <c r="I133" s="50">
        <f ca="1"/>
        <v>0.25</v>
      </c>
      <c r="J133" s="2"/>
    </row>
    <row r="134" spans="4:10" ht="20" customHeight="1" x14ac:dyDescent="0.25">
      <c r="D134" s="55" t="str">
        <f>INDEX(X_Table_Swine_Stage1MMS_Drylot,2,1)</f>
        <v>Drylot (feed pad)</v>
      </c>
      <c r="E134" s="101" t="str" cm="1">
        <f t="array" aca="1" ref="E134:I137" ca="1">OFFSET(X_Table_Swine_Stage2MMS_From_Drylot,1,0,4,5)</f>
        <v>Anaerobic lagoon</v>
      </c>
      <c r="F134" s="50">
        <f ca="1"/>
        <v>0.2</v>
      </c>
      <c r="G134" s="50">
        <f ca="1"/>
        <v>0.25</v>
      </c>
      <c r="H134" s="50">
        <f ca="1"/>
        <v>0.25</v>
      </c>
      <c r="I134" s="50">
        <f ca="1"/>
        <v>0.25</v>
      </c>
      <c r="J134" s="2"/>
    </row>
    <row r="135" spans="4:10" ht="20" customHeight="1" x14ac:dyDescent="0.25">
      <c r="D135" s="55"/>
      <c r="E135" s="101" t="str">
        <f ca="1"/>
        <v>Digester / covered lagoons</v>
      </c>
      <c r="F135" s="50">
        <f ca="1"/>
        <v>0.2</v>
      </c>
      <c r="G135" s="50">
        <f ca="1"/>
        <v>0.25</v>
      </c>
      <c r="H135" s="50">
        <f ca="1"/>
        <v>0.25</v>
      </c>
      <c r="I135" s="50">
        <f ca="1"/>
        <v>0.25</v>
      </c>
      <c r="J135" s="2"/>
    </row>
    <row r="136" spans="4:10" ht="20" customHeight="1" x14ac:dyDescent="0.25">
      <c r="D136" s="55"/>
      <c r="E136" s="101" t="str">
        <f ca="1"/>
        <v>Deep litter</v>
      </c>
      <c r="F136" s="50">
        <f ca="1"/>
        <v>0.2</v>
      </c>
      <c r="G136" s="50">
        <f ca="1"/>
        <v>0.25</v>
      </c>
      <c r="H136" s="50">
        <f ca="1"/>
        <v>0.25</v>
      </c>
      <c r="I136" s="50">
        <f ca="1"/>
        <v>0.25</v>
      </c>
      <c r="J136" s="2"/>
    </row>
    <row r="137" spans="4:10" ht="20" customHeight="1" x14ac:dyDescent="0.25">
      <c r="D137" s="55"/>
      <c r="E137" s="101" t="str">
        <f ca="1"/>
        <v>Pit storage</v>
      </c>
      <c r="F137" s="50">
        <f ca="1"/>
        <v>0.2</v>
      </c>
      <c r="G137" s="50">
        <f ca="1"/>
        <v>0.25</v>
      </c>
      <c r="H137" s="50">
        <f ca="1"/>
        <v>0.25</v>
      </c>
      <c r="I137" s="50">
        <f ca="1"/>
        <v>0.25</v>
      </c>
      <c r="J137" s="2"/>
    </row>
    <row r="138" spans="4:10" ht="20" customHeight="1" x14ac:dyDescent="0.25">
      <c r="D138" s="55" t="str">
        <f>INDEX(X_Table_Swine_Stage1MMS_DigesterCoveredLagoons,2,1)</f>
        <v>Digester / covered lagoons</v>
      </c>
      <c r="E138" s="101" t="str" cm="1">
        <f t="array" aca="1" ref="E138:I140" ca="1">OFFSET(X_Table_Swine_Stage2MMS_From_DigesterCoveredLagoons,1,0,3,5)</f>
        <v>Anaerobic lagoon</v>
      </c>
      <c r="F138" s="50">
        <f ca="1"/>
        <v>0.2</v>
      </c>
      <c r="G138" s="50">
        <f ca="1"/>
        <v>0.25</v>
      </c>
      <c r="H138" s="50">
        <f ca="1"/>
        <v>0.25</v>
      </c>
      <c r="I138" s="50">
        <f ca="1"/>
        <v>0.25</v>
      </c>
      <c r="J138" s="2"/>
    </row>
    <row r="139" spans="4:10" ht="20" customHeight="1" x14ac:dyDescent="0.25">
      <c r="D139" s="55"/>
      <c r="E139" s="101" t="str">
        <f ca="1"/>
        <v>Deep litter</v>
      </c>
      <c r="F139" s="50">
        <f ca="1"/>
        <v>0.2</v>
      </c>
      <c r="G139" s="50">
        <f ca="1"/>
        <v>0.25</v>
      </c>
      <c r="H139" s="50">
        <f ca="1"/>
        <v>0.25</v>
      </c>
      <c r="I139" s="50">
        <f ca="1"/>
        <v>0.25</v>
      </c>
      <c r="J139" s="2"/>
    </row>
    <row r="140" spans="4:10" ht="20" customHeight="1" x14ac:dyDescent="0.25">
      <c r="D140" s="55"/>
      <c r="E140" s="101" t="str">
        <f ca="1"/>
        <v>Pit storage</v>
      </c>
      <c r="F140" s="50">
        <f ca="1"/>
        <v>0.2</v>
      </c>
      <c r="G140" s="50">
        <f ca="1"/>
        <v>0.25</v>
      </c>
      <c r="H140" s="50">
        <f ca="1"/>
        <v>0.25</v>
      </c>
      <c r="I140" s="50">
        <f ca="1"/>
        <v>0.25</v>
      </c>
      <c r="J140" s="2"/>
    </row>
    <row r="141" spans="4:10" ht="20" customHeight="1" x14ac:dyDescent="0.25">
      <c r="D141" s="55" t="str">
        <f>INDEX(X_Table_Swine_Stage1MMS_DeepLitter,2,1)</f>
        <v>Deep litter</v>
      </c>
      <c r="E141" s="101" t="str" cm="1">
        <f t="array" aca="1" ref="E141:I143" ca="1">OFFSET(X_Table_Swine_Stage2MMS_From_DeepLitter,1,0,3,5)</f>
        <v>Anaerobic lagoon</v>
      </c>
      <c r="F141" s="50">
        <f ca="1"/>
        <v>0.2</v>
      </c>
      <c r="G141" s="50">
        <f ca="1"/>
        <v>0.25</v>
      </c>
      <c r="H141" s="50">
        <f ca="1"/>
        <v>0.25</v>
      </c>
      <c r="I141" s="50">
        <f ca="1"/>
        <v>0.25</v>
      </c>
      <c r="J141" s="2"/>
    </row>
    <row r="142" spans="4:10" ht="20" customHeight="1" x14ac:dyDescent="0.25">
      <c r="D142" s="55"/>
      <c r="E142" s="101" t="str">
        <f ca="1"/>
        <v>Digester / covered lagoons</v>
      </c>
      <c r="F142" s="50">
        <f ca="1"/>
        <v>0.2</v>
      </c>
      <c r="G142" s="50">
        <f ca="1"/>
        <v>0.25</v>
      </c>
      <c r="H142" s="50">
        <f ca="1"/>
        <v>0.25</v>
      </c>
      <c r="I142" s="50">
        <f ca="1"/>
        <v>0.25</v>
      </c>
      <c r="J142" s="2"/>
    </row>
    <row r="143" spans="4:10" ht="20" customHeight="1" x14ac:dyDescent="0.25">
      <c r="D143" s="55"/>
      <c r="E143" s="101" t="str">
        <f ca="1"/>
        <v>Pit storage</v>
      </c>
      <c r="F143" s="50">
        <f ca="1"/>
        <v>0.2</v>
      </c>
      <c r="G143" s="50">
        <f ca="1"/>
        <v>0.25</v>
      </c>
      <c r="H143" s="50">
        <f ca="1"/>
        <v>0.25</v>
      </c>
      <c r="I143" s="50">
        <f ca="1"/>
        <v>0.25</v>
      </c>
      <c r="J143" s="2"/>
    </row>
    <row r="144" spans="4:10" ht="20" customHeight="1" x14ac:dyDescent="0.25">
      <c r="D144" s="55" t="str">
        <f>INDEX(X_Table_Swine_Stage1MMS_PitStorage,2,1)</f>
        <v>Pit storage</v>
      </c>
      <c r="E144" s="101" t="str" cm="1">
        <f t="array" aca="1" ref="E144:I146" ca="1">OFFSET(X_Table_Swine_Stage2MMS_From_PitStorage,1,0,3,5)</f>
        <v>Anaerobic lagoon</v>
      </c>
      <c r="F144" s="50">
        <f ca="1"/>
        <v>0.2</v>
      </c>
      <c r="G144" s="50">
        <f ca="1"/>
        <v>0.25</v>
      </c>
      <c r="H144" s="50">
        <f ca="1"/>
        <v>0.25</v>
      </c>
      <c r="I144" s="50">
        <f ca="1"/>
        <v>0.25</v>
      </c>
      <c r="J144" s="2"/>
    </row>
    <row r="145" spans="4:16" ht="20" customHeight="1" x14ac:dyDescent="0.25">
      <c r="D145" s="55"/>
      <c r="E145" s="101" t="str">
        <f ca="1"/>
        <v>Digester / covered lagoons</v>
      </c>
      <c r="F145" s="50">
        <f ca="1"/>
        <v>0.2</v>
      </c>
      <c r="G145" s="50">
        <f ca="1"/>
        <v>0.25</v>
      </c>
      <c r="H145" s="50">
        <f ca="1"/>
        <v>0.25</v>
      </c>
      <c r="I145" s="50">
        <f ca="1"/>
        <v>0.25</v>
      </c>
      <c r="J145" s="2"/>
    </row>
    <row r="146" spans="4:16" ht="20" customHeight="1" x14ac:dyDescent="0.25">
      <c r="D146" s="55"/>
      <c r="E146" s="101" t="str">
        <f ca="1"/>
        <v>Deep litter</v>
      </c>
      <c r="F146" s="50">
        <f ca="1"/>
        <v>0.2</v>
      </c>
      <c r="G146" s="50">
        <f ca="1"/>
        <v>0.25</v>
      </c>
      <c r="H146" s="50">
        <f ca="1"/>
        <v>0.25</v>
      </c>
      <c r="I146" s="50">
        <f ca="1"/>
        <v>0.25</v>
      </c>
      <c r="J146" s="2"/>
    </row>
    <row r="147" spans="4:16" ht="20" customHeight="1" x14ac:dyDescent="0.25">
      <c r="D147" s="55" t="s">
        <v>343</v>
      </c>
      <c r="E147" s="101" t="str" cm="1">
        <f t="array" aca="1" ref="E147:I150" ca="1">OFFSET(X_Table_Swine_Stage2MMS_From_SolidStorage,1,0,4,5)</f>
        <v>Anaerobic lagoon</v>
      </c>
      <c r="F147" s="50">
        <f ca="1"/>
        <v>0.2</v>
      </c>
      <c r="G147" s="50">
        <f ca="1"/>
        <v>0.2</v>
      </c>
      <c r="H147" s="50">
        <f ca="1"/>
        <v>0.2</v>
      </c>
      <c r="I147" s="50">
        <f ca="1"/>
        <v>0.2</v>
      </c>
      <c r="J147" s="2"/>
    </row>
    <row r="148" spans="4:16" ht="20" customHeight="1" x14ac:dyDescent="0.25">
      <c r="D148" s="55"/>
      <c r="E148" s="101" t="str">
        <f ca="1"/>
        <v>Digester / covered lagoons</v>
      </c>
      <c r="F148" s="50">
        <f ca="1"/>
        <v>0.2</v>
      </c>
      <c r="G148" s="50">
        <f ca="1"/>
        <v>0.2</v>
      </c>
      <c r="H148" s="50">
        <f ca="1"/>
        <v>0.2</v>
      </c>
      <c r="I148" s="50">
        <f ca="1"/>
        <v>0.2</v>
      </c>
      <c r="J148" s="2"/>
    </row>
    <row r="149" spans="4:16" ht="20" customHeight="1" x14ac:dyDescent="0.25">
      <c r="D149" s="55"/>
      <c r="E149" s="101" t="str">
        <f ca="1"/>
        <v>Deep litter</v>
      </c>
      <c r="F149" s="50">
        <f ca="1"/>
        <v>0.2</v>
      </c>
      <c r="G149" s="50">
        <f ca="1"/>
        <v>0.2</v>
      </c>
      <c r="H149" s="50">
        <f ca="1"/>
        <v>0.2</v>
      </c>
      <c r="I149" s="50">
        <f ca="1"/>
        <v>0.2</v>
      </c>
      <c r="J149" s="2"/>
    </row>
    <row r="150" spans="4:16" ht="20" customHeight="1" x14ac:dyDescent="0.25">
      <c r="D150" s="55"/>
      <c r="E150" s="101" t="str">
        <f ca="1"/>
        <v>Pit storage</v>
      </c>
      <c r="F150" s="50">
        <f ca="1"/>
        <v>0.1</v>
      </c>
      <c r="G150" s="50">
        <f ca="1"/>
        <v>0.1</v>
      </c>
      <c r="H150" s="50">
        <f ca="1"/>
        <v>0.1</v>
      </c>
      <c r="I150" s="50">
        <f ca="1"/>
        <v>0.1</v>
      </c>
      <c r="J150" s="2"/>
      <c r="N150" s="20" t="s">
        <v>353</v>
      </c>
      <c r="O150" s="20"/>
      <c r="P150" s="20"/>
    </row>
    <row r="151" spans="4:16" ht="20" customHeight="1" x14ac:dyDescent="0.25"/>
    <row r="152" spans="4:16" ht="20" customHeight="1" x14ac:dyDescent="0.25">
      <c r="D152" s="113" t="s">
        <v>115</v>
      </c>
      <c r="N152" s="113" t="s">
        <v>115</v>
      </c>
    </row>
    <row r="153" spans="4:16" ht="20" customHeight="1" x14ac:dyDescent="0.25">
      <c r="D153" s="114" t="s">
        <v>184</v>
      </c>
      <c r="N153" s="114" t="s">
        <v>352</v>
      </c>
    </row>
    <row r="154" spans="4:16" ht="20" customHeight="1" x14ac:dyDescent="0.25">
      <c r="D154" s="49" t="s">
        <v>64</v>
      </c>
      <c r="E154" s="49" t="s">
        <v>91</v>
      </c>
      <c r="N154" s="49" t="s">
        <v>64</v>
      </c>
      <c r="O154" s="49" t="s">
        <v>91</v>
      </c>
    </row>
    <row r="155" spans="4:16" ht="20" customHeight="1" x14ac:dyDescent="0.25">
      <c r="D155" s="55" t="str">
        <f>INDEX(X_Table_Swine_Stage1MMS_AnaerobicLagoon,2,1)</f>
        <v>Anaerobic lagoon</v>
      </c>
      <c r="E155" s="50">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5" t="str">
        <f>INDEX(X_Table_Swine_Stage1MMS_AnaerobicLagoon,2,1)</f>
        <v>Anaerobic lagoon</v>
      </c>
      <c r="O155" s="50">
        <f>Common_InputFunctions.Common_GetMCFTemperatureZone($S$126, N155,Table_SourceData_Common_MCFTemperatureZone[MAT raw],Table_SourceData_Common_MCFTemperatureZone[#Headers],Table_SourceData_Common_MCFTemperatureZone[])</f>
        <v>0.77</v>
      </c>
      <c r="P155" s="2" t="str">
        <f>$G$124</f>
        <v>fraction</v>
      </c>
    </row>
    <row r="156" spans="4:16" ht="20" customHeight="1" x14ac:dyDescent="0.25">
      <c r="D156" s="55" t="str">
        <f>INDEX(X_Table_Swine_Stage1MMS_Drylot,2,1)</f>
        <v>Drylot (feed pad)</v>
      </c>
      <c r="E156" s="50">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5" t="str">
        <f>INDEX(X_Table_Swine_Stage1MMS_Drylot,2,1)</f>
        <v>Drylot (feed pad)</v>
      </c>
      <c r="O156" s="50">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 customHeight="1" x14ac:dyDescent="0.25">
      <c r="D157" s="55" t="str">
        <f>INDEX(X_Table_Swine_Stage1MMS_DigesterCoveredLagoons,2,1)</f>
        <v>Digester / covered lagoons</v>
      </c>
      <c r="E157" s="50">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5" t="str">
        <f>INDEX(X_Table_Swine_Stage1MMS_DigesterCoveredLagoons,2,1)</f>
        <v>Digester / covered lagoons</v>
      </c>
      <c r="O157" s="50">
        <f>Common_InputFunctions.Common_GetMCFTemperatureZone($S$126, N157,Table_SourceData_Common_MCFTemperatureZone[MAT raw],Table_SourceData_Common_MCFTemperatureZone[#Headers],Table_SourceData_Common_MCFTemperatureZone[])</f>
        <v>0.1</v>
      </c>
    </row>
    <row r="158" spans="4:16" ht="20" customHeight="1" x14ac:dyDescent="0.25">
      <c r="D158" s="55" t="str">
        <f>INDEX(X_Table_Swine_Stage1MMS_DeepLitter,2,1)</f>
        <v>Deep litter</v>
      </c>
      <c r="E158" s="50">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5" t="str">
        <f>INDEX(X_Table_Swine_Stage1MMS_DeepLitter,2,1)</f>
        <v>Deep litter</v>
      </c>
      <c r="O158" s="50">
        <f>Common_InputFunctions.Common_GetMCFTemperatureZone($S$126, N158,Table_SourceData_Common_MCFTemperatureZone[MAT raw],Table_SourceData_Common_MCFTemperatureZone[#Headers],Table_SourceData_Common_MCFTemperatureZone[])</f>
        <v>0.04</v>
      </c>
    </row>
    <row r="159" spans="4:16" ht="20" customHeight="1" x14ac:dyDescent="0.25">
      <c r="D159" s="55" t="str">
        <f>INDEX(X_Table_Swine_Stage1MMS_PitStorage,2,1)</f>
        <v>Pit storage</v>
      </c>
      <c r="E159" s="50">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5" t="str">
        <f>INDEX(X_Table_Swine_Stage1MMS_PitStorage,2,1)</f>
        <v>Pit storage</v>
      </c>
      <c r="O159" s="50">
        <f>Common_InputFunctions.Common_GetMCFTemperatureZone($S$126, N159,Table_SourceData_Common_MCFTemperatureZone[MAT raw],Table_SourceData_Common_MCFTemperatureZone[#Headers],Table_SourceData_Common_MCFTemperatureZone[])</f>
        <v>0.03</v>
      </c>
    </row>
    <row r="160" spans="4:16" ht="20" customHeight="1" x14ac:dyDescent="0.25">
      <c r="D160" s="55" t="s">
        <v>343</v>
      </c>
      <c r="E160" s="50">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5" t="s">
        <v>343</v>
      </c>
      <c r="O160" s="50">
        <f>Common_InputFunctions.Common_GetMCFTemperatureZone($S$126, N160,Table_SourceData_Common_MCFTemperatureZone[MAT raw],Table_SourceData_Common_MCFTemperatureZone[#Headers],Table_SourceData_Common_MCFTemperatureZone[])</f>
        <v>0.02</v>
      </c>
    </row>
    <row r="161" spans="4:20" ht="20" customHeight="1" x14ac:dyDescent="0.25"/>
    <row r="162" spans="4:20" ht="20" customHeight="1" x14ac:dyDescent="0.25">
      <c r="D162" s="113" t="s">
        <v>185</v>
      </c>
      <c r="N162" s="113" t="s">
        <v>204</v>
      </c>
    </row>
    <row r="163" spans="4:20" ht="20" customHeight="1" x14ac:dyDescent="0.25">
      <c r="D163" s="114" t="s">
        <v>186</v>
      </c>
      <c r="N163" s="114" t="s">
        <v>205</v>
      </c>
    </row>
    <row r="164" spans="4:20" ht="20" customHeight="1" x14ac:dyDescent="0.25">
      <c r="D164" s="49" t="s">
        <v>155</v>
      </c>
      <c r="E164" s="49" t="s">
        <v>163</v>
      </c>
      <c r="F164" s="49" t="s">
        <v>134</v>
      </c>
      <c r="G164" s="49" t="s">
        <v>135</v>
      </c>
      <c r="H164" s="49" t="s">
        <v>136</v>
      </c>
      <c r="I164" s="49" t="s">
        <v>192</v>
      </c>
      <c r="N164" s="49" t="s">
        <v>155</v>
      </c>
      <c r="O164" s="49" t="s">
        <v>163</v>
      </c>
      <c r="P164" s="49" t="s">
        <v>134</v>
      </c>
      <c r="Q164" s="49" t="s">
        <v>135</v>
      </c>
      <c r="R164" s="49" t="s">
        <v>136</v>
      </c>
      <c r="S164" s="49" t="s">
        <v>192</v>
      </c>
    </row>
    <row r="165" spans="4:20" ht="20" customHeight="1" x14ac:dyDescent="0.25">
      <c r="D165" s="55" t="str">
        <f>INDEX(X_Table_Swine_Stage1MMS_AnaerobicLagoon,2,1)</f>
        <v>Anaerobic lagoon</v>
      </c>
      <c r="E165" s="55" t="str">
        <f>INDEX(X_Table_Swine_Stage2MMS_From_AnaerobicLagoon,2,1)</f>
        <v>Digester / covered lagoons</v>
      </c>
      <c r="F165" s="50" cm="1">
        <f t="array" aca="1" ref="F165" ca="1">MMS_Swine_Methane_Equations.VEERG_4_5_1_1__6_Stage2MethaneProduction($E$103,$I$122,F131,VLOOKUP($E165,$D$155:$E$160,2, FALSE),$I$125)</f>
        <v>1.2374016000000002E-4</v>
      </c>
      <c r="G165" s="50" cm="1">
        <f t="array" aca="1" ref="G165" ca="1">MMS_Swine_Methane_Equations.VEERG_4_5_1_1__6_Stage2MethaneProduction($F$103,$I$122,G131,VLOOKUP($E165,$D$155:$E$160,2, FALSE),$I$125)</f>
        <v>1.7787648000000002E-4</v>
      </c>
      <c r="H165" s="50" cm="1">
        <f t="array" aca="1" ref="H165" ca="1">MMS_Swine_Methane_Equations.VEERG_4_5_1_1__6_Stage2MethaneProduction($G$103,$I$122,H131,VLOOKUP($E165,$D$155:$E$160,2, FALSE),$I$125)</f>
        <v>2.1267840000000003E-4</v>
      </c>
      <c r="I165" s="50" cm="1">
        <f t="array" aca="1" ref="I165" ca="1">MMS_Swine_Methane_Equations.VEERG_4_5_1_1__6_Stage2MethaneProduction($H$103,$I$122,I131,VLOOKUP($E165,$D$155:$E$160,2, FALSE),$I$125)</f>
        <v>1.5080832000000002E-4</v>
      </c>
      <c r="J165" s="2" t="str">
        <f>$E$119</f>
        <v>kg CH4/head/day</v>
      </c>
      <c r="N165" s="55" t="str">
        <f>INDEX(X_Table_Swine_Stage1MMS_AnaerobicLagoon,2,1)</f>
        <v>Anaerobic lagoon</v>
      </c>
      <c r="O165" s="55" t="str">
        <f>INDEX(X_Table_Swine_Stage2MMS_From_AnaerobicLagoon,2,1)</f>
        <v>Digester / covered lagoons</v>
      </c>
      <c r="P165" s="50" cm="1">
        <f t="array" aca="1" ref="P165" ca="1">MMS_Swine_Methane_Equations.VEERG_4_5_1_1__6_Stage2MethaneProduction($O$103,$I$122,F131,VLOOKUP($O165,$N$155:$O$160,2, FALSE),$I$125)</f>
        <v>1.2374016000000002E-4</v>
      </c>
      <c r="Q165" s="50" cm="1">
        <f t="array" aca="1" ref="Q165" ca="1">MMS_Swine_Methane_Equations.VEERG_4_5_1_1__6_Stage2MethaneProduction($P$103,$I$122,G131,VLOOKUP($O165,$N$155:$O$160,2, FALSE),$I$125)</f>
        <v>1.7787648000000002E-4</v>
      </c>
      <c r="R165" s="50" cm="1">
        <f t="array" aca="1" ref="R165" ca="1">MMS_Swine_Methane_Equations.VEERG_4_5_1_1__6_Stage2MethaneProduction($Q$103,$I$122,H131,VLOOKUP($O165,$N$155:$O$160,2, FALSE),$I$125)</f>
        <v>2.1267840000000003E-4</v>
      </c>
      <c r="S165" s="50" cm="1">
        <f t="array" aca="1" ref="S165" ca="1">MMS_Swine_Methane_Equations.VEERG_4_5_1_1__6_Stage2MethaneProduction($R$103,$I$122,I131,VLOOKUP($O165,$N$155:$O$160,2, FALSE),$I$125)</f>
        <v>1.5080832000000002E-4</v>
      </c>
      <c r="T165" s="2" t="str">
        <f t="shared" ref="T165" si="1">$E$119</f>
        <v>kg CH4/head/day</v>
      </c>
    </row>
    <row r="166" spans="4:20" ht="20" customHeight="1" x14ac:dyDescent="0.25">
      <c r="D166" s="55"/>
      <c r="E166" s="55" t="str">
        <f>INDEX(X_Table_Swine_Stage2MMS_From_AnaerobicLagoon,3,1)</f>
        <v>Deep litter</v>
      </c>
      <c r="F166" s="50" cm="1">
        <f t="array" aca="1" ref="F166" ca="1">MMS_Swine_Methane_Equations.VEERG_4_5_1_1__6_Stage2MethaneProduction($E$103,$I$122,F132,VLOOKUP($E166,$D$155:$E$160,2, FALSE),$I$125)</f>
        <v>4.9496064000000004E-5</v>
      </c>
      <c r="G166" s="50" cm="1">
        <f t="array" aca="1" ref="G166" ca="1">MMS_Swine_Methane_Equations.VEERG_4_5_1_1__6_Stage2MethaneProduction($F$103,$I$122,G132,VLOOKUP($E166,$D$155:$E$160,2, FALSE),$I$125)</f>
        <v>7.1150592000000014E-5</v>
      </c>
      <c r="H166" s="50" cm="1">
        <f t="array" aca="1" ref="H166" ca="1">MMS_Swine_Methane_Equations.VEERG_4_5_1_1__6_Stage2MethaneProduction($G$103,$I$122,H132,VLOOKUP($E166,$D$155:$E$160,2, FALSE),$I$125)</f>
        <v>8.5071360000000011E-5</v>
      </c>
      <c r="I166" s="50" cm="1">
        <f t="array" aca="1" ref="I166" ca="1">MMS_Swine_Methane_Equations.VEERG_4_5_1_1__6_Stage2MethaneProduction($H$103,$I$122,I132,VLOOKUP($E166,$D$155:$E$160,2, FALSE),$I$125)</f>
        <v>6.0323328000000009E-5</v>
      </c>
      <c r="J166" s="2"/>
      <c r="N166" s="55"/>
      <c r="O166" s="55" t="str">
        <f>INDEX(X_Table_Swine_Stage2MMS_From_AnaerobicLagoon,3,1)</f>
        <v>Deep litter</v>
      </c>
      <c r="P166" s="50" cm="1">
        <f t="array" aca="1" ref="P166" ca="1">MMS_Swine_Methane_Equations.VEERG_4_5_1_1__6_Stage2MethaneProduction($O$103,$I$122,F132,VLOOKUP($O166,$N$155:$O$160,2, FALSE),$I$125)</f>
        <v>4.9496064000000004E-5</v>
      </c>
      <c r="Q166" s="50" cm="1">
        <f t="array" aca="1" ref="Q166" ca="1">MMS_Swine_Methane_Equations.VEERG_4_5_1_1__6_Stage2MethaneProduction($P$103,$I$122,G132,VLOOKUP($O166,$N$155:$O$160,2, FALSE),$I$125)</f>
        <v>7.1150592000000014E-5</v>
      </c>
      <c r="R166" s="50" cm="1">
        <f t="array" aca="1" ref="R166" ca="1">MMS_Swine_Methane_Equations.VEERG_4_5_1_1__6_Stage2MethaneProduction($Q$103,$I$122,H132,VLOOKUP($O166,$N$155:$O$160,2, FALSE),$I$125)</f>
        <v>8.5071360000000011E-5</v>
      </c>
      <c r="S166" s="50" cm="1">
        <f t="array" aca="1" ref="S166" ca="1">MMS_Swine_Methane_Equations.VEERG_4_5_1_1__6_Stage2MethaneProduction($R$103,$I$122,I132,VLOOKUP($O166,$N$155:$O$160,2, FALSE),$I$125)</f>
        <v>6.0323328000000009E-5</v>
      </c>
      <c r="T166" s="2"/>
    </row>
    <row r="167" spans="4:20" ht="20" customHeight="1" x14ac:dyDescent="0.25">
      <c r="D167" s="55"/>
      <c r="E167" s="55" t="str">
        <f>INDEX(X_Table_Swine_Stage2MMS_From_AnaerobicLagoon,4,1)</f>
        <v>Pit storage</v>
      </c>
      <c r="F167" s="50" cm="1">
        <f t="array" aca="1" ref="F167" ca="1">MMS_Swine_Methane_Equations.VEERG_4_5_1_1__6_Stage2MethaneProduction($E$103,$I$122,F133,VLOOKUP($E167,$D$155:$E$160,2, FALSE),$I$125)</f>
        <v>3.7122047999999999E-5</v>
      </c>
      <c r="G167" s="50" cm="1">
        <f t="array" aca="1" ref="G167" ca="1">MMS_Swine_Methane_Equations.VEERG_4_5_1_1__6_Stage2MethaneProduction($F$103,$I$122,G133,VLOOKUP($E167,$D$155:$E$160,2, FALSE),$I$125)</f>
        <v>5.3362944000000004E-5</v>
      </c>
      <c r="H167" s="50" cm="1">
        <f t="array" aca="1" ref="H167" ca="1">MMS_Swine_Methane_Equations.VEERG_4_5_1_1__6_Stage2MethaneProduction($G$103,$I$122,H133,VLOOKUP($E167,$D$155:$E$160,2, FALSE),$I$125)</f>
        <v>6.3803520000000008E-5</v>
      </c>
      <c r="I167" s="50" cm="1">
        <f t="array" aca="1" ref="I167" ca="1">MMS_Swine_Methane_Equations.VEERG_4_5_1_1__6_Stage2MethaneProduction($H$103,$I$122,I133,VLOOKUP($E167,$D$155:$E$160,2, FALSE),$I$125)</f>
        <v>4.5242496000000002E-5</v>
      </c>
      <c r="J167" s="2"/>
      <c r="N167" s="55"/>
      <c r="O167" s="55" t="str">
        <f>INDEX(X_Table_Swine_Stage2MMS_From_AnaerobicLagoon,4,1)</f>
        <v>Pit storage</v>
      </c>
      <c r="P167" s="50" cm="1">
        <f t="array" aca="1" ref="P167" ca="1">MMS_Swine_Methane_Equations.VEERG_4_5_1_1__6_Stage2MethaneProduction($O$103,$I$122,F133,VLOOKUP($O167,$N$155:$O$160,2, FALSE),$I$125)</f>
        <v>3.7122047999999999E-5</v>
      </c>
      <c r="Q167" s="50" cm="1">
        <f t="array" aca="1" ref="Q167" ca="1">MMS_Swine_Methane_Equations.VEERG_4_5_1_1__6_Stage2MethaneProduction($P$103,$I$122,G133,VLOOKUP($O167,$N$155:$O$160,2, FALSE),$I$125)</f>
        <v>5.3362944000000004E-5</v>
      </c>
      <c r="R167" s="50" cm="1">
        <f t="array" aca="1" ref="R167" ca="1">MMS_Swine_Methane_Equations.VEERG_4_5_1_1__6_Stage2MethaneProduction($Q$103,$I$122,H133,VLOOKUP($O167,$N$155:$O$160,2, FALSE),$I$125)</f>
        <v>6.3803520000000008E-5</v>
      </c>
      <c r="S167" s="50" cm="1">
        <f t="array" aca="1" ref="S167" ca="1">MMS_Swine_Methane_Equations.VEERG_4_5_1_1__6_Stage2MethaneProduction($R$103,$I$122,I133,VLOOKUP($O167,$N$155:$O$160,2, FALSE),$I$125)</f>
        <v>4.5242496000000002E-5</v>
      </c>
      <c r="T167" s="2"/>
    </row>
    <row r="168" spans="4:20" ht="20" customHeight="1" x14ac:dyDescent="0.25">
      <c r="D168" s="55" t="str">
        <f>INDEX(X_Table_Swine_Stage1MMS_Drylot,2,1)</f>
        <v>Drylot (feed pad)</v>
      </c>
      <c r="E168" s="55" t="str">
        <f>INDEX(X_Table_Swine_Stage2MMS_From_Drylot,2,1)</f>
        <v>Anaerobic lagoon</v>
      </c>
      <c r="F168" s="50" cm="1">
        <f t="array" aca="1" ref="F168" ca="1">MMS_Swine_Methane_Equations.VEERG_4_5_1_1__6_Stage2MethaneProduction($E$104,$I$122,F134,VLOOKUP($E168,$D$155:$E$160,2, FALSE),$I$125)</f>
        <v>9.4042521600000016E-4</v>
      </c>
      <c r="G168" s="50" cm="1">
        <f t="array" aca="1" ref="G168" ca="1">MMS_Swine_Methane_Equations.VEERG_4_5_1_1__6_Stage2MethaneProduction($F$104,$I$122,G134,VLOOKUP($E168,$D$155:$E$160,2, FALSE),$I$125)</f>
        <v>1.3518612480000003E-3</v>
      </c>
      <c r="H168" s="50" cm="1">
        <f t="array" aca="1" ref="H168" ca="1">MMS_Swine_Methane_Equations.VEERG_4_5_1_1__6_Stage2MethaneProduction($G$104,$I$122,H134,VLOOKUP($E168,$D$155:$E$160,2, FALSE),$I$125)</f>
        <v>1.6163558400000002E-3</v>
      </c>
      <c r="I168" s="50" cm="1">
        <f t="array" aca="1" ref="I168" ca="1">MMS_Swine_Methane_Equations.VEERG_4_5_1_1__6_Stage2MethaneProduction($H$104,$I$122,I134,VLOOKUP($E168,$D$155:$E$160,2, FALSE),$I$125)</f>
        <v>1.146143232E-3</v>
      </c>
      <c r="J168" s="2"/>
      <c r="N168" s="55" t="str">
        <f>INDEX(X_Table_Swine_Stage1MMS_Drylot,2,1)</f>
        <v>Drylot (feed pad)</v>
      </c>
      <c r="O168" s="55" t="str">
        <f>INDEX(X_Table_Swine_Stage2MMS_From_Drylot,2,1)</f>
        <v>Anaerobic lagoon</v>
      </c>
      <c r="P168" s="50" cm="1">
        <f t="array" aca="1" ref="P168" ca="1">MMS_Swine_Methane_Equations.VEERG_4_5_1_1__6_Stage2MethaneProduction($O$104,$I$122,F134,VLOOKUP($O168,$N$155:$O$160,2, FALSE),$I$125)</f>
        <v>9.5279923199999999E-4</v>
      </c>
      <c r="Q168" s="50" cm="1">
        <f t="array" aca="1" ref="Q168" ca="1">MMS_Swine_Methane_Equations.VEERG_4_5_1_1__6_Stage2MethaneProduction($P$104,$I$122,G134,VLOOKUP($O168,$N$155:$O$160,2, FALSE),$I$125)</f>
        <v>1.3696488960000003E-3</v>
      </c>
      <c r="R168" s="50" cm="1">
        <f t="array" aca="1" ref="R168" ca="1">MMS_Swine_Methane_Equations.VEERG_4_5_1_1__6_Stage2MethaneProduction($Q$104,$I$122,H134,VLOOKUP($O168,$N$155:$O$160,2, FALSE),$I$125)</f>
        <v>1.63762368E-3</v>
      </c>
      <c r="S168" s="50" cm="1">
        <f t="array" aca="1" ref="S168" ca="1">MMS_Swine_Methane_Equations.VEERG_4_5_1_1__6_Stage2MethaneProduction($R$104,$I$122,I134,VLOOKUP($O168,$N$155:$O$160,2, FALSE),$I$125)</f>
        <v>1.1612240640000002E-3</v>
      </c>
      <c r="T168" s="2"/>
    </row>
    <row r="169" spans="4:20" ht="20" customHeight="1" x14ac:dyDescent="0.25">
      <c r="D169" s="55"/>
      <c r="E169" s="55" t="str">
        <f>INDEX(X_Table_Swine_Stage2MMS_From_Drylot,3,1)</f>
        <v>Digester / covered lagoons</v>
      </c>
      <c r="F169" s="50" cm="1">
        <f t="array" aca="1" ref="F169" ca="1">MMS_Swine_Methane_Equations.VEERG_4_5_1_1__6_Stage2MethaneProduction($E$104,$I$122,F135,VLOOKUP($E169,$D$155:$E$160,2, FALSE),$I$125)</f>
        <v>1.2374016000000002E-4</v>
      </c>
      <c r="G169" s="50" cm="1">
        <f t="array" aca="1" ref="G169" ca="1">MMS_Swine_Methane_Equations.VEERG_4_5_1_1__6_Stage2MethaneProduction($F$104,$I$122,G135,VLOOKUP($E169,$D$155:$E$160,2, FALSE),$I$125)</f>
        <v>1.7787648000000002E-4</v>
      </c>
      <c r="H169" s="50" cm="1">
        <f t="array" aca="1" ref="H169" ca="1">MMS_Swine_Methane_Equations.VEERG_4_5_1_1__6_Stage2MethaneProduction($G$104,$I$122,H135,VLOOKUP($E169,$D$155:$E$160,2, FALSE),$I$125)</f>
        <v>2.1267840000000003E-4</v>
      </c>
      <c r="I169" s="50" cm="1">
        <f t="array" aca="1" ref="I169" ca="1">MMS_Swine_Methane_Equations.VEERG_4_5_1_1__6_Stage2MethaneProduction($H$104,$I$122,I135,VLOOKUP($E169,$D$155:$E$160,2, FALSE),$I$125)</f>
        <v>1.5080832000000002E-4</v>
      </c>
      <c r="J169" s="2"/>
      <c r="N169" s="55"/>
      <c r="O169" s="55" t="str">
        <f>INDEX(X_Table_Swine_Stage2MMS_From_Drylot,3,1)</f>
        <v>Digester / covered lagoons</v>
      </c>
      <c r="P169" s="50" cm="1">
        <f t="array" aca="1" ref="P169" ca="1">MMS_Swine_Methane_Equations.VEERG_4_5_1_1__6_Stage2MethaneProduction($O$104,$I$122,F135,VLOOKUP($O169,$N$155:$O$160,2, FALSE),$I$125)</f>
        <v>1.2374016000000002E-4</v>
      </c>
      <c r="Q169" s="50" cm="1">
        <f t="array" aca="1" ref="Q169" ca="1">MMS_Swine_Methane_Equations.VEERG_4_5_1_1__6_Stage2MethaneProduction($P$104,$I$122,G135,VLOOKUP($O169,$N$155:$O$160,2, FALSE),$I$125)</f>
        <v>1.7787648000000002E-4</v>
      </c>
      <c r="R169" s="50" cm="1">
        <f t="array" aca="1" ref="R169" ca="1">MMS_Swine_Methane_Equations.VEERG_4_5_1_1__6_Stage2MethaneProduction($Q$104,$I$122,H135,VLOOKUP($O169,$N$155:$O$160,2, FALSE),$I$125)</f>
        <v>2.1267840000000003E-4</v>
      </c>
      <c r="S169" s="50" cm="1">
        <f t="array" aca="1" ref="S169" ca="1">MMS_Swine_Methane_Equations.VEERG_4_5_1_1__6_Stage2MethaneProduction($R$104,$I$122,I135,VLOOKUP($O169,$N$155:$O$160,2, FALSE),$I$125)</f>
        <v>1.5080832000000002E-4</v>
      </c>
      <c r="T169" s="2"/>
    </row>
    <row r="170" spans="4:20" ht="20" customHeight="1" x14ac:dyDescent="0.25">
      <c r="D170" s="55"/>
      <c r="E170" s="55" t="str">
        <f>INDEX(X_Table_Swine_Stage2MMS_From_Drylot,4,1)</f>
        <v>Deep litter</v>
      </c>
      <c r="F170" s="50" cm="1">
        <f t="array" aca="1" ref="F170" ca="1">MMS_Swine_Methane_Equations.VEERG_4_5_1_1__6_Stage2MethaneProduction($E$104,$I$122,F136,VLOOKUP($E170,$D$155:$E$160,2, FALSE),$I$125)</f>
        <v>4.9496064000000004E-5</v>
      </c>
      <c r="G170" s="50" cm="1">
        <f t="array" aca="1" ref="G170" ca="1">MMS_Swine_Methane_Equations.VEERG_4_5_1_1__6_Stage2MethaneProduction($F$104,$I$122,G136,VLOOKUP($E170,$D$155:$E$160,2, FALSE),$I$125)</f>
        <v>7.1150592000000014E-5</v>
      </c>
      <c r="H170" s="50" cm="1">
        <f t="array" aca="1" ref="H170" ca="1">MMS_Swine_Methane_Equations.VEERG_4_5_1_1__6_Stage2MethaneProduction($G$104,$I$122,H136,VLOOKUP($E170,$D$155:$E$160,2, FALSE),$I$125)</f>
        <v>8.5071360000000011E-5</v>
      </c>
      <c r="I170" s="50" cm="1">
        <f t="array" aca="1" ref="I170" ca="1">MMS_Swine_Methane_Equations.VEERG_4_5_1_1__6_Stage2MethaneProduction($H$104,$I$122,I136,VLOOKUP($E170,$D$155:$E$160,2, FALSE),$I$125)</f>
        <v>6.0323328000000009E-5</v>
      </c>
      <c r="J170" s="2"/>
      <c r="N170" s="55"/>
      <c r="O170" s="55" t="str">
        <f>INDEX(X_Table_Swine_Stage2MMS_From_Drylot,4,1)</f>
        <v>Deep litter</v>
      </c>
      <c r="P170" s="50" cm="1">
        <f t="array" aca="1" ref="P170" ca="1">MMS_Swine_Methane_Equations.VEERG_4_5_1_1__6_Stage2MethaneProduction($O$104,$I$122,F136,VLOOKUP($O170,$N$155:$O$160,2, FALSE),$I$125)</f>
        <v>4.9496064000000004E-5</v>
      </c>
      <c r="Q170" s="50" cm="1">
        <f t="array" aca="1" ref="Q170" ca="1">MMS_Swine_Methane_Equations.VEERG_4_5_1_1__6_Stage2MethaneProduction($P$104,$I$122,G136,VLOOKUP($O170,$N$155:$O$160,2, FALSE),$I$125)</f>
        <v>7.1150592000000014E-5</v>
      </c>
      <c r="R170" s="50" cm="1">
        <f t="array" aca="1" ref="R170" ca="1">MMS_Swine_Methane_Equations.VEERG_4_5_1_1__6_Stage2MethaneProduction($Q$104,$I$122,H136,VLOOKUP($O170,$N$155:$O$160,2, FALSE),$I$125)</f>
        <v>8.5071360000000011E-5</v>
      </c>
      <c r="S170" s="50" cm="1">
        <f t="array" aca="1" ref="S170" ca="1">MMS_Swine_Methane_Equations.VEERG_4_5_1_1__6_Stage2MethaneProduction($R$104,$I$122,I136,VLOOKUP($O170,$N$155:$O$160,2, FALSE),$I$125)</f>
        <v>6.0323328000000009E-5</v>
      </c>
      <c r="T170" s="2"/>
    </row>
    <row r="171" spans="4:20" ht="20" customHeight="1" x14ac:dyDescent="0.25">
      <c r="D171" s="55"/>
      <c r="E171" s="55" t="str">
        <f>INDEX(X_Table_Swine_Stage2MMS_From_Drylot,5,1)</f>
        <v>Pit storage</v>
      </c>
      <c r="F171" s="50" cm="1">
        <f t="array" aca="1" ref="F171" ca="1">MMS_Swine_Methane_Equations.VEERG_4_5_1_1__6_Stage2MethaneProduction($E$104,$I$122,F137,VLOOKUP($E171,$D$155:$E$160,2, FALSE),$I$125)</f>
        <v>3.7122047999999999E-5</v>
      </c>
      <c r="G171" s="50" cm="1">
        <f t="array" aca="1" ref="G171" ca="1">MMS_Swine_Methane_Equations.VEERG_4_5_1_1__6_Stage2MethaneProduction($F$104,$I$122,G137,VLOOKUP($E171,$D$155:$E$160,2, FALSE),$I$125)</f>
        <v>5.3362944000000004E-5</v>
      </c>
      <c r="H171" s="50" cm="1">
        <f t="array" aca="1" ref="H171" ca="1">MMS_Swine_Methane_Equations.VEERG_4_5_1_1__6_Stage2MethaneProduction($G$104,$I$122,H137,VLOOKUP($E171,$D$155:$E$160,2, FALSE),$I$125)</f>
        <v>6.3803520000000008E-5</v>
      </c>
      <c r="I171" s="50" cm="1">
        <f t="array" aca="1" ref="I171" ca="1">MMS_Swine_Methane_Equations.VEERG_4_5_1_1__6_Stage2MethaneProduction($H$104,$I$122,I137,VLOOKUP($E171,$D$155:$E$160,2, FALSE),$I$125)</f>
        <v>4.5242496000000002E-5</v>
      </c>
      <c r="J171" s="2"/>
      <c r="N171" s="55"/>
      <c r="O171" s="55" t="str">
        <f>INDEX(X_Table_Swine_Stage2MMS_From_Drylot,5,1)</f>
        <v>Pit storage</v>
      </c>
      <c r="P171" s="50" cm="1">
        <f t="array" aca="1" ref="P171" ca="1">MMS_Swine_Methane_Equations.VEERG_4_5_1_1__6_Stage2MethaneProduction($O$104,$I$122,F137,VLOOKUP($O171,$N$155:$O$160,2, FALSE),$I$125)</f>
        <v>3.7122047999999999E-5</v>
      </c>
      <c r="Q171" s="50" cm="1">
        <f t="array" aca="1" ref="Q171" ca="1">MMS_Swine_Methane_Equations.VEERG_4_5_1_1__6_Stage2MethaneProduction($P$104,$I$122,G137,VLOOKUP($O171,$N$155:$O$160,2, FALSE),$I$125)</f>
        <v>5.3362944000000004E-5</v>
      </c>
      <c r="R171" s="50" cm="1">
        <f t="array" aca="1" ref="R171" ca="1">MMS_Swine_Methane_Equations.VEERG_4_5_1_1__6_Stage2MethaneProduction($Q$104,$I$122,H137,VLOOKUP($O171,$N$155:$O$160,2, FALSE),$I$125)</f>
        <v>6.3803520000000008E-5</v>
      </c>
      <c r="S171" s="50" cm="1">
        <f t="array" aca="1" ref="S171" ca="1">MMS_Swine_Methane_Equations.VEERG_4_5_1_1__6_Stage2MethaneProduction($R$104,$I$122,I137,VLOOKUP($O171,$N$155:$O$160,2, FALSE),$I$125)</f>
        <v>4.5242496000000002E-5</v>
      </c>
      <c r="T171" s="2"/>
    </row>
    <row r="172" spans="4:20" ht="20" customHeight="1" x14ac:dyDescent="0.25">
      <c r="D172" s="55" t="str">
        <f>INDEX(X_Table_Swine_Stage1MMS_DigesterCoveredLagoons,2,1)</f>
        <v>Digester / covered lagoons</v>
      </c>
      <c r="E172" s="55" t="str">
        <f>INDEX(X_Table_Swine_Stage2MMS_From_DigesterCoveredLagoons,2,1)</f>
        <v>Anaerobic lagoon</v>
      </c>
      <c r="F172" s="50" cm="1">
        <f t="array" aca="1" ref="F172" ca="1">MMS_Swine_Methane_Equations.VEERG_4_5_1_1__6_Stage2MethaneProduction($E$105,$I$122,F138,VLOOKUP($E172,$D$155:$E$160,2, FALSE),$I$125)</f>
        <v>2.3510630400000004E-4</v>
      </c>
      <c r="G172" s="50" cm="1">
        <f t="array" aca="1" ref="G172" ca="1">MMS_Swine_Methane_Equations.VEERG_4_5_1_1__6_Stage2MethaneProduction($F$105,$I$122,G138,VLOOKUP($E172,$D$155:$E$160,2, FALSE),$I$125)</f>
        <v>3.3796531200000008E-4</v>
      </c>
      <c r="H172" s="50" cm="1">
        <f t="array" aca="1" ref="H172" ca="1">MMS_Swine_Methane_Equations.VEERG_4_5_1_1__6_Stage2MethaneProduction($G$105,$I$122,H138,VLOOKUP($E172,$D$155:$E$160,2, FALSE),$I$125)</f>
        <v>4.0408896000000005E-4</v>
      </c>
      <c r="I172" s="50" cm="1">
        <f t="array" aca="1" ref="I172" ca="1">MMS_Swine_Methane_Equations.VEERG_4_5_1_1__6_Stage2MethaneProduction($H$105,$I$122,I138,VLOOKUP($E172,$D$155:$E$160,2, FALSE),$I$125)</f>
        <v>2.86535808E-4</v>
      </c>
      <c r="J172" s="2"/>
      <c r="N172" s="55" t="str">
        <f>INDEX(X_Table_Swine_Stage1MMS_DigesterCoveredLagoons,2,1)</f>
        <v>Digester / covered lagoons</v>
      </c>
      <c r="O172" s="55" t="str">
        <f>INDEX(X_Table_Swine_Stage2MMS_From_DigesterCoveredLagoons,2,1)</f>
        <v>Anaerobic lagoon</v>
      </c>
      <c r="P172" s="50" cm="1">
        <f t="array" aca="1" ref="P172" ca="1">MMS_Swine_Methane_Equations.VEERG_4_5_1_1__6_Stage2MethaneProduction($O$105,$I$122,F138,VLOOKUP($O172,$N$155:$O$160,2, FALSE),$I$125)</f>
        <v>2.38199808E-4</v>
      </c>
      <c r="Q172" s="50" cm="1">
        <f t="array" aca="1" ref="Q172" ca="1">MMS_Swine_Methane_Equations.VEERG_4_5_1_1__6_Stage2MethaneProduction($P$105,$I$122,G138,VLOOKUP($O172,$N$155:$O$160,2, FALSE),$I$125)</f>
        <v>3.4241222400000008E-4</v>
      </c>
      <c r="R172" s="50" cm="1">
        <f t="array" aca="1" ref="R172" ca="1">MMS_Swine_Methane_Equations.VEERG_4_5_1_1__6_Stage2MethaneProduction($Q$105,$I$122,H138,VLOOKUP($O172,$N$155:$O$160,2, FALSE),$I$125)</f>
        <v>4.0940592000000001E-4</v>
      </c>
      <c r="S172" s="50" cm="1">
        <f t="array" aca="1" ref="S172" ca="1">MMS_Swine_Methane_Equations.VEERG_4_5_1_1__6_Stage2MethaneProduction($R$105,$I$122,I138,VLOOKUP($O172,$N$155:$O$160,2, FALSE),$I$125)</f>
        <v>2.9030601600000004E-4</v>
      </c>
      <c r="T172" s="2"/>
    </row>
    <row r="173" spans="4:20" ht="20" customHeight="1" x14ac:dyDescent="0.25">
      <c r="D173" s="55"/>
      <c r="E173" s="55" t="str">
        <f>INDEX(X_Table_Swine_Stage2MMS_From_DigesterCoveredLagoons,3,1)</f>
        <v>Deep litter</v>
      </c>
      <c r="F173" s="50" cm="1">
        <f t="array" aca="1" ref="F173" ca="1">MMS_Swine_Methane_Equations.VEERG_4_5_1_1__6_Stage2MethaneProduction($E$105,$I$122,F139,VLOOKUP($E173,$D$155:$E$160,2, FALSE),$I$125)</f>
        <v>1.2374016000000001E-5</v>
      </c>
      <c r="G173" s="50" cm="1">
        <f t="array" aca="1" ref="G173" ca="1">MMS_Swine_Methane_Equations.VEERG_4_5_1_1__6_Stage2MethaneProduction($F$105,$I$122,G139,VLOOKUP($E173,$D$155:$E$160,2, FALSE),$I$125)</f>
        <v>1.7787648000000004E-5</v>
      </c>
      <c r="H173" s="50" cm="1">
        <f t="array" aca="1" ref="H173" ca="1">MMS_Swine_Methane_Equations.VEERG_4_5_1_1__6_Stage2MethaneProduction($G$105,$I$122,H139,VLOOKUP($E173,$D$155:$E$160,2, FALSE),$I$125)</f>
        <v>2.1267840000000003E-5</v>
      </c>
      <c r="I173" s="50" cm="1">
        <f t="array" aca="1" ref="I173" ca="1">MMS_Swine_Methane_Equations.VEERG_4_5_1_1__6_Stage2MethaneProduction($H$105,$I$122,I139,VLOOKUP($E173,$D$155:$E$160,2, FALSE),$I$125)</f>
        <v>1.5080832000000002E-5</v>
      </c>
      <c r="J173" s="2"/>
      <c r="N173" s="55"/>
      <c r="O173" s="55" t="str">
        <f>INDEX(X_Table_Swine_Stage2MMS_From_DigesterCoveredLagoons,3,1)</f>
        <v>Deep litter</v>
      </c>
      <c r="P173" s="50" cm="1">
        <f t="array" aca="1" ref="P173" ca="1">MMS_Swine_Methane_Equations.VEERG_4_5_1_1__6_Stage2MethaneProduction($O$105,$I$122,F139,VLOOKUP($O173,$N$155:$O$160,2, FALSE),$I$125)</f>
        <v>1.2374016000000001E-5</v>
      </c>
      <c r="Q173" s="50" cm="1">
        <f t="array" aca="1" ref="Q173" ca="1">MMS_Swine_Methane_Equations.VEERG_4_5_1_1__6_Stage2MethaneProduction($P$105,$I$122,G139,VLOOKUP($O173,$N$155:$O$160,2, FALSE),$I$125)</f>
        <v>1.7787648000000004E-5</v>
      </c>
      <c r="R173" s="50" cm="1">
        <f t="array" aca="1" ref="R173" ca="1">MMS_Swine_Methane_Equations.VEERG_4_5_1_1__6_Stage2MethaneProduction($Q$105,$I$122,H139,VLOOKUP($O173,$N$155:$O$160,2, FALSE),$I$125)</f>
        <v>2.1267840000000003E-5</v>
      </c>
      <c r="S173" s="50" cm="1">
        <f t="array" aca="1" ref="S173" ca="1">MMS_Swine_Methane_Equations.VEERG_4_5_1_1__6_Stage2MethaneProduction($R$105,$I$122,I139,VLOOKUP($O173,$N$155:$O$160,2, FALSE),$I$125)</f>
        <v>1.5080832000000002E-5</v>
      </c>
      <c r="T173" s="2"/>
    </row>
    <row r="174" spans="4:20" ht="20" customHeight="1" x14ac:dyDescent="0.25">
      <c r="D174" s="55"/>
      <c r="E174" s="55" t="str">
        <f>INDEX(X_Table_Swine_Stage2MMS_From_DigesterCoveredLagoons,4,1)</f>
        <v>Pit storage</v>
      </c>
      <c r="F174" s="50" cm="1">
        <f t="array" aca="1" ref="F174" ca="1">MMS_Swine_Methane_Equations.VEERG_4_5_1_1__6_Stage2MethaneProduction($E$105,$I$122,F140,VLOOKUP($E174,$D$155:$E$160,2, FALSE),$I$125)</f>
        <v>9.2805119999999998E-6</v>
      </c>
      <c r="G174" s="50" cm="1">
        <f t="array" aca="1" ref="G174" ca="1">MMS_Swine_Methane_Equations.VEERG_4_5_1_1__6_Stage2MethaneProduction($F$105,$I$122,G140,VLOOKUP($E174,$D$155:$E$160,2, FALSE),$I$125)</f>
        <v>1.3340736000000001E-5</v>
      </c>
      <c r="H174" s="50" cm="1">
        <f t="array" aca="1" ref="H174" ca="1">MMS_Swine_Methane_Equations.VEERG_4_5_1_1__6_Stage2MethaneProduction($G$105,$I$122,H140,VLOOKUP($E174,$D$155:$E$160,2, FALSE),$I$125)</f>
        <v>1.5950880000000002E-5</v>
      </c>
      <c r="I174" s="50" cm="1">
        <f t="array" aca="1" ref="I174" ca="1">MMS_Swine_Methane_Equations.VEERG_4_5_1_1__6_Stage2MethaneProduction($H$105,$I$122,I140,VLOOKUP($E174,$D$155:$E$160,2, FALSE),$I$125)</f>
        <v>1.1310624E-5</v>
      </c>
      <c r="J174" s="2"/>
      <c r="N174" s="55"/>
      <c r="O174" s="55" t="str">
        <f>INDEX(X_Table_Swine_Stage2MMS_From_DigesterCoveredLagoons,4,1)</f>
        <v>Pit storage</v>
      </c>
      <c r="P174" s="50" cm="1">
        <f t="array" aca="1" ref="P174" ca="1">MMS_Swine_Methane_Equations.VEERG_4_5_1_1__6_Stage2MethaneProduction($O$105,$I$122,F140,VLOOKUP($O174,$N$155:$O$160,2, FALSE),$I$125)</f>
        <v>9.2805119999999998E-6</v>
      </c>
      <c r="Q174" s="50" cm="1">
        <f t="array" aca="1" ref="Q174" ca="1">MMS_Swine_Methane_Equations.VEERG_4_5_1_1__6_Stage2MethaneProduction($P$105,$I$122,G140,VLOOKUP($O174,$N$155:$O$160,2, FALSE),$I$125)</f>
        <v>1.3340736000000001E-5</v>
      </c>
      <c r="R174" s="50" cm="1">
        <f t="array" aca="1" ref="R174" ca="1">MMS_Swine_Methane_Equations.VEERG_4_5_1_1__6_Stage2MethaneProduction($Q$105,$I$122,H140,VLOOKUP($O174,$N$155:$O$160,2, FALSE),$I$125)</f>
        <v>1.5950880000000002E-5</v>
      </c>
      <c r="S174" s="50" cm="1">
        <f t="array" aca="1" ref="S174" ca="1">MMS_Swine_Methane_Equations.VEERG_4_5_1_1__6_Stage2MethaneProduction($R$105,$I$122,I140,VLOOKUP($O174,$N$155:$O$160,2, FALSE),$I$125)</f>
        <v>1.1310624E-5</v>
      </c>
      <c r="T174" s="2"/>
    </row>
    <row r="175" spans="4:20" ht="20" customHeight="1" x14ac:dyDescent="0.25">
      <c r="D175" s="55" t="str">
        <f>INDEX(X_Table_Swine_Stage1MMS_DeepLitter,2,1)</f>
        <v>Deep litter</v>
      </c>
      <c r="E175" s="55" t="str">
        <f>INDEX(X_Table_Swine_Stage2MMS_From_DeepLitter,2,1)</f>
        <v>Anaerobic lagoon</v>
      </c>
      <c r="F175" s="50" cm="1">
        <f t="array" aca="1" ref="F175" ca="1">MMS_Swine_Methane_Equations.VEERG_4_5_1_1__6_Stage2MethaneProduction($E$106,$I$122,F141,VLOOKUP($E175,$D$155:$E$160,2, FALSE),$I$125)</f>
        <v>8.9340395520000001E-4</v>
      </c>
      <c r="G175" s="50" cm="1">
        <f t="array" aca="1" ref="G175" ca="1">MMS_Swine_Methane_Equations.VEERG_4_5_1_1__6_Stage2MethaneProduction($F$106,$I$122,G141,VLOOKUP($E175,$D$155:$E$160,2, FALSE),$I$125)</f>
        <v>1.2842681856000001E-3</v>
      </c>
      <c r="H175" s="50" cm="1">
        <f t="array" aca="1" ref="H175" ca="1">MMS_Swine_Methane_Equations.VEERG_4_5_1_1__6_Stage2MethaneProduction($G$106,$I$122,H141,VLOOKUP($E175,$D$155:$E$160,2, FALSE),$I$125)</f>
        <v>1.5355380480000004E-3</v>
      </c>
      <c r="I175" s="50" cm="1">
        <f t="array" aca="1" ref="I175" ca="1">MMS_Swine_Methane_Equations.VEERG_4_5_1_1__6_Stage2MethaneProduction($H$106,$I$122,I141,VLOOKUP($E175,$D$155:$E$160,2, FALSE),$I$125)</f>
        <v>1.0888360704000002E-3</v>
      </c>
      <c r="J175" s="2"/>
      <c r="N175" s="55" t="str">
        <f>INDEX(X_Table_Swine_Stage1MMS_DeepLitter,2,1)</f>
        <v>Deep litter</v>
      </c>
      <c r="O175" s="55" t="str">
        <f>INDEX(X_Table_Swine_Stage2MMS_From_DeepLitter,2,1)</f>
        <v>Anaerobic lagoon</v>
      </c>
      <c r="P175" s="50" cm="1">
        <f t="array" aca="1" ref="P175" ca="1">MMS_Swine_Methane_Equations.VEERG_4_5_1_1__6_Stage2MethaneProduction($O$106,$I$122,F141,VLOOKUP($O175,$N$155:$O$160,2, FALSE),$I$125)</f>
        <v>9.0515927040000002E-4</v>
      </c>
      <c r="Q175" s="50" cm="1">
        <f t="array" aca="1" ref="Q175" ca="1">MMS_Swine_Methane_Equations.VEERG_4_5_1_1__6_Stage2MethaneProduction($P$106,$I$122,G141,VLOOKUP($O175,$N$155:$O$160,2, FALSE),$I$125)</f>
        <v>1.3011664512E-3</v>
      </c>
      <c r="R175" s="50" cm="1">
        <f t="array" aca="1" ref="R175" ca="1">MMS_Swine_Methane_Equations.VEERG_4_5_1_1__6_Stage2MethaneProduction($Q$106,$I$122,H141,VLOOKUP($O175,$N$155:$O$160,2, FALSE),$I$125)</f>
        <v>1.5557424960000003E-3</v>
      </c>
      <c r="S175" s="50" cm="1">
        <f t="array" aca="1" ref="S175" ca="1">MMS_Swine_Methane_Equations.VEERG_4_5_1_1__6_Stage2MethaneProduction($R$106,$I$122,I141,VLOOKUP($O175,$N$155:$O$160,2, FALSE),$I$125)</f>
        <v>1.1031628608000001E-3</v>
      </c>
      <c r="T175" s="2"/>
    </row>
    <row r="176" spans="4:20" ht="20" customHeight="1" x14ac:dyDescent="0.25">
      <c r="D176" s="55"/>
      <c r="E176" s="55" t="str">
        <f>INDEX(X_Table_Swine_Stage2MMS_From_DeepLitter,3,1)</f>
        <v>Digester / covered lagoons</v>
      </c>
      <c r="F176" s="50" cm="1">
        <f t="array" aca="1" ref="F176" ca="1">MMS_Swine_Methane_Equations.VEERG_4_5_1_1__6_Stage2MethaneProduction($E$106,$I$122,F142,VLOOKUP($E176,$D$155:$E$160,2, FALSE),$I$125)</f>
        <v>1.1755315200000002E-4</v>
      </c>
      <c r="G176" s="50" cm="1">
        <f t="array" aca="1" ref="G176" ca="1">MMS_Swine_Methane_Equations.VEERG_4_5_1_1__6_Stage2MethaneProduction($F$106,$I$122,G142,VLOOKUP($E176,$D$155:$E$160,2, FALSE),$I$125)</f>
        <v>1.6898265599999998E-4</v>
      </c>
      <c r="H176" s="50" cm="1">
        <f t="array" aca="1" ref="H176" ca="1">MMS_Swine_Methane_Equations.VEERG_4_5_1_1__6_Stage2MethaneProduction($G$106,$I$122,H142,VLOOKUP($E176,$D$155:$E$160,2, FALSE),$I$125)</f>
        <v>2.0204448000000003E-4</v>
      </c>
      <c r="I176" s="50" cm="1">
        <f t="array" aca="1" ref="I176" ca="1">MMS_Swine_Methane_Equations.VEERG_4_5_1_1__6_Stage2MethaneProduction($H$106,$I$122,I142,VLOOKUP($E176,$D$155:$E$160,2, FALSE),$I$125)</f>
        <v>1.43267904E-4</v>
      </c>
      <c r="J176" s="2"/>
      <c r="N176" s="55"/>
      <c r="O176" s="55" t="str">
        <f>INDEX(X_Table_Swine_Stage2MMS_From_DeepLitter,3,1)</f>
        <v>Digester / covered lagoons</v>
      </c>
      <c r="P176" s="50" cm="1">
        <f t="array" aca="1" ref="P176" ca="1">MMS_Swine_Methane_Equations.VEERG_4_5_1_1__6_Stage2MethaneProduction($O$106,$I$122,F142,VLOOKUP($O176,$N$155:$O$160,2, FALSE),$I$125)</f>
        <v>1.1755315200000002E-4</v>
      </c>
      <c r="Q176" s="50" cm="1">
        <f t="array" aca="1" ref="Q176" ca="1">MMS_Swine_Methane_Equations.VEERG_4_5_1_1__6_Stage2MethaneProduction($P$106,$I$122,G142,VLOOKUP($O176,$N$155:$O$160,2, FALSE),$I$125)</f>
        <v>1.6898265599999998E-4</v>
      </c>
      <c r="R176" s="50" cm="1">
        <f t="array" aca="1" ref="R176" ca="1">MMS_Swine_Methane_Equations.VEERG_4_5_1_1__6_Stage2MethaneProduction($Q$106,$I$122,H142,VLOOKUP($O176,$N$155:$O$160,2, FALSE),$I$125)</f>
        <v>2.0204448000000003E-4</v>
      </c>
      <c r="S176" s="50" cm="1">
        <f t="array" aca="1" ref="S176" ca="1">MMS_Swine_Methane_Equations.VEERG_4_5_1_1__6_Stage2MethaneProduction($R$106,$I$122,I142,VLOOKUP($O176,$N$155:$O$160,2, FALSE),$I$125)</f>
        <v>1.43267904E-4</v>
      </c>
      <c r="T176" s="2"/>
    </row>
    <row r="177" spans="1:21" ht="20" customHeight="1" x14ac:dyDescent="0.25">
      <c r="D177" s="55"/>
      <c r="E177" s="55" t="str">
        <f>INDEX(X_Table_Swine_Stage2MMS_From_DeepLitter,4,1)</f>
        <v>Pit storage</v>
      </c>
      <c r="F177" s="50" cm="1">
        <f t="array" aca="1" ref="F177" ca="1">MMS_Swine_Methane_Equations.VEERG_4_5_1_1__6_Stage2MethaneProduction($E$106,$I$122,F143,VLOOKUP($E177,$D$155:$E$160,2, FALSE),$I$125)</f>
        <v>3.5265945600000003E-5</v>
      </c>
      <c r="G177" s="50" cm="1">
        <f t="array" aca="1" ref="G177" ca="1">MMS_Swine_Methane_Equations.VEERG_4_5_1_1__6_Stage2MethaneProduction($F$106,$I$122,G143,VLOOKUP($E177,$D$155:$E$160,2, FALSE),$I$125)</f>
        <v>5.0694796799999996E-5</v>
      </c>
      <c r="H177" s="50" cm="1">
        <f t="array" aca="1" ref="H177" ca="1">MMS_Swine_Methane_Equations.VEERG_4_5_1_1__6_Stage2MethaneProduction($G$106,$I$122,H143,VLOOKUP($E177,$D$155:$E$160,2, FALSE),$I$125)</f>
        <v>6.0613344000000005E-5</v>
      </c>
      <c r="I177" s="50" cm="1">
        <f t="array" aca="1" ref="I177" ca="1">MMS_Swine_Methane_Equations.VEERG_4_5_1_1__6_Stage2MethaneProduction($H$106,$I$122,I143,VLOOKUP($E177,$D$155:$E$160,2, FALSE),$I$125)</f>
        <v>4.2980371200000003E-5</v>
      </c>
      <c r="J177" s="2"/>
      <c r="N177" s="55"/>
      <c r="O177" s="55" t="str">
        <f>INDEX(X_Table_Swine_Stage2MMS_From_DeepLitter,4,1)</f>
        <v>Pit storage</v>
      </c>
      <c r="P177" s="50" cm="1">
        <f t="array" aca="1" ref="P177" ca="1">MMS_Swine_Methane_Equations.VEERG_4_5_1_1__6_Stage2MethaneProduction($O$106,$I$122,F143,VLOOKUP($O177,$N$155:$O$160,2, FALSE),$I$125)</f>
        <v>3.5265945600000003E-5</v>
      </c>
      <c r="Q177" s="50" cm="1">
        <f t="array" aca="1" ref="Q177" ca="1">MMS_Swine_Methane_Equations.VEERG_4_5_1_1__6_Stage2MethaneProduction($P$106,$I$122,G143,VLOOKUP($O177,$N$155:$O$160,2, FALSE),$I$125)</f>
        <v>5.0694796799999996E-5</v>
      </c>
      <c r="R177" s="50" cm="1">
        <f t="array" aca="1" ref="R177" ca="1">MMS_Swine_Methane_Equations.VEERG_4_5_1_1__6_Stage2MethaneProduction($Q$106,$I$122,H143,VLOOKUP($O177,$N$155:$O$160,2, FALSE),$I$125)</f>
        <v>6.0613344000000005E-5</v>
      </c>
      <c r="S177" s="50" cm="1">
        <f t="array" aca="1" ref="S177" ca="1">MMS_Swine_Methane_Equations.VEERG_4_5_1_1__6_Stage2MethaneProduction($R$106,$I$122,I143,VLOOKUP($O177,$N$155:$O$160,2, FALSE),$I$125)</f>
        <v>4.2980371200000003E-5</v>
      </c>
      <c r="T177" s="2"/>
    </row>
    <row r="178" spans="1:21" ht="20" customHeight="1" x14ac:dyDescent="0.25">
      <c r="D178" s="55" t="str">
        <f>INDEX(X_Table_Swine_Stage1MMS_PitStorage,2,1)</f>
        <v>Pit storage</v>
      </c>
      <c r="E178" s="55" t="str">
        <f>INDEX(X_Table_Swine_Stage2MMS_From_PitStorage,2,1)</f>
        <v>Anaerobic lagoon</v>
      </c>
      <c r="F178" s="50" cm="1">
        <f t="array" aca="1" ref="F178" ca="1">MMS_Swine_Methane_Equations.VEERG_4_5_1_1__6_Stage2MethaneProduction($E$107,$I$122,F144,VLOOKUP($E178,$D$155:$E$160,2, FALSE),$I$125)</f>
        <v>9.4042521600000016E-4</v>
      </c>
      <c r="G178" s="50" cm="1">
        <f t="array" aca="1" ref="G178" ca="1">MMS_Swine_Methane_Equations.VEERG_4_5_1_1__6_Stage2MethaneProduction($F$107,$I$122,G144,VLOOKUP($E178,$D$155:$E$160,2, FALSE),$I$125)</f>
        <v>1.3518612480000003E-3</v>
      </c>
      <c r="H178" s="50" cm="1">
        <f t="array" aca="1" ref="H178" ca="1">MMS_Swine_Methane_Equations.VEERG_4_5_1_1__6_Stage2MethaneProduction($G$107,$I$122,H144,VLOOKUP($E178,$D$155:$E$160,2, FALSE),$I$125)</f>
        <v>1.6163558400000002E-3</v>
      </c>
      <c r="I178" s="50" cm="1">
        <f t="array" aca="1" ref="I178" ca="1">MMS_Swine_Methane_Equations.VEERG_4_5_1_1__6_Stage2MethaneProduction($H$107,$I$122,I144,VLOOKUP($E178,$D$155:$E$160,2, FALSE),$I$125)</f>
        <v>1.146143232E-3</v>
      </c>
      <c r="J178" s="2"/>
      <c r="N178" s="55" t="str">
        <f>INDEX(X_Table_Swine_Stage1MMS_PitStorage,2,1)</f>
        <v>Pit storage</v>
      </c>
      <c r="O178" s="55" t="str">
        <f>INDEX(X_Table_Swine_Stage2MMS_From_PitStorage,2,1)</f>
        <v>Anaerobic lagoon</v>
      </c>
      <c r="P178" s="50" cm="1">
        <f t="array" aca="1" ref="P178" ca="1">MMS_Swine_Methane_Equations.VEERG_4_5_1_1__6_Stage2MethaneProduction($O$107,$I$122,F144,VLOOKUP($O178,$N$155:$O$160,2, FALSE),$I$125)</f>
        <v>9.5279923199999999E-4</v>
      </c>
      <c r="Q178" s="50" cm="1">
        <f t="array" aca="1" ref="Q178" ca="1">MMS_Swine_Methane_Equations.VEERG_4_5_1_1__6_Stage2MethaneProduction($P$107,$I$122,G144,VLOOKUP($O178,$N$155:$O$160,2, FALSE),$I$125)</f>
        <v>1.3696488960000003E-3</v>
      </c>
      <c r="R178" s="50" cm="1">
        <f t="array" aca="1" ref="R178" ca="1">MMS_Swine_Methane_Equations.VEERG_4_5_1_1__6_Stage2MethaneProduction($Q$107,$I$122,H144,VLOOKUP($O178,$N$155:$O$160,2, FALSE),$I$125)</f>
        <v>1.63762368E-3</v>
      </c>
      <c r="S178" s="50" cm="1">
        <f t="array" aca="1" ref="S178" ca="1">MMS_Swine_Methane_Equations.VEERG_4_5_1_1__6_Stage2MethaneProduction($R$107,$I$122,I144,VLOOKUP($O178,$N$155:$O$160,2, FALSE),$I$125)</f>
        <v>1.1612240640000002E-3</v>
      </c>
      <c r="T178" s="2"/>
    </row>
    <row r="179" spans="1:21" ht="20" customHeight="1" x14ac:dyDescent="0.25">
      <c r="D179" s="55"/>
      <c r="E179" s="55" t="str">
        <f>INDEX(X_Table_Swine_Stage2MMS_From_PitStorage,3,1)</f>
        <v>Digester / covered lagoons</v>
      </c>
      <c r="F179" s="50" cm="1">
        <f t="array" aca="1" ref="F179" ca="1">MMS_Swine_Methane_Equations.VEERG_4_5_1_1__6_Stage2MethaneProduction($E$107,$I$122,F145,VLOOKUP($E179,$D$155:$E$160,2, FALSE),$I$125)</f>
        <v>1.2374016000000002E-4</v>
      </c>
      <c r="G179" s="50" cm="1">
        <f t="array" aca="1" ref="G179" ca="1">MMS_Swine_Methane_Equations.VEERG_4_5_1_1__6_Stage2MethaneProduction($F$107,$I$122,G145,VLOOKUP($E179,$D$155:$E$160,2, FALSE),$I$125)</f>
        <v>1.7787648000000002E-4</v>
      </c>
      <c r="H179" s="50" cm="1">
        <f t="array" aca="1" ref="H179" ca="1">MMS_Swine_Methane_Equations.VEERG_4_5_1_1__6_Stage2MethaneProduction($G$107,$I$122,H145,VLOOKUP($E179,$D$155:$E$160,2, FALSE),$I$125)</f>
        <v>2.1267840000000003E-4</v>
      </c>
      <c r="I179" s="50" cm="1">
        <f t="array" aca="1" ref="I179" ca="1">MMS_Swine_Methane_Equations.VEERG_4_5_1_1__6_Stage2MethaneProduction($H$107,$I$122,I145,VLOOKUP($E179,$D$155:$E$160,2, FALSE),$I$125)</f>
        <v>1.5080832000000002E-4</v>
      </c>
      <c r="J179" s="2"/>
      <c r="N179" s="55"/>
      <c r="O179" s="55" t="str">
        <f>INDEX(X_Table_Swine_Stage2MMS_From_PitStorage,3,1)</f>
        <v>Digester / covered lagoons</v>
      </c>
      <c r="P179" s="50" cm="1">
        <f t="array" aca="1" ref="P179" ca="1">MMS_Swine_Methane_Equations.VEERG_4_5_1_1__6_Stage2MethaneProduction($O$107,$I$122,F145,VLOOKUP($O179,$N$155:$O$160,2, FALSE),$I$125)</f>
        <v>1.2374016000000002E-4</v>
      </c>
      <c r="Q179" s="50" cm="1">
        <f t="array" aca="1" ref="Q179" ca="1">MMS_Swine_Methane_Equations.VEERG_4_5_1_1__6_Stage2MethaneProduction($P$107,$I$122,G145,VLOOKUP($O179,$N$155:$O$160,2, FALSE),$I$125)</f>
        <v>1.7787648000000002E-4</v>
      </c>
      <c r="R179" s="50" cm="1">
        <f t="array" aca="1" ref="R179" ca="1">MMS_Swine_Methane_Equations.VEERG_4_5_1_1__6_Stage2MethaneProduction($Q$107,$I$122,H145,VLOOKUP($O179,$N$155:$O$160,2, FALSE),$I$125)</f>
        <v>2.1267840000000003E-4</v>
      </c>
      <c r="S179" s="50" cm="1">
        <f t="array" aca="1" ref="S179" ca="1">MMS_Swine_Methane_Equations.VEERG_4_5_1_1__6_Stage2MethaneProduction($R$107,$I$122,I145,VLOOKUP($O179,$N$155:$O$160,2, FALSE),$I$125)</f>
        <v>1.5080832000000002E-4</v>
      </c>
      <c r="T179" s="2"/>
    </row>
    <row r="180" spans="1:21" ht="20" customHeight="1" x14ac:dyDescent="0.25">
      <c r="D180" s="55"/>
      <c r="E180" s="55" t="str">
        <f>INDEX(X_Table_Swine_Stage2MMS_From_PitStorage,4,1)</f>
        <v>Deep litter</v>
      </c>
      <c r="F180" s="50" cm="1">
        <f t="array" aca="1" ref="F180" ca="1">MMS_Swine_Methane_Equations.VEERG_4_5_1_1__6_Stage2MethaneProduction($E$107,$I$122,F146,VLOOKUP($E180,$D$155:$E$160,2, FALSE),$I$125)</f>
        <v>4.9496064000000004E-5</v>
      </c>
      <c r="G180" s="50" cm="1">
        <f t="array" aca="1" ref="G180" ca="1">MMS_Swine_Methane_Equations.VEERG_4_5_1_1__6_Stage2MethaneProduction($F$107,$I$122,G146,VLOOKUP($E180,$D$155:$E$160,2, FALSE),$I$125)</f>
        <v>7.1150592000000014E-5</v>
      </c>
      <c r="H180" s="50" cm="1">
        <f t="array" aca="1" ref="H180" ca="1">MMS_Swine_Methane_Equations.VEERG_4_5_1_1__6_Stage2MethaneProduction($G$107,$I$122,H146,VLOOKUP($E180,$D$155:$E$160,2, FALSE),$I$125)</f>
        <v>8.5071360000000011E-5</v>
      </c>
      <c r="I180" s="50" cm="1">
        <f t="array" aca="1" ref="I180" ca="1">MMS_Swine_Methane_Equations.VEERG_4_5_1_1__6_Stage2MethaneProduction($H$107,$I$122,I146,VLOOKUP($E180,$D$155:$E$160,2, FALSE),$I$125)</f>
        <v>6.0323328000000009E-5</v>
      </c>
      <c r="J180" s="2"/>
      <c r="N180" s="55"/>
      <c r="O180" s="55" t="str">
        <f>INDEX(X_Table_Swine_Stage2MMS_From_PitStorage,4,1)</f>
        <v>Deep litter</v>
      </c>
      <c r="P180" s="50" cm="1">
        <f t="array" aca="1" ref="P180" ca="1">MMS_Swine_Methane_Equations.VEERG_4_5_1_1__6_Stage2MethaneProduction($O$107,$I$122,F146,VLOOKUP($O180,$N$155:$O$160,2, FALSE),$I$125)</f>
        <v>4.9496064000000004E-5</v>
      </c>
      <c r="Q180" s="50" cm="1">
        <f t="array" aca="1" ref="Q180" ca="1">MMS_Swine_Methane_Equations.VEERG_4_5_1_1__6_Stage2MethaneProduction($P$107,$I$122,G146,VLOOKUP($O180,$N$155:$O$160,2, FALSE),$I$125)</f>
        <v>7.1150592000000014E-5</v>
      </c>
      <c r="R180" s="50" cm="1">
        <f t="array" aca="1" ref="R180" ca="1">MMS_Swine_Methane_Equations.VEERG_4_5_1_1__6_Stage2MethaneProduction($Q$107,$I$122,H146,VLOOKUP($O180,$N$155:$O$160,2, FALSE),$I$125)</f>
        <v>8.5071360000000011E-5</v>
      </c>
      <c r="S180" s="50" cm="1">
        <f t="array" aca="1" ref="S180" ca="1">MMS_Swine_Methane_Equations.VEERG_4_5_1_1__6_Stage2MethaneProduction($R$107,$I$122,I146,VLOOKUP($O180,$N$155:$O$160,2, FALSE),$I$125)</f>
        <v>6.0323328000000009E-5</v>
      </c>
      <c r="T180" s="2"/>
    </row>
    <row r="181" spans="1:21" ht="20" customHeight="1" x14ac:dyDescent="0.25">
      <c r="D181" s="55" t="s">
        <v>343</v>
      </c>
      <c r="E181" s="55" t="str">
        <f>INDEX(X_Table_Swine_Stage2MMS_From_SolidStorage,2,1)</f>
        <v>Anaerobic lagoon</v>
      </c>
      <c r="F181" s="50" cm="1">
        <f t="array" aca="1" ref="F181" ca="1">MMS_Swine_Methane_Equations.VEERG_4_5_1_1__6_Stage2MethaneProduction($E$108,$I$122,F147,VLOOKUP($E181,$D$155:$E$160,2, FALSE),$I$125)</f>
        <v>3.134750720000001E-3</v>
      </c>
      <c r="G181" s="50" cm="1">
        <f t="array" aca="1" ref="G181" ca="1">MMS_Swine_Methane_Equations.VEERG_4_5_1_1__6_Stage2MethaneProduction($F$108,$I$122,G147,VLOOKUP($E181,$D$155:$E$160,2, FALSE),$I$125)</f>
        <v>3.6049633280000022E-3</v>
      </c>
      <c r="H181" s="50" cm="1">
        <f t="array" aca="1" ref="H181" ca="1">MMS_Swine_Methane_Equations.VEERG_4_5_1_1__6_Stage2MethaneProduction($G$108,$I$122,H147,VLOOKUP($E181,$D$155:$E$160,2, FALSE),$I$125)</f>
        <v>4.310282240000002E-3</v>
      </c>
      <c r="I181" s="50" cm="1">
        <f t="array" aca="1" ref="I181" ca="1">MMS_Swine_Methane_Equations.VEERG_4_5_1_1__6_Stage2MethaneProduction($H$108,$I$122,I147,VLOOKUP($E181,$D$155:$E$160,2, FALSE),$I$125)</f>
        <v>3.0563819520000013E-3</v>
      </c>
      <c r="J181" s="2"/>
      <c r="N181" s="55" t="s">
        <v>343</v>
      </c>
      <c r="O181" s="55" t="str">
        <f>INDEX(X_Table_Swine_Stage2MMS_From_SolidStorage,2,1)</f>
        <v>Anaerobic lagoon</v>
      </c>
      <c r="P181" s="50" cm="1">
        <f t="array" aca="1" ref="P181" ca="1">MMS_Swine_Methane_Equations.VEERG_4_5_1_1__6_Stage2MethaneProduction($O$108,$I$122,F147,VLOOKUP($O181,$N$155:$O$160,2, FALSE),$I$125)</f>
        <v>3.1759974400000011E-3</v>
      </c>
      <c r="Q181" s="50" cm="1">
        <f t="array" aca="1" ref="Q181" ca="1">MMS_Swine_Methane_Equations.VEERG_4_5_1_1__6_Stage2MethaneProduction($P$108,$I$122,G147,VLOOKUP($O181,$N$155:$O$160,2, FALSE),$I$125)</f>
        <v>3.6523970560000023E-3</v>
      </c>
      <c r="R181" s="50" cm="1">
        <f t="array" aca="1" ref="R181" ca="1">MMS_Swine_Methane_Equations.VEERG_4_5_1_1__6_Stage2MethaneProduction($Q$108,$I$122,H147,VLOOKUP($O181,$N$155:$O$160,2, FALSE),$I$125)</f>
        <v>4.366996480000003E-3</v>
      </c>
      <c r="S181" s="50" cm="1">
        <f t="array" aca="1" ref="S181" ca="1">MMS_Swine_Methane_Equations.VEERG_4_5_1_1__6_Stage2MethaneProduction($R$108,$I$122,I147,VLOOKUP($O181,$N$155:$O$160,2, FALSE),$I$125)</f>
        <v>3.0965975040000014E-3</v>
      </c>
      <c r="T181" s="2"/>
    </row>
    <row r="182" spans="1:21" ht="20" customHeight="1" x14ac:dyDescent="0.25">
      <c r="D182" s="55"/>
      <c r="E182" s="55" t="str">
        <f>INDEX(X_Table_Swine_Stage2MMS_From_SolidStorage,3,1)</f>
        <v>Digester / covered lagoons</v>
      </c>
      <c r="F182" s="50" cm="1">
        <f t="array" aca="1" ref="F182" ca="1">MMS_Swine_Methane_Equations.VEERG_4_5_1_1__6_Stage2MethaneProduction($E$108,$I$122,F148,VLOOKUP($E182,$D$155:$E$160,2, FALSE),$I$125)</f>
        <v>4.124672000000002E-4</v>
      </c>
      <c r="G182" s="50" cm="1">
        <f t="array" aca="1" ref="G182" ca="1">MMS_Swine_Methane_Equations.VEERG_4_5_1_1__6_Stage2MethaneProduction($F$108,$I$122,G148,VLOOKUP($E182,$D$155:$E$160,2, FALSE),$I$125)</f>
        <v>4.7433728000000037E-4</v>
      </c>
      <c r="H182" s="50" cm="1">
        <f t="array" aca="1" ref="H182" ca="1">MMS_Swine_Methane_Equations.VEERG_4_5_1_1__6_Stage2MethaneProduction($G$108,$I$122,H148,VLOOKUP($E182,$D$155:$E$160,2, FALSE),$I$125)</f>
        <v>5.6714240000000032E-4</v>
      </c>
      <c r="I182" s="50" cm="1">
        <f t="array" aca="1" ref="I182" ca="1">MMS_Swine_Methane_Equations.VEERG_4_5_1_1__6_Stage2MethaneProduction($H$108,$I$122,I148,VLOOKUP($E182,$D$155:$E$160,2, FALSE),$I$125)</f>
        <v>4.0215552000000021E-4</v>
      </c>
      <c r="J182" s="2"/>
      <c r="N182" s="55"/>
      <c r="O182" s="55" t="str">
        <f>INDEX(X_Table_Swine_Stage2MMS_From_SolidStorage,3,1)</f>
        <v>Digester / covered lagoons</v>
      </c>
      <c r="P182" s="50" cm="1">
        <f t="array" aca="1" ref="P182" ca="1">MMS_Swine_Methane_Equations.VEERG_4_5_1_1__6_Stage2MethaneProduction($O$108,$I$122,F148,VLOOKUP($O182,$N$155:$O$160,2, FALSE),$I$125)</f>
        <v>4.124672000000002E-4</v>
      </c>
      <c r="Q182" s="50" cm="1">
        <f t="array" aca="1" ref="Q182" ca="1">MMS_Swine_Methane_Equations.VEERG_4_5_1_1__6_Stage2MethaneProduction($P$108,$I$122,G148,VLOOKUP($O182,$N$155:$O$160,2, FALSE),$I$125)</f>
        <v>4.7433728000000037E-4</v>
      </c>
      <c r="R182" s="50" cm="1">
        <f t="array" aca="1" ref="R182" ca="1">MMS_Swine_Methane_Equations.VEERG_4_5_1_1__6_Stage2MethaneProduction($Q$108,$I$122,H148,VLOOKUP($O182,$N$155:$O$160,2, FALSE),$I$125)</f>
        <v>5.6714240000000032E-4</v>
      </c>
      <c r="S182" s="50" cm="1">
        <f t="array" aca="1" ref="S182" ca="1">MMS_Swine_Methane_Equations.VEERG_4_5_1_1__6_Stage2MethaneProduction($R$108,$I$122,I148,VLOOKUP($O182,$N$155:$O$160,2, FALSE),$I$125)</f>
        <v>4.0215552000000021E-4</v>
      </c>
      <c r="T182" s="2"/>
    </row>
    <row r="183" spans="1:21" ht="20" customHeight="1" x14ac:dyDescent="0.25">
      <c r="D183" s="55"/>
      <c r="E183" s="55" t="str">
        <f>INDEX(X_Table_Swine_Stage2MMS_From_SolidStorage,4,1)</f>
        <v>Deep litter</v>
      </c>
      <c r="F183" s="50" cm="1">
        <f t="array" aca="1" ref="F183" ca="1">MMS_Swine_Methane_Equations.VEERG_4_5_1_1__6_Stage2MethaneProduction($E$108,$I$122,F149,VLOOKUP($E183,$D$155:$E$160,2, FALSE),$I$125)</f>
        <v>1.6498688000000006E-4</v>
      </c>
      <c r="G183" s="50" cm="1">
        <f t="array" aca="1" ref="G183" ca="1">MMS_Swine_Methane_Equations.VEERG_4_5_1_1__6_Stage2MethaneProduction($F$108,$I$122,G149,VLOOKUP($E183,$D$155:$E$160,2, FALSE),$I$125)</f>
        <v>1.8973491200000015E-4</v>
      </c>
      <c r="H183" s="50" cm="1">
        <f t="array" aca="1" ref="H183" ca="1">MMS_Swine_Methane_Equations.VEERG_4_5_1_1__6_Stage2MethaneProduction($G$108,$I$122,H149,VLOOKUP($E183,$D$155:$E$160,2, FALSE),$I$125)</f>
        <v>2.2685696000000015E-4</v>
      </c>
      <c r="I183" s="50" cm="1">
        <f t="array" aca="1" ref="I183" ca="1">MMS_Swine_Methane_Equations.VEERG_4_5_1_1__6_Stage2MethaneProduction($H$108,$I$122,I149,VLOOKUP($E183,$D$155:$E$160,2, FALSE),$I$125)</f>
        <v>1.6086220800000007E-4</v>
      </c>
      <c r="J183" s="2"/>
      <c r="N183" s="55"/>
      <c r="O183" s="55" t="str">
        <f>INDEX(X_Table_Swine_Stage2MMS_From_SolidStorage,4,1)</f>
        <v>Deep litter</v>
      </c>
      <c r="P183" s="50" cm="1">
        <f t="array" aca="1" ref="P183" ca="1">MMS_Swine_Methane_Equations.VEERG_4_5_1_1__6_Stage2MethaneProduction($O$108,$I$122,F149,VLOOKUP($O183,$N$155:$O$160,2, FALSE),$I$125)</f>
        <v>1.6498688000000006E-4</v>
      </c>
      <c r="Q183" s="50" cm="1">
        <f t="array" aca="1" ref="Q183" ca="1">MMS_Swine_Methane_Equations.VEERG_4_5_1_1__6_Stage2MethaneProduction($P$108,$I$122,G149,VLOOKUP($O183,$N$155:$O$160,2, FALSE),$I$125)</f>
        <v>1.8973491200000015E-4</v>
      </c>
      <c r="R183" s="50" cm="1">
        <f t="array" aca="1" ref="R183" ca="1">MMS_Swine_Methane_Equations.VEERG_4_5_1_1__6_Stage2MethaneProduction($Q$108,$I$122,H149,VLOOKUP($O183,$N$155:$O$160,2, FALSE),$I$125)</f>
        <v>2.2685696000000015E-4</v>
      </c>
      <c r="S183" s="50" cm="1">
        <f t="array" aca="1" ref="S183" ca="1">MMS_Swine_Methane_Equations.VEERG_4_5_1_1__6_Stage2MethaneProduction($R$108,$I$122,I149,VLOOKUP($O183,$N$155:$O$160,2, FALSE),$I$125)</f>
        <v>1.6086220800000007E-4</v>
      </c>
      <c r="T183" s="2"/>
    </row>
    <row r="184" spans="1:21" ht="20" customHeight="1" x14ac:dyDescent="0.25">
      <c r="D184" s="55"/>
      <c r="E184" s="55" t="str">
        <f>INDEX(X_Table_Swine_Stage2MMS_From_SolidStorage,5,1)</f>
        <v>Pit storage</v>
      </c>
      <c r="F184" s="50" cm="1">
        <f t="array" aca="1" ref="F184" ca="1">MMS_Swine_Methane_Equations.VEERG_4_5_1_1__6_Stage2MethaneProduction($E$108,$I$122,F150,VLOOKUP($E184,$D$155:$E$160,2, FALSE),$I$125)</f>
        <v>6.1870080000000021E-5</v>
      </c>
      <c r="G184" s="50" cm="1">
        <f t="array" aca="1" ref="G184" ca="1">MMS_Swine_Methane_Equations.VEERG_4_5_1_1__6_Stage2MethaneProduction($F$108,$I$122,G150,VLOOKUP($E184,$D$155:$E$160,2, FALSE),$I$125)</f>
        <v>7.1150592000000042E-5</v>
      </c>
      <c r="H184" s="50" cm="1">
        <f t="array" aca="1" ref="H184" ca="1">MMS_Swine_Methane_Equations.VEERG_4_5_1_1__6_Stage2MethaneProduction($G$108,$I$122,H150,VLOOKUP($E184,$D$155:$E$160,2, FALSE),$I$125)</f>
        <v>8.5071360000000051E-5</v>
      </c>
      <c r="I184" s="50" cm="1">
        <f t="array" aca="1" ref="I184" ca="1">MMS_Swine_Methane_Equations.VEERG_4_5_1_1__6_Stage2MethaneProduction($H$108,$I$122,I150,VLOOKUP($E184,$D$155:$E$160,2, FALSE),$I$125)</f>
        <v>6.0323328000000023E-5</v>
      </c>
      <c r="J184" s="2"/>
      <c r="N184" s="55"/>
      <c r="O184" s="55" t="str">
        <f>INDEX(X_Table_Swine_Stage2MMS_From_SolidStorage,5,1)</f>
        <v>Pit storage</v>
      </c>
      <c r="P184" s="50" cm="1">
        <f t="array" aca="1" ref="P184" ca="1">MMS_Swine_Methane_Equations.VEERG_4_5_1_1__6_Stage2MethaneProduction($O$108,$I$122,F150,VLOOKUP($O184,$N$155:$O$160,2, FALSE),$I$125)</f>
        <v>6.1870080000000021E-5</v>
      </c>
      <c r="Q184" s="50" cm="1">
        <f t="array" aca="1" ref="Q184" ca="1">MMS_Swine_Methane_Equations.VEERG_4_5_1_1__6_Stage2MethaneProduction($P$108,$I$122,G150,VLOOKUP($O184,$N$155:$O$160,2, FALSE),$I$125)</f>
        <v>7.1150592000000042E-5</v>
      </c>
      <c r="R184" s="50" cm="1">
        <f t="array" aca="1" ref="R184" ca="1">MMS_Swine_Methane_Equations.VEERG_4_5_1_1__6_Stage2MethaneProduction($Q$108,$I$122,H150,VLOOKUP($O184,$N$155:$O$160,2, FALSE),$I$125)</f>
        <v>8.5071360000000051E-5</v>
      </c>
      <c r="S184" s="50" cm="1">
        <f t="array" aca="1" ref="S184" ca="1">MMS_Swine_Methane_Equations.VEERG_4_5_1_1__6_Stage2MethaneProduction($R$108,$I$122,I150,VLOOKUP($O184,$N$155:$O$160,2, FALSE),$I$125)</f>
        <v>6.0323328000000023E-5</v>
      </c>
      <c r="T184" s="2"/>
    </row>
    <row r="185" spans="1:21" ht="20" customHeight="1" x14ac:dyDescent="0.25"/>
    <row r="186" spans="1:21" ht="20" customHeight="1" x14ac:dyDescent="0.25">
      <c r="A186" s="137" t="str">
        <f>HYPERLINK("#A1", "▲ Back to top")</f>
        <v>▲ Back to top</v>
      </c>
    </row>
    <row r="187" spans="1:21" ht="20" customHeight="1" x14ac:dyDescent="0.25">
      <c r="C187" s="43"/>
      <c r="D187" s="43"/>
      <c r="E187" s="43"/>
      <c r="F187" s="43"/>
      <c r="G187" s="43"/>
      <c r="H187" s="43"/>
      <c r="I187" s="43"/>
      <c r="J187" s="43"/>
      <c r="K187" s="43"/>
      <c r="M187" s="43"/>
      <c r="N187" s="43"/>
      <c r="O187" s="43"/>
      <c r="P187" s="43"/>
      <c r="Q187" s="43"/>
      <c r="R187" s="43"/>
      <c r="S187" s="43"/>
      <c r="T187" s="43"/>
      <c r="U187" s="43"/>
    </row>
    <row r="188" spans="1:21" ht="20" customHeight="1" x14ac:dyDescent="0.25">
      <c r="D188" s="6" t="str" cm="1">
        <f t="array" ref="D188">MMS_Swine_Methane_Equations.VEERG_4_5_1_1__3_Stage1MethaneProduction_Title()</f>
        <v>Production of methane in treatment stage 1 MMS</v>
      </c>
    </row>
    <row r="189" spans="1:21" ht="20" customHeight="1" x14ac:dyDescent="0.25">
      <c r="D189" s="5" t="str" cm="1">
        <f t="array" ref="D189">MMS_Swine_Methane_Equations.VEERG_4_5_1_1__3_Stage1MethaneProduction_Source()</f>
        <v>VEERG 2026: 4.5.1.1, Equation (3)</v>
      </c>
    </row>
    <row r="190" spans="1:21" ht="20" customHeight="1" x14ac:dyDescent="0.25">
      <c r="D190" s="13" t="s">
        <v>23</v>
      </c>
      <c r="E190" s="13" t="str" cm="1">
        <f t="array" aca="1" ref="E190" ca="1">Common_InputFunctions.Utility_DisplayFunctionName(E206)</f>
        <v>=MMS_Swine_Methane_Equations.VEERG_4_5_1_1__3_Stage1MethaneProduction</v>
      </c>
    </row>
    <row r="191" spans="1:21" ht="20" customHeight="1" x14ac:dyDescent="0.25"/>
    <row r="192" spans="1:21" ht="20" customHeight="1" x14ac:dyDescent="0.25">
      <c r="D192" s="6"/>
    </row>
    <row r="193" spans="4:19" ht="20" customHeight="1" x14ac:dyDescent="0.25"/>
    <row r="194" spans="4:19" ht="20" customHeight="1" x14ac:dyDescent="0.25">
      <c r="D194" s="51" t="s">
        <v>26</v>
      </c>
      <c r="E194" s="1" t="str" cm="1">
        <f t="array" ref="E194">MMS_Swine_Methane_Equations.VEERG_4_5_1_1__3_Stage1MethaneProduction_Variable()</f>
        <v>MijmT1</v>
      </c>
    </row>
    <row r="195" spans="4:19" ht="20" customHeight="1" x14ac:dyDescent="0.25">
      <c r="D195" s="51" t="s">
        <v>16</v>
      </c>
      <c r="E195" s="52" t="str" cm="1">
        <f t="array" ref="E195">MMS_Swine_Methane_Equations.VEERG_4_5_1_1__3_Stage1MethaneProduction_Unit()</f>
        <v>kg CH4/head/day</v>
      </c>
    </row>
    <row r="196" spans="4:19" ht="20" customHeight="1" x14ac:dyDescent="0.25"/>
    <row r="197" spans="4:19" ht="20" customHeight="1" x14ac:dyDescent="0.25">
      <c r="D197" s="132" t="str" cm="1">
        <f t="array" ref="D197:E201">Common_InputFunctions.Utility_DisplayArguments_1_2(MMS_Swine_Methane_Equations.VEERG_4_5_1_1__3_Stage1MethaneProduction_Arguments())</f>
        <v>VSj</v>
      </c>
      <c r="E197" s="134" t="str">
        <v>volatile solid production from swine in each class</v>
      </c>
      <c r="F197" s="133"/>
      <c r="G197" s="132" t="str" cm="1">
        <f t="array" ref="G197:H201">Common_InputFunctions.Utility_DisplayArguments_3_4(MMS_Swine_Methane_Equations.VEERG_4_5_1_1__3_Stage1MethaneProduction_Arguments())</f>
        <v>kg/head/day</v>
      </c>
      <c r="H197" s="128" t="str">
        <v>Input</v>
      </c>
      <c r="I197" s="131" t="str" cm="1">
        <f t="array" aca="1" ref="I197" ca="1">HYPERLINK(Common_InputFunctions.Utility_SourceHyperlink($D$85), $D$85)</f>
        <v>M1_Table_VS_j</v>
      </c>
      <c r="J197" s="131"/>
    </row>
    <row r="198" spans="4:19" ht="20" customHeight="1" x14ac:dyDescent="0.25">
      <c r="D198" s="132" t="str">
        <v>FVSjmT1</v>
      </c>
      <c r="E198" s="134" t="str">
        <v>fraction of volatile solids in each primary system</v>
      </c>
      <c r="F198" s="133"/>
      <c r="G198" s="132" t="str">
        <v>fraction</v>
      </c>
      <c r="H198" s="127" t="str">
        <v>Calculated from 4.5.1.1 (4)(5)</v>
      </c>
      <c r="I198" s="131" t="str" cm="1">
        <f t="array" aca="1" ref="I198" ca="1">HYPERLINK(Common_InputFunctions.Utility_SourceHyperlink($D$34), $D$34)</f>
        <v>M1_Table_FVS_j_m_T-1</v>
      </c>
      <c r="J198" s="131" t="str" cm="1">
        <f t="array" aca="1" ref="J198" ca="1">HYPERLINK(Common_InputFunctions.Utility_SourceHyperlink($D$65), $D$65)</f>
        <v>M1_Table_FVS_j_m-4_T-1</v>
      </c>
    </row>
    <row r="199" spans="4:19" ht="20" customHeight="1" x14ac:dyDescent="0.25">
      <c r="D199" s="132" t="str">
        <v>MCFim</v>
      </c>
      <c r="E199" s="134" t="str">
        <v>methane conversion factor for temperate zone and system</v>
      </c>
      <c r="F199" s="133"/>
      <c r="G199" s="132" t="str">
        <v>fraction</v>
      </c>
      <c r="H199" s="127" t="str">
        <v>Constant</v>
      </c>
      <c r="I199" s="131" t="str" cm="1">
        <f t="array" aca="1" ref="I199" ca="1">HYPERLINK(Common_InputFunctions.Utility_SourceHyperlink($D$152), $D$152)</f>
        <v>M1_Table_MCF_i_m</v>
      </c>
      <c r="J199" s="131"/>
    </row>
    <row r="200" spans="4:19" ht="20" customHeight="1" x14ac:dyDescent="0.25">
      <c r="D200" s="132" t="str">
        <v>BO</v>
      </c>
      <c r="E200" s="134" t="str">
        <v>emissions potential</v>
      </c>
      <c r="F200" s="133"/>
      <c r="G200" s="132" t="str">
        <v>m3 CH4/kg VS</v>
      </c>
      <c r="H200" s="127" t="str">
        <v>Constant</v>
      </c>
      <c r="I200" s="132">
        <f>SourceData_Swine_MethaneVolatileSolidsEmissionsPotential_Data</f>
        <v>0.19</v>
      </c>
      <c r="J200" s="57"/>
    </row>
    <row r="201" spans="4:19" ht="20" customHeight="1" x14ac:dyDescent="0.25">
      <c r="D201" s="132" t="str">
        <v>rho</v>
      </c>
      <c r="E201" s="134" t="str">
        <v>density of methane</v>
      </c>
      <c r="F201" s="133"/>
      <c r="G201" s="132" t="str">
        <v>kg/m3</v>
      </c>
      <c r="H201" s="127" t="str">
        <v>Constant</v>
      </c>
      <c r="I201" s="132">
        <f>Common_SourceData_DensityOfMethane_Data</f>
        <v>0.6784</v>
      </c>
      <c r="J201" s="57"/>
    </row>
    <row r="202" spans="4:19" ht="20" customHeight="1" x14ac:dyDescent="0.25"/>
    <row r="203" spans="4:19" ht="20" customHeight="1" x14ac:dyDescent="0.25">
      <c r="D203" s="113" t="s">
        <v>208</v>
      </c>
      <c r="N203" s="113" t="s">
        <v>206</v>
      </c>
    </row>
    <row r="204" spans="4:19" ht="20" customHeight="1" x14ac:dyDescent="0.25">
      <c r="D204" s="114" t="s">
        <v>209</v>
      </c>
      <c r="N204" s="114" t="s">
        <v>207</v>
      </c>
    </row>
    <row r="205" spans="4:19" ht="20" customHeight="1" x14ac:dyDescent="0.25">
      <c r="D205" s="49" t="s">
        <v>155</v>
      </c>
      <c r="E205" s="49" t="s">
        <v>134</v>
      </c>
      <c r="F205" s="49" t="s">
        <v>135</v>
      </c>
      <c r="G205" s="49" t="s">
        <v>136</v>
      </c>
      <c r="H205" s="49" t="s">
        <v>192</v>
      </c>
      <c r="N205" s="49" t="s">
        <v>155</v>
      </c>
      <c r="O205" s="49" t="s">
        <v>134</v>
      </c>
      <c r="P205" s="49" t="s">
        <v>135</v>
      </c>
      <c r="Q205" s="49" t="s">
        <v>136</v>
      </c>
      <c r="R205" s="49" t="s">
        <v>192</v>
      </c>
    </row>
    <row r="206" spans="4:19" ht="20" customHeight="1" x14ac:dyDescent="0.25">
      <c r="D206" s="55" t="str">
        <f>INDEX(X_Table_Swine_Stage1MMS_AnaerobicLagoon,2,1)</f>
        <v>Anaerobic lagoon</v>
      </c>
      <c r="E206" s="50" cm="1">
        <f t="array" aca="1" ref="E206" ca="1">MMS_Swine_Methane_Equations.VEERG_4_5_1_1__3_Stage1MethaneProduction(D$88,E37,VLOOKUP($D206, $D$155:$E$160, 2, FALSE),$I$200,$I$201)</f>
        <v>4.7021260799999997E-3</v>
      </c>
      <c r="F206" s="50" cm="1">
        <f t="array" aca="1" ref="F206" ca="1">MMS_Swine_Methane_Equations.VEERG_4_5_1_1__3_Stage1MethaneProduction(E$88,F37,VLOOKUP($D206, $D$155:$E$160, 2, FALSE),$I$200,$I$201)</f>
        <v>5.4074449920000012E-3</v>
      </c>
      <c r="G206" s="50" cm="1">
        <f t="array" aca="1" ref="G206" ca="1">MMS_Swine_Methane_Equations.VEERG_4_5_1_1__3_Stage1MethaneProduction(F$88,G37,VLOOKUP($D206, $D$155:$E$160, 2, FALSE),$I$200,$I$201)</f>
        <v>6.4654233600000008E-3</v>
      </c>
      <c r="H206" s="50" cm="1">
        <f t="array" aca="1" ref="H206" ca="1">MMS_Swine_Methane_Equations.VEERG_4_5_1_1__3_Stage1MethaneProduction(G$88,H37,VLOOKUP($D206, $D$155:$E$160, 2, FALSE),$I$200,$I$201)</f>
        <v>4.5845729280000001E-3</v>
      </c>
      <c r="I206" s="2" t="str">
        <f>$E$195</f>
        <v>kg CH4/head/day</v>
      </c>
      <c r="N206" s="55" t="str">
        <f>INDEX(X_Table_Swine_Stage1MMS_AnaerobicLagoon,2,1)</f>
        <v>Anaerobic lagoon</v>
      </c>
      <c r="O206" s="50" cm="1">
        <f t="array" aca="1" ref="O206" ca="1">MMS_Swine_Methane_Equations.VEERG_4_5_1_1__3_Stage1MethaneProduction(N$88,O37,VLOOKUP($N206, $N$155:$O$160, 2, FALSE),$I$200,$I$201)</f>
        <v>4.7639961599999997E-3</v>
      </c>
      <c r="P206" s="50" cm="1">
        <f t="array" aca="1" ref="P206" ca="1">MMS_Swine_Methane_Equations.VEERG_4_5_1_1__3_Stage1MethaneProduction(O$88,P37,VLOOKUP($N206, $N$155:$O$160, 2, FALSE),$I$200,$I$201)</f>
        <v>5.4785955839999996E-3</v>
      </c>
      <c r="Q206" s="50" cm="1">
        <f t="array" aca="1" ref="Q206" ca="1">MMS_Swine_Methane_Equations.VEERG_4_5_1_1__3_Stage1MethaneProduction(P$88,Q37,VLOOKUP($N206, $N$155:$O$160, 2, FALSE),$I$200,$I$201)</f>
        <v>6.5504947200000002E-3</v>
      </c>
      <c r="R206" s="50" cm="1">
        <f t="array" aca="1" ref="R206" ca="1">MMS_Swine_Methane_Equations.VEERG_4_5_1_1__3_Stage1MethaneProduction(Q$88,R37,VLOOKUP($N206, $N$155:$O$160, 2, FALSE),$I$200,$I$201)</f>
        <v>4.6448962559999998E-3</v>
      </c>
      <c r="S206" s="2" t="str">
        <f t="shared" ref="S206" si="2">$E$195</f>
        <v>kg CH4/head/day</v>
      </c>
    </row>
    <row r="207" spans="4:19" ht="20" customHeight="1" x14ac:dyDescent="0.25">
      <c r="D207" s="55" t="str">
        <f>INDEX(X_Table_Swine_Stage1MMS_Drylot,2,1)</f>
        <v>Drylot (feed pad)</v>
      </c>
      <c r="E207" s="50" cm="1">
        <f t="array" aca="1" ref="E207" ca="1">MMS_Swine_Methane_Equations.VEERG_4_5_1_1__3_Stage1MethaneProduction(D$88,E38,VLOOKUP($D207, $D$155:$E$160, 2, FALSE),$I$200,$I$201)</f>
        <v>6.1870080000000008E-5</v>
      </c>
      <c r="F207" s="50" cm="1">
        <f t="array" aca="1" ref="F207" ca="1">MMS_Swine_Methane_Equations.VEERG_4_5_1_1__3_Stage1MethaneProduction(E$88,F38,VLOOKUP($D207, $D$155:$E$160, 2, FALSE),$I$200,$I$201)</f>
        <v>7.1150592000000001E-5</v>
      </c>
      <c r="G207" s="50" cm="1">
        <f t="array" aca="1" ref="G207" ca="1">MMS_Swine_Methane_Equations.VEERG_4_5_1_1__3_Stage1MethaneProduction(F$88,G38,VLOOKUP($D207, $D$155:$E$160, 2, FALSE),$I$200,$I$201)</f>
        <v>8.5071360000000011E-5</v>
      </c>
      <c r="H207" s="50" cm="1">
        <f t="array" aca="1" ref="H207" ca="1">MMS_Swine_Methane_Equations.VEERG_4_5_1_1__3_Stage1MethaneProduction(G$88,H38,VLOOKUP($D207, $D$155:$E$160, 2, FALSE),$I$200,$I$201)</f>
        <v>6.0323328000000009E-5</v>
      </c>
      <c r="I207" s="2"/>
      <c r="N207" s="55" t="str">
        <f>INDEX(X_Table_Swine_Stage1MMS_Drylot,2,1)</f>
        <v>Drylot (feed pad)</v>
      </c>
      <c r="O207" s="50" cm="1">
        <f t="array" aca="1" ref="O207" ca="1">MMS_Swine_Methane_Equations.VEERG_4_5_1_1__3_Stage1MethaneProduction(N$88,O38,VLOOKUP($N207, $N$155:$O$160, 2, FALSE),$I$200,$I$201)</f>
        <v>6.1870080000000008E-5</v>
      </c>
      <c r="P207" s="50" cm="1">
        <f t="array" aca="1" ref="P207" ca="1">MMS_Swine_Methane_Equations.VEERG_4_5_1_1__3_Stage1MethaneProduction(O$88,P38,VLOOKUP($N207, $N$155:$O$160, 2, FALSE),$I$200,$I$201)</f>
        <v>7.1150592000000001E-5</v>
      </c>
      <c r="Q207" s="50" cm="1">
        <f t="array" aca="1" ref="Q207" ca="1">MMS_Swine_Methane_Equations.VEERG_4_5_1_1__3_Stage1MethaneProduction(P$88,Q38,VLOOKUP($N207, $N$155:$O$160, 2, FALSE),$I$200,$I$201)</f>
        <v>8.5071360000000011E-5</v>
      </c>
      <c r="R207" s="50" cm="1">
        <f t="array" aca="1" ref="R207" ca="1">MMS_Swine_Methane_Equations.VEERG_4_5_1_1__3_Stage1MethaneProduction(Q$88,R38,VLOOKUP($N207, $N$155:$O$160, 2, FALSE),$I$200,$I$201)</f>
        <v>6.0323328000000009E-5</v>
      </c>
      <c r="S207" s="2"/>
    </row>
    <row r="208" spans="4:19" ht="20" customHeight="1" x14ac:dyDescent="0.25">
      <c r="D208" s="55" t="str">
        <f>INDEX(X_Table_Swine_Stage1MMS_DigesterCoveredLagoons,2,1)</f>
        <v>Digester / covered lagoons</v>
      </c>
      <c r="E208" s="50" cm="1">
        <f t="array" aca="1" ref="E208" ca="1">MMS_Swine_Methane_Equations.VEERG_4_5_1_1__3_Stage1MethaneProduction(D$88,E39,VLOOKUP($D208, $D$155:$E$160, 2, FALSE),$I$200,$I$201)</f>
        <v>6.1870080000000008E-4</v>
      </c>
      <c r="F208" s="50" cm="1">
        <f t="array" aca="1" ref="F208" ca="1">MMS_Swine_Methane_Equations.VEERG_4_5_1_1__3_Stage1MethaneProduction(E$88,F39,VLOOKUP($D208, $D$155:$E$160, 2, FALSE),$I$200,$I$201)</f>
        <v>7.1150592000000009E-4</v>
      </c>
      <c r="G208" s="50" cm="1">
        <f t="array" aca="1" ref="G208" ca="1">MMS_Swine_Methane_Equations.VEERG_4_5_1_1__3_Stage1MethaneProduction(F$88,G39,VLOOKUP($D208, $D$155:$E$160, 2, FALSE),$I$200,$I$201)</f>
        <v>8.5071360000000011E-4</v>
      </c>
      <c r="H208" s="50" cm="1">
        <f t="array" aca="1" ref="H208" ca="1">MMS_Swine_Methane_Equations.VEERG_4_5_1_1__3_Stage1MethaneProduction(G$88,H39,VLOOKUP($D208, $D$155:$E$160, 2, FALSE),$I$200,$I$201)</f>
        <v>6.0323328000000008E-4</v>
      </c>
      <c r="I208" s="2"/>
      <c r="N208" s="55" t="str">
        <f>INDEX(X_Table_Swine_Stage1MMS_DigesterCoveredLagoons,2,1)</f>
        <v>Digester / covered lagoons</v>
      </c>
      <c r="O208" s="50" cm="1">
        <f t="array" aca="1" ref="O208" ca="1">MMS_Swine_Methane_Equations.VEERG_4_5_1_1__3_Stage1MethaneProduction(N$88,O39,VLOOKUP($N208, $N$155:$O$160, 2, FALSE),$I$200,$I$201)</f>
        <v>6.1870080000000008E-4</v>
      </c>
      <c r="P208" s="50" cm="1">
        <f t="array" aca="1" ref="P208" ca="1">MMS_Swine_Methane_Equations.VEERG_4_5_1_1__3_Stage1MethaneProduction(O$88,P39,VLOOKUP($N208, $N$155:$O$160, 2, FALSE),$I$200,$I$201)</f>
        <v>7.1150592000000009E-4</v>
      </c>
      <c r="Q208" s="50" cm="1">
        <f t="array" aca="1" ref="Q208" ca="1">MMS_Swine_Methane_Equations.VEERG_4_5_1_1__3_Stage1MethaneProduction(P$88,Q39,VLOOKUP($N208, $N$155:$O$160, 2, FALSE),$I$200,$I$201)</f>
        <v>8.5071360000000011E-4</v>
      </c>
      <c r="R208" s="50" cm="1">
        <f t="array" aca="1" ref="R208" ca="1">MMS_Swine_Methane_Equations.VEERG_4_5_1_1__3_Stage1MethaneProduction(Q$88,R39,VLOOKUP($N208, $N$155:$O$160, 2, FALSE),$I$200,$I$201)</f>
        <v>6.0323328000000008E-4</v>
      </c>
      <c r="S208" s="2"/>
    </row>
    <row r="209" spans="1:21" ht="20" customHeight="1" x14ac:dyDescent="0.25">
      <c r="D209" s="55" t="str">
        <f>INDEX(X_Table_Swine_Stage1MMS_DeepLitter,2,1)</f>
        <v>Deep litter</v>
      </c>
      <c r="E209" s="50" cm="1">
        <f t="array" aca="1" ref="E209" ca="1">MMS_Swine_Methane_Equations.VEERG_4_5_1_1__3_Stage1MethaneProduction(D$88,E40,VLOOKUP($D209, $D$155:$E$160, 2, FALSE),$I$200,$I$201)</f>
        <v>2.4748032000000003E-4</v>
      </c>
      <c r="F209" s="50" cm="1">
        <f t="array" aca="1" ref="F209" ca="1">MMS_Swine_Methane_Equations.VEERG_4_5_1_1__3_Stage1MethaneProduction(E$88,F40,VLOOKUP($D209, $D$155:$E$160, 2, FALSE),$I$200,$I$201)</f>
        <v>2.84602368E-4</v>
      </c>
      <c r="G209" s="50" cm="1">
        <f t="array" aca="1" ref="G209" ca="1">MMS_Swine_Methane_Equations.VEERG_4_5_1_1__3_Stage1MethaneProduction(F$88,G40,VLOOKUP($D209, $D$155:$E$160, 2, FALSE),$I$200,$I$201)</f>
        <v>3.4028544000000004E-4</v>
      </c>
      <c r="H209" s="50" cm="1">
        <f t="array" aca="1" ref="H209" ca="1">MMS_Swine_Methane_Equations.VEERG_4_5_1_1__3_Stage1MethaneProduction(G$88,H40,VLOOKUP($D209, $D$155:$E$160, 2, FALSE),$I$200,$I$201)</f>
        <v>2.4129331200000004E-4</v>
      </c>
      <c r="I209" s="2"/>
      <c r="N209" s="55" t="str">
        <f>INDEX(X_Table_Swine_Stage1MMS_DeepLitter,2,1)</f>
        <v>Deep litter</v>
      </c>
      <c r="O209" s="50" cm="1">
        <f t="array" aca="1" ref="O209" ca="1">MMS_Swine_Methane_Equations.VEERG_4_5_1_1__3_Stage1MethaneProduction(N$88,O40,VLOOKUP($N209, $N$155:$O$160, 2, FALSE),$I$200,$I$201)</f>
        <v>2.4748032000000003E-4</v>
      </c>
      <c r="P209" s="50" cm="1">
        <f t="array" aca="1" ref="P209" ca="1">MMS_Swine_Methane_Equations.VEERG_4_5_1_1__3_Stage1MethaneProduction(O$88,P40,VLOOKUP($N209, $N$155:$O$160, 2, FALSE),$I$200,$I$201)</f>
        <v>2.84602368E-4</v>
      </c>
      <c r="Q209" s="50" cm="1">
        <f t="array" aca="1" ref="Q209" ca="1">MMS_Swine_Methane_Equations.VEERG_4_5_1_1__3_Stage1MethaneProduction(P$88,Q40,VLOOKUP($N209, $N$155:$O$160, 2, FALSE),$I$200,$I$201)</f>
        <v>3.4028544000000004E-4</v>
      </c>
      <c r="R209" s="50" cm="1">
        <f t="array" aca="1" ref="R209" ca="1">MMS_Swine_Methane_Equations.VEERG_4_5_1_1__3_Stage1MethaneProduction(Q$88,R40,VLOOKUP($N209, $N$155:$O$160, 2, FALSE),$I$200,$I$201)</f>
        <v>2.4129331200000004E-4</v>
      </c>
      <c r="S209" s="2"/>
    </row>
    <row r="210" spans="1:21" ht="20" customHeight="1" x14ac:dyDescent="0.25">
      <c r="D210" s="55" t="str">
        <f>INDEX(X_Table_Swine_Stage1MMS_PitStorage,2,1)</f>
        <v>Pit storage</v>
      </c>
      <c r="E210" s="50" cm="1">
        <f t="array" aca="1" ref="E210" ca="1">MMS_Swine_Methane_Equations.VEERG_4_5_1_1__3_Stage1MethaneProduction(D$88,E41,VLOOKUP($D210, $D$155:$E$160, 2, FALSE),$I$200,$I$201)</f>
        <v>1.8561024E-4</v>
      </c>
      <c r="F210" s="50" cm="1">
        <f t="array" aca="1" ref="F210" ca="1">MMS_Swine_Methane_Equations.VEERG_4_5_1_1__3_Stage1MethaneProduction(E$88,F41,VLOOKUP($D210, $D$155:$E$160, 2, FALSE),$I$200,$I$201)</f>
        <v>2.1345177599999999E-4</v>
      </c>
      <c r="G210" s="50" cm="1">
        <f t="array" aca="1" ref="G210" ca="1">MMS_Swine_Methane_Equations.VEERG_4_5_1_1__3_Stage1MethaneProduction(F$88,G41,VLOOKUP($D210, $D$155:$E$160, 2, FALSE),$I$200,$I$201)</f>
        <v>2.5521407999999998E-4</v>
      </c>
      <c r="H210" s="50" cm="1">
        <f t="array" aca="1" ref="H210" ca="1">MMS_Swine_Methane_Equations.VEERG_4_5_1_1__3_Stage1MethaneProduction(G$88,H41,VLOOKUP($D210, $D$155:$E$160, 2, FALSE),$I$200,$I$201)</f>
        <v>1.8096998400000001E-4</v>
      </c>
      <c r="I210" s="2"/>
      <c r="N210" s="55" t="str">
        <f>INDEX(X_Table_Swine_Stage1MMS_PitStorage,2,1)</f>
        <v>Pit storage</v>
      </c>
      <c r="O210" s="50" cm="1">
        <f t="array" aca="1" ref="O210" ca="1">MMS_Swine_Methane_Equations.VEERG_4_5_1_1__3_Stage1MethaneProduction(N$88,O41,VLOOKUP($N210, $N$155:$O$160, 2, FALSE),$I$200,$I$201)</f>
        <v>1.8561024E-4</v>
      </c>
      <c r="P210" s="50" cm="1">
        <f t="array" aca="1" ref="P210" ca="1">MMS_Swine_Methane_Equations.VEERG_4_5_1_1__3_Stage1MethaneProduction(O$88,P41,VLOOKUP($N210, $N$155:$O$160, 2, FALSE),$I$200,$I$201)</f>
        <v>2.1345177599999999E-4</v>
      </c>
      <c r="Q210" s="50" cm="1">
        <f t="array" aca="1" ref="Q210" ca="1">MMS_Swine_Methane_Equations.VEERG_4_5_1_1__3_Stage1MethaneProduction(P$88,Q41,VLOOKUP($N210, $N$155:$O$160, 2, FALSE),$I$200,$I$201)</f>
        <v>2.5521407999999998E-4</v>
      </c>
      <c r="R210" s="50" cm="1">
        <f t="array" aca="1" ref="R210" ca="1">MMS_Swine_Methane_Equations.VEERG_4_5_1_1__3_Stage1MethaneProduction(Q$88,R41,VLOOKUP($N210, $N$155:$O$160, 2, FALSE),$I$200,$I$201)</f>
        <v>1.8096998400000001E-4</v>
      </c>
      <c r="S210" s="2"/>
    </row>
    <row r="211" spans="1:21" ht="20" customHeight="1" x14ac:dyDescent="0.25">
      <c r="D211" s="55" t="s">
        <v>343</v>
      </c>
      <c r="E211" s="50" cm="1">
        <f t="array" aca="1" ref="E211" ca="1">MMS_Swine_Methane_Equations.VEERG_4_5_1_1__3_Stage1MethaneProduction(D$88,E68,VLOOKUP($D211, $D$155:$E$160, 2, FALSE),$I$200,$I$201)</f>
        <v>4.124672000000002E-4</v>
      </c>
      <c r="F211" s="50" cm="1">
        <f t="array" aca="1" ref="F211" ca="1">MMS_Swine_Methane_Equations.VEERG_4_5_1_1__3_Stage1MethaneProduction(E$88,F68,VLOOKUP($D211, $D$155:$E$160, 2, FALSE),$I$200,$I$201)</f>
        <v>4.7433728000000026E-4</v>
      </c>
      <c r="G211" s="50" cm="1">
        <f t="array" aca="1" ref="G211" ca="1">MMS_Swine_Methane_Equations.VEERG_4_5_1_1__3_Stage1MethaneProduction(F$88,G68,VLOOKUP($D211, $D$155:$E$160, 2, FALSE),$I$200,$I$201)</f>
        <v>5.6714240000000022E-4</v>
      </c>
      <c r="H211" s="50" cm="1">
        <f t="array" aca="1" ref="H211" ca="1">MMS_Swine_Methane_Equations.VEERG_4_5_1_1__3_Stage1MethaneProduction(G$88,H68,VLOOKUP($D211, $D$155:$E$160, 2, FALSE),$I$200,$I$201)</f>
        <v>4.0215552000000016E-4</v>
      </c>
      <c r="I211" s="2"/>
      <c r="N211" s="55" t="s">
        <v>343</v>
      </c>
      <c r="O211" s="50" cm="1">
        <f t="array" aca="1" ref="O211" ca="1">MMS_Swine_Methane_Equations.VEERG_4_5_1_1__3_Stage1MethaneProduction(N$88,O68,VLOOKUP($N211, $N$155:$O$160, 2, FALSE),$I$200,$I$201)</f>
        <v>4.124672000000002E-4</v>
      </c>
      <c r="P211" s="50" cm="1">
        <f t="array" aca="1" ref="P211" ca="1">MMS_Swine_Methane_Equations.VEERG_4_5_1_1__3_Stage1MethaneProduction(O$88,P68,VLOOKUP($N211, $N$155:$O$160, 2, FALSE),$I$200,$I$201)</f>
        <v>4.7433728000000026E-4</v>
      </c>
      <c r="Q211" s="50" cm="1">
        <f t="array" aca="1" ref="Q211" ca="1">MMS_Swine_Methane_Equations.VEERG_4_5_1_1__3_Stage1MethaneProduction(P$88,Q68,VLOOKUP($N211, $N$155:$O$160, 2, FALSE),$I$200,$I$201)</f>
        <v>5.6714240000000022E-4</v>
      </c>
      <c r="R211" s="50" cm="1">
        <f t="array" aca="1" ref="R211" ca="1">MMS_Swine_Methane_Equations.VEERG_4_5_1_1__3_Stage1MethaneProduction(Q$88,R68,VLOOKUP($N211, $N$155:$O$160, 2, FALSE),$I$200,$I$201)</f>
        <v>4.0215552000000016E-4</v>
      </c>
      <c r="S211" s="2"/>
    </row>
    <row r="212" spans="1:21" ht="20" customHeight="1" x14ac:dyDescent="0.25"/>
    <row r="213" spans="1:21" ht="20" customHeight="1" x14ac:dyDescent="0.25">
      <c r="A213" s="137" t="str">
        <f>HYPERLINK("#A1", "▲ Back to top")</f>
        <v>▲ Back to top</v>
      </c>
    </row>
    <row r="214" spans="1:21" ht="20" customHeight="1" x14ac:dyDescent="0.25">
      <c r="C214" s="43"/>
      <c r="D214" s="43"/>
      <c r="E214" s="43"/>
      <c r="F214" s="43"/>
      <c r="G214" s="43"/>
      <c r="H214" s="43"/>
      <c r="I214" s="43"/>
      <c r="J214" s="43"/>
      <c r="K214" s="43"/>
      <c r="M214" s="43"/>
      <c r="N214" s="43"/>
      <c r="O214" s="43"/>
      <c r="P214" s="43"/>
      <c r="Q214" s="43"/>
      <c r="R214" s="43"/>
      <c r="S214" s="43"/>
      <c r="T214" s="43"/>
      <c r="U214" s="43"/>
    </row>
    <row r="215" spans="1:21" ht="20" customHeight="1" x14ac:dyDescent="0.25">
      <c r="D215" s="6" t="str" cm="1">
        <f t="array" ref="D215">MMS_Swine_Methane_Equations.VEERG_4_5_1_1__2_MethaneProductionPerClass_Title()</f>
        <v>Methane production from the manure of each class of swine</v>
      </c>
    </row>
    <row r="216" spans="1:21" ht="20" customHeight="1" x14ac:dyDescent="0.25">
      <c r="D216" s="5" t="str" cm="1">
        <f t="array" ref="D216">MMS_Swine_Methane_Equations.VEERG_4_5_1_1__2_MethaneProductionPerClass_Source()</f>
        <v>VEERG 2026: 4.5.1.1, Equation (2)</v>
      </c>
    </row>
    <row r="217" spans="1:21" ht="20" customHeight="1" x14ac:dyDescent="0.25">
      <c r="D217" s="53" t="str" cm="1">
        <f t="array" ref="D217">MMS_Swine_Methane_Equations.VEERG_4_5_1_1__2_MethaneProductionPerClass_Variation()</f>
        <v>VARIATION ON SOURCE: Split variable Mjm into MjmT1 and MjmT2 for stage 1 and 2 MMS.</v>
      </c>
    </row>
    <row r="218" spans="1:21" ht="20" customHeight="1" x14ac:dyDescent="0.25">
      <c r="D218" s="13" t="s">
        <v>23</v>
      </c>
      <c r="E218" s="13" t="str" cm="1">
        <f t="array" aca="1" ref="E218" ca="1">Common_InputFunctions.Utility_DisplayFunctionName(D229)</f>
        <v>=MMS_Swine_Methane_Equations.VEERG_4_5_1_1__2_MethaneProductionPerClassVariation</v>
      </c>
    </row>
    <row r="219" spans="1:21" ht="20" customHeight="1" x14ac:dyDescent="0.25"/>
    <row r="220" spans="1:21" ht="20" customHeight="1" x14ac:dyDescent="0.25">
      <c r="E220" s="13"/>
    </row>
    <row r="221" spans="1:21" ht="20" customHeight="1" x14ac:dyDescent="0.25">
      <c r="D221" s="51" t="s">
        <v>26</v>
      </c>
      <c r="E221" s="1" t="str" cm="1">
        <f t="array" ref="E221">MMS_Swine_Methane_Equations.VEERG_4_5_1_1__2_MethaneProductionPerClass_Variable()</f>
        <v>Mmj</v>
      </c>
    </row>
    <row r="222" spans="1:21" ht="20" customHeight="1" x14ac:dyDescent="0.25">
      <c r="D222" s="51" t="s">
        <v>16</v>
      </c>
      <c r="E222" s="52" t="str" cm="1">
        <f t="array" ref="E222">MMS_Swine_Methane_Equations.VEERG_4_5_1_1__2_MethaneProductionPerClass_Unit()</f>
        <v>kg CH4/head/day</v>
      </c>
    </row>
    <row r="223" spans="1:21" ht="20" customHeight="1" x14ac:dyDescent="0.25"/>
    <row r="224" spans="1:21" ht="20" customHeight="1" x14ac:dyDescent="0.25">
      <c r="D224" s="55" t="str" cm="1">
        <f t="array" ref="D224:E224">_xlfn.CHOOSECOLS(MMS_Swine_Methane_Equations.VEERG_4_5_1_1__2_MethaneProductionPerClass_Arguments(), 1, 2)</f>
        <v>MjmT</v>
      </c>
      <c r="E224" s="56" t="str">
        <v>methane production from manure per class, MMS, and treatment stage</v>
      </c>
      <c r="F224" s="93"/>
      <c r="G224" s="55" t="str" cm="1">
        <f t="array" ref="G224:H224">_xlfn.CHOOSECOLS(MMS_Swine_Methane_Equations.VEERG_4_5_1_1__2_MethaneProductionPerClass_Arguments(), 3,4)</f>
        <v>kg CH4/head/day</v>
      </c>
      <c r="H224" s="127" t="str">
        <v>Calculated from 4.5.1.1 (3) and (6)</v>
      </c>
      <c r="I224" s="131" t="str" cm="1">
        <f t="array" aca="1" ref="I224" ca="1">HYPERLINK(Common_InputFunctions.Utility_SourceHyperlink(D203), D203)</f>
        <v>M1_Table_M_i_j_m_T-1</v>
      </c>
      <c r="J224" s="131" t="str" cm="1">
        <f t="array" aca="1" ref="J224" ca="1">HYPERLINK(Common_InputFunctions.Utility_SourceHyperlink(D162), D162)</f>
        <v>M1_Table_M_i_j_m_T-2</v>
      </c>
    </row>
    <row r="225" spans="1:21" ht="20" customHeight="1" x14ac:dyDescent="0.25"/>
    <row r="226" spans="1:21" ht="20" customHeight="1" x14ac:dyDescent="0.25">
      <c r="D226" s="113" t="s">
        <v>210</v>
      </c>
      <c r="N226" s="113" t="s">
        <v>212</v>
      </c>
    </row>
    <row r="227" spans="1:21" ht="20" customHeight="1" x14ac:dyDescent="0.25">
      <c r="D227" s="114" t="s">
        <v>211</v>
      </c>
      <c r="N227" s="114" t="s">
        <v>213</v>
      </c>
    </row>
    <row r="228" spans="1:21" ht="20" customHeight="1" x14ac:dyDescent="0.25">
      <c r="D228" s="49" t="s">
        <v>134</v>
      </c>
      <c r="E228" s="49" t="s">
        <v>135</v>
      </c>
      <c r="F228" s="49" t="s">
        <v>136</v>
      </c>
      <c r="G228" s="49" t="s">
        <v>192</v>
      </c>
      <c r="N228" s="49" t="s">
        <v>134</v>
      </c>
      <c r="O228" s="49" t="s">
        <v>135</v>
      </c>
      <c r="P228" s="49" t="s">
        <v>136</v>
      </c>
      <c r="Q228" s="49" t="s">
        <v>192</v>
      </c>
    </row>
    <row r="229" spans="1:21" ht="20" customHeight="1" x14ac:dyDescent="0.25">
      <c r="D229" s="50" cm="1">
        <f t="array" aca="1" ref="D229" ca="1">MMS_Swine_Methane_Equations.VEERG_4_5_1_1__2_MethaneProductionPerClassVariation(E206:E211,F165:F184)</f>
        <v>1.3780116684800005E-2</v>
      </c>
      <c r="E229" s="50" cm="1">
        <f t="array" aca="1" ref="E229" ca="1">MMS_Swine_Methane_Equations.VEERG_4_5_1_1__2_MethaneProductionPerClassVariation(F206:F211,G165:G184)</f>
        <v>1.6933247974400007E-2</v>
      </c>
      <c r="F229" s="50" cm="1">
        <f t="array" aca="1" ref="F229" ca="1">MMS_Swine_Methane_Equations.VEERG_4_5_1_1__2_MethaneProductionPerClassVariation(G206:G211,H165:H184)</f>
        <v>2.0246274752000006E-2</v>
      </c>
      <c r="G229" s="50" cm="1">
        <f t="array" aca="1" ref="G229" ca="1">MMS_Swine_Methane_Equations.VEERG_4_5_1_1__2_MethaneProductionPerClassVariation(H206:H211,I165:I184)</f>
        <v>1.4356449369600002E-2</v>
      </c>
      <c r="H229" s="2" t="str">
        <f>$E$222</f>
        <v>kg CH4/head/day</v>
      </c>
      <c r="N229" s="50" cm="1">
        <f t="array" aca="1" ref="N229" ca="1">MMS_Swine_Methane_Equations.VEERG_4_5_1_1__2_MethaneProductionPerClassVariation(O206:O211,P165:P184)</f>
        <v>1.3922830336000004E-2</v>
      </c>
      <c r="O229" s="50" cm="1">
        <f t="array" aca="1" ref="O229" ca="1">MMS_Swine_Methane_Equations.VEERG_4_5_1_1__2_MethaneProductionPerClassVariation(P206:P211,Q165:Q184)</f>
        <v>1.7108752768000005E-2</v>
      </c>
      <c r="P229" s="50" cm="1">
        <f t="array" aca="1" ref="P229" ca="1">MMS_Swine_Methane_Equations.VEERG_4_5_1_1__2_MethaneProductionPerClassVariation(Q206:Q211,R165:R184)</f>
        <v>2.0456117440000005E-2</v>
      </c>
      <c r="Q229" s="50" cm="1">
        <f t="array" aca="1" ref="Q229" ca="1">MMS_Swine_Methane_Equations.VEERG_4_5_1_1__2_MethaneProductionPerClassVariation(R206:R211,S165:S184)</f>
        <v>1.4505246912000001E-2</v>
      </c>
      <c r="R229" s="2" t="str">
        <f>$E$222</f>
        <v>kg CH4/head/day</v>
      </c>
    </row>
    <row r="230" spans="1:21" ht="20" customHeight="1" x14ac:dyDescent="0.25"/>
    <row r="231" spans="1:21" ht="20" customHeight="1" x14ac:dyDescent="0.25">
      <c r="A231" s="137" t="str">
        <f>HYPERLINK("#A1", "▲ Back to top")</f>
        <v>▲ Back to top</v>
      </c>
    </row>
    <row r="232" spans="1:21" ht="20" customHeight="1" x14ac:dyDescent="0.25">
      <c r="C232" s="43"/>
      <c r="D232" s="43"/>
      <c r="E232" s="43"/>
      <c r="F232" s="43"/>
      <c r="G232" s="43"/>
      <c r="H232" s="43"/>
      <c r="I232" s="43"/>
      <c r="J232" s="43"/>
      <c r="K232" s="43"/>
      <c r="M232" s="43"/>
      <c r="N232" s="43"/>
      <c r="O232" s="43"/>
      <c r="P232" s="43"/>
      <c r="Q232" s="43"/>
      <c r="R232" s="43"/>
      <c r="S232" s="43"/>
      <c r="T232" s="43"/>
      <c r="U232" s="43"/>
    </row>
    <row r="233" spans="1:21" ht="20" customHeight="1" x14ac:dyDescent="0.25">
      <c r="D233" s="6" t="str" cm="1">
        <f t="array" ref="D233">MMS_Swine_Methane_Equations.VEERG_4_5_1_1__1_TotalAnnualMethaneEmissions_Title()</f>
        <v>Total annual methane emissions from manure management</v>
      </c>
    </row>
    <row r="234" spans="1:21" ht="20" customHeight="1" x14ac:dyDescent="0.25">
      <c r="D234" s="5" t="str" cm="1">
        <f t="array" ref="D234">MMS_Swine_Methane_Equations.VEERG_4_5_1_1__1_TotalAnnualMethaneEmissions_Source()</f>
        <v>VEERG 2026: 4.5.1.1, Equation (1)</v>
      </c>
    </row>
    <row r="235" spans="1:21" ht="20" customHeight="1" x14ac:dyDescent="0.25">
      <c r="D235" s="13" t="s">
        <v>23</v>
      </c>
      <c r="E235" s="13" t="str" cm="1">
        <f t="array" aca="1" ref="E235" ca="1">Common_InputFunctions.Utility_DisplayFunctionName(D259)</f>
        <v>=MMS_Swine_Methane_Equations.VEERG_4_5_1_1__1_TotalAnnualMethaneEmissions</v>
      </c>
    </row>
    <row r="236" spans="1:21" ht="20" customHeight="1" x14ac:dyDescent="0.25"/>
    <row r="237" spans="1:21" ht="20" customHeight="1" x14ac:dyDescent="0.25">
      <c r="D237" s="6"/>
    </row>
    <row r="238" spans="1:21" ht="20" customHeight="1" x14ac:dyDescent="0.25"/>
    <row r="239" spans="1:21" ht="20" customHeight="1" x14ac:dyDescent="0.25">
      <c r="D239" s="51" t="s">
        <v>26</v>
      </c>
      <c r="E239" s="1" t="str" cm="1">
        <f t="array" ref="E239">MMS_Swine_Methane_Equations.VEERG_4_5_1_1__1_TotalAnnualMethaneEmissions_Variable()</f>
        <v>ECH4</v>
      </c>
    </row>
    <row r="240" spans="1:21" ht="20" customHeight="1" x14ac:dyDescent="0.25">
      <c r="D240" s="51" t="s">
        <v>16</v>
      </c>
      <c r="E240" s="52" t="str" cm="1">
        <f t="array" ref="E240">MMS_Swine_Methane_Equations.VEERG_4_5_1_1__1_TotalAnnualMethaneEmissions_Unit()</f>
        <v>t CH4</v>
      </c>
    </row>
    <row r="241" spans="4:14" ht="20" customHeight="1" x14ac:dyDescent="0.25"/>
    <row r="242" spans="4:14" ht="20" customHeight="1" x14ac:dyDescent="0.25">
      <c r="D242" s="55" t="str" cm="1">
        <f t="array" ref="D242:E244">_xlfn.CHOOSECOLS(MMS_Swine_Methane_Equations.VEERG_4_5_1_1__1_TotalAnnualMethaneEmissions_Arguments(), 1, 2)</f>
        <v>Dj</v>
      </c>
      <c r="E242" s="56" t="str">
        <v>length of stay of each class of swine</v>
      </c>
      <c r="F242" s="57"/>
      <c r="G242" s="55" t="str" cm="1">
        <f t="array" ref="G242:H244">_xlfn.CHOOSECOLS(MMS_Swine_Methane_Equations.VEERG_4_5_1_1__1_TotalAnnualMethaneEmissions_Arguments(), 3,4)</f>
        <v>days</v>
      </c>
      <c r="H242" s="128" t="str">
        <v>Input</v>
      </c>
      <c r="I242" s="131" t="str" cm="1">
        <f t="array" aca="1" ref="I242" ca="1">HYPERLINK(Common_InputFunctions.Utility_SourceHyperlink(D246), D246)</f>
        <v>Table_D_j</v>
      </c>
    </row>
    <row r="243" spans="4:14" ht="20" customHeight="1" x14ac:dyDescent="0.25">
      <c r="D243" s="55" t="str">
        <v>Mmj</v>
      </c>
      <c r="E243" s="56" t="str">
        <v>methane production from manure in each swine class</v>
      </c>
      <c r="F243" s="57"/>
      <c r="G243" s="55" t="str">
        <v>kg CH4/head/day</v>
      </c>
      <c r="H243" s="127" t="str">
        <v>Calculated from 4.5.1.1 (2)</v>
      </c>
      <c r="I243" s="131" t="str" cm="1">
        <f t="array" aca="1" ref="I243" ca="1">HYPERLINK(Common_InputFunctions.Utility_SourceHyperlink(D226), D226)</f>
        <v>M1_Table_M_m_j</v>
      </c>
    </row>
    <row r="244" spans="4:14" ht="20" customHeight="1" x14ac:dyDescent="0.25">
      <c r="D244" s="55" t="str">
        <v>Nj</v>
      </c>
      <c r="E244" s="56" t="str">
        <v>numbers of swine in each class</v>
      </c>
      <c r="F244" s="57"/>
      <c r="G244" s="55" t="str">
        <v>head</v>
      </c>
      <c r="H244" s="128" t="str">
        <v>Input</v>
      </c>
      <c r="I244" s="131" t="str" cm="1">
        <f t="array" aca="1" ref="I244" ca="1">HYPERLINK(Common_InputFunctions.Utility_SourceHyperlink(D226), D226)</f>
        <v>M1_Table_M_m_j</v>
      </c>
    </row>
    <row r="245" spans="4:14" ht="20" customHeight="1" x14ac:dyDescent="0.25"/>
    <row r="246" spans="4:14" ht="20" customHeight="1" x14ac:dyDescent="0.25">
      <c r="D246" s="113" t="s">
        <v>165</v>
      </c>
    </row>
    <row r="247" spans="4:14" ht="20" customHeight="1" x14ac:dyDescent="0.25">
      <c r="D247" s="114" t="s">
        <v>166</v>
      </c>
    </row>
    <row r="248" spans="4:14" ht="20" customHeight="1" x14ac:dyDescent="0.25">
      <c r="D248" s="111" t="s">
        <v>134</v>
      </c>
      <c r="E248" s="111" t="s">
        <v>135</v>
      </c>
      <c r="F248" s="111" t="s">
        <v>136</v>
      </c>
      <c r="G248" s="111" t="s">
        <v>192</v>
      </c>
    </row>
    <row r="249" spans="4:14" ht="20" customHeight="1" x14ac:dyDescent="0.25">
      <c r="D249" s="50" cm="1">
        <f t="array" aca="1" ref="D249:G249" ca="1">OFFSET(X_Table_Swine_HerdMovement,1,1,1,4)</f>
        <v>365</v>
      </c>
      <c r="E249" s="115">
        <f ca="1"/>
        <v>365</v>
      </c>
      <c r="F249" s="115">
        <f ca="1"/>
        <v>365</v>
      </c>
      <c r="G249" s="115">
        <f ca="1"/>
        <v>365</v>
      </c>
      <c r="H249" s="2" t="str">
        <f>G242</f>
        <v>days</v>
      </c>
    </row>
    <row r="250" spans="4:14" ht="20" customHeight="1" x14ac:dyDescent="0.25"/>
    <row r="251" spans="4:14" ht="20" customHeight="1" x14ac:dyDescent="0.25">
      <c r="D251" s="113" t="s">
        <v>167</v>
      </c>
    </row>
    <row r="252" spans="4:14" ht="20" customHeight="1" x14ac:dyDescent="0.25">
      <c r="D252" s="114" t="s">
        <v>168</v>
      </c>
    </row>
    <row r="253" spans="4:14" ht="20" customHeight="1" x14ac:dyDescent="0.25">
      <c r="D253" s="111" t="s">
        <v>134</v>
      </c>
      <c r="E253" s="111" t="s">
        <v>135</v>
      </c>
      <c r="F253" s="111" t="s">
        <v>136</v>
      </c>
      <c r="G253" s="111" t="s">
        <v>192</v>
      </c>
    </row>
    <row r="254" spans="4:14" ht="20" customHeight="1" x14ac:dyDescent="0.25">
      <c r="D254" s="50" cm="1">
        <f t="array" aca="1" ref="D254:G254" ca="1">OFFSET(X_Table_Swine_HerdMovement,2,1,1,4)</f>
        <v>100</v>
      </c>
      <c r="E254" s="115">
        <f ca="1"/>
        <v>100</v>
      </c>
      <c r="F254" s="115">
        <f ca="1"/>
        <v>100</v>
      </c>
      <c r="G254" s="115">
        <f ca="1"/>
        <v>100</v>
      </c>
      <c r="H254" s="2" t="str">
        <f>G244</f>
        <v>head</v>
      </c>
    </row>
    <row r="255" spans="4:14" ht="20" customHeight="1" x14ac:dyDescent="0.25"/>
    <row r="256" spans="4:14" ht="20" customHeight="1" x14ac:dyDescent="0.25">
      <c r="D256" s="113" t="s">
        <v>116</v>
      </c>
      <c r="N256" s="113" t="s">
        <v>127</v>
      </c>
    </row>
    <row r="257" spans="1:18" ht="20" customHeight="1" x14ac:dyDescent="0.25">
      <c r="D257" s="114" t="s">
        <v>191</v>
      </c>
      <c r="N257" s="114" t="s">
        <v>214</v>
      </c>
    </row>
    <row r="258" spans="1:18" ht="20" customHeight="1" x14ac:dyDescent="0.25">
      <c r="D258" s="49" t="s">
        <v>134</v>
      </c>
      <c r="E258" s="49" t="s">
        <v>135</v>
      </c>
      <c r="F258" s="49" t="s">
        <v>136</v>
      </c>
      <c r="G258" s="49" t="s">
        <v>192</v>
      </c>
      <c r="N258" s="49" t="s">
        <v>134</v>
      </c>
      <c r="O258" s="49" t="s">
        <v>135</v>
      </c>
      <c r="P258" s="49" t="s">
        <v>136</v>
      </c>
      <c r="Q258" s="49" t="s">
        <v>192</v>
      </c>
    </row>
    <row r="259" spans="1:18" ht="20" customHeight="1" x14ac:dyDescent="0.25">
      <c r="D259" s="50" cm="1">
        <f t="array" aca="1" ref="D259" ca="1">MMS_Swine_Methane_Equations.VEERG_4_5_1_1__1_TotalAnnualMethaneEmissions(D249,D$229,D254)</f>
        <v>0.50297425899520021</v>
      </c>
      <c r="E259" s="50" cm="1">
        <f t="array" aca="1" ref="E259" ca="1">MMS_Swine_Methane_Equations.VEERG_4_5_1_1__1_TotalAnnualMethaneEmissions(E249,E$229,E254)</f>
        <v>0.61806355106560018</v>
      </c>
      <c r="F259" s="50" cm="1">
        <f t="array" aca="1" ref="F259" ca="1">MMS_Swine_Methane_Equations.VEERG_4_5_1_1__1_TotalAnnualMethaneEmissions(F249,F$229,F254)</f>
        <v>0.73898902844800007</v>
      </c>
      <c r="G259" s="50" cm="1">
        <f t="array" aca="1" ref="G259" ca="1">MMS_Swine_Methane_Equations.VEERG_4_5_1_1__1_TotalAnnualMethaneEmissions(G249,G$229,G254)</f>
        <v>0.52401040199040005</v>
      </c>
      <c r="H259" s="2" t="str">
        <f>$E$240</f>
        <v>t CH4</v>
      </c>
      <c r="N259" s="50" cm="1">
        <f t="array" aca="1" ref="N259" ca="1">MMS_Swine_Methane_Equations.VEERG_4_5_1_1__1_TotalAnnualMethaneEmissions(D249,N$229,D254)</f>
        <v>0.50818330726400018</v>
      </c>
      <c r="O259" s="50" cm="1">
        <f t="array" aca="1" ref="O259" ca="1">MMS_Swine_Methane_Equations.VEERG_4_5_1_1__1_TotalAnnualMethaneEmissions(E249,O$229,E254)</f>
        <v>0.62446947603200009</v>
      </c>
      <c r="P259" s="50" cm="1">
        <f t="array" aca="1" ref="P259" ca="1">MMS_Swine_Methane_Equations.VEERG_4_5_1_1__1_TotalAnnualMethaneEmissions(F249,P$229,F254)</f>
        <v>0.74664828656000026</v>
      </c>
      <c r="Q259" s="50" cm="1">
        <f t="array" aca="1" ref="Q259" ca="1">MMS_Swine_Methane_Equations.VEERG_4_5_1_1__1_TotalAnnualMethaneEmissions(G249,Q$229,G254)</f>
        <v>0.52944151228800007</v>
      </c>
      <c r="R259" s="2" t="str">
        <f>$E$240</f>
        <v>t CH4</v>
      </c>
    </row>
    <row r="260" spans="1:18" ht="20" customHeight="1" x14ac:dyDescent="0.25"/>
    <row r="261" spans="1:18" ht="20" customHeight="1" x14ac:dyDescent="0.25">
      <c r="D261" s="94" t="s">
        <v>169</v>
      </c>
      <c r="E261" s="95">
        <f ca="1">SUM(D259:G259)</f>
        <v>2.3840372404992007</v>
      </c>
      <c r="F261" s="96" t="str">
        <f>$E$240</f>
        <v>t CH4</v>
      </c>
      <c r="N261" s="94" t="s">
        <v>169</v>
      </c>
      <c r="O261" s="95">
        <f ca="1">SUM(N259:Q259)</f>
        <v>2.4087425821440007</v>
      </c>
      <c r="P261" s="96" t="str">
        <f>$E$240</f>
        <v>t CH4</v>
      </c>
    </row>
    <row r="262" spans="1:18" ht="20" customHeight="1" x14ac:dyDescent="0.25"/>
    <row r="263" spans="1:18" ht="20" customHeight="1" x14ac:dyDescent="0.25">
      <c r="D263" s="55" t="str" cm="1">
        <f t="array" ref="D263:E264">Common_Equations.Common_ConvertCH4ToCO2e_Arguments()</f>
        <v>ECH4</v>
      </c>
      <c r="E263" s="56" t="str">
        <v>Methane emissions (t CH4)</v>
      </c>
      <c r="F263" s="97"/>
      <c r="G263" s="50">
        <f ca="1">VEERG_4_5_1_1__1_TotalAnnualMethaneEmissions_Result_Method1</f>
        <v>2.3840372404992007</v>
      </c>
      <c r="N263" s="55" t="str" cm="1">
        <f t="array" ref="N263:O264">Common_Equations.Common_ConvertCH4ToCO2e_Arguments()</f>
        <v>ECH4</v>
      </c>
      <c r="O263" s="56" t="str">
        <v>Methane emissions (t CH4)</v>
      </c>
      <c r="P263" s="97"/>
      <c r="Q263" s="50">
        <f ca="1">VEERG_4_5_1_1__1_TotalAnnualMethaneEmissions_Result_Method2</f>
        <v>2.4087425821440007</v>
      </c>
    </row>
    <row r="264" spans="1:18" ht="20" customHeight="1" x14ac:dyDescent="0.25">
      <c r="D264" s="55" t="str">
        <v>GWPCH4</v>
      </c>
      <c r="E264" s="56" t="str">
        <v>Global warming potential for methane (t CO2-e / t CH4)</v>
      </c>
      <c r="F264" s="97"/>
      <c r="G264" s="50">
        <f>Common_InputFunctions.Utility_LookupValueInTableNumber("CH4",Table_GWPData[Gas],Table_GWPData[CO2-e factor])</f>
        <v>28</v>
      </c>
      <c r="N264" s="55" t="str">
        <v>GWPCH4</v>
      </c>
      <c r="O264" s="56" t="str">
        <v>Global warming potential for methane (t CO2-e / t CH4)</v>
      </c>
      <c r="P264" s="97"/>
      <c r="Q264" s="50">
        <f>Common_InputFunctions.Utility_LookupValueInTableNumber("CH4",Table_GWPData[Gas],Table_GWPData[CO2-e factor])</f>
        <v>28</v>
      </c>
    </row>
    <row r="265" spans="1:18" ht="20" customHeight="1" x14ac:dyDescent="0.25"/>
    <row r="266" spans="1:18" ht="20" customHeight="1" x14ac:dyDescent="0.25">
      <c r="A266" s="137" t="str">
        <f>HYPERLINK("#A1", "▲ Back to top")</f>
        <v>▲ Back to top</v>
      </c>
      <c r="D266" s="43" t="s">
        <v>93</v>
      </c>
      <c r="E266" s="43" cm="1">
        <f t="array" aca="1" ref="E266" ca="1">Common_Equations.Common_ConvertCH4ToCO2e(G263,G264)</f>
        <v>66.753042733977622</v>
      </c>
      <c r="F266" s="98" t="str" cm="1">
        <f t="array" ref="F266">Common_Equations.Common_ConvertN2OToCO2e_Unit()</f>
        <v>t CO2e</v>
      </c>
      <c r="N266" s="43" t="s">
        <v>93</v>
      </c>
      <c r="O266" s="43" cm="1">
        <f t="array" aca="1" ref="O266" ca="1">Common_Equations.Common_ConvertCH4ToCO2e(Q263,Q264)</f>
        <v>67.44479230003202</v>
      </c>
      <c r="P266" s="98" t="str" cm="1">
        <f t="array" ref="P266">Common_Equations.Common_ConvertN2OToCO2e_Unit()</f>
        <v>t CO2e</v>
      </c>
    </row>
    <row r="267" spans="1:18" ht="20" customHeight="1" x14ac:dyDescent="0.25"/>
    <row r="268" spans="1:18" ht="20" customHeight="1" x14ac:dyDescent="0.25"/>
    <row r="269" spans="1:18" ht="20" customHeight="1" x14ac:dyDescent="0.25"/>
    <row r="270" spans="1:18" ht="20" customHeight="1" x14ac:dyDescent="0.25"/>
    <row r="271" spans="1:18" ht="20" customHeight="1" x14ac:dyDescent="0.25"/>
    <row r="341" spans="8:8" x14ac:dyDescent="0.25" ht="20" customHeight="1">
      <c r="H341" s="21"/>
    </row>
    <row r="342" spans="8:8" x14ac:dyDescent="0.25" ht="20" customHeight="1">
      <c r="H342" s="21"/>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304"/>
  <sheetViews>
    <sheetView showGridLines="0" topLeftCell="A187" zoomScaleNormal="100" workbookViewId="0">
      <selection activeCell="D24" sqref="D24"/>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215</v>
      </c>
      <c r="L1"/>
    </row>
    <row r="2" spans="1:21" s="9" customFormat="1" ht="20" customHeight="1" x14ac:dyDescent="0.25">
      <c r="A2"/>
      <c r="L2"/>
    </row>
    <row r="3" spans="1:21" ht="20"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MMS_Swine_N2ODirect_Equations.VEERG_4_5_1_3__5_AnnualNitrogenExcretion_Title()</f>
        <v>Annual nitrogen excretion from each swine group</v>
      </c>
    </row>
    <row r="6" spans="1:21" ht="20" customHeight="1" x14ac:dyDescent="0.25">
      <c r="D6" s="5" t="str" cm="1">
        <f t="array" ref="D6">MMS_Swine_N2ODirect_Equations.VEERG_4_5_1_3__5_AnnualNitrogenExcretion_Source()</f>
        <v>VEERG 2026: 4.5.1.3, Equation (5)</v>
      </c>
    </row>
    <row r="7" spans="1:21" ht="20" customHeight="1" x14ac:dyDescent="0.25">
      <c r="D7" s="13" t="s">
        <v>23</v>
      </c>
      <c r="E7" s="13" t="str" cm="1">
        <f t="array" aca="1" ref="E7" ca="1">Common_InputFunctions.Utility_DisplayFunctionName($E$35)</f>
        <v>=MMS_Swine_N2ODirect_Equations.VEERG_4_5_1_3__5_AnnualNitrogenExcretion</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Swine'!A1", "Swine")</f>
        <v>Swine</v>
      </c>
      <c r="D10" s="51" t="s">
        <v>26</v>
      </c>
      <c r="E10" s="1" t="str" cm="1">
        <f t="array" ref="E10">MMS_Swine_N2ODirect_Equations.VEERG_4_5_1_3__5_AnnualNitrogenExcretion_Variable()</f>
        <v>AE_j</v>
      </c>
    </row>
    <row r="11" spans="1:21" ht="20" customHeight="1" x14ac:dyDescent="0.25">
      <c r="D11" s="51" t="s">
        <v>16</v>
      </c>
      <c r="E11" s="52" t="str" cm="1">
        <f t="array" ref="E11">MMS_Swine_N2ODirect_Equations.VEERG_4_5_1_3__5_AnnualNitrogenExcretion_Unit()</f>
        <v>kg N</v>
      </c>
    </row>
    <row r="12" spans="1:21" ht="20" customHeight="1" x14ac:dyDescent="0.25"/>
    <row r="13" spans="1:21" ht="20" customHeight="1" x14ac:dyDescent="0.25">
      <c r="A13" s="18" t="s">
        <v>71</v>
      </c>
      <c r="D13" s="132" t="str" cm="1">
        <f t="array" ref="D13:E15">Common_InputFunctions.Utility_DisplayArguments_1_2(MMS_Swine_N2ODirect_Equations.VEERG_4_5_1_3__5_AnnualNitrogenExcretion_Arguments())</f>
        <v>N_j</v>
      </c>
      <c r="E13" s="134" t="str">
        <v>number of swine in each group</v>
      </c>
      <c r="F13" s="133"/>
      <c r="G13" s="132" t="str" cm="1">
        <f t="array" ref="G13:H15">Common_InputFunctions.Utility_DisplayArguments_3_4(MMS_Swine_N2ODirect_Equations.VEERG_4_5_1_3__5_AnnualNitrogenExcretion_Arguments())</f>
        <v>head</v>
      </c>
      <c r="H13" s="128" t="str">
        <v>Input</v>
      </c>
      <c r="I13" s="131" t="str" cm="1">
        <f t="array" aca="1" ref="I13" ca="1">HYPERLINK(Common_InputFunctions.Utility_SourceHyperlink(D17), D17)</f>
        <v>Table_N_j</v>
      </c>
    </row>
    <row r="14" spans="1:21" ht="20" customHeight="1" x14ac:dyDescent="0.25">
      <c r="A14" s="17" t="str">
        <f>HYPERLINK("#'4.5.1.1-2 Methane'!A1", "4.5.1.1-2 Methane")</f>
        <v>4.5.1.1-2 Methane</v>
      </c>
      <c r="D14" s="132" t="str">
        <v>NW_j</v>
      </c>
      <c r="E14" s="132" t="str">
        <v>nitrogen produced in swine manure and waste feed in each class</v>
      </c>
      <c r="F14" s="132"/>
      <c r="G14" s="132" t="str">
        <v>kg N/head/day</v>
      </c>
      <c r="H14" s="128" t="str">
        <v>Input</v>
      </c>
      <c r="I14" s="131" t="str" cm="1">
        <f t="array" aca="1" ref="I14" ca="1">HYPERLINK(Common_InputFunctions.Utility_SourceHyperlink(D22), D22)</f>
        <v>M1_Table_NW_j</v>
      </c>
    </row>
    <row r="15" spans="1:21" ht="20" customHeight="1" x14ac:dyDescent="0.25">
      <c r="A15" s="143" t="str">
        <f>HYPERLINK("#'4.5.1.3-4 Direct N2O'!A1", "4.5.1.3-4 Direct N2O")</f>
        <v>4.5.1.3-4 Direct N2O</v>
      </c>
      <c r="D15" s="132" t="str">
        <v>D_j</v>
      </c>
      <c r="E15" s="134" t="str">
        <v>duration of stay of swine group</v>
      </c>
      <c r="F15" s="133"/>
      <c r="G15" s="132" t="str">
        <v>days</v>
      </c>
      <c r="H15" s="128" t="str">
        <v>Input</v>
      </c>
      <c r="I15" s="131" t="str" cm="1">
        <f t="array" aca="1" ref="I15" ca="1">HYPERLINK(Common_InputFunctions.Utility_SourceHyperlink(D27), D27)</f>
        <v>Table_D_j</v>
      </c>
    </row>
    <row r="16" spans="1:21" ht="20" customHeight="1" x14ac:dyDescent="0.25">
      <c r="A16" s="17" t="str">
        <f>HYPERLINK("#'4.5.1.5-6 Atmos Dep'!A1", "4.5.1.5-6 Atmos Dep")</f>
        <v>4.5.1.5-6 Atmos Dep</v>
      </c>
    </row>
    <row r="17" spans="1:18" ht="20" customHeight="1" x14ac:dyDescent="0.25">
      <c r="A17" s="17" t="str">
        <f>HYPERLINK("#'4.5.1.7-8 Leaching and runoff'!A1", "4.5.1.7-8 Leaching and runoff")</f>
        <v>4.5.1.7-8 Leaching and runoff</v>
      </c>
      <c r="D17" s="113" t="s">
        <v>167</v>
      </c>
    </row>
    <row r="18" spans="1:18" ht="20" customHeight="1" x14ac:dyDescent="0.25">
      <c r="A18" s="17" t="str">
        <f>HYPERLINK("#'4.5.1.9 Manure applied to soils'!A1", "4.5.1.9 Manure applied to soils")</f>
        <v>4.5.1.9 Manure applied to soils</v>
      </c>
      <c r="D18" s="114" t="s">
        <v>168</v>
      </c>
    </row>
    <row r="19" spans="1:18" ht="20" customHeight="1" x14ac:dyDescent="0.25">
      <c r="D19" s="111" t="s">
        <v>134</v>
      </c>
      <c r="E19" s="111" t="s">
        <v>135</v>
      </c>
      <c r="F19" s="111" t="s">
        <v>136</v>
      </c>
      <c r="G19" s="111" t="s">
        <v>192</v>
      </c>
    </row>
    <row r="20" spans="1:18" ht="20" customHeight="1" x14ac:dyDescent="0.25">
      <c r="D20" s="50" cm="1">
        <f t="array" aca="1" ref="D20:G20" ca="1">OFFSET(X_Table_Swine_HerdMovement,2,1,1,4)</f>
        <v>100</v>
      </c>
      <c r="E20" s="115">
        <f ca="1"/>
        <v>100</v>
      </c>
      <c r="F20" s="115">
        <f ca="1"/>
        <v>100</v>
      </c>
      <c r="G20" s="115">
        <f ca="1"/>
        <v>100</v>
      </c>
      <c r="H20" s="2" t="str">
        <f>G13</f>
        <v>head</v>
      </c>
    </row>
    <row r="21" spans="1:18" ht="20" customHeight="1" x14ac:dyDescent="0.25">
      <c r="A21" s="141" t="s">
        <v>1</v>
      </c>
    </row>
    <row r="22" spans="1:18" ht="20" customHeight="1" x14ac:dyDescent="0.25">
      <c r="A22" s="17" t="str">
        <f>HYPERLINK("#'Constants - Swine'!A1", "Constants - Swine")</f>
        <v>Constants - Swine</v>
      </c>
      <c r="D22" s="113" t="s">
        <v>222</v>
      </c>
      <c r="N22" s="113" t="s">
        <v>283</v>
      </c>
    </row>
    <row r="23" spans="1:18" ht="20" customHeight="1" x14ac:dyDescent="0.25">
      <c r="A23" s="17" t="str">
        <f>HYPERLINK("#'Constants - Common'!A1", "Constants - Common")</f>
        <v>Constants - Common</v>
      </c>
      <c r="D23" s="114" t="s">
        <v>282</v>
      </c>
      <c r="N23" s="114" t="s">
        <v>284</v>
      </c>
    </row>
    <row r="24" spans="1:18" ht="20" customHeight="1" x14ac:dyDescent="0.25">
      <c r="A24" s="17" t="str">
        <f>HYPERLINK("#'Constants - Common livestock'!A1", "Constants - Common livestock")</f>
        <v>Constants - Common livestock</v>
      </c>
      <c r="D24" s="111" t="s">
        <v>134</v>
      </c>
      <c r="E24" s="111" t="s">
        <v>135</v>
      </c>
      <c r="F24" s="111" t="s">
        <v>136</v>
      </c>
      <c r="G24" s="111" t="s">
        <v>192</v>
      </c>
      <c r="N24" s="111" t="s">
        <v>134</v>
      </c>
      <c r="O24" s="111" t="s">
        <v>135</v>
      </c>
      <c r="P24" s="111" t="s">
        <v>136</v>
      </c>
      <c r="Q24" s="111" t="s">
        <v>192</v>
      </c>
    </row>
    <row r="25" spans="1:18" ht="20" customHeight="1" x14ac:dyDescent="0.25">
      <c r="A25" s="17" t="str">
        <f>HYPERLINK("#'Acknowledgements'!A1", "Acknowledgements")</f>
        <v>Acknowledgements</v>
      </c>
      <c r="D25" s="50" cm="1">
        <f t="array" aca="1" ref="D25:G25" ca="1">OFFSET(X_Table_Swine_ManureProduction_Method1,2,1,1,4)</f>
        <v>4.5999999999999999E-2</v>
      </c>
      <c r="E25" s="50">
        <f ca="1"/>
        <v>4.9000000000000002E-2</v>
      </c>
      <c r="F25" s="50">
        <f ca="1"/>
        <v>4.5999999999999999E-2</v>
      </c>
      <c r="G25" s="50">
        <f ca="1"/>
        <v>3.1199999999999999E-2</v>
      </c>
      <c r="H25" s="2" t="str">
        <f>G14</f>
        <v>kg N/head/day</v>
      </c>
      <c r="N25" s="50" cm="1">
        <f t="array" aca="1" ref="N25:Q25" ca="1">OFFSET(X_Table_Swine_ManureProduction_Method2,2,1,1,4)</f>
        <v>4.5999999999999999E-2</v>
      </c>
      <c r="O25" s="50">
        <f ca="1"/>
        <v>4.9000000000000002E-2</v>
      </c>
      <c r="P25" s="50">
        <f ca="1"/>
        <v>4.5999999999999999E-2</v>
      </c>
      <c r="Q25" s="50">
        <f ca="1"/>
        <v>3.1199999999999999E-2</v>
      </c>
      <c r="R25" s="2" t="str">
        <f>G14</f>
        <v>kg N/head/day</v>
      </c>
    </row>
    <row r="26" spans="1:18" ht="20" customHeight="1" x14ac:dyDescent="0.25">
      <c r="A26" s="17" t="str">
        <f>HYPERLINK("#'Tab template'!A1", "Tab template")</f>
        <v>Tab template</v>
      </c>
    </row>
    <row r="27" spans="1:18" ht="20" customHeight="1" x14ac:dyDescent="0.25">
      <c r="D27" s="113" t="s">
        <v>165</v>
      </c>
    </row>
    <row r="28" spans="1:18" ht="20" customHeight="1" x14ac:dyDescent="0.25">
      <c r="D28" s="114" t="s">
        <v>223</v>
      </c>
    </row>
    <row r="29" spans="1:18" ht="20" customHeight="1" x14ac:dyDescent="0.25">
      <c r="D29" s="111" t="s">
        <v>134</v>
      </c>
      <c r="E29" s="111" t="s">
        <v>135</v>
      </c>
      <c r="F29" s="111" t="s">
        <v>136</v>
      </c>
      <c r="G29" s="111" t="s">
        <v>192</v>
      </c>
    </row>
    <row r="30" spans="1:18" ht="20" customHeight="1" x14ac:dyDescent="0.25">
      <c r="D30" s="50" cm="1">
        <f t="array" aca="1" ref="D30:G30" ca="1">OFFSET(X_Table_Swine_HerdMovement,1,1,1,4)</f>
        <v>365</v>
      </c>
      <c r="E30" s="115">
        <f ca="1"/>
        <v>365</v>
      </c>
      <c r="F30" s="115">
        <f ca="1"/>
        <v>365</v>
      </c>
      <c r="G30" s="115">
        <f ca="1"/>
        <v>365</v>
      </c>
      <c r="H30" s="2" t="str">
        <f>G15</f>
        <v>days</v>
      </c>
    </row>
    <row r="31" spans="1:18" ht="20" customHeight="1" x14ac:dyDescent="0.25"/>
    <row r="32" spans="1:18" ht="20" customHeight="1" x14ac:dyDescent="0.25">
      <c r="D32" s="113" t="s">
        <v>285</v>
      </c>
      <c r="N32" s="113" t="s">
        <v>287</v>
      </c>
    </row>
    <row r="33" spans="3:18" ht="20" customHeight="1" x14ac:dyDescent="0.25">
      <c r="D33" s="114" t="s">
        <v>286</v>
      </c>
      <c r="N33" s="114" t="s">
        <v>288</v>
      </c>
    </row>
    <row r="34" spans="3:18" ht="20" customHeight="1" x14ac:dyDescent="0.25">
      <c r="D34" s="49" t="s">
        <v>134</v>
      </c>
      <c r="E34" s="49" t="s">
        <v>135</v>
      </c>
      <c r="F34" s="49" t="s">
        <v>136</v>
      </c>
      <c r="G34" s="49" t="s">
        <v>192</v>
      </c>
      <c r="N34" s="49" t="s">
        <v>134</v>
      </c>
      <c r="O34" s="49" t="s">
        <v>135</v>
      </c>
      <c r="P34" s="49" t="s">
        <v>136</v>
      </c>
      <c r="Q34" s="49" t="s">
        <v>192</v>
      </c>
    </row>
    <row r="35" spans="3:18" ht="20" customHeight="1" x14ac:dyDescent="0.25">
      <c r="D35" s="115" cm="1">
        <f t="array" aca="1" ref="D35" ca="1">MMS_Swine_N2ODirect_Equations.VEERG_4_5_1_3__5_AnnualNitrogenExcretion(D20,D25,D30)</f>
        <v>1678.9999999999998</v>
      </c>
      <c r="E35" s="115" cm="1">
        <f t="array" aca="1" ref="E35" ca="1">MMS_Swine_N2ODirect_Equations.VEERG_4_5_1_3__5_AnnualNitrogenExcretion(E20,E25,E30)</f>
        <v>1788.5000000000002</v>
      </c>
      <c r="F35" s="115" cm="1">
        <f t="array" aca="1" ref="F35" ca="1">MMS_Swine_N2ODirect_Equations.VEERG_4_5_1_3__5_AnnualNitrogenExcretion(F20,F25,F30)</f>
        <v>1678.9999999999998</v>
      </c>
      <c r="G35" s="115" cm="1">
        <f t="array" aca="1" ref="G35" ca="1">MMS_Swine_N2ODirect_Equations.VEERG_4_5_1_3__5_AnnualNitrogenExcretion(G20,G25,G30)</f>
        <v>1138.8</v>
      </c>
      <c r="H35" s="2" t="str">
        <f>$E$11</f>
        <v>kg N</v>
      </c>
      <c r="N35" s="115" cm="1">
        <f t="array" aca="1" ref="N35" ca="1">MMS_Swine_N2ODirect_Equations.VEERG_4_5_1_3__5_AnnualNitrogenExcretion(D20,N25,D30)</f>
        <v>1678.9999999999998</v>
      </c>
      <c r="O35" s="115" cm="1">
        <f t="array" aca="1" ref="O35" ca="1">MMS_Swine_N2ODirect_Equations.VEERG_4_5_1_3__5_AnnualNitrogenExcretion(E20,O25,E30)</f>
        <v>1788.5000000000002</v>
      </c>
      <c r="P35" s="115" cm="1">
        <f t="array" aca="1" ref="P35" ca="1">MMS_Swine_N2ODirect_Equations.VEERG_4_5_1_3__5_AnnualNitrogenExcretion(F20,P25,F30)</f>
        <v>1678.9999999999998</v>
      </c>
      <c r="Q35" s="115" cm="1">
        <f t="array" aca="1" ref="Q35" ca="1">MMS_Swine_N2ODirect_Equations.VEERG_4_5_1_3__5_AnnualNitrogenExcretion(G20,Q25,G30)</f>
        <v>1138.8</v>
      </c>
      <c r="R35" s="2" t="str">
        <f>$E$11</f>
        <v>kg N</v>
      </c>
    </row>
    <row r="36" spans="3:18" ht="20" customHeight="1" x14ac:dyDescent="0.25"/>
    <row r="37" spans="3:18" ht="20" customHeight="1" x14ac:dyDescent="0.25"/>
    <row r="38" spans="3:18" ht="20" customHeight="1" x14ac:dyDescent="0.25">
      <c r="C38" s="43"/>
      <c r="D38" s="43"/>
      <c r="E38" s="43"/>
      <c r="F38" s="43"/>
      <c r="G38" s="43"/>
      <c r="H38" s="43"/>
      <c r="I38" s="43"/>
      <c r="J38" s="43"/>
    </row>
    <row r="39" spans="3:18" ht="20" customHeight="1" x14ac:dyDescent="0.25">
      <c r="D39" s="6" t="str" cm="1">
        <f t="array" ref="D39">MMS_Swine_N2ODirect_Equations.VEERG_4_5_1_3__3_FractionOfNitrogenInPrimaryMMS_Title()</f>
        <v>Fraction of nitrogen in each primary MMS (excluding solid storage)</v>
      </c>
    </row>
    <row r="40" spans="3:18" ht="20" customHeight="1" x14ac:dyDescent="0.25">
      <c r="D40" s="5" t="str" cm="1">
        <f t="array" ref="D40">MMS_Swine_N2ODirect_Equations.VEERG_4_5_1_3__3_FractionOfNitrogenInPrimaryMMS_Source()</f>
        <v>VEERG 2026: 4.5.1.3, Equation (3)</v>
      </c>
    </row>
    <row r="41" spans="3:18" ht="20" customHeight="1" x14ac:dyDescent="0.25">
      <c r="D41" s="13" t="s">
        <v>23</v>
      </c>
      <c r="E41" s="13" t="str" cm="1">
        <f t="array" aca="1" ref="E41" ca="1">Common_InputFunctions.Utility_DisplayFunctionName($E$71)</f>
        <v>=MMS_Swine_N2ODirect_Equations.VEERG_4_5_1_3__3_FractionOfNitrogenInPrimaryMMS</v>
      </c>
    </row>
    <row r="42" spans="3:18" ht="20" customHeight="1" x14ac:dyDescent="0.25"/>
    <row r="43" spans="3:18" ht="20" customHeight="1" x14ac:dyDescent="0.25"/>
    <row r="44" spans="3:18" ht="20" customHeight="1" x14ac:dyDescent="0.25">
      <c r="D44" s="51" t="s">
        <v>26</v>
      </c>
      <c r="E44" s="1" t="str" cm="1">
        <f t="array" ref="E44">MMS_Swine_N2ODirect_Equations.VEERG_4_5_1_3__3_FractionOfNitrogenInPrimaryMMS_Variable()</f>
        <v>FN_jmT1</v>
      </c>
    </row>
    <row r="45" spans="3:18" ht="20" customHeight="1" x14ac:dyDescent="0.25">
      <c r="D45" s="51" t="s">
        <v>16</v>
      </c>
      <c r="E45" s="1" t="str" cm="1">
        <f t="array" ref="E45">MMS_Swine_N2ODirect_Equations.VEERG_4_5_1_3__3_FractionOfNitrogenInPrimaryMMS_Unit()</f>
        <v>fraction</v>
      </c>
    </row>
    <row r="46" spans="3:18" ht="20" customHeight="1" x14ac:dyDescent="0.25"/>
    <row r="47" spans="3:18" ht="20" customHeight="1" x14ac:dyDescent="0.25">
      <c r="D47" s="55" t="str" cm="1">
        <f t="array" ref="D47:E48">Common_InputFunctions.Utility_DisplayArguments_1_2(MMS_Swine_N2ODirect_Equations.VEERG_4_5_1_3__3_FractionOfNitrogenInPrimaryMMS_Arguments())</f>
        <v>MMS_jmT1</v>
      </c>
      <c r="E47" s="56" t="str">
        <v>fraction of manure in primary MMS</v>
      </c>
      <c r="F47" s="57"/>
      <c r="G47" s="132" t="str" cm="1">
        <f t="array" ref="G47:H48">Common_InputFunctions.Utility_DisplayArguments_3_4(MMS_Swine_N2ODirect_Equations.VEERG_4_5_1_3__3_FractionOfNitrogenInPrimaryMMS_Arguments())</f>
        <v>fraction</v>
      </c>
      <c r="H47" s="128" t="str">
        <v>Input</v>
      </c>
      <c r="I47" s="131" t="str" cm="1">
        <f t="array" aca="1" ref="I47" ca="1">HYPERLINK(Common_InputFunctions.Utility_SourceHyperlink(D50), D50)</f>
        <v>Table_MMS_j_m-1-7-9-8_T-1</v>
      </c>
    </row>
    <row r="48" spans="3:18" ht="20" customHeight="1" x14ac:dyDescent="0.25">
      <c r="D48" s="55" t="str">
        <v>SN_m</v>
      </c>
      <c r="E48" s="56" t="str">
        <v>fraction of nitrogen separated to solid storage for each MMS</v>
      </c>
      <c r="F48" s="57"/>
      <c r="G48" s="132" t="str">
        <v>fraction</v>
      </c>
      <c r="H48" s="128" t="str">
        <v>Input</v>
      </c>
      <c r="I48" s="131" t="str" cm="1">
        <f t="array" aca="1" ref="I48" ca="1">HYPERLINK(Common_InputFunctions.Utility_SourceHyperlink(D59), D59)</f>
        <v>M1_Table_SN_m-1-7-9</v>
      </c>
    </row>
    <row r="49" spans="4:19" ht="20" customHeight="1" x14ac:dyDescent="0.25"/>
    <row r="50" spans="4:19" ht="20" customHeight="1" x14ac:dyDescent="0.25">
      <c r="D50" s="113" t="s">
        <v>153</v>
      </c>
    </row>
    <row r="51" spans="4:19" ht="20" customHeight="1" x14ac:dyDescent="0.25">
      <c r="D51" s="114" t="s">
        <v>224</v>
      </c>
    </row>
    <row r="52" spans="4:19" ht="20" customHeight="1" x14ac:dyDescent="0.25">
      <c r="D52" s="111" t="s">
        <v>155</v>
      </c>
      <c r="E52" s="111" t="s">
        <v>134</v>
      </c>
      <c r="F52" s="111" t="s">
        <v>135</v>
      </c>
      <c r="G52" s="111" t="s">
        <v>136</v>
      </c>
      <c r="H52" s="111" t="s">
        <v>192</v>
      </c>
    </row>
    <row r="53" spans="4:19" ht="20" customHeight="1" x14ac:dyDescent="0.25">
      <c r="D53" s="55" t="str">
        <f>INDEX(X_Table_Swine_Stage1MMS_AnaerobicLagoon,2,1)</f>
        <v>Anaerobic lagoon</v>
      </c>
      <c r="E53" s="50" cm="1">
        <f t="array" aca="1" ref="E53:H53" ca="1">OFFSET(X_Table_Swine_Stage1MMS_AnaerobicLagoon,1,1,1,4)</f>
        <v>0.15</v>
      </c>
      <c r="F53" s="50">
        <f ca="1"/>
        <v>0.15</v>
      </c>
      <c r="G53" s="50">
        <f ca="1"/>
        <v>0.15</v>
      </c>
      <c r="H53" s="50">
        <f ca="1"/>
        <v>0.15</v>
      </c>
      <c r="I53" s="2" t="str">
        <f>G47</f>
        <v>fraction</v>
      </c>
    </row>
    <row r="54" spans="4:19" ht="20" customHeight="1" x14ac:dyDescent="0.25">
      <c r="D54" s="55" t="str">
        <f>INDEX(X_Table_Swine_Stage1MMS_Drylot,2,1)</f>
        <v>Drylot (feed pad)</v>
      </c>
      <c r="E54" s="50" cm="1">
        <f t="array" aca="1" ref="E54:H54" ca="1">OFFSET(X_Table_Swine_Stage1MMS_Drylot,1,1,1,4)</f>
        <v>0.15</v>
      </c>
      <c r="F54" s="50">
        <f ca="1"/>
        <v>0.15</v>
      </c>
      <c r="G54" s="50">
        <f ca="1"/>
        <v>0.15</v>
      </c>
      <c r="H54" s="50">
        <f ca="1"/>
        <v>0.15</v>
      </c>
      <c r="I54" s="2"/>
    </row>
    <row r="55" spans="4:19" ht="20" customHeight="1" x14ac:dyDescent="0.25">
      <c r="D55" s="55" t="str">
        <f>INDEX(X_Table_Swine_Stage1MMS_DigesterCoveredLagoons,2,1)</f>
        <v>Digester / covered lagoons</v>
      </c>
      <c r="E55" s="50" cm="1">
        <f t="array" aca="1" ref="E55:H55" ca="1">OFFSET(X_Table_Swine_Stage1MMS_DigesterCoveredLagoons,1,1,1,4)</f>
        <v>0.15</v>
      </c>
      <c r="F55" s="50">
        <f ca="1"/>
        <v>0.15</v>
      </c>
      <c r="G55" s="50">
        <f ca="1"/>
        <v>0.15</v>
      </c>
      <c r="H55" s="50">
        <f ca="1"/>
        <v>0.15</v>
      </c>
      <c r="I55" s="2"/>
    </row>
    <row r="56" spans="4:19" ht="20" customHeight="1" x14ac:dyDescent="0.25">
      <c r="D56" s="55" t="str">
        <f>INDEX(X_Table_Swine_Stage1MMS_DeepLitter,2,1)</f>
        <v>Deep litter</v>
      </c>
      <c r="E56" s="50" cm="1">
        <f t="array" aca="1" ref="E56:H56" ca="1">OFFSET(X_Table_Swine_Stage1MMS_DeepLitter,1,1,1,4)</f>
        <v>0.15</v>
      </c>
      <c r="F56" s="50">
        <f ca="1"/>
        <v>0.15</v>
      </c>
      <c r="G56" s="50">
        <f ca="1"/>
        <v>0.15</v>
      </c>
      <c r="H56" s="50">
        <f ca="1"/>
        <v>0.15</v>
      </c>
      <c r="I56" s="2"/>
    </row>
    <row r="57" spans="4:19" ht="20" customHeight="1" x14ac:dyDescent="0.25">
      <c r="D57" s="55" t="str">
        <f>INDEX(X_Table_Swine_Stage1MMS_PitStorage,2,1)</f>
        <v>Pit storage</v>
      </c>
      <c r="E57" s="50" cm="1">
        <f t="array" aca="1" ref="E57:H57" ca="1">OFFSET(X_Table_Swine_Stage1MMS_PitStorage,1,1,1,4)</f>
        <v>0.15</v>
      </c>
      <c r="F57" s="50">
        <f ca="1"/>
        <v>0.15</v>
      </c>
      <c r="G57" s="50">
        <f ca="1"/>
        <v>0.15</v>
      </c>
      <c r="H57" s="50">
        <f ca="1"/>
        <v>0.15</v>
      </c>
      <c r="I57" s="2"/>
    </row>
    <row r="58" spans="4:19" ht="20" customHeight="1" x14ac:dyDescent="0.25"/>
    <row r="59" spans="4:19" ht="20" customHeight="1" x14ac:dyDescent="0.25">
      <c r="D59" s="113" t="s">
        <v>225</v>
      </c>
      <c r="N59" s="113" t="s">
        <v>252</v>
      </c>
    </row>
    <row r="60" spans="4:19" ht="20" customHeight="1" x14ac:dyDescent="0.25">
      <c r="D60" s="114" t="s">
        <v>226</v>
      </c>
      <c r="N60" s="114" t="s">
        <v>253</v>
      </c>
    </row>
    <row r="61" spans="4:19" ht="20" customHeight="1" x14ac:dyDescent="0.25">
      <c r="D61" s="111" t="s">
        <v>155</v>
      </c>
      <c r="E61" s="111" t="s">
        <v>134</v>
      </c>
      <c r="F61" s="111" t="s">
        <v>135</v>
      </c>
      <c r="G61" s="111" t="s">
        <v>136</v>
      </c>
      <c r="H61" s="111" t="s">
        <v>192</v>
      </c>
      <c r="N61" s="111" t="s">
        <v>155</v>
      </c>
      <c r="O61" s="111" t="s">
        <v>134</v>
      </c>
      <c r="P61" s="111" t="s">
        <v>135</v>
      </c>
      <c r="Q61" s="111" t="s">
        <v>136</v>
      </c>
      <c r="R61" s="111" t="s">
        <v>192</v>
      </c>
    </row>
    <row r="62" spans="4:19" ht="20" customHeight="1" x14ac:dyDescent="0.25">
      <c r="D62" s="55" t="str">
        <f>INDEX(X_Table_Swine_Stage1MMS_AnaerobicLagoon,2,1)</f>
        <v>Anaerobic lagoon</v>
      </c>
      <c r="E62" s="50">
        <f>X_Cell_Swine_Stage1MMS_AnaerobicLagoon_AmountSeparated_Method1</f>
        <v>0.2</v>
      </c>
      <c r="F62" s="50">
        <f>X_Cell_Swine_Stage1MMS_AnaerobicLagoon_AmountSeparated_Method1</f>
        <v>0.2</v>
      </c>
      <c r="G62" s="50">
        <f>X_Cell_Swine_Stage1MMS_AnaerobicLagoon_AmountSeparated_Method1</f>
        <v>0.2</v>
      </c>
      <c r="H62" s="50">
        <f>X_Cell_Swine_Stage1MMS_AnaerobicLagoon_AmountSeparated_Method1</f>
        <v>0.2</v>
      </c>
      <c r="I62" s="2" t="str">
        <f>G48</f>
        <v>fraction</v>
      </c>
      <c r="N62" s="55" t="str">
        <f>INDEX(X_Table_Swine_Stage1MMS_AnaerobicLagoon,2,1)</f>
        <v>Anaerobic lagoon</v>
      </c>
      <c r="O62" s="50">
        <f>X_Cell_Swine_Stage1MMS_AnaerobicLagoon_AmountSeparated_Method2</f>
        <v>0.2</v>
      </c>
      <c r="P62" s="50">
        <f>X_Cell_Swine_Stage1MMS_AnaerobicLagoon_AmountSeparated_Method2</f>
        <v>0.2</v>
      </c>
      <c r="Q62" s="50">
        <f>X_Cell_Swine_Stage1MMS_AnaerobicLagoon_AmountSeparated_Method2</f>
        <v>0.2</v>
      </c>
      <c r="R62" s="50">
        <f>X_Cell_Swine_Stage1MMS_AnaerobicLagoon_AmountSeparated_Method2</f>
        <v>0.2</v>
      </c>
      <c r="S62" s="2" t="str">
        <f>G48</f>
        <v>fraction</v>
      </c>
    </row>
    <row r="63" spans="4:19" ht="20" customHeight="1" x14ac:dyDescent="0.25">
      <c r="D63" s="55" t="str">
        <f>INDEX(X_Table_Swine_Stage1MMS_Drylot,2,1)</f>
        <v>Drylot (feed pad)</v>
      </c>
      <c r="E63" s="50">
        <f>X_Cell_Swine_Stage1MMS_Drylot_AmountSeparated_Method1</f>
        <v>0.2</v>
      </c>
      <c r="F63" s="50">
        <f>X_Cell_Swine_Stage1MMS_Drylot_AmountSeparated_Method1</f>
        <v>0.2</v>
      </c>
      <c r="G63" s="50">
        <f>X_Cell_Swine_Stage1MMS_Drylot_AmountSeparated_Method1</f>
        <v>0.2</v>
      </c>
      <c r="H63" s="50">
        <f>X_Cell_Swine_Stage1MMS_Drylot_AmountSeparated_Method1</f>
        <v>0.2</v>
      </c>
      <c r="I63" s="2"/>
      <c r="N63" s="55" t="str">
        <f>INDEX(X_Table_Swine_Stage1MMS_Drylot,2,1)</f>
        <v>Drylot (feed pad)</v>
      </c>
      <c r="O63" s="50">
        <f>X_Cell_Swine_Stage1MMS_Drylot_AmountSeparated_Method2</f>
        <v>0.2</v>
      </c>
      <c r="P63" s="50">
        <f>X_Cell_Swine_Stage1MMS_Drylot_AmountSeparated_Method2</f>
        <v>0.2</v>
      </c>
      <c r="Q63" s="50">
        <f>X_Cell_Swine_Stage1MMS_Drylot_AmountSeparated_Method2</f>
        <v>0.2</v>
      </c>
      <c r="R63" s="50">
        <f>X_Cell_Swine_Stage1MMS_Drylot_AmountSeparated_Method2</f>
        <v>0.2</v>
      </c>
      <c r="S63" s="2"/>
    </row>
    <row r="64" spans="4:19" ht="20" customHeight="1" x14ac:dyDescent="0.25">
      <c r="D64" s="55" t="str">
        <f>INDEX(X_Table_Swine_Stage1MMS_DigesterCoveredLagoons,2,1)</f>
        <v>Digester / covered lagoons</v>
      </c>
      <c r="E64" s="50">
        <f>X_Cell_Swine_Stage1MMS_DigesterCoveredLagoons_AmountSeparated_Method1</f>
        <v>0.2</v>
      </c>
      <c r="F64" s="50">
        <f>X_Cell_Swine_Stage1MMS_DigesterCoveredLagoons_AmountSeparated_Method1</f>
        <v>0.2</v>
      </c>
      <c r="G64" s="50">
        <f>X_Cell_Swine_Stage1MMS_DigesterCoveredLagoons_AmountSeparated_Method1</f>
        <v>0.2</v>
      </c>
      <c r="H64" s="50">
        <f>X_Cell_Swine_Stage1MMS_DigesterCoveredLagoons_AmountSeparated_Method1</f>
        <v>0.2</v>
      </c>
      <c r="I64" s="2"/>
      <c r="N64" s="55" t="str">
        <f>INDEX(X_Table_Swine_Stage1MMS_DigesterCoveredLagoons,2,1)</f>
        <v>Digester / covered lagoons</v>
      </c>
      <c r="O64" s="50">
        <f>X_Cell_Swine_Stage1MMS_DigesterCoveredLagoons_AmountSeparated_Method2</f>
        <v>0.2</v>
      </c>
      <c r="P64" s="50">
        <f>X_Cell_Swine_Stage1MMS_DigesterCoveredLagoons_AmountSeparated_Method2</f>
        <v>0.2</v>
      </c>
      <c r="Q64" s="50">
        <f>X_Cell_Swine_Stage1MMS_DigesterCoveredLagoons_AmountSeparated_Method2</f>
        <v>0.2</v>
      </c>
      <c r="R64" s="50">
        <f>X_Cell_Swine_Stage1MMS_DigesterCoveredLagoons_AmountSeparated_Method2</f>
        <v>0.2</v>
      </c>
      <c r="S64" s="2"/>
    </row>
    <row r="65" spans="3:21" ht="20" customHeight="1" x14ac:dyDescent="0.25">
      <c r="D65" s="55" t="str">
        <f>INDEX(X_Table_Swine_Stage1MMS_DeepLitter,2,1)</f>
        <v>Deep litter</v>
      </c>
      <c r="E65" s="50">
        <f>X_Cell_Swine_Stage1MMS_DeepLitter_AmountSeparated_Method1</f>
        <v>0.2</v>
      </c>
      <c r="F65" s="50">
        <f>X_Cell_Swine_Stage1MMS_DeepLitter_AmountSeparated_Method1</f>
        <v>0.2</v>
      </c>
      <c r="G65" s="50">
        <f>X_Cell_Swine_Stage1MMS_DeepLitter_AmountSeparated_Method1</f>
        <v>0.2</v>
      </c>
      <c r="H65" s="50">
        <f>X_Cell_Swine_Stage1MMS_DeepLitter_AmountSeparated_Method1</f>
        <v>0.2</v>
      </c>
      <c r="I65" s="2"/>
      <c r="N65" s="55" t="str">
        <f>INDEX(X_Table_Swine_Stage1MMS_DeepLitter,2,1)</f>
        <v>Deep litter</v>
      </c>
      <c r="O65" s="50">
        <f>X_Cell_Swine_Stage1MMS_DeepLitter_AmountSeparated_Method2</f>
        <v>0.2</v>
      </c>
      <c r="P65" s="50">
        <f>X_Cell_Swine_Stage1MMS_DeepLitter_AmountSeparated_Method2</f>
        <v>0.2</v>
      </c>
      <c r="Q65" s="50">
        <f>X_Cell_Swine_Stage1MMS_DeepLitter_AmountSeparated_Method2</f>
        <v>0.2</v>
      </c>
      <c r="R65" s="50">
        <f>X_Cell_Swine_Stage1MMS_DeepLitter_AmountSeparated_Method2</f>
        <v>0.2</v>
      </c>
      <c r="S65" s="2"/>
    </row>
    <row r="66" spans="3:21" ht="20" customHeight="1" x14ac:dyDescent="0.25">
      <c r="D66" s="55" t="str">
        <f>INDEX(X_Table_Swine_Stage1MMS_PitStorage,2,1)</f>
        <v>Pit storage</v>
      </c>
      <c r="E66" s="50">
        <f>X_Cell_Swine_Stage1MMS_PitStorage_AmountSeparated_Method1</f>
        <v>0.2</v>
      </c>
      <c r="F66" s="50">
        <f>X_Cell_Swine_Stage1MMS_PitStorage_AmountSeparated_Method1</f>
        <v>0.2</v>
      </c>
      <c r="G66" s="50">
        <f>X_Cell_Swine_Stage1MMS_PitStorage_AmountSeparated_Method1</f>
        <v>0.2</v>
      </c>
      <c r="H66" s="50">
        <f>X_Cell_Swine_Stage1MMS_PitStorage_AmountSeparated_Method1</f>
        <v>0.2</v>
      </c>
      <c r="I66" s="2"/>
      <c r="N66" s="55" t="str">
        <f>INDEX(X_Table_Swine_Stage1MMS_PitStorage,2,1)</f>
        <v>Pit storage</v>
      </c>
      <c r="O66" s="50">
        <f>X_Cell_Swine_Stage1MMS_PitStorage_AmountSeparated_Method2</f>
        <v>0.2</v>
      </c>
      <c r="P66" s="50">
        <f>X_Cell_Swine_Stage1MMS_PitStorage_AmountSeparated_Method2</f>
        <v>0.2</v>
      </c>
      <c r="Q66" s="50">
        <f>X_Cell_Swine_Stage1MMS_PitStorage_AmountSeparated_Method2</f>
        <v>0.2</v>
      </c>
      <c r="R66" s="50">
        <f>X_Cell_Swine_Stage1MMS_PitStorage_AmountSeparated_Method2</f>
        <v>0.2</v>
      </c>
      <c r="S66" s="2"/>
    </row>
    <row r="67" spans="3:21" ht="20" customHeight="1" x14ac:dyDescent="0.25"/>
    <row r="68" spans="3:21" ht="20" customHeight="1" x14ac:dyDescent="0.25">
      <c r="D68" s="113" t="s">
        <v>227</v>
      </c>
      <c r="N68" s="113" t="s">
        <v>258</v>
      </c>
    </row>
    <row r="69" spans="3:21" ht="20" customHeight="1" x14ac:dyDescent="0.25">
      <c r="D69" s="114" t="s">
        <v>232</v>
      </c>
      <c r="N69" s="114" t="s">
        <v>259</v>
      </c>
    </row>
    <row r="70" spans="3:21" ht="20" customHeight="1" x14ac:dyDescent="0.25">
      <c r="D70" s="49" t="s">
        <v>155</v>
      </c>
      <c r="E70" s="49" t="s">
        <v>134</v>
      </c>
      <c r="F70" s="49" t="s">
        <v>135</v>
      </c>
      <c r="G70" s="49" t="s">
        <v>136</v>
      </c>
      <c r="H70" s="49" t="s">
        <v>192</v>
      </c>
      <c r="N70" s="49" t="s">
        <v>155</v>
      </c>
      <c r="O70" s="49" t="s">
        <v>134</v>
      </c>
      <c r="P70" s="49" t="s">
        <v>135</v>
      </c>
      <c r="Q70" s="49" t="s">
        <v>136</v>
      </c>
      <c r="R70" s="49" t="s">
        <v>192</v>
      </c>
    </row>
    <row r="71" spans="3:21" ht="20" customHeight="1" x14ac:dyDescent="0.25">
      <c r="D71" s="55" t="str">
        <f>INDEX(X_Table_Swine_Stage1MMS_AnaerobicLagoon,2,1)</f>
        <v>Anaerobic lagoon</v>
      </c>
      <c r="E71" s="50" cm="1">
        <f t="array" aca="1" ref="E71" ca="1">MMS_Swine_N2ODirect_Equations.VEERG_4_5_1_3__3_FractionOfNitrogenInPrimaryMMS(E53,E62)</f>
        <v>0.12</v>
      </c>
      <c r="F71" s="50" cm="1">
        <f t="array" aca="1" ref="F71" ca="1">MMS_Swine_N2ODirect_Equations.VEERG_4_5_1_3__3_FractionOfNitrogenInPrimaryMMS(F53,F62)</f>
        <v>0.12</v>
      </c>
      <c r="G71" s="50" cm="1">
        <f t="array" aca="1" ref="G71" ca="1">MMS_Swine_N2ODirect_Equations.VEERG_4_5_1_3__3_FractionOfNitrogenInPrimaryMMS(G53,G62)</f>
        <v>0.12</v>
      </c>
      <c r="H71" s="50" cm="1">
        <f t="array" aca="1" ref="H71" ca="1">MMS_Swine_N2ODirect_Equations.VEERG_4_5_1_3__3_FractionOfNitrogenInPrimaryMMS(H53,H62)</f>
        <v>0.12</v>
      </c>
      <c r="I71" s="2" t="str">
        <f>$E$45</f>
        <v>fraction</v>
      </c>
      <c r="N71" s="55" t="str">
        <f>INDEX(X_Table_Swine_Stage1MMS_AnaerobicLagoon,2,1)</f>
        <v>Anaerobic lagoon</v>
      </c>
      <c r="O71" s="50" cm="1">
        <f t="array" aca="1" ref="O71" ca="1">MMS_Swine_N2ODirect_Equations.VEERG_4_5_1_3__3_FractionOfNitrogenInPrimaryMMS(E53,O62)</f>
        <v>0.12</v>
      </c>
      <c r="P71" s="50" cm="1">
        <f t="array" aca="1" ref="P71" ca="1">MMS_Swine_N2ODirect_Equations.VEERG_4_5_1_3__3_FractionOfNitrogenInPrimaryMMS(F53,P62)</f>
        <v>0.12</v>
      </c>
      <c r="Q71" s="50" cm="1">
        <f t="array" aca="1" ref="Q71" ca="1">MMS_Swine_N2ODirect_Equations.VEERG_4_5_1_3__3_FractionOfNitrogenInPrimaryMMS(G53,Q62)</f>
        <v>0.12</v>
      </c>
      <c r="R71" s="50" cm="1">
        <f t="array" aca="1" ref="R71" ca="1">MMS_Swine_N2ODirect_Equations.VEERG_4_5_1_3__3_FractionOfNitrogenInPrimaryMMS(H53,R62)</f>
        <v>0.12</v>
      </c>
      <c r="S71" s="2" t="str">
        <f>$E$45</f>
        <v>fraction</v>
      </c>
    </row>
    <row r="72" spans="3:21" ht="20" customHeight="1" x14ac:dyDescent="0.25">
      <c r="D72" s="55" t="str">
        <f>INDEX(X_Table_Swine_Stage1MMS_Drylot,2,1)</f>
        <v>Drylot (feed pad)</v>
      </c>
      <c r="E72" s="50" cm="1">
        <f t="array" aca="1" ref="E72" ca="1">MMS_Swine_N2ODirect_Equations.VEERG_4_5_1_3__3_FractionOfNitrogenInPrimaryMMS(E54,E63)</f>
        <v>0.12</v>
      </c>
      <c r="F72" s="50" cm="1">
        <f t="array" aca="1" ref="F72" ca="1">MMS_Swine_N2ODirect_Equations.VEERG_4_5_1_3__3_FractionOfNitrogenInPrimaryMMS(F54,F63)</f>
        <v>0.12</v>
      </c>
      <c r="G72" s="50" cm="1">
        <f t="array" aca="1" ref="G72" ca="1">MMS_Swine_N2ODirect_Equations.VEERG_4_5_1_3__3_FractionOfNitrogenInPrimaryMMS(G54,G63)</f>
        <v>0.12</v>
      </c>
      <c r="H72" s="50" cm="1">
        <f t="array" aca="1" ref="H72" ca="1">MMS_Swine_N2ODirect_Equations.VEERG_4_5_1_3__3_FractionOfNitrogenInPrimaryMMS(H54,H63)</f>
        <v>0.12</v>
      </c>
      <c r="I72" s="2"/>
      <c r="N72" s="55" t="str">
        <f>INDEX(X_Table_Swine_Stage1MMS_Drylot,2,1)</f>
        <v>Drylot (feed pad)</v>
      </c>
      <c r="O72" s="50" cm="1">
        <f t="array" aca="1" ref="O72" ca="1">MMS_Swine_N2ODirect_Equations.VEERG_4_5_1_3__3_FractionOfNitrogenInPrimaryMMS(E54,O63)</f>
        <v>0.12</v>
      </c>
      <c r="P72" s="50" cm="1">
        <f t="array" aca="1" ref="P72" ca="1">MMS_Swine_N2ODirect_Equations.VEERG_4_5_1_3__3_FractionOfNitrogenInPrimaryMMS(F54,P63)</f>
        <v>0.12</v>
      </c>
      <c r="Q72" s="50" cm="1">
        <f t="array" aca="1" ref="Q72" ca="1">MMS_Swine_N2ODirect_Equations.VEERG_4_5_1_3__3_FractionOfNitrogenInPrimaryMMS(G54,Q63)</f>
        <v>0.12</v>
      </c>
      <c r="R72" s="50" cm="1">
        <f t="array" aca="1" ref="R72" ca="1">MMS_Swine_N2ODirect_Equations.VEERG_4_5_1_3__3_FractionOfNitrogenInPrimaryMMS(H54,R63)</f>
        <v>0.12</v>
      </c>
      <c r="S72" s="2"/>
    </row>
    <row r="73" spans="3:21" ht="20" customHeight="1" x14ac:dyDescent="0.25">
      <c r="D73" s="55" t="str">
        <f>INDEX(X_Table_Swine_Stage1MMS_DigesterCoveredLagoons,2,1)</f>
        <v>Digester / covered lagoons</v>
      </c>
      <c r="E73" s="50" cm="1">
        <f t="array" aca="1" ref="E73" ca="1">MMS_Swine_N2ODirect_Equations.VEERG_4_5_1_3__3_FractionOfNitrogenInPrimaryMMS(E55,E64)</f>
        <v>0.12</v>
      </c>
      <c r="F73" s="50" cm="1">
        <f t="array" aca="1" ref="F73" ca="1">MMS_Swine_N2ODirect_Equations.VEERG_4_5_1_3__3_FractionOfNitrogenInPrimaryMMS(F55,F64)</f>
        <v>0.12</v>
      </c>
      <c r="G73" s="50" cm="1">
        <f t="array" aca="1" ref="G73" ca="1">MMS_Swine_N2ODirect_Equations.VEERG_4_5_1_3__3_FractionOfNitrogenInPrimaryMMS(G55,G64)</f>
        <v>0.12</v>
      </c>
      <c r="H73" s="50" cm="1">
        <f t="array" aca="1" ref="H73" ca="1">MMS_Swine_N2ODirect_Equations.VEERG_4_5_1_3__3_FractionOfNitrogenInPrimaryMMS(H55,H64)</f>
        <v>0.12</v>
      </c>
      <c r="I73" s="2"/>
      <c r="N73" s="55" t="str">
        <f>INDEX(X_Table_Swine_Stage1MMS_DigesterCoveredLagoons,2,1)</f>
        <v>Digester / covered lagoons</v>
      </c>
      <c r="O73" s="50" cm="1">
        <f t="array" aca="1" ref="O73" ca="1">MMS_Swine_N2ODirect_Equations.VEERG_4_5_1_3__3_FractionOfNitrogenInPrimaryMMS(E55,O64)</f>
        <v>0.12</v>
      </c>
      <c r="P73" s="50" cm="1">
        <f t="array" aca="1" ref="P73" ca="1">MMS_Swine_N2ODirect_Equations.VEERG_4_5_1_3__3_FractionOfNitrogenInPrimaryMMS(F55,P64)</f>
        <v>0.12</v>
      </c>
      <c r="Q73" s="50" cm="1">
        <f t="array" aca="1" ref="Q73" ca="1">MMS_Swine_N2ODirect_Equations.VEERG_4_5_1_3__3_FractionOfNitrogenInPrimaryMMS(G55,Q64)</f>
        <v>0.12</v>
      </c>
      <c r="R73" s="50" cm="1">
        <f t="array" aca="1" ref="R73" ca="1">MMS_Swine_N2ODirect_Equations.VEERG_4_5_1_3__3_FractionOfNitrogenInPrimaryMMS(H55,R64)</f>
        <v>0.12</v>
      </c>
      <c r="S73" s="2"/>
    </row>
    <row r="74" spans="3:21" ht="20" customHeight="1" x14ac:dyDescent="0.25">
      <c r="D74" s="55" t="str">
        <f>INDEX(X_Table_Swine_Stage1MMS_DeepLitter,2,1)</f>
        <v>Deep litter</v>
      </c>
      <c r="E74" s="50" cm="1">
        <f t="array" aca="1" ref="E74" ca="1">MMS_Swine_N2ODirect_Equations.VEERG_4_5_1_3__3_FractionOfNitrogenInPrimaryMMS(E56,E65)</f>
        <v>0.12</v>
      </c>
      <c r="F74" s="50" cm="1">
        <f t="array" aca="1" ref="F74" ca="1">MMS_Swine_N2ODirect_Equations.VEERG_4_5_1_3__3_FractionOfNitrogenInPrimaryMMS(F56,F65)</f>
        <v>0.12</v>
      </c>
      <c r="G74" s="50" cm="1">
        <f t="array" aca="1" ref="G74" ca="1">MMS_Swine_N2ODirect_Equations.VEERG_4_5_1_3__3_FractionOfNitrogenInPrimaryMMS(G56,G65)</f>
        <v>0.12</v>
      </c>
      <c r="H74" s="50" cm="1">
        <f t="array" aca="1" ref="H74" ca="1">MMS_Swine_N2ODirect_Equations.VEERG_4_5_1_3__3_FractionOfNitrogenInPrimaryMMS(H56,H65)</f>
        <v>0.12</v>
      </c>
      <c r="I74" s="2"/>
      <c r="N74" s="55" t="str">
        <f>INDEX(X_Table_Swine_Stage1MMS_DeepLitter,2,1)</f>
        <v>Deep litter</v>
      </c>
      <c r="O74" s="50" cm="1">
        <f t="array" aca="1" ref="O74" ca="1">MMS_Swine_N2ODirect_Equations.VEERG_4_5_1_3__3_FractionOfNitrogenInPrimaryMMS(E56,O65)</f>
        <v>0.12</v>
      </c>
      <c r="P74" s="50" cm="1">
        <f t="array" aca="1" ref="P74" ca="1">MMS_Swine_N2ODirect_Equations.VEERG_4_5_1_3__3_FractionOfNitrogenInPrimaryMMS(F56,P65)</f>
        <v>0.12</v>
      </c>
      <c r="Q74" s="50" cm="1">
        <f t="array" aca="1" ref="Q74" ca="1">MMS_Swine_N2ODirect_Equations.VEERG_4_5_1_3__3_FractionOfNitrogenInPrimaryMMS(G56,Q65)</f>
        <v>0.12</v>
      </c>
      <c r="R74" s="50" cm="1">
        <f t="array" aca="1" ref="R74" ca="1">MMS_Swine_N2ODirect_Equations.VEERG_4_5_1_3__3_FractionOfNitrogenInPrimaryMMS(H56,R65)</f>
        <v>0.12</v>
      </c>
      <c r="S74" s="2"/>
    </row>
    <row r="75" spans="3:21" ht="20" customHeight="1" x14ac:dyDescent="0.25">
      <c r="D75" s="55" t="str">
        <f>INDEX(X_Table_Swine_Stage1MMS_PitStorage,2,1)</f>
        <v>Pit storage</v>
      </c>
      <c r="E75" s="50" cm="1">
        <f t="array" aca="1" ref="E75" ca="1">MMS_Swine_N2ODirect_Equations.VEERG_4_5_1_3__3_FractionOfNitrogenInPrimaryMMS(E57,E66)</f>
        <v>0.12</v>
      </c>
      <c r="F75" s="50" cm="1">
        <f t="array" aca="1" ref="F75" ca="1">MMS_Swine_N2ODirect_Equations.VEERG_4_5_1_3__3_FractionOfNitrogenInPrimaryMMS(F57,F66)</f>
        <v>0.12</v>
      </c>
      <c r="G75" s="50" cm="1">
        <f t="array" aca="1" ref="G75" ca="1">MMS_Swine_N2ODirect_Equations.VEERG_4_5_1_3__3_FractionOfNitrogenInPrimaryMMS(G57,G66)</f>
        <v>0.12</v>
      </c>
      <c r="H75" s="50" cm="1">
        <f t="array" aca="1" ref="H75" ca="1">MMS_Swine_N2ODirect_Equations.VEERG_4_5_1_3__3_FractionOfNitrogenInPrimaryMMS(H57,H66)</f>
        <v>0.12</v>
      </c>
      <c r="I75" s="2"/>
      <c r="N75" s="55" t="str">
        <f>INDEX(X_Table_Swine_Stage1MMS_PitStorage,2,1)</f>
        <v>Pit storage</v>
      </c>
      <c r="O75" s="50" cm="1">
        <f t="array" aca="1" ref="O75" ca="1">MMS_Swine_N2ODirect_Equations.VEERG_4_5_1_3__3_FractionOfNitrogenInPrimaryMMS(E57,O66)</f>
        <v>0.12</v>
      </c>
      <c r="P75" s="50" cm="1">
        <f t="array" aca="1" ref="P75" ca="1">MMS_Swine_N2ODirect_Equations.VEERG_4_5_1_3__3_FractionOfNitrogenInPrimaryMMS(F57,P66)</f>
        <v>0.12</v>
      </c>
      <c r="Q75" s="50" cm="1">
        <f t="array" aca="1" ref="Q75" ca="1">MMS_Swine_N2ODirect_Equations.VEERG_4_5_1_3__3_FractionOfNitrogenInPrimaryMMS(G57,Q66)</f>
        <v>0.12</v>
      </c>
      <c r="R75" s="50" cm="1">
        <f t="array" aca="1" ref="R75" ca="1">MMS_Swine_N2ODirect_Equations.VEERG_4_5_1_3__3_FractionOfNitrogenInPrimaryMMS(H57,R66)</f>
        <v>0.12</v>
      </c>
      <c r="S75" s="2"/>
    </row>
    <row r="76" spans="3:21" ht="20" customHeight="1" x14ac:dyDescent="0.25"/>
    <row r="77" spans="3:21" ht="20" customHeight="1" x14ac:dyDescent="0.25"/>
    <row r="78" spans="3:21" ht="20" customHeight="1" x14ac:dyDescent="0.25">
      <c r="C78" s="43"/>
      <c r="D78" s="43"/>
      <c r="E78" s="43"/>
      <c r="F78" s="43"/>
      <c r="G78" s="43"/>
      <c r="H78" s="43"/>
      <c r="I78" s="43"/>
      <c r="J78" s="43"/>
      <c r="K78" s="43"/>
      <c r="M78" s="43"/>
      <c r="N78" s="43"/>
      <c r="O78" s="43"/>
      <c r="P78" s="43"/>
      <c r="Q78" s="43"/>
      <c r="R78" s="43"/>
      <c r="S78" s="43"/>
      <c r="T78" s="43"/>
      <c r="U78" s="43"/>
    </row>
    <row r="79" spans="3:21" ht="20" customHeight="1" x14ac:dyDescent="0.25">
      <c r="D79" s="6" t="str" cm="1">
        <f t="array" ref="D79">MMS_Swine_N2ODirect_Equations.VEERG_4_5_1_3__4_FractionOfNitrogenInSolidStorage_Title()</f>
        <v>Fraction of nitrogen in solid storage</v>
      </c>
    </row>
    <row r="80" spans="3:21" ht="20" customHeight="1" x14ac:dyDescent="0.25">
      <c r="D80" s="5" t="str" cm="1">
        <f t="array" ref="D80">MMS_Swine_N2ODirect_Equations.VEERG_4_5_1_3__4_FractionOfNitrogenInSolidStorage_Source()</f>
        <v>VEERG 2026: 4.5.1.3, Equation (4)</v>
      </c>
    </row>
    <row r="81" spans="4:9" ht="20" customHeight="1" x14ac:dyDescent="0.25">
      <c r="D81" s="53" t="str" cm="1">
        <f t="array" ref="D81">MMS_Swine_N2ODirect_Equations.VEERG_4_5_1_3__4_FractionOfNitrogenInSolidStorage_Variation()</f>
        <v>VARIATION ON SOURCE: Split equation for MMSm=1,7,9 into separate items to allow for calculation</v>
      </c>
    </row>
    <row r="82" spans="4:9" ht="20" customHeight="1" x14ac:dyDescent="0.25">
      <c r="D82" s="13" t="s">
        <v>23</v>
      </c>
      <c r="E82" s="13" t="str" cm="1">
        <f t="array" aca="1" ref="E82" ca="1">Common_InputFunctions.Utility_DisplayFunctionName($E$100)</f>
        <v>=MMS_Swine_N2ODirect_Equations.VEERG_4_5_1_3__4_FractionOfNitrogenInSolidStorageVariation</v>
      </c>
    </row>
    <row r="83" spans="4:9" ht="20" customHeight="1" x14ac:dyDescent="0.25">
      <c r="D83" s="53"/>
    </row>
    <row r="84" spans="4:9" ht="20" customHeight="1" x14ac:dyDescent="0.25"/>
    <row r="85" spans="4:9" ht="20" customHeight="1" x14ac:dyDescent="0.25">
      <c r="D85" s="51" t="s">
        <v>26</v>
      </c>
      <c r="E85" s="1" t="str" cm="1">
        <f t="array" ref="E85">MMS_Swine_N2ODirect_Equations.VEERG_4_5_1_3__4_FractionOfNitrogenInSolidStorage_Variable()</f>
        <v>FN_jm4T1</v>
      </c>
    </row>
    <row r="86" spans="4:9" ht="20" customHeight="1" x14ac:dyDescent="0.25">
      <c r="D86" s="51" t="s">
        <v>16</v>
      </c>
      <c r="E86" s="52" t="str" cm="1">
        <f t="array" ref="E86">MMS_Swine_N2ODirect_Equations.VEERG_4_5_1_3__4_FractionOfNitrogenInSolidStorage_Unit()</f>
        <v>fraction</v>
      </c>
    </row>
    <row r="87" spans="4:9" ht="20" customHeight="1" x14ac:dyDescent="0.25"/>
    <row r="88" spans="4:9" ht="20" customHeight="1" x14ac:dyDescent="0.25">
      <c r="D88" s="132" t="str" cm="1">
        <f t="array" ref="D88:E90">Common_InputFunctions.Utility_DisplayArguments_1_2(MMS_Swine_N2ODirect_Equations.VEERG_4_5_1_3__4_FractionOfNitrogenInSolidStorage_Arguments())</f>
        <v>MMS_jm4T1</v>
      </c>
      <c r="E88" s="132" t="str">
        <v>fraction of manure in solid storage MMS</v>
      </c>
      <c r="F88" s="132"/>
      <c r="G88" s="132" t="str" cm="1">
        <f t="array" ref="G88:H90">Common_InputFunctions.Utility_DisplayArguments_3_4(MMS_Swine_N2ODirect_Equations.VEERG_4_5_1_3__4_FractionOfNitrogenInSolidStorage_Arguments())</f>
        <v>fraction</v>
      </c>
      <c r="H88" s="128" t="str">
        <v>Input</v>
      </c>
      <c r="I88" s="131" t="str" cm="1">
        <f t="array" aca="1" ref="I88" ca="1">HYPERLINK(Common_InputFunctions.Utility_SourceHyperlink($D$92), $D$92)</f>
        <v>Table_MMS_j_m-4_T-1</v>
      </c>
    </row>
    <row r="89" spans="4:9" ht="20" customHeight="1" x14ac:dyDescent="0.25">
      <c r="D89" s="132" t="str">
        <v>MMS_jm179T1</v>
      </c>
      <c r="E89" s="132" t="str">
        <v>fraction of manure in primary liquid systems (m=1,7,9)</v>
      </c>
      <c r="F89" s="132"/>
      <c r="G89" s="132" t="str">
        <v>fraction</v>
      </c>
      <c r="H89" s="128" t="str">
        <v>Input</v>
      </c>
      <c r="I89" s="131" t="str" cm="1">
        <f t="array" aca="1" ref="I89" ca="1">HYPERLINK(Common_InputFunctions.Utility_SourceHyperlink($D$50), $D$50)</f>
        <v>Table_MMS_j_m-1-7-9-8_T-1</v>
      </c>
    </row>
    <row r="90" spans="4:9" ht="20" customHeight="1" x14ac:dyDescent="0.25">
      <c r="D90" s="132" t="str">
        <v>SN_m</v>
      </c>
      <c r="E90" s="132" t="str">
        <v>fraction of nitrogen separated to solid storage for each MMS</v>
      </c>
      <c r="F90" s="132"/>
      <c r="G90" s="132" t="str">
        <v>fraction</v>
      </c>
      <c r="H90" s="128" t="str">
        <v>Input</v>
      </c>
      <c r="I90" s="131" t="str" cm="1">
        <f t="array" aca="1" ref="I90" ca="1">HYPERLINK(Common_InputFunctions.Utility_SourceHyperlink($D$59), $D$59)</f>
        <v>M1_Table_SN_m-1-7-9</v>
      </c>
    </row>
    <row r="91" spans="4:9" ht="20" customHeight="1" x14ac:dyDescent="0.25"/>
    <row r="92" spans="4:9" ht="20" customHeight="1" x14ac:dyDescent="0.25">
      <c r="D92" s="113" t="s">
        <v>156</v>
      </c>
    </row>
    <row r="93" spans="4:9" ht="20" customHeight="1" x14ac:dyDescent="0.25">
      <c r="D93" s="114" t="s">
        <v>157</v>
      </c>
    </row>
    <row r="94" spans="4:9" ht="20" customHeight="1" x14ac:dyDescent="0.25">
      <c r="D94" s="111" t="s">
        <v>155</v>
      </c>
      <c r="E94" s="111" t="s">
        <v>134</v>
      </c>
      <c r="F94" s="111" t="s">
        <v>135</v>
      </c>
      <c r="G94" s="111" t="s">
        <v>136</v>
      </c>
      <c r="H94" s="111" t="s">
        <v>192</v>
      </c>
    </row>
    <row r="95" spans="4:9" ht="20" customHeight="1" x14ac:dyDescent="0.25">
      <c r="D95" s="55" t="str">
        <f>INDEX(X_Table_Swine_Stage1MMS_SolidStorage,2,1)</f>
        <v>Solid storage (before solid separation)</v>
      </c>
      <c r="E95" s="50" cm="1">
        <f t="array" aca="1" ref="E95:H95" ca="1">OFFSET(X_Table_Swine_Stage1MMS_SolidStorage,1,1,1,4)</f>
        <v>0.25</v>
      </c>
      <c r="F95" s="50">
        <f ca="1"/>
        <v>0.25</v>
      </c>
      <c r="G95" s="50">
        <f ca="1"/>
        <v>0.25</v>
      </c>
      <c r="H95" s="50">
        <f ca="1"/>
        <v>0.25</v>
      </c>
      <c r="I95" s="2" t="s">
        <v>114</v>
      </c>
    </row>
    <row r="96" spans="4:9" ht="20" customHeight="1" x14ac:dyDescent="0.25"/>
    <row r="97" spans="3:21" ht="20" customHeight="1" x14ac:dyDescent="0.25">
      <c r="D97" s="113" t="s">
        <v>182</v>
      </c>
      <c r="N97" s="113" t="s">
        <v>196</v>
      </c>
    </row>
    <row r="98" spans="3:21" ht="20" customHeight="1" x14ac:dyDescent="0.25">
      <c r="D98" s="114" t="s">
        <v>183</v>
      </c>
      <c r="N98" s="114" t="s">
        <v>197</v>
      </c>
    </row>
    <row r="99" spans="3:21" ht="20" customHeight="1" x14ac:dyDescent="0.25">
      <c r="D99" s="49" t="s">
        <v>155</v>
      </c>
      <c r="E99" s="49" t="s">
        <v>134</v>
      </c>
      <c r="F99" s="49" t="s">
        <v>135</v>
      </c>
      <c r="G99" s="49" t="s">
        <v>136</v>
      </c>
      <c r="H99" s="49" t="s">
        <v>192</v>
      </c>
      <c r="N99" s="49" t="s">
        <v>155</v>
      </c>
      <c r="O99" s="49" t="s">
        <v>134</v>
      </c>
      <c r="P99" s="49" t="s">
        <v>135</v>
      </c>
      <c r="Q99" s="49" t="s">
        <v>136</v>
      </c>
      <c r="R99" s="49" t="s">
        <v>192</v>
      </c>
    </row>
    <row r="100" spans="3:21" ht="20" customHeight="1" x14ac:dyDescent="0.25">
      <c r="D100" s="55" t="s">
        <v>343</v>
      </c>
      <c r="E100" s="50" cm="1">
        <f t="array" aca="1" ref="E100" ca="1">MMS_Swine_N2ODirect_Equations.VEERG_4_5_1_3__4_FractionOfNitrogenInSolidStorageVariation(E95,E53,E54,E55,E56,E57,E62,E63,E64,E65,E66)</f>
        <v>0.40000000000000013</v>
      </c>
      <c r="F100" s="50" cm="1">
        <f t="array" aca="1" ref="F100" ca="1">MMS_Swine_N2ODirect_Equations.VEERG_4_5_1_3__4_FractionOfNitrogenInSolidStorageVariation(F95,F53,F54,F55,F56,F57,F62,F63,F64,F65,F66)</f>
        <v>0.40000000000000013</v>
      </c>
      <c r="G100" s="50" cm="1">
        <f t="array" aca="1" ref="G100" ca="1">MMS_Swine_N2ODirect_Equations.VEERG_4_5_1_3__4_FractionOfNitrogenInSolidStorageVariation(G95,G53,G54,G55,G56,G57,G62,G63,G64,G65,G66)</f>
        <v>0.40000000000000013</v>
      </c>
      <c r="H100" s="50" cm="1">
        <f t="array" aca="1" ref="H100" ca="1">MMS_Swine_N2ODirect_Equations.VEERG_4_5_1_3__4_FractionOfNitrogenInSolidStorageVariation(H95,H53,H54,H55,H56,H57,H62,H63,H64,H65,H66)</f>
        <v>0.40000000000000013</v>
      </c>
      <c r="I100" s="2" t="str">
        <f>$E$86</f>
        <v>fraction</v>
      </c>
      <c r="N100" s="55" t="s">
        <v>343</v>
      </c>
      <c r="O100" s="50" cm="1">
        <f t="array" aca="1" ref="O100" ca="1">MMS_Swine_N2ODirect_Equations.VEERG_4_5_1_3__4_FractionOfNitrogenInSolidStorageVariation(E95,E53,E54,E55,E56,E57,O62,O63,O64,O65,O66)</f>
        <v>0.40000000000000013</v>
      </c>
      <c r="P100" s="50" cm="1">
        <f t="array" aca="1" ref="P100" ca="1">MMS_Swine_N2ODirect_Equations.VEERG_4_5_1_3__4_FractionOfNitrogenInSolidStorageVariation(F95,F53,F54,F55,F56,F57,P62,P63,P64,P65,P66)</f>
        <v>0.40000000000000013</v>
      </c>
      <c r="Q100" s="50" cm="1">
        <f t="array" aca="1" ref="Q100" ca="1">MMS_Swine_N2ODirect_Equations.VEERG_4_5_1_3__4_FractionOfNitrogenInSolidStorageVariation(G95,G53,G54,G55,G56,G57,Q62,Q63,Q64,Q65,Q66)</f>
        <v>0.40000000000000013</v>
      </c>
      <c r="R100" s="50" cm="1">
        <f t="array" aca="1" ref="R100" ca="1">MMS_Swine_N2ODirect_Equations.VEERG_4_5_1_3__4_FractionOfNitrogenInSolidStorageVariation(H95,H53,H54,H55,H56,H57,R62,R63,R64,R65,R66)</f>
        <v>0.40000000000000013</v>
      </c>
      <c r="S100" s="2" t="str">
        <f>$E$86</f>
        <v>fraction</v>
      </c>
    </row>
    <row r="101" spans="3:21" ht="20" customHeight="1" x14ac:dyDescent="0.25"/>
    <row r="102" spans="3:21" ht="20" customHeight="1" x14ac:dyDescent="0.25"/>
    <row r="103" spans="3:21" ht="20" customHeight="1" x14ac:dyDescent="0.25">
      <c r="C103" s="43"/>
      <c r="D103" s="43"/>
      <c r="E103" s="43"/>
      <c r="F103" s="43"/>
      <c r="G103" s="43"/>
      <c r="H103" s="43"/>
      <c r="I103" s="43"/>
      <c r="J103" s="43"/>
      <c r="K103" s="43"/>
      <c r="M103" s="43"/>
      <c r="N103" s="43"/>
      <c r="O103" s="43"/>
      <c r="P103" s="43"/>
      <c r="Q103" s="43"/>
      <c r="R103" s="43"/>
      <c r="S103" s="43"/>
      <c r="T103" s="43"/>
      <c r="U103" s="43"/>
    </row>
    <row r="104" spans="3:21" ht="20" customHeight="1" x14ac:dyDescent="0.25">
      <c r="D104" s="6" t="str" cm="1">
        <f t="array" ref="D104">MMS_Swine_N2ODirect_Equations.VEERG_4_5_1_3__2_Stage1NitrogenInMMS_Title()</f>
        <v>Nitrogen in treatment stage 1 MMS</v>
      </c>
    </row>
    <row r="105" spans="3:21" ht="20" customHeight="1" x14ac:dyDescent="0.25">
      <c r="D105" s="5" t="str" cm="1">
        <f t="array" ref="D105">MMS_Swine_N2ODirect_Equations.VEERG_4_5_1_3__2_Stage1NitrogenInMMS_Source()</f>
        <v>VEERG 2026: 4.5.1.3, Equation (2)</v>
      </c>
    </row>
    <row r="106" spans="3:21" ht="20" customHeight="1" x14ac:dyDescent="0.25">
      <c r="D106" s="13" t="s">
        <v>23</v>
      </c>
      <c r="E106" s="13" t="str" cm="1">
        <f t="array" aca="1" ref="E106" ca="1">Common_InputFunctions.Utility_DisplayFunctionName(E118)</f>
        <v>=MMS_Swine_N2ODirect_Equations.VEERG_4_5_1_3__2_Stage1NitrogenInMMS</v>
      </c>
    </row>
    <row r="107" spans="3:21" ht="20" customHeight="1" x14ac:dyDescent="0.25"/>
    <row r="108" spans="3:21" ht="20" customHeight="1" x14ac:dyDescent="0.25"/>
    <row r="109" spans="3:21" ht="20" customHeight="1" x14ac:dyDescent="0.25">
      <c r="D109" s="51" t="s">
        <v>26</v>
      </c>
      <c r="E109" s="1" t="str" cm="1">
        <f t="array" ref="E109">MMS_Swine_N2ODirect_Equations.VEERG_4_5_1_3__2_Stage1NitrogenInMMS_Variable()</f>
        <v>MN_jmT1</v>
      </c>
    </row>
    <row r="110" spans="3:21" ht="20" customHeight="1" x14ac:dyDescent="0.25">
      <c r="D110" s="51" t="s">
        <v>16</v>
      </c>
      <c r="E110" s="52" t="str" cm="1">
        <f t="array" ref="E110">MMS_Swine_N2ODirect_Equations.VEERG_4_5_1_3__2_Stage1NitrogenInMMS_Unit()</f>
        <v>kg N</v>
      </c>
    </row>
    <row r="111" spans="3:21" ht="20" customHeight="1" x14ac:dyDescent="0.25"/>
    <row r="112" spans="3:21" ht="20" customHeight="1" x14ac:dyDescent="0.25">
      <c r="D112" s="55" t="str" cm="1">
        <f t="array" ref="D112:E113">Common_InputFunctions.Utility_DisplayArguments_1_2(MMS_Swine_N2ODirect_Equations.VEERG_4_5_1_3__2_Stage1NitrogenInMMS_Arguments())</f>
        <v>AE_j</v>
      </c>
      <c r="E112" s="56" t="str">
        <v>total nitrogen excreted by each swine class</v>
      </c>
      <c r="F112" s="57"/>
      <c r="G112" s="132" t="str" cm="1">
        <f t="array" ref="G112:H113">Common_InputFunctions.Utility_DisplayArguments_3_4(MMS_Swine_N2ODirect_Equations.VEERG_4_5_1_3__2_Stage1NitrogenInMMS_Arguments())</f>
        <v>kg N</v>
      </c>
      <c r="H112" s="127" t="str">
        <v>Calculated from 4.5.1.3 (5)</v>
      </c>
      <c r="I112" s="131" t="str" cm="1">
        <f t="array" aca="1" ref="I112" ca="1">HYPERLINK(Common_InputFunctions.Utility_SourceHyperlink(D32), D32)</f>
        <v>M1_Table_AE_j</v>
      </c>
      <c r="J112" s="131"/>
    </row>
    <row r="113" spans="3:21" ht="20" customHeight="1" x14ac:dyDescent="0.25">
      <c r="D113" s="55" t="str">
        <v>FN_jmT1</v>
      </c>
      <c r="E113" s="56" t="str">
        <v>fraction of nitrogen in each primary MMS system</v>
      </c>
      <c r="F113" s="57"/>
      <c r="G113" s="132" t="str">
        <v>fraction</v>
      </c>
      <c r="H113" s="127" t="str">
        <v>Calculated from 4.5.1.3 (3)(4)</v>
      </c>
      <c r="I113" s="131" t="str" cm="1">
        <f t="array" aca="1" ref="I113" ca="1">HYPERLINK(Common_InputFunctions.Utility_SourceHyperlink(D68), D68)</f>
        <v>M1_Table_FN_j_m_T-1</v>
      </c>
      <c r="J113" s="131" t="str" cm="1">
        <f t="array" aca="1" ref="J113" ca="1">HYPERLINK(Common_InputFunctions.Utility_SourceHyperlink(D97), D97)</f>
        <v>M1_Table_FVS_j_m-4_T-1</v>
      </c>
    </row>
    <row r="114" spans="3:21" ht="20" customHeight="1" x14ac:dyDescent="0.25"/>
    <row r="115" spans="3:21" ht="20" customHeight="1" x14ac:dyDescent="0.25">
      <c r="D115" s="113" t="s">
        <v>233</v>
      </c>
      <c r="N115" s="113" t="s">
        <v>254</v>
      </c>
    </row>
    <row r="116" spans="3:21" ht="20" customHeight="1" x14ac:dyDescent="0.25">
      <c r="D116" s="114" t="s">
        <v>234</v>
      </c>
      <c r="N116" s="114" t="s">
        <v>255</v>
      </c>
    </row>
    <row r="117" spans="3:21" ht="20" customHeight="1" x14ac:dyDescent="0.25">
      <c r="D117" s="49" t="s">
        <v>155</v>
      </c>
      <c r="E117" s="49" t="s">
        <v>134</v>
      </c>
      <c r="F117" s="49" t="s">
        <v>135</v>
      </c>
      <c r="G117" s="49" t="s">
        <v>136</v>
      </c>
      <c r="H117" s="49" t="s">
        <v>192</v>
      </c>
      <c r="N117" s="49" t="s">
        <v>155</v>
      </c>
      <c r="O117" s="49" t="s">
        <v>134</v>
      </c>
      <c r="P117" s="49" t="s">
        <v>135</v>
      </c>
      <c r="Q117" s="49" t="s">
        <v>136</v>
      </c>
      <c r="R117" s="49" t="s">
        <v>192</v>
      </c>
    </row>
    <row r="118" spans="3:21" ht="20" customHeight="1" x14ac:dyDescent="0.25">
      <c r="D118" s="55" t="str">
        <f>INDEX(X_Table_Swine_Stage1MMS_AnaerobicLagoon,2,1)</f>
        <v>Anaerobic lagoon</v>
      </c>
      <c r="E118" s="50" cm="1">
        <f t="array" aca="1" ref="E118" ca="1">MMS_Swine_N2ODirect_Equations.VEERG_4_5_1_3__2_Stage1NitrogenInMMS(D$35,E71)</f>
        <v>201.47999999999996</v>
      </c>
      <c r="F118" s="50" cm="1">
        <f t="array" aca="1" ref="F118" ca="1">MMS_Swine_N2ODirect_Equations.VEERG_4_5_1_3__2_Stage1NitrogenInMMS(E$35,F71)</f>
        <v>214.62000000000003</v>
      </c>
      <c r="G118" s="50" cm="1">
        <f t="array" aca="1" ref="G118" ca="1">MMS_Swine_N2ODirect_Equations.VEERG_4_5_1_3__2_Stage1NitrogenInMMS(F$35,G71)</f>
        <v>201.47999999999996</v>
      </c>
      <c r="H118" s="50" cm="1">
        <f t="array" aca="1" ref="H118" ca="1">MMS_Swine_N2ODirect_Equations.VEERG_4_5_1_3__2_Stage1NitrogenInMMS(G$35,H71)</f>
        <v>136.65599999999998</v>
      </c>
      <c r="I118" s="2" t="str">
        <f t="shared" ref="I118" si="0">$E$110</f>
        <v>kg N</v>
      </c>
      <c r="N118" s="55" t="str">
        <f>INDEX(X_Table_Swine_Stage1MMS_AnaerobicLagoon,2,1)</f>
        <v>Anaerobic lagoon</v>
      </c>
      <c r="O118" s="50" cm="1">
        <f t="array" aca="1" ref="O118" ca="1">MMS_Swine_N2ODirect_Equations.VEERG_4_5_1_3__2_Stage1NitrogenInMMS(N$35,O71)</f>
        <v>201.47999999999996</v>
      </c>
      <c r="P118" s="50" cm="1">
        <f t="array" aca="1" ref="P118" ca="1">MMS_Swine_N2ODirect_Equations.VEERG_4_5_1_3__2_Stage1NitrogenInMMS(O$35,P71)</f>
        <v>214.62000000000003</v>
      </c>
      <c r="Q118" s="50" cm="1">
        <f t="array" aca="1" ref="Q118" ca="1">MMS_Swine_N2ODirect_Equations.VEERG_4_5_1_3__2_Stage1NitrogenInMMS(P$35,Q71)</f>
        <v>201.47999999999996</v>
      </c>
      <c r="R118" s="50" cm="1">
        <f t="array" aca="1" ref="R118" ca="1">MMS_Swine_N2ODirect_Equations.VEERG_4_5_1_3__2_Stage1NitrogenInMMS(Q$35,R71)</f>
        <v>136.65599999999998</v>
      </c>
      <c r="S118" s="2" t="str">
        <f t="shared" ref="S118" si="1">$E$110</f>
        <v>kg N</v>
      </c>
    </row>
    <row r="119" spans="3:21" ht="20" customHeight="1" x14ac:dyDescent="0.25">
      <c r="D119" s="55" t="str">
        <f>INDEX(X_Table_Swine_Stage1MMS_Drylot,2,1)</f>
        <v>Drylot (feed pad)</v>
      </c>
      <c r="E119" s="50" cm="1">
        <f t="array" aca="1" ref="E119" ca="1">MMS_Swine_N2ODirect_Equations.VEERG_4_5_1_3__2_Stage1NitrogenInMMS(D$35,E72)</f>
        <v>201.47999999999996</v>
      </c>
      <c r="F119" s="50" cm="1">
        <f t="array" aca="1" ref="F119" ca="1">MMS_Swine_N2ODirect_Equations.VEERG_4_5_1_3__2_Stage1NitrogenInMMS(E$35,F72)</f>
        <v>214.62000000000003</v>
      </c>
      <c r="G119" s="50" cm="1">
        <f t="array" aca="1" ref="G119" ca="1">MMS_Swine_N2ODirect_Equations.VEERG_4_5_1_3__2_Stage1NitrogenInMMS(F$35,G72)</f>
        <v>201.47999999999996</v>
      </c>
      <c r="H119" s="50" cm="1">
        <f t="array" aca="1" ref="H119" ca="1">MMS_Swine_N2ODirect_Equations.VEERG_4_5_1_3__2_Stage1NitrogenInMMS(G$35,H72)</f>
        <v>136.65599999999998</v>
      </c>
      <c r="I119" s="2"/>
      <c r="N119" s="55" t="str">
        <f>INDEX(X_Table_Swine_Stage1MMS_Drylot,2,1)</f>
        <v>Drylot (feed pad)</v>
      </c>
      <c r="O119" s="50" cm="1">
        <f t="array" aca="1" ref="O119" ca="1">MMS_Swine_N2ODirect_Equations.VEERG_4_5_1_3__2_Stage1NitrogenInMMS(N$35,O72)</f>
        <v>201.47999999999996</v>
      </c>
      <c r="P119" s="50" cm="1">
        <f t="array" aca="1" ref="P119" ca="1">MMS_Swine_N2ODirect_Equations.VEERG_4_5_1_3__2_Stage1NitrogenInMMS(O$35,P72)</f>
        <v>214.62000000000003</v>
      </c>
      <c r="Q119" s="50" cm="1">
        <f t="array" aca="1" ref="Q119" ca="1">MMS_Swine_N2ODirect_Equations.VEERG_4_5_1_3__2_Stage1NitrogenInMMS(P$35,Q72)</f>
        <v>201.47999999999996</v>
      </c>
      <c r="R119" s="50" cm="1">
        <f t="array" aca="1" ref="R119" ca="1">MMS_Swine_N2ODirect_Equations.VEERG_4_5_1_3__2_Stage1NitrogenInMMS(Q$35,R72)</f>
        <v>136.65599999999998</v>
      </c>
      <c r="S119" s="2"/>
    </row>
    <row r="120" spans="3:21" ht="20" customHeight="1" x14ac:dyDescent="0.25">
      <c r="D120" s="55" t="str">
        <f>INDEX(X_Table_Swine_Stage1MMS_DigesterCoveredLagoons,2,1)</f>
        <v>Digester / covered lagoons</v>
      </c>
      <c r="E120" s="50" cm="1">
        <f t="array" aca="1" ref="E120" ca="1">MMS_Swine_N2ODirect_Equations.VEERG_4_5_1_3__2_Stage1NitrogenInMMS(D$35,E73)</f>
        <v>201.47999999999996</v>
      </c>
      <c r="F120" s="50" cm="1">
        <f t="array" aca="1" ref="F120" ca="1">MMS_Swine_N2ODirect_Equations.VEERG_4_5_1_3__2_Stage1NitrogenInMMS(E$35,F73)</f>
        <v>214.62000000000003</v>
      </c>
      <c r="G120" s="50" cm="1">
        <f t="array" aca="1" ref="G120" ca="1">MMS_Swine_N2ODirect_Equations.VEERG_4_5_1_3__2_Stage1NitrogenInMMS(F$35,G73)</f>
        <v>201.47999999999996</v>
      </c>
      <c r="H120" s="50" cm="1">
        <f t="array" aca="1" ref="H120" ca="1">MMS_Swine_N2ODirect_Equations.VEERG_4_5_1_3__2_Stage1NitrogenInMMS(G$35,H73)</f>
        <v>136.65599999999998</v>
      </c>
      <c r="I120" s="2"/>
      <c r="N120" s="55" t="str">
        <f>INDEX(X_Table_Swine_Stage1MMS_DigesterCoveredLagoons,2,1)</f>
        <v>Digester / covered lagoons</v>
      </c>
      <c r="O120" s="50" cm="1">
        <f t="array" aca="1" ref="O120" ca="1">MMS_Swine_N2ODirect_Equations.VEERG_4_5_1_3__2_Stage1NitrogenInMMS(N$35,O73)</f>
        <v>201.47999999999996</v>
      </c>
      <c r="P120" s="50" cm="1">
        <f t="array" aca="1" ref="P120" ca="1">MMS_Swine_N2ODirect_Equations.VEERG_4_5_1_3__2_Stage1NitrogenInMMS(O$35,P73)</f>
        <v>214.62000000000003</v>
      </c>
      <c r="Q120" s="50" cm="1">
        <f t="array" aca="1" ref="Q120" ca="1">MMS_Swine_N2ODirect_Equations.VEERG_4_5_1_3__2_Stage1NitrogenInMMS(P$35,Q73)</f>
        <v>201.47999999999996</v>
      </c>
      <c r="R120" s="50" cm="1">
        <f t="array" aca="1" ref="R120" ca="1">MMS_Swine_N2ODirect_Equations.VEERG_4_5_1_3__2_Stage1NitrogenInMMS(Q$35,R73)</f>
        <v>136.65599999999998</v>
      </c>
      <c r="S120" s="2"/>
    </row>
    <row r="121" spans="3:21" ht="20" customHeight="1" x14ac:dyDescent="0.25">
      <c r="D121" s="55" t="str">
        <f>INDEX(X_Table_Swine_Stage1MMS_DeepLitter,2,1)</f>
        <v>Deep litter</v>
      </c>
      <c r="E121" s="50" cm="1">
        <f t="array" aca="1" ref="E121" ca="1">MMS_Swine_N2ODirect_Equations.VEERG_4_5_1_3__2_Stage1NitrogenInMMS(D$35,E74)</f>
        <v>201.47999999999996</v>
      </c>
      <c r="F121" s="50" cm="1">
        <f t="array" aca="1" ref="F121" ca="1">MMS_Swine_N2ODirect_Equations.VEERG_4_5_1_3__2_Stage1NitrogenInMMS(E$35,F74)</f>
        <v>214.62000000000003</v>
      </c>
      <c r="G121" s="50" cm="1">
        <f t="array" aca="1" ref="G121" ca="1">MMS_Swine_N2ODirect_Equations.VEERG_4_5_1_3__2_Stage1NitrogenInMMS(F$35,G74)</f>
        <v>201.47999999999996</v>
      </c>
      <c r="H121" s="50" cm="1">
        <f t="array" aca="1" ref="H121" ca="1">MMS_Swine_N2ODirect_Equations.VEERG_4_5_1_3__2_Stage1NitrogenInMMS(G$35,H74)</f>
        <v>136.65599999999998</v>
      </c>
      <c r="I121" s="2"/>
      <c r="N121" s="55" t="str">
        <f>INDEX(X_Table_Swine_Stage1MMS_DeepLitter,2,1)</f>
        <v>Deep litter</v>
      </c>
      <c r="O121" s="50" cm="1">
        <f t="array" aca="1" ref="O121" ca="1">MMS_Swine_N2ODirect_Equations.VEERG_4_5_1_3__2_Stage1NitrogenInMMS(N$35,O74)</f>
        <v>201.47999999999996</v>
      </c>
      <c r="P121" s="50" cm="1">
        <f t="array" aca="1" ref="P121" ca="1">MMS_Swine_N2ODirect_Equations.VEERG_4_5_1_3__2_Stage1NitrogenInMMS(O$35,P74)</f>
        <v>214.62000000000003</v>
      </c>
      <c r="Q121" s="50" cm="1">
        <f t="array" aca="1" ref="Q121" ca="1">MMS_Swine_N2ODirect_Equations.VEERG_4_5_1_3__2_Stage1NitrogenInMMS(P$35,Q74)</f>
        <v>201.47999999999996</v>
      </c>
      <c r="R121" s="50" cm="1">
        <f t="array" aca="1" ref="R121" ca="1">MMS_Swine_N2ODirect_Equations.VEERG_4_5_1_3__2_Stage1NitrogenInMMS(Q$35,R74)</f>
        <v>136.65599999999998</v>
      </c>
      <c r="S121" s="2"/>
    </row>
    <row r="122" spans="3:21" ht="20" customHeight="1" x14ac:dyDescent="0.25">
      <c r="D122" s="55" t="str">
        <f>INDEX(X_Table_Swine_Stage1MMS_PitStorage,2,1)</f>
        <v>Pit storage</v>
      </c>
      <c r="E122" s="50" cm="1">
        <f t="array" aca="1" ref="E122" ca="1">MMS_Swine_N2ODirect_Equations.VEERG_4_5_1_3__2_Stage1NitrogenInMMS(D$35,E75)</f>
        <v>201.47999999999996</v>
      </c>
      <c r="F122" s="50" cm="1">
        <f t="array" aca="1" ref="F122" ca="1">MMS_Swine_N2ODirect_Equations.VEERG_4_5_1_3__2_Stage1NitrogenInMMS(E$35,F75)</f>
        <v>214.62000000000003</v>
      </c>
      <c r="G122" s="50" cm="1">
        <f t="array" aca="1" ref="G122" ca="1">MMS_Swine_N2ODirect_Equations.VEERG_4_5_1_3__2_Stage1NitrogenInMMS(F$35,G75)</f>
        <v>201.47999999999996</v>
      </c>
      <c r="H122" s="50" cm="1">
        <f t="array" aca="1" ref="H122" ca="1">MMS_Swine_N2ODirect_Equations.VEERG_4_5_1_3__2_Stage1NitrogenInMMS(G$35,H75)</f>
        <v>136.65599999999998</v>
      </c>
      <c r="I122" s="2"/>
      <c r="N122" s="55" t="str">
        <f>INDEX(X_Table_Swine_Stage1MMS_PitStorage,2,1)</f>
        <v>Pit storage</v>
      </c>
      <c r="O122" s="50" cm="1">
        <f t="array" aca="1" ref="O122" ca="1">MMS_Swine_N2ODirect_Equations.VEERG_4_5_1_3__2_Stage1NitrogenInMMS(N$35,O75)</f>
        <v>201.47999999999996</v>
      </c>
      <c r="P122" s="50" cm="1">
        <f t="array" aca="1" ref="P122" ca="1">MMS_Swine_N2ODirect_Equations.VEERG_4_5_1_3__2_Stage1NitrogenInMMS(O$35,P75)</f>
        <v>214.62000000000003</v>
      </c>
      <c r="Q122" s="50" cm="1">
        <f t="array" aca="1" ref="Q122" ca="1">MMS_Swine_N2ODirect_Equations.VEERG_4_5_1_3__2_Stage1NitrogenInMMS(P$35,Q75)</f>
        <v>201.47999999999996</v>
      </c>
      <c r="R122" s="50" cm="1">
        <f t="array" aca="1" ref="R122" ca="1">MMS_Swine_N2ODirect_Equations.VEERG_4_5_1_3__2_Stage1NitrogenInMMS(Q$35,R75)</f>
        <v>136.65599999999998</v>
      </c>
      <c r="S122" s="2"/>
    </row>
    <row r="123" spans="3:21" ht="20" customHeight="1" x14ac:dyDescent="0.25">
      <c r="D123" s="55" t="s">
        <v>343</v>
      </c>
      <c r="E123" s="50" cm="1">
        <f t="array" aca="1" ref="E123" ca="1">MMS_Swine_N2ODirect_Equations.VEERG_4_5_1_3__2_Stage1NitrogenInMMS(D$35,E100)</f>
        <v>671.60000000000014</v>
      </c>
      <c r="F123" s="50" cm="1">
        <f t="array" aca="1" ref="F123" ca="1">MMS_Swine_N2ODirect_Equations.VEERG_4_5_1_3__2_Stage1NitrogenInMMS(E$35,F100)</f>
        <v>715.40000000000032</v>
      </c>
      <c r="G123" s="50" cm="1">
        <f t="array" aca="1" ref="G123" ca="1">MMS_Swine_N2ODirect_Equations.VEERG_4_5_1_3__2_Stage1NitrogenInMMS(F$35,G100)</f>
        <v>671.60000000000014</v>
      </c>
      <c r="H123" s="50" cm="1">
        <f t="array" aca="1" ref="H123" ca="1">MMS_Swine_N2ODirect_Equations.VEERG_4_5_1_3__2_Stage1NitrogenInMMS(G$35,H100)</f>
        <v>455.52000000000015</v>
      </c>
      <c r="I123" s="2"/>
      <c r="N123" s="55" t="s">
        <v>343</v>
      </c>
      <c r="O123" s="50" cm="1">
        <f t="array" aca="1" ref="O123" ca="1">MMS_Swine_N2ODirect_Equations.VEERG_4_5_1_3__2_Stage1NitrogenInMMS(N$35,O100)</f>
        <v>671.60000000000014</v>
      </c>
      <c r="P123" s="50" cm="1">
        <f t="array" aca="1" ref="P123" ca="1">MMS_Swine_N2ODirect_Equations.VEERG_4_5_1_3__2_Stage1NitrogenInMMS(O$35,P100)</f>
        <v>715.40000000000032</v>
      </c>
      <c r="Q123" s="50" cm="1">
        <f t="array" aca="1" ref="Q123" ca="1">MMS_Swine_N2ODirect_Equations.VEERG_4_5_1_3__2_Stage1NitrogenInMMS(P$35,Q100)</f>
        <v>671.60000000000014</v>
      </c>
      <c r="R123" s="50" cm="1">
        <f t="array" aca="1" ref="R123" ca="1">MMS_Swine_N2ODirect_Equations.VEERG_4_5_1_3__2_Stage1NitrogenInMMS(Q$35,R100)</f>
        <v>455.52000000000015</v>
      </c>
      <c r="S123" s="2"/>
    </row>
    <row r="124" spans="3:21" ht="20" customHeight="1" x14ac:dyDescent="0.25"/>
    <row r="125" spans="3:21" ht="20" customHeight="1" x14ac:dyDescent="0.25"/>
    <row r="126" spans="3:21" ht="20" customHeight="1" x14ac:dyDescent="0.25">
      <c r="C126" s="43"/>
      <c r="D126" s="43"/>
      <c r="E126" s="43"/>
      <c r="F126" s="43"/>
      <c r="G126" s="43"/>
      <c r="H126" s="43"/>
      <c r="I126" s="43"/>
      <c r="J126" s="43"/>
      <c r="K126" s="43"/>
      <c r="M126" s="43"/>
      <c r="N126" s="43"/>
      <c r="O126" s="43"/>
      <c r="P126" s="43"/>
      <c r="Q126" s="43"/>
      <c r="R126" s="43"/>
      <c r="S126" s="43"/>
      <c r="T126" s="43"/>
      <c r="U126" s="43"/>
    </row>
    <row r="127" spans="3:21" ht="20" customHeight="1" x14ac:dyDescent="0.25">
      <c r="D127" s="6" t="str" cm="1">
        <f t="array" ref="D127">MMS_Swine_N2ODirect_Equations.VEERG_4_5_1_3__7_NitrogenTransferredToStage2MMS_Title()</f>
        <v>Nitrogen transferred to treatment stage 2 MMS</v>
      </c>
    </row>
    <row r="128" spans="3:21" ht="20" customHeight="1" x14ac:dyDescent="0.25">
      <c r="D128" s="5" t="str" cm="1">
        <f t="array" ref="D128">MMS_Swine_N2ODirect_Equations.VEERG_4_5_1_3__7_NitrogenTransferredToStage2MMS_Source()</f>
        <v>VEERG 2026: 4.5.1.3, Equation (7)</v>
      </c>
    </row>
    <row r="129" spans="4:9" ht="20" customHeight="1" x14ac:dyDescent="0.25">
      <c r="D129" s="13" t="s">
        <v>23</v>
      </c>
      <c r="E129" s="13" t="str" cm="1">
        <f t="array" aca="1" ref="E129" ca="1">Common_InputFunctions.Utility_DisplayFunctionName(E164)</f>
        <v>=MMS_Swine_N2ODirect_Equations.VEERG_4_5_1_3__7_NitrogenTransferredToStage2MMS</v>
      </c>
    </row>
    <row r="130" spans="4:9" ht="20" customHeight="1" x14ac:dyDescent="0.25"/>
    <row r="131" spans="4:9" ht="20" customHeight="1" x14ac:dyDescent="0.25"/>
    <row r="132" spans="4:9" ht="20" customHeight="1" x14ac:dyDescent="0.25">
      <c r="D132" s="51" t="s">
        <v>26</v>
      </c>
      <c r="E132" s="1" t="str" cm="1">
        <f t="array" ref="E132">MMS_Swine_N2ODirect_Equations.VEERG_4_5_1_3__7_NitrogenTransferredToStage2MMS_Variable()</f>
        <v>NT_jmT2</v>
      </c>
    </row>
    <row r="133" spans="4:9" ht="20" customHeight="1" x14ac:dyDescent="0.25">
      <c r="D133" s="51" t="s">
        <v>16</v>
      </c>
      <c r="E133" s="52" t="str" cm="1">
        <f t="array" ref="E133">MMS_Swine_N2ODirect_Equations.VEERG_4_5_1_3__7_NitrogenTransferredToStage2MMS_Unit()</f>
        <v>kg N</v>
      </c>
    </row>
    <row r="134" spans="4:9" ht="20" customHeight="1" x14ac:dyDescent="0.25"/>
    <row r="135" spans="4:9" ht="20" customHeight="1" x14ac:dyDescent="0.25">
      <c r="D135" s="55" t="str" cm="1">
        <f t="array" ref="D135:E137">Common_InputFunctions.Utility_DisplayArguments_1_2(MMS_Swine_N2ODirect_Equations.VEERG_4_5_1_3__7_NitrogenTransferredToStage2MMS_Arguments())</f>
        <v>MN_jmT1</v>
      </c>
      <c r="E135" s="55" t="str">
        <v>nitrogen per swine class in treatment stage 1 MMS</v>
      </c>
      <c r="F135" s="55"/>
      <c r="G135" s="132" t="str" cm="1">
        <f t="array" ref="G135:H137">Common_InputFunctions.Utility_DisplayArguments_3_4(MMS_Swine_N2ODirect_Equations.VEERG_4_5_1_3__7_NitrogenTransferredToStage2MMS_Arguments())</f>
        <v>kg N</v>
      </c>
      <c r="H135" s="127" t="str">
        <v>Calculated from 4.5.1.3 (2)(6)</v>
      </c>
      <c r="I135" s="131" t="str" cm="1">
        <f t="array" aca="1" ref="I135" ca="1">HYPERLINK(Common_InputFunctions.Utility_SourceHyperlink(D115), D115)</f>
        <v>M1_Table_MN_j_m_T-1</v>
      </c>
    </row>
    <row r="136" spans="4:9" ht="20" customHeight="1" x14ac:dyDescent="0.25">
      <c r="D136" s="55" t="str">
        <v>FracGASMmT1</v>
      </c>
      <c r="E136" s="55" t="str">
        <v>fraction of N volatilised from MMS treatment at stage 1</v>
      </c>
      <c r="F136" s="55"/>
      <c r="G136" s="132" t="str">
        <v>fraction</v>
      </c>
      <c r="H136" s="127" t="str">
        <v>Lookup</v>
      </c>
      <c r="I136" s="131" t="str" cm="1">
        <f t="array" aca="1" ref="I136" ca="1">HYPERLINK(Common_InputFunctions.Utility_SourceHyperlink(D139), D139)</f>
        <v>Table_FracGASM_m_t-1</v>
      </c>
    </row>
    <row r="137" spans="4:9" ht="20" customHeight="1" x14ac:dyDescent="0.25">
      <c r="D137" s="55" t="str">
        <v>EF_mT1</v>
      </c>
      <c r="E137" s="55" t="str">
        <v>nitrous oxide emission factor for MMS treatment at stage 1</v>
      </c>
      <c r="F137" s="55"/>
      <c r="G137" s="132" t="str">
        <v>kg N2O-N/kg N</v>
      </c>
      <c r="H137" s="127" t="str">
        <v>Lookup</v>
      </c>
      <c r="I137" s="131" t="str" cm="1">
        <f t="array" aca="1" ref="I137" ca="1">HYPERLINK(Common_InputFunctions.Utility_SourceHyperlink(D150), D150)</f>
        <v>Table_EF_m_t-1</v>
      </c>
    </row>
    <row r="138" spans="4:9" ht="20" customHeight="1" x14ac:dyDescent="0.25"/>
    <row r="139" spans="4:9" ht="20" customHeight="1" x14ac:dyDescent="0.25">
      <c r="D139" s="113" t="s">
        <v>235</v>
      </c>
    </row>
    <row r="140" spans="4:9" ht="20" customHeight="1" x14ac:dyDescent="0.25">
      <c r="D140" s="114" t="s">
        <v>236</v>
      </c>
    </row>
    <row r="141" spans="4:9" ht="20" customHeight="1" x14ac:dyDescent="0.25">
      <c r="D141" s="49" t="s">
        <v>64</v>
      </c>
      <c r="E141" s="49" t="s">
        <v>237</v>
      </c>
    </row>
    <row r="142" spans="4:9" ht="20" customHeight="1" x14ac:dyDescent="0.25">
      <c r="D142" s="55" t="str">
        <f>INDEX(X_Table_Swine_Stage1MMS_AnaerobicLagoon,2,1)</f>
        <v>Anaerobic lagoon</v>
      </c>
      <c r="E142" s="50" cm="1">
        <f t="array" ref="E142">Common_InputFunctions.Utility_LookupValueInTableNumber(D142, Table_SourceData_Swine_FracGASM[NIR reference],Table_SourceData_Swine_FracGASM[FracGASMmT])</f>
        <v>0.55000000000000004</v>
      </c>
      <c r="F142" s="2" t="str">
        <f>G136</f>
        <v>fraction</v>
      </c>
    </row>
    <row r="143" spans="4:9" ht="20" customHeight="1" x14ac:dyDescent="0.25">
      <c r="D143" s="55" t="str">
        <f>INDEX(X_Table_Swine_Stage1MMS_Drylot,2,1)</f>
        <v>Drylot (feed pad)</v>
      </c>
      <c r="E143" s="50" cm="1">
        <f t="array" ref="E143">Common_InputFunctions.Utility_LookupValueInTableNumber(D143, Table_SourceData_Swine_FracGASM[NIR reference],Table_SourceData_Swine_FracGASM[FracGASMmT])</f>
        <v>0.3</v>
      </c>
    </row>
    <row r="144" spans="4:9" ht="20" customHeight="1" x14ac:dyDescent="0.25">
      <c r="D144" s="55" t="str">
        <f>INDEX(X_Table_Swine_Stage1MMS_DigesterCoveredLagoons,2,1)</f>
        <v>Digester / covered lagoons</v>
      </c>
      <c r="E144" s="50" cm="1">
        <f t="array" ref="E144">Common_InputFunctions.Utility_LookupValueInTableNumber(D144, Table_SourceData_Swine_FracGASM[NIR reference],Table_SourceData_Swine_FracGASM[FracGASMmT])</f>
        <v>0</v>
      </c>
    </row>
    <row r="145" spans="4:6" ht="20" customHeight="1" x14ac:dyDescent="0.25">
      <c r="D145" s="55" t="str">
        <f>INDEX(X_Table_Swine_Stage1MMS_DeepLitter,2,1)</f>
        <v>Deep litter</v>
      </c>
      <c r="E145" s="50" cm="1">
        <f t="array" ref="E145">Common_InputFunctions.Utility_LookupValueInTableNumber(D145, Table_SourceData_Swine_FracGASM[NIR reference],Table_SourceData_Swine_FracGASM[FracGASMmT])</f>
        <v>0.125</v>
      </c>
    </row>
    <row r="146" spans="4:6" ht="20" customHeight="1" x14ac:dyDescent="0.25">
      <c r="D146" s="55" t="str">
        <f>INDEX(X_Table_Swine_Stage1MMS_PitStorage,2,1)</f>
        <v>Pit storage</v>
      </c>
      <c r="E146" s="50" cm="1">
        <f t="array" ref="E146">Common_InputFunctions.Utility_LookupValueInTableNumber(D146, Table_SourceData_Swine_FracGASM[NIR reference],Table_SourceData_Swine_FracGASM[FracGASMmT])</f>
        <v>0.25</v>
      </c>
    </row>
    <row r="147" spans="4:6" ht="20" customHeight="1" x14ac:dyDescent="0.25">
      <c r="D147" s="55" t="s">
        <v>343</v>
      </c>
      <c r="E147" s="50" cm="1">
        <f t="array" ref="E147">Common_InputFunctions.Utility_LookupValueInTableNumber(D147, Table_SourceData_Swine_FracGASM[NIR reference],Table_SourceData_Swine_FracGASM[FracGASMmT])</f>
        <v>0.2</v>
      </c>
    </row>
    <row r="148" spans="4:6" ht="20" customHeight="1" x14ac:dyDescent="0.25">
      <c r="D148" s="55" t="str">
        <f>'Constants - Swine'!$D$47</f>
        <v>Direct application</v>
      </c>
      <c r="E148" s="50" cm="1">
        <f t="array" ref="E148">Common_InputFunctions.Utility_LookupValueInTableNumber(D148, Table_SourceData_Swine_FracGASM[NIR reference],Table_SourceData_Swine_FracGASM[FracGASMmT])</f>
        <v>0</v>
      </c>
    </row>
    <row r="149" spans="4:6" ht="20" customHeight="1" x14ac:dyDescent="0.25"/>
    <row r="150" spans="4:6" ht="20" customHeight="1" x14ac:dyDescent="0.25">
      <c r="D150" s="113" t="s">
        <v>238</v>
      </c>
    </row>
    <row r="151" spans="4:6" ht="20" customHeight="1" x14ac:dyDescent="0.25">
      <c r="D151" s="114" t="s">
        <v>239</v>
      </c>
    </row>
    <row r="152" spans="4:6" ht="20" customHeight="1" x14ac:dyDescent="0.25">
      <c r="D152" s="49" t="s">
        <v>64</v>
      </c>
      <c r="E152" s="49" t="s">
        <v>240</v>
      </c>
    </row>
    <row r="153" spans="4:6" ht="20" customHeight="1" x14ac:dyDescent="0.25">
      <c r="D153" s="55" t="str">
        <f>INDEX(X_Table_Swine_Stage1MMS_AnaerobicLagoon,2,1)</f>
        <v>Anaerobic lagoon</v>
      </c>
      <c r="E153" s="50" cm="1">
        <f t="array" ref="E153">Common_InputFunctions.Utility_LookupValueInTableNumber(D153, Table_SourceData_Swine_FracGASM28[NIR reference],Table_SourceData_Swine_FracGASM28[EFmT])</f>
        <v>0</v>
      </c>
      <c r="F153" s="2" t="str">
        <f>G137</f>
        <v>kg N2O-N/kg N</v>
      </c>
    </row>
    <row r="154" spans="4:6" ht="20" customHeight="1" x14ac:dyDescent="0.25">
      <c r="D154" s="55" t="str">
        <f>INDEX(X_Table_Swine_Stage1MMS_Drylot,2,1)</f>
        <v>Drylot (feed pad)</v>
      </c>
      <c r="E154" s="50" cm="1">
        <f t="array" ref="E154">Common_InputFunctions.Utility_LookupValueInTableNumber(D154, Table_SourceData_Swine_FracGASM28[NIR reference],Table_SourceData_Swine_FracGASM28[EFmT])</f>
        <v>0.02</v>
      </c>
    </row>
    <row r="155" spans="4:6" ht="20" customHeight="1" x14ac:dyDescent="0.25">
      <c r="D155" s="55" t="str">
        <f>INDEX(X_Table_Swine_Stage1MMS_DigesterCoveredLagoons,2,1)</f>
        <v>Digester / covered lagoons</v>
      </c>
      <c r="E155" s="50" cm="1">
        <f t="array" ref="E155">Common_InputFunctions.Utility_LookupValueInTableNumber(D155, Table_SourceData_Swine_FracGASM28[NIR reference],Table_SourceData_Swine_FracGASM28[EFmT])</f>
        <v>0</v>
      </c>
    </row>
    <row r="156" spans="4:6" ht="20" customHeight="1" x14ac:dyDescent="0.25">
      <c r="D156" s="55" t="str">
        <f>INDEX(X_Table_Swine_Stage1MMS_DeepLitter,2,1)</f>
        <v>Deep litter</v>
      </c>
      <c r="E156" s="50" cm="1">
        <f t="array" ref="E156">Common_InputFunctions.Utility_LookupValueInTableNumber(D156, Table_SourceData_Swine_FracGASM28[NIR reference],Table_SourceData_Swine_FracGASM28[EFmT])</f>
        <v>0.01</v>
      </c>
    </row>
    <row r="157" spans="4:6" ht="20" customHeight="1" x14ac:dyDescent="0.25">
      <c r="D157" s="55" t="str">
        <f>INDEX(X_Table_Swine_Stage1MMS_PitStorage,2,1)</f>
        <v>Pit storage</v>
      </c>
      <c r="E157" s="50" cm="1">
        <f t="array" ref="E157">Common_InputFunctions.Utility_LookupValueInTableNumber(D157, Table_SourceData_Swine_FracGASM28[NIR reference],Table_SourceData_Swine_FracGASM28[EFmT])</f>
        <v>2E-3</v>
      </c>
    </row>
    <row r="158" spans="4:6" ht="20" customHeight="1" x14ac:dyDescent="0.25">
      <c r="D158" s="55" t="s">
        <v>343</v>
      </c>
      <c r="E158" s="50" cm="1">
        <f t="array" ref="E158">Common_InputFunctions.Utility_LookupValueInTableNumber(D158, Table_SourceData_Swine_FracGASM28[NIR reference],Table_SourceData_Swine_FracGASM28[EFmT])</f>
        <v>5.0000000000000001E-3</v>
      </c>
    </row>
    <row r="159" spans="4:6" ht="20" customHeight="1" x14ac:dyDescent="0.25">
      <c r="D159" s="55" t="str">
        <f>'Constants - Swine'!$D$47</f>
        <v>Direct application</v>
      </c>
      <c r="E159" s="50" cm="1">
        <f t="array" ref="E159">Common_InputFunctions.Utility_LookupValueInTableNumber(D159, Table_SourceData_Swine_FracGASM28[NIR reference],Table_SourceData_Swine_FracGASM28[EFmT])</f>
        <v>0</v>
      </c>
    </row>
    <row r="160" spans="4:6" ht="20" customHeight="1" x14ac:dyDescent="0.25"/>
    <row r="161" spans="1:21" ht="20" customHeight="1" x14ac:dyDescent="0.25">
      <c r="D161" s="113" t="s">
        <v>242</v>
      </c>
      <c r="N161" s="113" t="s">
        <v>256</v>
      </c>
    </row>
    <row r="162" spans="1:21" ht="20" customHeight="1" x14ac:dyDescent="0.25">
      <c r="D162" s="114" t="s">
        <v>243</v>
      </c>
      <c r="N162" s="114" t="s">
        <v>257</v>
      </c>
    </row>
    <row r="163" spans="1:21" ht="20" customHeight="1" x14ac:dyDescent="0.25">
      <c r="D163" s="49" t="s">
        <v>155</v>
      </c>
      <c r="E163" s="49" t="s">
        <v>134</v>
      </c>
      <c r="F163" s="49" t="s">
        <v>135</v>
      </c>
      <c r="G163" s="49" t="s">
        <v>136</v>
      </c>
      <c r="H163" s="49" t="s">
        <v>192</v>
      </c>
      <c r="N163" s="49" t="s">
        <v>155</v>
      </c>
      <c r="O163" s="49" t="s">
        <v>134</v>
      </c>
      <c r="P163" s="49" t="s">
        <v>135</v>
      </c>
      <c r="Q163" s="49" t="s">
        <v>136</v>
      </c>
      <c r="R163" s="49" t="s">
        <v>192</v>
      </c>
    </row>
    <row r="164" spans="1:21" ht="20" customHeight="1" x14ac:dyDescent="0.25">
      <c r="D164" s="55" t="str">
        <f>INDEX(X_Table_Swine_Stage1MMS_AnaerobicLagoon,2,1)</f>
        <v>Anaerobic lagoon</v>
      </c>
      <c r="E164" s="50" cm="1">
        <f t="array" aca="1" ref="E164" ca="1">MMS_Swine_N2ODirect_Equations.VEERG_4_5_1_3__7_NitrogenTransferredToStage2MMS(E118,$E142,$E153)</f>
        <v>90.665999999999968</v>
      </c>
      <c r="F164" s="50" cm="1">
        <f t="array" aca="1" ref="F164" ca="1">MMS_Swine_N2ODirect_Equations.VEERG_4_5_1_3__7_NitrogenTransferredToStage2MMS(F118,$E142,$E153)</f>
        <v>96.579000000000008</v>
      </c>
      <c r="G164" s="50" cm="1">
        <f t="array" aca="1" ref="G164" ca="1">MMS_Swine_N2ODirect_Equations.VEERG_4_5_1_3__7_NitrogenTransferredToStage2MMS(G118,$E142,$E153)</f>
        <v>90.665999999999968</v>
      </c>
      <c r="H164" s="50" cm="1">
        <f t="array" aca="1" ref="H164" ca="1">MMS_Swine_N2ODirect_Equations.VEERG_4_5_1_3__7_NitrogenTransferredToStage2MMS(H118,$E142,$E153)</f>
        <v>61.495199999999983</v>
      </c>
      <c r="I164" s="2" t="str">
        <f>$E$133</f>
        <v>kg N</v>
      </c>
      <c r="N164" s="55" t="str">
        <f>INDEX(X_Table_Swine_Stage1MMS_AnaerobicLagoon,2,1)</f>
        <v>Anaerobic lagoon</v>
      </c>
      <c r="O164" s="50" cm="1">
        <f t="array" aca="1" ref="O164" ca="1">MMS_Swine_N2ODirect_Equations.VEERG_4_5_1_3__7_NitrogenTransferredToStage2MMS(O118,$E142,$E153)</f>
        <v>90.665999999999968</v>
      </c>
      <c r="P164" s="50" cm="1">
        <f t="array" aca="1" ref="P164" ca="1">MMS_Swine_N2ODirect_Equations.VEERG_4_5_1_3__7_NitrogenTransferredToStage2MMS(P118,$E142,$E153)</f>
        <v>96.579000000000008</v>
      </c>
      <c r="Q164" s="50" cm="1">
        <f t="array" aca="1" ref="Q164" ca="1">MMS_Swine_N2ODirect_Equations.VEERG_4_5_1_3__7_NitrogenTransferredToStage2MMS(Q118,$E142,$E153)</f>
        <v>90.665999999999968</v>
      </c>
      <c r="R164" s="50" cm="1">
        <f t="array" aca="1" ref="R164" ca="1">MMS_Swine_N2ODirect_Equations.VEERG_4_5_1_3__7_NitrogenTransferredToStage2MMS(R118,$E142,$E153)</f>
        <v>61.495199999999983</v>
      </c>
      <c r="S164" s="2" t="str">
        <f>$E$133</f>
        <v>kg N</v>
      </c>
    </row>
    <row r="165" spans="1:21" ht="20" customHeight="1" x14ac:dyDescent="0.25">
      <c r="D165" s="55" t="str">
        <f>INDEX(X_Table_Swine_Stage1MMS_Drylot,2,1)</f>
        <v>Drylot (feed pad)</v>
      </c>
      <c r="E165" s="50" cm="1">
        <f t="array" aca="1" ref="E165" ca="1">MMS_Swine_N2ODirect_Equations.VEERG_4_5_1_3__7_NitrogenTransferredToStage2MMS(E119,$E143,$E154)</f>
        <v>137.00639999999996</v>
      </c>
      <c r="F165" s="50" cm="1">
        <f t="array" aca="1" ref="F165" ca="1">MMS_Swine_N2ODirect_Equations.VEERG_4_5_1_3__7_NitrogenTransferredToStage2MMS(F119,$E143,$E154)</f>
        <v>145.94160000000002</v>
      </c>
      <c r="G165" s="50" cm="1">
        <f t="array" aca="1" ref="G165" ca="1">MMS_Swine_N2ODirect_Equations.VEERG_4_5_1_3__7_NitrogenTransferredToStage2MMS(G119,$E143,$E154)</f>
        <v>137.00639999999996</v>
      </c>
      <c r="H165" s="50" cm="1">
        <f t="array" aca="1" ref="H165" ca="1">MMS_Swine_N2ODirect_Equations.VEERG_4_5_1_3__7_NitrogenTransferredToStage2MMS(H119,$E143,$E154)</f>
        <v>92.92607999999997</v>
      </c>
      <c r="I165" s="2"/>
      <c r="N165" s="55" t="str">
        <f>INDEX(X_Table_Swine_Stage1MMS_Drylot,2,1)</f>
        <v>Drylot (feed pad)</v>
      </c>
      <c r="O165" s="50" cm="1">
        <f t="array" aca="1" ref="O165" ca="1">MMS_Swine_N2ODirect_Equations.VEERG_4_5_1_3__7_NitrogenTransferredToStage2MMS(O119,$E143,$E154)</f>
        <v>137.00639999999996</v>
      </c>
      <c r="P165" s="50" cm="1">
        <f t="array" aca="1" ref="P165" ca="1">MMS_Swine_N2ODirect_Equations.VEERG_4_5_1_3__7_NitrogenTransferredToStage2MMS(P119,$E143,$E154)</f>
        <v>145.94160000000002</v>
      </c>
      <c r="Q165" s="50" cm="1">
        <f t="array" aca="1" ref="Q165" ca="1">MMS_Swine_N2ODirect_Equations.VEERG_4_5_1_3__7_NitrogenTransferredToStage2MMS(Q119,$E143,$E154)</f>
        <v>137.00639999999996</v>
      </c>
      <c r="R165" s="50" cm="1">
        <f t="array" aca="1" ref="R165" ca="1">MMS_Swine_N2ODirect_Equations.VEERG_4_5_1_3__7_NitrogenTransferredToStage2MMS(R119,$E143,$E154)</f>
        <v>92.92607999999997</v>
      </c>
      <c r="S165" s="2"/>
    </row>
    <row r="166" spans="1:21" ht="20" customHeight="1" x14ac:dyDescent="0.25">
      <c r="D166" s="55" t="str">
        <f>INDEX(X_Table_Swine_Stage1MMS_DigesterCoveredLagoons,2,1)</f>
        <v>Digester / covered lagoons</v>
      </c>
      <c r="E166" s="50" cm="1">
        <f t="array" aca="1" ref="E166" ca="1">MMS_Swine_N2ODirect_Equations.VEERG_4_5_1_3__7_NitrogenTransferredToStage2MMS(E120,$E144,$E155)</f>
        <v>201.47999999999996</v>
      </c>
      <c r="F166" s="50" cm="1">
        <f t="array" aca="1" ref="F166" ca="1">MMS_Swine_N2ODirect_Equations.VEERG_4_5_1_3__7_NitrogenTransferredToStage2MMS(F120,$E144,$E155)</f>
        <v>214.62000000000003</v>
      </c>
      <c r="G166" s="50" cm="1">
        <f t="array" aca="1" ref="G166" ca="1">MMS_Swine_N2ODirect_Equations.VEERG_4_5_1_3__7_NitrogenTransferredToStage2MMS(G120,$E144,$E155)</f>
        <v>201.47999999999996</v>
      </c>
      <c r="H166" s="50" cm="1">
        <f t="array" aca="1" ref="H166" ca="1">MMS_Swine_N2ODirect_Equations.VEERG_4_5_1_3__7_NitrogenTransferredToStage2MMS(H120,$E144,$E155)</f>
        <v>136.65599999999998</v>
      </c>
      <c r="I166" s="2"/>
      <c r="N166" s="55" t="str">
        <f>INDEX(X_Table_Swine_Stage1MMS_DigesterCoveredLagoons,2,1)</f>
        <v>Digester / covered lagoons</v>
      </c>
      <c r="O166" s="50" cm="1">
        <f t="array" aca="1" ref="O166" ca="1">MMS_Swine_N2ODirect_Equations.VEERG_4_5_1_3__7_NitrogenTransferredToStage2MMS(O120,$E144,$E155)</f>
        <v>201.47999999999996</v>
      </c>
      <c r="P166" s="50" cm="1">
        <f t="array" aca="1" ref="P166" ca="1">MMS_Swine_N2ODirect_Equations.VEERG_4_5_1_3__7_NitrogenTransferredToStage2MMS(P120,$E144,$E155)</f>
        <v>214.62000000000003</v>
      </c>
      <c r="Q166" s="50" cm="1">
        <f t="array" aca="1" ref="Q166" ca="1">MMS_Swine_N2ODirect_Equations.VEERG_4_5_1_3__7_NitrogenTransferredToStage2MMS(Q120,$E144,$E155)</f>
        <v>201.47999999999996</v>
      </c>
      <c r="R166" s="50" cm="1">
        <f t="array" aca="1" ref="R166" ca="1">MMS_Swine_N2ODirect_Equations.VEERG_4_5_1_3__7_NitrogenTransferredToStage2MMS(R120,$E144,$E155)</f>
        <v>136.65599999999998</v>
      </c>
      <c r="S166" s="2"/>
    </row>
    <row r="167" spans="1:21" ht="20" customHeight="1" x14ac:dyDescent="0.25">
      <c r="D167" s="55" t="str">
        <f>INDEX(X_Table_Swine_Stage1MMS_DeepLitter,2,1)</f>
        <v>Deep litter</v>
      </c>
      <c r="E167" s="50" cm="1">
        <f t="array" aca="1" ref="E167" ca="1">MMS_Swine_N2ODirect_Equations.VEERG_4_5_1_3__7_NitrogenTransferredToStage2MMS(E121,$E145,$E156)</f>
        <v>174.28019999999995</v>
      </c>
      <c r="F167" s="50" cm="1">
        <f t="array" aca="1" ref="F167" ca="1">MMS_Swine_N2ODirect_Equations.VEERG_4_5_1_3__7_NitrogenTransferredToStage2MMS(F121,$E145,$E156)</f>
        <v>185.64630000000002</v>
      </c>
      <c r="G167" s="50" cm="1">
        <f t="array" aca="1" ref="G167" ca="1">MMS_Swine_N2ODirect_Equations.VEERG_4_5_1_3__7_NitrogenTransferredToStage2MMS(G121,$E145,$E156)</f>
        <v>174.28019999999995</v>
      </c>
      <c r="H167" s="50" cm="1">
        <f t="array" aca="1" ref="H167" ca="1">MMS_Swine_N2ODirect_Equations.VEERG_4_5_1_3__7_NitrogenTransferredToStage2MMS(H121,$E145,$E156)</f>
        <v>118.20743999999998</v>
      </c>
      <c r="I167" s="2"/>
      <c r="N167" s="55" t="str">
        <f>INDEX(X_Table_Swine_Stage1MMS_DeepLitter,2,1)</f>
        <v>Deep litter</v>
      </c>
      <c r="O167" s="50" cm="1">
        <f t="array" aca="1" ref="O167" ca="1">MMS_Swine_N2ODirect_Equations.VEERG_4_5_1_3__7_NitrogenTransferredToStage2MMS(O121,$E145,$E156)</f>
        <v>174.28019999999995</v>
      </c>
      <c r="P167" s="50" cm="1">
        <f t="array" aca="1" ref="P167" ca="1">MMS_Swine_N2ODirect_Equations.VEERG_4_5_1_3__7_NitrogenTransferredToStage2MMS(P121,$E145,$E156)</f>
        <v>185.64630000000002</v>
      </c>
      <c r="Q167" s="50" cm="1">
        <f t="array" aca="1" ref="Q167" ca="1">MMS_Swine_N2ODirect_Equations.VEERG_4_5_1_3__7_NitrogenTransferredToStage2MMS(Q121,$E145,$E156)</f>
        <v>174.28019999999995</v>
      </c>
      <c r="R167" s="50" cm="1">
        <f t="array" aca="1" ref="R167" ca="1">MMS_Swine_N2ODirect_Equations.VEERG_4_5_1_3__7_NitrogenTransferredToStage2MMS(R121,$E145,$E156)</f>
        <v>118.20743999999998</v>
      </c>
      <c r="S167" s="2"/>
    </row>
    <row r="168" spans="1:21" ht="20" customHeight="1" x14ac:dyDescent="0.25">
      <c r="D168" s="55" t="str">
        <f>INDEX(X_Table_Swine_Stage1MMS_PitStorage,2,1)</f>
        <v>Pit storage</v>
      </c>
      <c r="E168" s="50" cm="1">
        <f t="array" aca="1" ref="E168" ca="1">MMS_Swine_N2ODirect_Equations.VEERG_4_5_1_3__7_NitrogenTransferredToStage2MMS(E122,$E146,$E157)</f>
        <v>150.70703999999998</v>
      </c>
      <c r="F168" s="50" cm="1">
        <f t="array" aca="1" ref="F168" ca="1">MMS_Swine_N2ODirect_Equations.VEERG_4_5_1_3__7_NitrogenTransferredToStage2MMS(F122,$E146,$E157)</f>
        <v>160.53576000000001</v>
      </c>
      <c r="G168" s="50" cm="1">
        <f t="array" aca="1" ref="G168" ca="1">MMS_Swine_N2ODirect_Equations.VEERG_4_5_1_3__7_NitrogenTransferredToStage2MMS(G122,$E146,$E157)</f>
        <v>150.70703999999998</v>
      </c>
      <c r="H168" s="50" cm="1">
        <f t="array" aca="1" ref="H168" ca="1">MMS_Swine_N2ODirect_Equations.VEERG_4_5_1_3__7_NitrogenTransferredToStage2MMS(H122,$E146,$E157)</f>
        <v>102.21868799999999</v>
      </c>
      <c r="I168" s="2"/>
      <c r="N168" s="55" t="str">
        <f>INDEX(X_Table_Swine_Stage1MMS_PitStorage,2,1)</f>
        <v>Pit storage</v>
      </c>
      <c r="O168" s="50" cm="1">
        <f t="array" aca="1" ref="O168" ca="1">MMS_Swine_N2ODirect_Equations.VEERG_4_5_1_3__7_NitrogenTransferredToStage2MMS(O122,$E146,$E157)</f>
        <v>150.70703999999998</v>
      </c>
      <c r="P168" s="50" cm="1">
        <f t="array" aca="1" ref="P168" ca="1">MMS_Swine_N2ODirect_Equations.VEERG_4_5_1_3__7_NitrogenTransferredToStage2MMS(P122,$E146,$E157)</f>
        <v>160.53576000000001</v>
      </c>
      <c r="Q168" s="50" cm="1">
        <f t="array" aca="1" ref="Q168" ca="1">MMS_Swine_N2ODirect_Equations.VEERG_4_5_1_3__7_NitrogenTransferredToStage2MMS(Q122,$E146,$E157)</f>
        <v>150.70703999999998</v>
      </c>
      <c r="R168" s="50" cm="1">
        <f t="array" aca="1" ref="R168" ca="1">MMS_Swine_N2ODirect_Equations.VEERG_4_5_1_3__7_NitrogenTransferredToStage2MMS(R122,$E146,$E157)</f>
        <v>102.21868799999999</v>
      </c>
      <c r="S168" s="2"/>
    </row>
    <row r="169" spans="1:21" ht="20" customHeight="1" x14ac:dyDescent="0.25">
      <c r="D169" s="55" t="s">
        <v>343</v>
      </c>
      <c r="E169" s="50" cm="1">
        <f t="array" aca="1" ref="E169" ca="1">MMS_Swine_N2ODirect_Equations.VEERG_4_5_1_3__7_NitrogenTransferredToStage2MMS(E123,$E147,$E158)</f>
        <v>533.92200000000014</v>
      </c>
      <c r="F169" s="50" cm="1">
        <f t="array" aca="1" ref="F169" ca="1">MMS_Swine_N2ODirect_Equations.VEERG_4_5_1_3__7_NitrogenTransferredToStage2MMS(F123,$E147,$E158)</f>
        <v>568.74300000000028</v>
      </c>
      <c r="G169" s="50" cm="1">
        <f t="array" aca="1" ref="G169" ca="1">MMS_Swine_N2ODirect_Equations.VEERG_4_5_1_3__7_NitrogenTransferredToStage2MMS(G123,$E147,$E158)</f>
        <v>533.92200000000014</v>
      </c>
      <c r="H169" s="50" cm="1">
        <f t="array" aca="1" ref="H169" ca="1">MMS_Swine_N2ODirect_Equations.VEERG_4_5_1_3__7_NitrogenTransferredToStage2MMS(H123,$E147,$E158)</f>
        <v>362.13840000000016</v>
      </c>
      <c r="I169" s="2"/>
      <c r="N169" s="55" t="s">
        <v>343</v>
      </c>
      <c r="O169" s="50" cm="1">
        <f t="array" aca="1" ref="O169" ca="1">MMS_Swine_N2ODirect_Equations.VEERG_4_5_1_3__7_NitrogenTransferredToStage2MMS(O123,$E147,$E158)</f>
        <v>533.92200000000014</v>
      </c>
      <c r="P169" s="50" cm="1">
        <f t="array" aca="1" ref="P169" ca="1">MMS_Swine_N2ODirect_Equations.VEERG_4_5_1_3__7_NitrogenTransferredToStage2MMS(P123,$E147,$E158)</f>
        <v>568.74300000000028</v>
      </c>
      <c r="Q169" s="50" cm="1">
        <f t="array" aca="1" ref="Q169" ca="1">MMS_Swine_N2ODirect_Equations.VEERG_4_5_1_3__7_NitrogenTransferredToStage2MMS(Q123,$E147,$E158)</f>
        <v>533.92200000000014</v>
      </c>
      <c r="R169" s="50" cm="1">
        <f t="array" aca="1" ref="R169" ca="1">MMS_Swine_N2ODirect_Equations.VEERG_4_5_1_3__7_NitrogenTransferredToStage2MMS(R123,$E147,$E158)</f>
        <v>362.13840000000016</v>
      </c>
      <c r="S169" s="2"/>
    </row>
    <row r="170" spans="1:21" ht="20" customHeight="1" x14ac:dyDescent="0.25"/>
    <row r="171" spans="1:21" ht="20" customHeight="1" x14ac:dyDescent="0.25">
      <c r="A171" s="137" t="str">
        <f>HYPERLINK("#A1", "▲ Back to top")</f>
        <v>▲ Back to top</v>
      </c>
    </row>
    <row r="172" spans="1:21" ht="20" customHeight="1" x14ac:dyDescent="0.25">
      <c r="C172" s="43"/>
      <c r="D172" s="43"/>
      <c r="E172" s="43"/>
      <c r="F172" s="43"/>
      <c r="G172" s="43"/>
      <c r="H172" s="43"/>
      <c r="I172" s="43"/>
      <c r="J172" s="43"/>
      <c r="K172" s="43"/>
      <c r="M172" s="43"/>
      <c r="N172" s="43"/>
      <c r="O172" s="43"/>
      <c r="P172" s="43"/>
      <c r="Q172" s="43"/>
      <c r="R172" s="43"/>
      <c r="S172" s="43"/>
      <c r="T172" s="43"/>
      <c r="U172" s="43"/>
    </row>
    <row r="173" spans="1:21" ht="20" customHeight="1" x14ac:dyDescent="0.25">
      <c r="D173" s="6" t="str" cm="1">
        <f t="array" ref="D173">MMS_Swine_N2ODirect_Equations.VEERG_4_5_1_3__6_Stage2NitrogenInMMS_Title()</f>
        <v>Nitrogen in treatment stage 2 MMS</v>
      </c>
    </row>
    <row r="174" spans="1:21" ht="20" customHeight="1" x14ac:dyDescent="0.25">
      <c r="D174" s="5" t="str" cm="1">
        <f t="array" ref="D174">MMS_Swine_N2ODirect_Equations.VEERG_4_5_1_3__6_Stage2NitrogenInMMS_Source()</f>
        <v>VEERG 2026: 4.5.1.3, Equation (6)</v>
      </c>
    </row>
    <row r="175" spans="1:21" ht="20" customHeight="1" x14ac:dyDescent="0.25">
      <c r="D175" s="13" t="s">
        <v>23</v>
      </c>
      <c r="E175" s="13" t="str" cm="1">
        <f t="array" aca="1" ref="E175" ca="1">Common_InputFunctions.Utility_DisplayFunctionName(F217)</f>
        <v>=MMS_Swine_N2ODirect_Equations.VEERG_4_5_1_3__6_Stage2NitrogenInMMS</v>
      </c>
    </row>
    <row r="176" spans="1:21" ht="20" customHeight="1" x14ac:dyDescent="0.25"/>
    <row r="177" spans="4:10" ht="20" customHeight="1" x14ac:dyDescent="0.25"/>
    <row r="178" spans="4:10" ht="20" customHeight="1" x14ac:dyDescent="0.25">
      <c r="D178" s="51" t="s">
        <v>26</v>
      </c>
      <c r="E178" s="1" t="str" cm="1">
        <f t="array" ref="E178">MMS_Swine_N2ODirect_Equations.VEERG_4_5_1_3__6_Stage2NitrogenInMMS_Variable()</f>
        <v>MN_jmT2</v>
      </c>
    </row>
    <row r="179" spans="4:10" ht="20" customHeight="1" x14ac:dyDescent="0.25">
      <c r="D179" s="51" t="s">
        <v>16</v>
      </c>
      <c r="E179" s="52" t="str" cm="1">
        <f t="array" ref="E179">MMS_Swine_N2ODirect_Equations.VEERG_4_5_1_3__6_Stage2NitrogenInMMS_Unit()</f>
        <v>kg N</v>
      </c>
    </row>
    <row r="180" spans="4:10" ht="20" customHeight="1" x14ac:dyDescent="0.25"/>
    <row r="181" spans="4:10" ht="20" customHeight="1" x14ac:dyDescent="0.25">
      <c r="D181" s="101" t="str" cm="1">
        <f t="array" ref="D181:E182">Common_InputFunctions.Utility_DisplayArguments_1_2(MMS_Swine_N2ODirect_Equations.VEERG_4_5_1_3__6_Stage2NitrogenInMMS_Arguments())</f>
        <v>NT_jmT2</v>
      </c>
      <c r="E181" s="103" t="str">
        <v>nitrogen transferred to secondary treatment MMS</v>
      </c>
      <c r="F181" s="102"/>
      <c r="G181" s="132" t="str" cm="1">
        <f t="array" ref="G181:H182">Common_InputFunctions.Utility_DisplayArguments_3_4(MMS_Swine_N2ODirect_Equations.VEERG_4_5_1_3__6_Stage2NitrogenInMMS_Arguments())</f>
        <v>kg N</v>
      </c>
      <c r="H181" s="127" t="str">
        <v>Calculated from 4.5.1.3 (7)</v>
      </c>
      <c r="I181" s="131" t="str" cm="1">
        <f t="array" aca="1" ref="I181" ca="1">HYPERLINK(Common_InputFunctions.Utility_SourceHyperlink(D161), D161)</f>
        <v>M1_Table_NT_j_m_T-2</v>
      </c>
    </row>
    <row r="182" spans="4:10" ht="20" customHeight="1" x14ac:dyDescent="0.25">
      <c r="D182" s="101" t="str">
        <v>MMS_jmT2</v>
      </c>
      <c r="E182" s="103" t="str">
        <v>fraction of manure in each secondary system</v>
      </c>
      <c r="F182" s="102"/>
      <c r="G182" s="132" t="str">
        <v>fraction</v>
      </c>
      <c r="H182" s="128" t="str">
        <v>Input</v>
      </c>
      <c r="I182" s="131" t="str" cm="1">
        <f t="array" aca="1" ref="I182" ca="1">HYPERLINK(Common_InputFunctions.Utility_SourceHyperlink(D184), D184)</f>
        <v>Table_MMS_j_m_T-2</v>
      </c>
    </row>
    <row r="183" spans="4:10" ht="20" customHeight="1" x14ac:dyDescent="0.25"/>
    <row r="184" spans="4:10" ht="20" customHeight="1" x14ac:dyDescent="0.25">
      <c r="D184" s="113" t="s">
        <v>161</v>
      </c>
    </row>
    <row r="185" spans="4:10" ht="20" customHeight="1" x14ac:dyDescent="0.25">
      <c r="D185" s="114" t="s">
        <v>162</v>
      </c>
    </row>
    <row r="186" spans="4:10" ht="20" customHeight="1" x14ac:dyDescent="0.25">
      <c r="D186" s="111" t="s">
        <v>155</v>
      </c>
      <c r="E186" s="111" t="s">
        <v>163</v>
      </c>
      <c r="F186" s="111" t="s">
        <v>134</v>
      </c>
      <c r="G186" s="111" t="s">
        <v>135</v>
      </c>
      <c r="H186" s="111" t="s">
        <v>136</v>
      </c>
      <c r="I186" s="111" t="s">
        <v>192</v>
      </c>
    </row>
    <row r="187" spans="4:10" ht="20" customHeight="1" x14ac:dyDescent="0.25">
      <c r="D187" s="55" t="str">
        <f>INDEX(X_Table_Swine_Stage1MMS_AnaerobicLagoon,2,1)</f>
        <v>Anaerobic lagoon</v>
      </c>
      <c r="E187" s="101" t="str" cm="1">
        <f t="array" aca="1" ref="E187:I190" ca="1">OFFSET(X_Table_Swine_Stage2MMS_From_AnaerobicLagoon,1,0,4,5)</f>
        <v>Digester / covered lagoons</v>
      </c>
      <c r="F187" s="50">
        <f ca="1"/>
        <v>0.2</v>
      </c>
      <c r="G187" s="50">
        <f ca="1"/>
        <v>0.25</v>
      </c>
      <c r="H187" s="50">
        <f ca="1"/>
        <v>0.25</v>
      </c>
      <c r="I187" s="50">
        <f ca="1"/>
        <v>0.25</v>
      </c>
      <c r="J187" s="2" t="str">
        <f>G182</f>
        <v>fraction</v>
      </c>
    </row>
    <row r="188" spans="4:10" ht="20" customHeight="1" x14ac:dyDescent="0.25">
      <c r="D188" s="55"/>
      <c r="E188" s="101" t="str">
        <f ca="1"/>
        <v>Deep litter</v>
      </c>
      <c r="F188" s="50">
        <f ca="1"/>
        <v>0.2</v>
      </c>
      <c r="G188" s="50">
        <f ca="1"/>
        <v>0.25</v>
      </c>
      <c r="H188" s="50">
        <f ca="1"/>
        <v>0.25</v>
      </c>
      <c r="I188" s="50">
        <f ca="1"/>
        <v>0.25</v>
      </c>
      <c r="J188" s="2"/>
    </row>
    <row r="189" spans="4:10" ht="20" customHeight="1" x14ac:dyDescent="0.25">
      <c r="D189" s="55"/>
      <c r="E189" s="101" t="str">
        <f ca="1"/>
        <v>Pit storage</v>
      </c>
      <c r="F189" s="50">
        <f ca="1"/>
        <v>0.2</v>
      </c>
      <c r="G189" s="50">
        <f ca="1"/>
        <v>0.25</v>
      </c>
      <c r="H189" s="50">
        <f ca="1"/>
        <v>0.25</v>
      </c>
      <c r="I189" s="50">
        <f ca="1"/>
        <v>0.25</v>
      </c>
      <c r="J189" s="2"/>
    </row>
    <row r="190" spans="4:10" ht="20" customHeight="1" x14ac:dyDescent="0.25">
      <c r="D190" s="55"/>
      <c r="E190" s="55" t="str">
        <f ca="1"/>
        <v>Direct application</v>
      </c>
      <c r="F190" s="50">
        <f ca="1"/>
        <v>0.39999999999999991</v>
      </c>
      <c r="G190" s="50">
        <f ca="1"/>
        <v>0.25</v>
      </c>
      <c r="H190" s="50">
        <f ca="1"/>
        <v>0.25</v>
      </c>
      <c r="I190" s="50">
        <f ca="1"/>
        <v>0.25</v>
      </c>
      <c r="J190" s="2"/>
    </row>
    <row r="191" spans="4:10" ht="20" customHeight="1" x14ac:dyDescent="0.25">
      <c r="D191" s="55" t="str">
        <f>INDEX(X_Table_Swine_Stage1MMS_Drylot,2,1)</f>
        <v>Drylot (feed pad)</v>
      </c>
      <c r="E191" s="101" t="str" cm="1">
        <f t="array" aca="1" ref="E191:I195" ca="1">OFFSET(X_Table_Swine_Stage2MMS_From_Drylot,1,0,5,5)</f>
        <v>Anaerobic lagoon</v>
      </c>
      <c r="F191" s="50">
        <f ca="1"/>
        <v>0.2</v>
      </c>
      <c r="G191" s="50">
        <f ca="1"/>
        <v>0.25</v>
      </c>
      <c r="H191" s="50">
        <f ca="1"/>
        <v>0.25</v>
      </c>
      <c r="I191" s="50">
        <f ca="1"/>
        <v>0.25</v>
      </c>
      <c r="J191" s="2"/>
    </row>
    <row r="192" spans="4:10" ht="20" customHeight="1" x14ac:dyDescent="0.25">
      <c r="D192" s="55"/>
      <c r="E192" s="101" t="str">
        <f ca="1"/>
        <v>Digester / covered lagoons</v>
      </c>
      <c r="F192" s="50">
        <f ca="1"/>
        <v>0.2</v>
      </c>
      <c r="G192" s="50">
        <f ca="1"/>
        <v>0.25</v>
      </c>
      <c r="H192" s="50">
        <f ca="1"/>
        <v>0.25</v>
      </c>
      <c r="I192" s="50">
        <f ca="1"/>
        <v>0.25</v>
      </c>
      <c r="J192" s="2"/>
    </row>
    <row r="193" spans="4:10" ht="20" customHeight="1" x14ac:dyDescent="0.25">
      <c r="D193" s="55"/>
      <c r="E193" s="101" t="str">
        <f ca="1"/>
        <v>Deep litter</v>
      </c>
      <c r="F193" s="50">
        <f ca="1"/>
        <v>0.2</v>
      </c>
      <c r="G193" s="50">
        <f ca="1"/>
        <v>0.25</v>
      </c>
      <c r="H193" s="50">
        <f ca="1"/>
        <v>0.25</v>
      </c>
      <c r="I193" s="50">
        <f ca="1"/>
        <v>0.25</v>
      </c>
      <c r="J193" s="2"/>
    </row>
    <row r="194" spans="4:10" ht="20" customHeight="1" x14ac:dyDescent="0.25">
      <c r="D194" s="55"/>
      <c r="E194" s="101" t="str">
        <f ca="1"/>
        <v>Pit storage</v>
      </c>
      <c r="F194" s="50">
        <f ca="1"/>
        <v>0.2</v>
      </c>
      <c r="G194" s="50">
        <f ca="1"/>
        <v>0.25</v>
      </c>
      <c r="H194" s="50">
        <f ca="1"/>
        <v>0.25</v>
      </c>
      <c r="I194" s="50">
        <f ca="1"/>
        <v>0.25</v>
      </c>
      <c r="J194" s="2"/>
    </row>
    <row r="195" spans="4:10" ht="20" customHeight="1" x14ac:dyDescent="0.25">
      <c r="D195" s="55"/>
      <c r="E195" s="55" t="str">
        <f ca="1"/>
        <v>Direct application</v>
      </c>
      <c r="F195" s="50">
        <f ca="1"/>
        <v>0.19999999999999996</v>
      </c>
      <c r="G195" s="50">
        <f ca="1"/>
        <v>0</v>
      </c>
      <c r="H195" s="50">
        <f ca="1"/>
        <v>0</v>
      </c>
      <c r="I195" s="50">
        <f ca="1"/>
        <v>0</v>
      </c>
      <c r="J195" s="2"/>
    </row>
    <row r="196" spans="4:10" ht="20" customHeight="1" x14ac:dyDescent="0.25">
      <c r="D196" s="55" t="str">
        <f>INDEX(X_Table_Swine_Stage1MMS_DigesterCoveredLagoons,2,1)</f>
        <v>Digester / covered lagoons</v>
      </c>
      <c r="E196" s="101" t="str" cm="1">
        <f t="array" aca="1" ref="E196:I199" ca="1">OFFSET(X_Table_Swine_Stage2MMS_From_DigesterCoveredLagoons,1,0,4,5)</f>
        <v>Anaerobic lagoon</v>
      </c>
      <c r="F196" s="50">
        <f ca="1"/>
        <v>0.2</v>
      </c>
      <c r="G196" s="50">
        <f ca="1"/>
        <v>0.25</v>
      </c>
      <c r="H196" s="50">
        <f ca="1"/>
        <v>0.25</v>
      </c>
      <c r="I196" s="50">
        <f ca="1"/>
        <v>0.25</v>
      </c>
      <c r="J196" s="2"/>
    </row>
    <row r="197" spans="4:10" ht="20" customHeight="1" x14ac:dyDescent="0.25">
      <c r="D197" s="55"/>
      <c r="E197" s="101" t="str">
        <f ca="1"/>
        <v>Deep litter</v>
      </c>
      <c r="F197" s="50">
        <f ca="1"/>
        <v>0.2</v>
      </c>
      <c r="G197" s="50">
        <f ca="1"/>
        <v>0.25</v>
      </c>
      <c r="H197" s="50">
        <f ca="1"/>
        <v>0.25</v>
      </c>
      <c r="I197" s="50">
        <f ca="1"/>
        <v>0.25</v>
      </c>
      <c r="J197" s="2"/>
    </row>
    <row r="198" spans="4:10" ht="20" customHeight="1" x14ac:dyDescent="0.25">
      <c r="D198" s="55"/>
      <c r="E198" s="101" t="str">
        <f ca="1"/>
        <v>Pit storage</v>
      </c>
      <c r="F198" s="50">
        <f ca="1"/>
        <v>0.2</v>
      </c>
      <c r="G198" s="50">
        <f ca="1"/>
        <v>0.25</v>
      </c>
      <c r="H198" s="50">
        <f ca="1"/>
        <v>0.25</v>
      </c>
      <c r="I198" s="50">
        <f ca="1"/>
        <v>0.25</v>
      </c>
      <c r="J198" s="2"/>
    </row>
    <row r="199" spans="4:10" ht="20" customHeight="1" x14ac:dyDescent="0.25">
      <c r="D199" s="55"/>
      <c r="E199" s="55" t="str">
        <f ca="1"/>
        <v>Direct application</v>
      </c>
      <c r="F199" s="50">
        <f ca="1"/>
        <v>0.39999999999999991</v>
      </c>
      <c r="G199" s="50">
        <f ca="1"/>
        <v>0.25</v>
      </c>
      <c r="H199" s="50">
        <f ca="1"/>
        <v>0.25</v>
      </c>
      <c r="I199" s="50">
        <f ca="1"/>
        <v>0.25</v>
      </c>
      <c r="J199" s="2"/>
    </row>
    <row r="200" spans="4:10" ht="20" customHeight="1" x14ac:dyDescent="0.25">
      <c r="D200" s="55" t="str">
        <f>INDEX(X_Table_Swine_Stage1MMS_DeepLitter,2,1)</f>
        <v>Deep litter</v>
      </c>
      <c r="E200" s="101" t="str" cm="1">
        <f t="array" aca="1" ref="E200:I203" ca="1">OFFSET(X_Table_Swine_Stage2MMS_From_DeepLitter,1,0,4,5)</f>
        <v>Anaerobic lagoon</v>
      </c>
      <c r="F200" s="50">
        <f ca="1"/>
        <v>0.2</v>
      </c>
      <c r="G200" s="50">
        <f ca="1"/>
        <v>0.25</v>
      </c>
      <c r="H200" s="50">
        <f ca="1"/>
        <v>0.25</v>
      </c>
      <c r="I200" s="50">
        <f ca="1"/>
        <v>0.25</v>
      </c>
      <c r="J200" s="2"/>
    </row>
    <row r="201" spans="4:10" ht="20" customHeight="1" x14ac:dyDescent="0.25">
      <c r="D201" s="55"/>
      <c r="E201" s="101" t="str">
        <f ca="1"/>
        <v>Digester / covered lagoons</v>
      </c>
      <c r="F201" s="50">
        <f ca="1"/>
        <v>0.2</v>
      </c>
      <c r="G201" s="50">
        <f ca="1"/>
        <v>0.25</v>
      </c>
      <c r="H201" s="50">
        <f ca="1"/>
        <v>0.25</v>
      </c>
      <c r="I201" s="50">
        <f ca="1"/>
        <v>0.25</v>
      </c>
      <c r="J201" s="2"/>
    </row>
    <row r="202" spans="4:10" ht="20" customHeight="1" x14ac:dyDescent="0.25">
      <c r="D202" s="55"/>
      <c r="E202" s="101" t="str">
        <f ca="1"/>
        <v>Pit storage</v>
      </c>
      <c r="F202" s="50">
        <f ca="1"/>
        <v>0.2</v>
      </c>
      <c r="G202" s="50">
        <f ca="1"/>
        <v>0.25</v>
      </c>
      <c r="H202" s="50">
        <f ca="1"/>
        <v>0.25</v>
      </c>
      <c r="I202" s="50">
        <f ca="1"/>
        <v>0.25</v>
      </c>
      <c r="J202" s="2"/>
    </row>
    <row r="203" spans="4:10" ht="20" customHeight="1" x14ac:dyDescent="0.25">
      <c r="D203" s="55"/>
      <c r="E203" s="55" t="str">
        <f ca="1"/>
        <v>Direct application</v>
      </c>
      <c r="F203" s="50">
        <f ca="1"/>
        <v>0.39999999999999991</v>
      </c>
      <c r="G203" s="50">
        <f ca="1"/>
        <v>0.25</v>
      </c>
      <c r="H203" s="50">
        <f ca="1"/>
        <v>0.25</v>
      </c>
      <c r="I203" s="50">
        <f ca="1"/>
        <v>0.25</v>
      </c>
      <c r="J203" s="2"/>
    </row>
    <row r="204" spans="4:10" ht="20" customHeight="1" x14ac:dyDescent="0.25">
      <c r="D204" s="55" t="str">
        <f>INDEX(X_Table_Swine_Stage1MMS_PitStorage,2,1)</f>
        <v>Pit storage</v>
      </c>
      <c r="E204" s="101" t="str" cm="1">
        <f t="array" aca="1" ref="E204:I207" ca="1">OFFSET(X_Table_Swine_Stage2MMS_From_PitStorage,1,0,4,5)</f>
        <v>Anaerobic lagoon</v>
      </c>
      <c r="F204" s="50">
        <f ca="1"/>
        <v>0.2</v>
      </c>
      <c r="G204" s="50">
        <f ca="1"/>
        <v>0.25</v>
      </c>
      <c r="H204" s="50">
        <f ca="1"/>
        <v>0.25</v>
      </c>
      <c r="I204" s="50">
        <f ca="1"/>
        <v>0.25</v>
      </c>
      <c r="J204" s="2"/>
    </row>
    <row r="205" spans="4:10" ht="20" customHeight="1" x14ac:dyDescent="0.25">
      <c r="D205" s="55"/>
      <c r="E205" s="101" t="str">
        <f ca="1"/>
        <v>Digester / covered lagoons</v>
      </c>
      <c r="F205" s="50">
        <f ca="1"/>
        <v>0.2</v>
      </c>
      <c r="G205" s="50">
        <f ca="1"/>
        <v>0.25</v>
      </c>
      <c r="H205" s="50">
        <f ca="1"/>
        <v>0.25</v>
      </c>
      <c r="I205" s="50">
        <f ca="1"/>
        <v>0.25</v>
      </c>
      <c r="J205" s="2"/>
    </row>
    <row r="206" spans="4:10" ht="20" customHeight="1" x14ac:dyDescent="0.25">
      <c r="D206" s="55"/>
      <c r="E206" s="101" t="str">
        <f ca="1"/>
        <v>Deep litter</v>
      </c>
      <c r="F206" s="50">
        <f ca="1"/>
        <v>0.2</v>
      </c>
      <c r="G206" s="50">
        <f ca="1"/>
        <v>0.25</v>
      </c>
      <c r="H206" s="50">
        <f ca="1"/>
        <v>0.25</v>
      </c>
      <c r="I206" s="50">
        <f ca="1"/>
        <v>0.25</v>
      </c>
      <c r="J206" s="2"/>
    </row>
    <row r="207" spans="4:10" ht="20" customHeight="1" x14ac:dyDescent="0.25">
      <c r="D207" s="55"/>
      <c r="E207" s="55" t="str">
        <f ca="1"/>
        <v>Direct application</v>
      </c>
      <c r="F207" s="50">
        <f ca="1"/>
        <v>0.39999999999999991</v>
      </c>
      <c r="G207" s="50">
        <f ca="1"/>
        <v>0.25</v>
      </c>
      <c r="H207" s="50">
        <f ca="1"/>
        <v>0.25</v>
      </c>
      <c r="I207" s="50">
        <f ca="1"/>
        <v>0.25</v>
      </c>
      <c r="J207" s="2"/>
    </row>
    <row r="208" spans="4:10" ht="20" customHeight="1" x14ac:dyDescent="0.25">
      <c r="D208" s="55" t="s">
        <v>343</v>
      </c>
      <c r="E208" s="101" t="str" cm="1">
        <f t="array" aca="1" ref="E208:I212" ca="1">OFFSET(X_Table_Swine_Stage2MMS_From_SolidStorage,1,0,5,5)</f>
        <v>Anaerobic lagoon</v>
      </c>
      <c r="F208" s="50">
        <f ca="1"/>
        <v>0.2</v>
      </c>
      <c r="G208" s="50">
        <f ca="1"/>
        <v>0.2</v>
      </c>
      <c r="H208" s="50">
        <f ca="1"/>
        <v>0.2</v>
      </c>
      <c r="I208" s="50">
        <f ca="1"/>
        <v>0.2</v>
      </c>
      <c r="J208" s="2"/>
    </row>
    <row r="209" spans="4:20" ht="20" customHeight="1" x14ac:dyDescent="0.25">
      <c r="D209" s="55"/>
      <c r="E209" s="101" t="str">
        <f ca="1"/>
        <v>Digester / covered lagoons</v>
      </c>
      <c r="F209" s="50">
        <f ca="1"/>
        <v>0.2</v>
      </c>
      <c r="G209" s="50">
        <f ca="1"/>
        <v>0.2</v>
      </c>
      <c r="H209" s="50">
        <f ca="1"/>
        <v>0.2</v>
      </c>
      <c r="I209" s="50">
        <f ca="1"/>
        <v>0.2</v>
      </c>
      <c r="J209" s="2"/>
    </row>
    <row r="210" spans="4:20" ht="20" customHeight="1" x14ac:dyDescent="0.25">
      <c r="D210" s="55"/>
      <c r="E210" s="101" t="str">
        <f ca="1"/>
        <v>Deep litter</v>
      </c>
      <c r="F210" s="50">
        <f ca="1"/>
        <v>0.2</v>
      </c>
      <c r="G210" s="50">
        <f ca="1"/>
        <v>0.2</v>
      </c>
      <c r="H210" s="50">
        <f ca="1"/>
        <v>0.2</v>
      </c>
      <c r="I210" s="50">
        <f ca="1"/>
        <v>0.2</v>
      </c>
      <c r="J210" s="2"/>
    </row>
    <row r="211" spans="4:20" ht="20" customHeight="1" x14ac:dyDescent="0.25">
      <c r="D211" s="55"/>
      <c r="E211" s="101" t="str">
        <f ca="1"/>
        <v>Pit storage</v>
      </c>
      <c r="F211" s="50">
        <f ca="1"/>
        <v>0.1</v>
      </c>
      <c r="G211" s="50">
        <f ca="1"/>
        <v>0.1</v>
      </c>
      <c r="H211" s="50">
        <f ca="1"/>
        <v>0.1</v>
      </c>
      <c r="I211" s="50">
        <f ca="1"/>
        <v>0.1</v>
      </c>
      <c r="J211" s="2"/>
    </row>
    <row r="212" spans="4:20" ht="20" customHeight="1" x14ac:dyDescent="0.25">
      <c r="D212" s="55"/>
      <c r="E212" s="55" t="str">
        <f ca="1"/>
        <v>Direct application</v>
      </c>
      <c r="F212" s="50">
        <f ca="1"/>
        <v>0.29999999999999993</v>
      </c>
      <c r="G212" s="50">
        <f ca="1"/>
        <v>0.29999999999999993</v>
      </c>
      <c r="H212" s="50">
        <f ca="1"/>
        <v>0.29999999999999993</v>
      </c>
      <c r="I212" s="50">
        <f ca="1"/>
        <v>0.29999999999999993</v>
      </c>
      <c r="J212" s="2"/>
    </row>
    <row r="213" spans="4:20" ht="20" customHeight="1" x14ac:dyDescent="0.25"/>
    <row r="214" spans="4:20" ht="20" customHeight="1" x14ac:dyDescent="0.25">
      <c r="D214" s="113" t="s">
        <v>244</v>
      </c>
      <c r="N214" s="113" t="s">
        <v>300</v>
      </c>
    </row>
    <row r="215" spans="4:20" ht="20" customHeight="1" x14ac:dyDescent="0.25">
      <c r="D215" s="114" t="s">
        <v>245</v>
      </c>
      <c r="N215" s="114" t="s">
        <v>301</v>
      </c>
    </row>
    <row r="216" spans="4:20" ht="20" customHeight="1" x14ac:dyDescent="0.25">
      <c r="D216" s="49" t="s">
        <v>155</v>
      </c>
      <c r="E216" s="49" t="s">
        <v>163</v>
      </c>
      <c r="F216" s="49" t="s">
        <v>134</v>
      </c>
      <c r="G216" s="49" t="s">
        <v>135</v>
      </c>
      <c r="H216" s="49" t="s">
        <v>136</v>
      </c>
      <c r="I216" s="49" t="s">
        <v>192</v>
      </c>
      <c r="N216" s="49" t="s">
        <v>155</v>
      </c>
      <c r="O216" s="49" t="s">
        <v>163</v>
      </c>
      <c r="P216" s="49" t="s">
        <v>134</v>
      </c>
      <c r="Q216" s="49" t="s">
        <v>135</v>
      </c>
      <c r="R216" s="49" t="s">
        <v>136</v>
      </c>
      <c r="S216" s="49" t="s">
        <v>192</v>
      </c>
    </row>
    <row r="217" spans="4:20" ht="20" customHeight="1" x14ac:dyDescent="0.25">
      <c r="D217" s="55" t="str">
        <f>INDEX(X_Table_Swine_Stage1MMS_AnaerobicLagoon,2,1)</f>
        <v>Anaerobic lagoon</v>
      </c>
      <c r="E217" s="55" t="str">
        <f>INDEX(X_Table_Swine_Stage2MMS_From_AnaerobicLagoon,2,1)</f>
        <v>Digester / covered lagoons</v>
      </c>
      <c r="F217" s="50" cm="1">
        <f t="array" aca="1" ref="F217" ca="1">MMS_Swine_N2ODirect_Equations.VEERG_4_5_1_3__6_Stage2NitrogenInMMS(E$164,F187)</f>
        <v>18.133199999999995</v>
      </c>
      <c r="G217" s="50" cm="1">
        <f t="array" aca="1" ref="G217" ca="1">MMS_Swine_N2ODirect_Equations.VEERG_4_5_1_3__6_Stage2NitrogenInMMS(F$164,G187)</f>
        <v>24.144750000000002</v>
      </c>
      <c r="H217" s="50" cm="1">
        <f t="array" aca="1" ref="H217" ca="1">MMS_Swine_N2ODirect_Equations.VEERG_4_5_1_3__6_Stage2NitrogenInMMS(G$164,H187)</f>
        <v>22.666499999999992</v>
      </c>
      <c r="I217" s="50" cm="1">
        <f t="array" aca="1" ref="I217" ca="1">MMS_Swine_N2ODirect_Equations.VEERG_4_5_1_3__6_Stage2NitrogenInMMS(H$164,I187)</f>
        <v>15.373799999999996</v>
      </c>
      <c r="J217" s="2" t="str">
        <f>$E$179</f>
        <v>kg N</v>
      </c>
      <c r="N217" s="55" t="str">
        <f>INDEX(X_Table_Swine_Stage1MMS_AnaerobicLagoon,2,1)</f>
        <v>Anaerobic lagoon</v>
      </c>
      <c r="O217" s="55" t="str">
        <f>INDEX(X_Table_Swine_Stage2MMS_From_AnaerobicLagoon,2,1)</f>
        <v>Digester / covered lagoons</v>
      </c>
      <c r="P217" s="50" cm="1">
        <f t="array" aca="1" ref="P217" ca="1">MMS_Swine_N2ODirect_Equations.VEERG_4_5_1_3__6_Stage2NitrogenInMMS(O$164,F187)</f>
        <v>18.133199999999995</v>
      </c>
      <c r="Q217" s="50" cm="1">
        <f t="array" aca="1" ref="Q217" ca="1">MMS_Swine_N2ODirect_Equations.VEERG_4_5_1_3__6_Stage2NitrogenInMMS(P$164,G187)</f>
        <v>24.144750000000002</v>
      </c>
      <c r="R217" s="50" cm="1">
        <f t="array" aca="1" ref="R217" ca="1">MMS_Swine_N2ODirect_Equations.VEERG_4_5_1_3__6_Stage2NitrogenInMMS(Q$164,H187)</f>
        <v>22.666499999999992</v>
      </c>
      <c r="S217" s="50" cm="1">
        <f t="array" aca="1" ref="S217" ca="1">MMS_Swine_N2ODirect_Equations.VEERG_4_5_1_3__6_Stage2NitrogenInMMS(R$164,I187)</f>
        <v>15.373799999999996</v>
      </c>
      <c r="T217" s="2" t="str">
        <f>$E$179</f>
        <v>kg N</v>
      </c>
    </row>
    <row r="218" spans="4:20" ht="20" customHeight="1" x14ac:dyDescent="0.25">
      <c r="D218" s="55"/>
      <c r="E218" s="55" t="str">
        <f>INDEX(X_Table_Swine_Stage2MMS_From_AnaerobicLagoon,3,1)</f>
        <v>Deep litter</v>
      </c>
      <c r="F218" s="50" cm="1">
        <f t="array" aca="1" ref="F218" ca="1">MMS_Swine_N2ODirect_Equations.VEERG_4_5_1_3__6_Stage2NitrogenInMMS(E$164,F188)</f>
        <v>18.133199999999995</v>
      </c>
      <c r="G218" s="50" cm="1">
        <f t="array" aca="1" ref="G218" ca="1">MMS_Swine_N2ODirect_Equations.VEERG_4_5_1_3__6_Stage2NitrogenInMMS(F$164,G188)</f>
        <v>24.144750000000002</v>
      </c>
      <c r="H218" s="50" cm="1">
        <f t="array" aca="1" ref="H218" ca="1">MMS_Swine_N2ODirect_Equations.VEERG_4_5_1_3__6_Stage2NitrogenInMMS(G$164,H188)</f>
        <v>22.666499999999992</v>
      </c>
      <c r="I218" s="50" cm="1">
        <f t="array" aca="1" ref="I218" ca="1">MMS_Swine_N2ODirect_Equations.VEERG_4_5_1_3__6_Stage2NitrogenInMMS(H$164,I188)</f>
        <v>15.373799999999996</v>
      </c>
      <c r="J218" s="2"/>
      <c r="N218" s="55"/>
      <c r="O218" s="55" t="str">
        <f>INDEX(X_Table_Swine_Stage2MMS_From_AnaerobicLagoon,3,1)</f>
        <v>Deep litter</v>
      </c>
      <c r="P218" s="50" cm="1">
        <f t="array" aca="1" ref="P218" ca="1">MMS_Swine_N2ODirect_Equations.VEERG_4_5_1_3__6_Stage2NitrogenInMMS(O$164,F188)</f>
        <v>18.133199999999995</v>
      </c>
      <c r="Q218" s="50" cm="1">
        <f t="array" aca="1" ref="Q218" ca="1">MMS_Swine_N2ODirect_Equations.VEERG_4_5_1_3__6_Stage2NitrogenInMMS(P$164,G188)</f>
        <v>24.144750000000002</v>
      </c>
      <c r="R218" s="50" cm="1">
        <f t="array" aca="1" ref="R218" ca="1">MMS_Swine_N2ODirect_Equations.VEERG_4_5_1_3__6_Stage2NitrogenInMMS(Q$164,H188)</f>
        <v>22.666499999999992</v>
      </c>
      <c r="S218" s="50" cm="1">
        <f t="array" aca="1" ref="S218" ca="1">MMS_Swine_N2ODirect_Equations.VEERG_4_5_1_3__6_Stage2NitrogenInMMS(R$164,I188)</f>
        <v>15.373799999999996</v>
      </c>
      <c r="T218" s="2"/>
    </row>
    <row r="219" spans="4:20" ht="20" customHeight="1" x14ac:dyDescent="0.25">
      <c r="D219" s="55"/>
      <c r="E219" s="55" t="str">
        <f>INDEX(X_Table_Swine_Stage2MMS_From_AnaerobicLagoon,4,1)</f>
        <v>Pit storage</v>
      </c>
      <c r="F219" s="50" cm="1">
        <f t="array" aca="1" ref="F219" ca="1">MMS_Swine_N2ODirect_Equations.VEERG_4_5_1_3__6_Stage2NitrogenInMMS(E$164,F189)</f>
        <v>18.133199999999995</v>
      </c>
      <c r="G219" s="50" cm="1">
        <f t="array" aca="1" ref="G219" ca="1">MMS_Swine_N2ODirect_Equations.VEERG_4_5_1_3__6_Stage2NitrogenInMMS(F$164,G189)</f>
        <v>24.144750000000002</v>
      </c>
      <c r="H219" s="50" cm="1">
        <f t="array" aca="1" ref="H219" ca="1">MMS_Swine_N2ODirect_Equations.VEERG_4_5_1_3__6_Stage2NitrogenInMMS(G$164,H189)</f>
        <v>22.666499999999992</v>
      </c>
      <c r="I219" s="50" cm="1">
        <f t="array" aca="1" ref="I219" ca="1">MMS_Swine_N2ODirect_Equations.VEERG_4_5_1_3__6_Stage2NitrogenInMMS(H$164,I189)</f>
        <v>15.373799999999996</v>
      </c>
      <c r="J219" s="2"/>
      <c r="N219" s="55"/>
      <c r="O219" s="55" t="str">
        <f>INDEX(X_Table_Swine_Stage2MMS_From_AnaerobicLagoon,4,1)</f>
        <v>Pit storage</v>
      </c>
      <c r="P219" s="50" cm="1">
        <f t="array" aca="1" ref="P219" ca="1">MMS_Swine_N2ODirect_Equations.VEERG_4_5_1_3__6_Stage2NitrogenInMMS(O$164,F189)</f>
        <v>18.133199999999995</v>
      </c>
      <c r="Q219" s="50" cm="1">
        <f t="array" aca="1" ref="Q219" ca="1">MMS_Swine_N2ODirect_Equations.VEERG_4_5_1_3__6_Stage2NitrogenInMMS(P$164,G189)</f>
        <v>24.144750000000002</v>
      </c>
      <c r="R219" s="50" cm="1">
        <f t="array" aca="1" ref="R219" ca="1">MMS_Swine_N2ODirect_Equations.VEERG_4_5_1_3__6_Stage2NitrogenInMMS(Q$164,H189)</f>
        <v>22.666499999999992</v>
      </c>
      <c r="S219" s="50" cm="1">
        <f t="array" aca="1" ref="S219" ca="1">MMS_Swine_N2ODirect_Equations.VEERG_4_5_1_3__6_Stage2NitrogenInMMS(R$164,I189)</f>
        <v>15.373799999999996</v>
      </c>
      <c r="T219" s="2"/>
    </row>
    <row r="220" spans="4:20" ht="20" customHeight="1" x14ac:dyDescent="0.25">
      <c r="D220" s="55"/>
      <c r="E220" s="55" t="str">
        <f>INDEX(X_Table_Swine_Stage2MMS_From_AnaerobicLagoon,5,1)</f>
        <v>Direct application</v>
      </c>
      <c r="F220" s="50" cm="1">
        <f t="array" aca="1" ref="F220" ca="1">MMS_Swine_N2ODirect_Equations.VEERG_4_5_1_3__6_Stage2NitrogenInMMS(E$164,F190)</f>
        <v>36.266399999999976</v>
      </c>
      <c r="G220" s="50" cm="1">
        <f t="array" aca="1" ref="G220" ca="1">MMS_Swine_N2ODirect_Equations.VEERG_4_5_1_3__6_Stage2NitrogenInMMS(F$164,G190)</f>
        <v>24.144750000000002</v>
      </c>
      <c r="H220" s="50" cm="1">
        <f t="array" aca="1" ref="H220" ca="1">MMS_Swine_N2ODirect_Equations.VEERG_4_5_1_3__6_Stage2NitrogenInMMS(G$164,H190)</f>
        <v>22.666499999999992</v>
      </c>
      <c r="I220" s="50" cm="1">
        <f t="array" aca="1" ref="I220" ca="1">MMS_Swine_N2ODirect_Equations.VEERG_4_5_1_3__6_Stage2NitrogenInMMS(H$164,I190)</f>
        <v>15.373799999999996</v>
      </c>
      <c r="J220" s="2"/>
      <c r="N220" s="55"/>
      <c r="O220" s="55" t="str">
        <f>INDEX(X_Table_Swine_Stage2MMS_From_AnaerobicLagoon,5,1)</f>
        <v>Direct application</v>
      </c>
      <c r="P220" s="50" cm="1">
        <f t="array" aca="1" ref="P220" ca="1">MMS_Swine_N2ODirect_Equations.VEERG_4_5_1_3__6_Stage2NitrogenInMMS(O$164,F190)</f>
        <v>36.266399999999976</v>
      </c>
      <c r="Q220" s="50" cm="1">
        <f t="array" aca="1" ref="Q220" ca="1">MMS_Swine_N2ODirect_Equations.VEERG_4_5_1_3__6_Stage2NitrogenInMMS(P$164,G190)</f>
        <v>24.144750000000002</v>
      </c>
      <c r="R220" s="50" cm="1">
        <f t="array" aca="1" ref="R220" ca="1">MMS_Swine_N2ODirect_Equations.VEERG_4_5_1_3__6_Stage2NitrogenInMMS(Q$164,H190)</f>
        <v>22.666499999999992</v>
      </c>
      <c r="S220" s="50" cm="1">
        <f t="array" aca="1" ref="S220" ca="1">MMS_Swine_N2ODirect_Equations.VEERG_4_5_1_3__6_Stage2NitrogenInMMS(R$164,I190)</f>
        <v>15.373799999999996</v>
      </c>
      <c r="T220" s="2"/>
    </row>
    <row r="221" spans="4:20" ht="20" customHeight="1" x14ac:dyDescent="0.25">
      <c r="D221" s="55" t="str">
        <f>INDEX(X_Table_Swine_Stage1MMS_Drylot,2,1)</f>
        <v>Drylot (feed pad)</v>
      </c>
      <c r="E221" s="55" t="str">
        <f>INDEX(X_Table_Swine_Stage2MMS_From_Drylot,2,1)</f>
        <v>Anaerobic lagoon</v>
      </c>
      <c r="F221" s="50" cm="1">
        <f t="array" aca="1" ref="F221" ca="1">MMS_Swine_N2ODirect_Equations.VEERG_4_5_1_3__6_Stage2NitrogenInMMS(E$165,F191)</f>
        <v>27.401279999999993</v>
      </c>
      <c r="G221" s="50" cm="1">
        <f t="array" aca="1" ref="G221" ca="1">MMS_Swine_N2ODirect_Equations.VEERG_4_5_1_3__6_Stage2NitrogenInMMS(F$165,G191)</f>
        <v>36.485400000000006</v>
      </c>
      <c r="H221" s="50" cm="1">
        <f t="array" aca="1" ref="H221" ca="1">MMS_Swine_N2ODirect_Equations.VEERG_4_5_1_3__6_Stage2NitrogenInMMS(G$165,H191)</f>
        <v>34.251599999999989</v>
      </c>
      <c r="I221" s="50" cm="1">
        <f t="array" aca="1" ref="I221" ca="1">MMS_Swine_N2ODirect_Equations.VEERG_4_5_1_3__6_Stage2NitrogenInMMS(H$165,I191)</f>
        <v>23.231519999999993</v>
      </c>
      <c r="J221" s="2"/>
      <c r="N221" s="55" t="str">
        <f>INDEX(X_Table_Swine_Stage1MMS_Drylot,2,1)</f>
        <v>Drylot (feed pad)</v>
      </c>
      <c r="O221" s="55" t="str">
        <f>INDEX(X_Table_Swine_Stage2MMS_From_Drylot,2,1)</f>
        <v>Anaerobic lagoon</v>
      </c>
      <c r="P221" s="50" cm="1">
        <f t="array" aca="1" ref="P221" ca="1">MMS_Swine_N2ODirect_Equations.VEERG_4_5_1_3__6_Stage2NitrogenInMMS(O$165,F191)</f>
        <v>27.401279999999993</v>
      </c>
      <c r="Q221" s="50" cm="1">
        <f t="array" aca="1" ref="Q221" ca="1">MMS_Swine_N2ODirect_Equations.VEERG_4_5_1_3__6_Stage2NitrogenInMMS(P$165,G191)</f>
        <v>36.485400000000006</v>
      </c>
      <c r="R221" s="50" cm="1">
        <f t="array" aca="1" ref="R221" ca="1">MMS_Swine_N2ODirect_Equations.VEERG_4_5_1_3__6_Stage2NitrogenInMMS(Q$165,H191)</f>
        <v>34.251599999999989</v>
      </c>
      <c r="S221" s="50" cm="1">
        <f t="array" aca="1" ref="S221" ca="1">MMS_Swine_N2ODirect_Equations.VEERG_4_5_1_3__6_Stage2NitrogenInMMS(R$165,I191)</f>
        <v>23.231519999999993</v>
      </c>
      <c r="T221" s="2"/>
    </row>
    <row r="222" spans="4:20" ht="20" customHeight="1" x14ac:dyDescent="0.25">
      <c r="D222" s="55"/>
      <c r="E222" s="55" t="str">
        <f>INDEX(X_Table_Swine_Stage2MMS_From_Drylot,3,1)</f>
        <v>Digester / covered lagoons</v>
      </c>
      <c r="F222" s="50" cm="1">
        <f t="array" aca="1" ref="F222" ca="1">MMS_Swine_N2ODirect_Equations.VEERG_4_5_1_3__6_Stage2NitrogenInMMS(E$165,F192)</f>
        <v>27.401279999999993</v>
      </c>
      <c r="G222" s="50" cm="1">
        <f t="array" aca="1" ref="G222" ca="1">MMS_Swine_N2ODirect_Equations.VEERG_4_5_1_3__6_Stage2NitrogenInMMS(F$165,G192)</f>
        <v>36.485400000000006</v>
      </c>
      <c r="H222" s="50" cm="1">
        <f t="array" aca="1" ref="H222" ca="1">MMS_Swine_N2ODirect_Equations.VEERG_4_5_1_3__6_Stage2NitrogenInMMS(G$165,H192)</f>
        <v>34.251599999999989</v>
      </c>
      <c r="I222" s="50" cm="1">
        <f t="array" aca="1" ref="I222" ca="1">MMS_Swine_N2ODirect_Equations.VEERG_4_5_1_3__6_Stage2NitrogenInMMS(H$165,I192)</f>
        <v>23.231519999999993</v>
      </c>
      <c r="J222" s="2"/>
      <c r="N222" s="55"/>
      <c r="O222" s="55" t="str">
        <f>INDEX(X_Table_Swine_Stage2MMS_From_Drylot,3,1)</f>
        <v>Digester / covered lagoons</v>
      </c>
      <c r="P222" s="50" cm="1">
        <f t="array" aca="1" ref="P222" ca="1">MMS_Swine_N2ODirect_Equations.VEERG_4_5_1_3__6_Stage2NitrogenInMMS(O$165,F192)</f>
        <v>27.401279999999993</v>
      </c>
      <c r="Q222" s="50" cm="1">
        <f t="array" aca="1" ref="Q222" ca="1">MMS_Swine_N2ODirect_Equations.VEERG_4_5_1_3__6_Stage2NitrogenInMMS(P$165,G192)</f>
        <v>36.485400000000006</v>
      </c>
      <c r="R222" s="50" cm="1">
        <f t="array" aca="1" ref="R222" ca="1">MMS_Swine_N2ODirect_Equations.VEERG_4_5_1_3__6_Stage2NitrogenInMMS(Q$165,H192)</f>
        <v>34.251599999999989</v>
      </c>
      <c r="S222" s="50" cm="1">
        <f t="array" aca="1" ref="S222" ca="1">MMS_Swine_N2ODirect_Equations.VEERG_4_5_1_3__6_Stage2NitrogenInMMS(R$165,I192)</f>
        <v>23.231519999999993</v>
      </c>
      <c r="T222" s="2"/>
    </row>
    <row r="223" spans="4:20" ht="20" customHeight="1" x14ac:dyDescent="0.25">
      <c r="D223" s="55"/>
      <c r="E223" s="55" t="str">
        <f>INDEX(X_Table_Swine_Stage2MMS_From_Drylot,4,1)</f>
        <v>Deep litter</v>
      </c>
      <c r="F223" s="50" cm="1">
        <f t="array" aca="1" ref="F223" ca="1">MMS_Swine_N2ODirect_Equations.VEERG_4_5_1_3__6_Stage2NitrogenInMMS(E$165,F193)</f>
        <v>27.401279999999993</v>
      </c>
      <c r="G223" s="50" cm="1">
        <f t="array" aca="1" ref="G223" ca="1">MMS_Swine_N2ODirect_Equations.VEERG_4_5_1_3__6_Stage2NitrogenInMMS(F$165,G193)</f>
        <v>36.485400000000006</v>
      </c>
      <c r="H223" s="50" cm="1">
        <f t="array" aca="1" ref="H223" ca="1">MMS_Swine_N2ODirect_Equations.VEERG_4_5_1_3__6_Stage2NitrogenInMMS(G$165,H193)</f>
        <v>34.251599999999989</v>
      </c>
      <c r="I223" s="50" cm="1">
        <f t="array" aca="1" ref="I223" ca="1">MMS_Swine_N2ODirect_Equations.VEERG_4_5_1_3__6_Stage2NitrogenInMMS(H$165,I193)</f>
        <v>23.231519999999993</v>
      </c>
      <c r="J223" s="2"/>
      <c r="N223" s="55"/>
      <c r="O223" s="55" t="str">
        <f>INDEX(X_Table_Swine_Stage2MMS_From_Drylot,4,1)</f>
        <v>Deep litter</v>
      </c>
      <c r="P223" s="50" cm="1">
        <f t="array" aca="1" ref="P223" ca="1">MMS_Swine_N2ODirect_Equations.VEERG_4_5_1_3__6_Stage2NitrogenInMMS(O$165,F193)</f>
        <v>27.401279999999993</v>
      </c>
      <c r="Q223" s="50" cm="1">
        <f t="array" aca="1" ref="Q223" ca="1">MMS_Swine_N2ODirect_Equations.VEERG_4_5_1_3__6_Stage2NitrogenInMMS(P$165,G193)</f>
        <v>36.485400000000006</v>
      </c>
      <c r="R223" s="50" cm="1">
        <f t="array" aca="1" ref="R223" ca="1">MMS_Swine_N2ODirect_Equations.VEERG_4_5_1_3__6_Stage2NitrogenInMMS(Q$165,H193)</f>
        <v>34.251599999999989</v>
      </c>
      <c r="S223" s="50" cm="1">
        <f t="array" aca="1" ref="S223" ca="1">MMS_Swine_N2ODirect_Equations.VEERG_4_5_1_3__6_Stage2NitrogenInMMS(R$165,I193)</f>
        <v>23.231519999999993</v>
      </c>
      <c r="T223" s="2"/>
    </row>
    <row r="224" spans="4:20" ht="20" customHeight="1" x14ac:dyDescent="0.25">
      <c r="D224" s="55"/>
      <c r="E224" s="55" t="str">
        <f>INDEX(X_Table_Swine_Stage2MMS_From_Drylot,5,1)</f>
        <v>Pit storage</v>
      </c>
      <c r="F224" s="50" cm="1">
        <f t="array" aca="1" ref="F224" ca="1">MMS_Swine_N2ODirect_Equations.VEERG_4_5_1_3__6_Stage2NitrogenInMMS(E$165,F194)</f>
        <v>27.401279999999993</v>
      </c>
      <c r="G224" s="50" cm="1">
        <f t="array" aca="1" ref="G224" ca="1">MMS_Swine_N2ODirect_Equations.VEERG_4_5_1_3__6_Stage2NitrogenInMMS(F$165,G194)</f>
        <v>36.485400000000006</v>
      </c>
      <c r="H224" s="50" cm="1">
        <f t="array" aca="1" ref="H224" ca="1">MMS_Swine_N2ODirect_Equations.VEERG_4_5_1_3__6_Stage2NitrogenInMMS(G$165,H194)</f>
        <v>34.251599999999989</v>
      </c>
      <c r="I224" s="50" cm="1">
        <f t="array" aca="1" ref="I224" ca="1">MMS_Swine_N2ODirect_Equations.VEERG_4_5_1_3__6_Stage2NitrogenInMMS(H$165,I194)</f>
        <v>23.231519999999993</v>
      </c>
      <c r="J224" s="2"/>
      <c r="N224" s="55"/>
      <c r="O224" s="55" t="str">
        <f>INDEX(X_Table_Swine_Stage2MMS_From_Drylot,5,1)</f>
        <v>Pit storage</v>
      </c>
      <c r="P224" s="50" cm="1">
        <f t="array" aca="1" ref="P224" ca="1">MMS_Swine_N2ODirect_Equations.VEERG_4_5_1_3__6_Stage2NitrogenInMMS(O$165,F194)</f>
        <v>27.401279999999993</v>
      </c>
      <c r="Q224" s="50" cm="1">
        <f t="array" aca="1" ref="Q224" ca="1">MMS_Swine_N2ODirect_Equations.VEERG_4_5_1_3__6_Stage2NitrogenInMMS(P$165,G194)</f>
        <v>36.485400000000006</v>
      </c>
      <c r="R224" s="50" cm="1">
        <f t="array" aca="1" ref="R224" ca="1">MMS_Swine_N2ODirect_Equations.VEERG_4_5_1_3__6_Stage2NitrogenInMMS(Q$165,H194)</f>
        <v>34.251599999999989</v>
      </c>
      <c r="S224" s="50" cm="1">
        <f t="array" aca="1" ref="S224" ca="1">MMS_Swine_N2ODirect_Equations.VEERG_4_5_1_3__6_Stage2NitrogenInMMS(R$165,I194)</f>
        <v>23.231519999999993</v>
      </c>
      <c r="T224" s="2"/>
    </row>
    <row r="225" spans="4:20" ht="20" customHeight="1" x14ac:dyDescent="0.25">
      <c r="D225" s="55"/>
      <c r="E225" s="55" t="str">
        <f>INDEX(X_Table_Swine_Stage2MMS_From_Drylot,6,1)</f>
        <v>Direct application</v>
      </c>
      <c r="F225" s="50" cm="1">
        <f t="array" aca="1" ref="F225" ca="1">MMS_Swine_N2ODirect_Equations.VEERG_4_5_1_3__6_Stage2NitrogenInMMS(E$165,F195)</f>
        <v>27.401279999999986</v>
      </c>
      <c r="G225" s="50" cm="1">
        <f t="array" aca="1" ref="G225" ca="1">MMS_Swine_N2ODirect_Equations.VEERG_4_5_1_3__6_Stage2NitrogenInMMS(F$165,G195)</f>
        <v>0</v>
      </c>
      <c r="H225" s="50" cm="1">
        <f t="array" aca="1" ref="H225" ca="1">MMS_Swine_N2ODirect_Equations.VEERG_4_5_1_3__6_Stage2NitrogenInMMS(G$165,H195)</f>
        <v>0</v>
      </c>
      <c r="I225" s="50" cm="1">
        <f t="array" aca="1" ref="I225" ca="1">MMS_Swine_N2ODirect_Equations.VEERG_4_5_1_3__6_Stage2NitrogenInMMS(H$165,I195)</f>
        <v>0</v>
      </c>
      <c r="J225" s="2"/>
      <c r="N225" s="55"/>
      <c r="O225" s="55" t="str">
        <f>INDEX(X_Table_Swine_Stage2MMS_From_Drylot,6,1)</f>
        <v>Direct application</v>
      </c>
      <c r="P225" s="50" cm="1">
        <f t="array" aca="1" ref="P225" ca="1">MMS_Swine_N2ODirect_Equations.VEERG_4_5_1_3__6_Stage2NitrogenInMMS(O$165,F195)</f>
        <v>27.401279999999986</v>
      </c>
      <c r="Q225" s="50" cm="1">
        <f t="array" aca="1" ref="Q225" ca="1">MMS_Swine_N2ODirect_Equations.VEERG_4_5_1_3__6_Stage2NitrogenInMMS(P$165,G195)</f>
        <v>0</v>
      </c>
      <c r="R225" s="50" cm="1">
        <f t="array" aca="1" ref="R225" ca="1">MMS_Swine_N2ODirect_Equations.VEERG_4_5_1_3__6_Stage2NitrogenInMMS(Q$165,H195)</f>
        <v>0</v>
      </c>
      <c r="S225" s="50" cm="1">
        <f t="array" aca="1" ref="S225" ca="1">MMS_Swine_N2ODirect_Equations.VEERG_4_5_1_3__6_Stage2NitrogenInMMS(R$165,I195)</f>
        <v>0</v>
      </c>
      <c r="T225" s="2"/>
    </row>
    <row r="226" spans="4:20" ht="20" customHeight="1" x14ac:dyDescent="0.25">
      <c r="D226" s="55" t="str">
        <f>INDEX(X_Table_Swine_Stage1MMS_DigesterCoveredLagoons,2,1)</f>
        <v>Digester / covered lagoons</v>
      </c>
      <c r="E226" s="55" t="str">
        <f>INDEX(X_Table_Swine_Stage2MMS_From_DigesterCoveredLagoons,2,1)</f>
        <v>Anaerobic lagoon</v>
      </c>
      <c r="F226" s="50" cm="1">
        <f t="array" aca="1" ref="F226" ca="1">MMS_Swine_N2ODirect_Equations.VEERG_4_5_1_3__6_Stage2NitrogenInMMS(E$166,F196)</f>
        <v>40.295999999999992</v>
      </c>
      <c r="G226" s="50" cm="1">
        <f t="array" aca="1" ref="G226" ca="1">MMS_Swine_N2ODirect_Equations.VEERG_4_5_1_3__6_Stage2NitrogenInMMS(F$166,G196)</f>
        <v>53.655000000000008</v>
      </c>
      <c r="H226" s="50" cm="1">
        <f t="array" aca="1" ref="H226" ca="1">MMS_Swine_N2ODirect_Equations.VEERG_4_5_1_3__6_Stage2NitrogenInMMS(G$166,H196)</f>
        <v>50.36999999999999</v>
      </c>
      <c r="I226" s="50" cm="1">
        <f t="array" aca="1" ref="I226" ca="1">MMS_Swine_N2ODirect_Equations.VEERG_4_5_1_3__6_Stage2NitrogenInMMS(H$166,I196)</f>
        <v>34.163999999999994</v>
      </c>
      <c r="J226" s="2"/>
      <c r="N226" s="55" t="str">
        <f>INDEX(X_Table_Swine_Stage1MMS_DigesterCoveredLagoons,2,1)</f>
        <v>Digester / covered lagoons</v>
      </c>
      <c r="O226" s="55" t="str">
        <f>INDEX(X_Table_Swine_Stage2MMS_From_DigesterCoveredLagoons,2,1)</f>
        <v>Anaerobic lagoon</v>
      </c>
      <c r="P226" s="50" cm="1">
        <f t="array" aca="1" ref="P226" ca="1">MMS_Swine_N2ODirect_Equations.VEERG_4_5_1_3__6_Stage2NitrogenInMMS(O$166,F196)</f>
        <v>40.295999999999992</v>
      </c>
      <c r="Q226" s="50" cm="1">
        <f t="array" aca="1" ref="Q226" ca="1">MMS_Swine_N2ODirect_Equations.VEERG_4_5_1_3__6_Stage2NitrogenInMMS(P$166,G196)</f>
        <v>53.655000000000008</v>
      </c>
      <c r="R226" s="50" cm="1">
        <f t="array" aca="1" ref="R226" ca="1">MMS_Swine_N2ODirect_Equations.VEERG_4_5_1_3__6_Stage2NitrogenInMMS(Q$166,H196)</f>
        <v>50.36999999999999</v>
      </c>
      <c r="S226" s="50" cm="1">
        <f t="array" aca="1" ref="S226" ca="1">MMS_Swine_N2ODirect_Equations.VEERG_4_5_1_3__6_Stage2NitrogenInMMS(R$166,I196)</f>
        <v>34.163999999999994</v>
      </c>
      <c r="T226" s="2"/>
    </row>
    <row r="227" spans="4:20" ht="20" customHeight="1" x14ac:dyDescent="0.25">
      <c r="D227" s="55"/>
      <c r="E227" s="55" t="str">
        <f>INDEX(X_Table_Swine_Stage2MMS_From_DigesterCoveredLagoons,3,1)</f>
        <v>Deep litter</v>
      </c>
      <c r="F227" s="50" cm="1">
        <f t="array" aca="1" ref="F227" ca="1">MMS_Swine_N2ODirect_Equations.VEERG_4_5_1_3__6_Stage2NitrogenInMMS(E$166,F197)</f>
        <v>40.295999999999992</v>
      </c>
      <c r="G227" s="50" cm="1">
        <f t="array" aca="1" ref="G227" ca="1">MMS_Swine_N2ODirect_Equations.VEERG_4_5_1_3__6_Stage2NitrogenInMMS(F$166,G197)</f>
        <v>53.655000000000008</v>
      </c>
      <c r="H227" s="50" cm="1">
        <f t="array" aca="1" ref="H227" ca="1">MMS_Swine_N2ODirect_Equations.VEERG_4_5_1_3__6_Stage2NitrogenInMMS(G$166,H197)</f>
        <v>50.36999999999999</v>
      </c>
      <c r="I227" s="50" cm="1">
        <f t="array" aca="1" ref="I227" ca="1">MMS_Swine_N2ODirect_Equations.VEERG_4_5_1_3__6_Stage2NitrogenInMMS(H$166,I197)</f>
        <v>34.163999999999994</v>
      </c>
      <c r="J227" s="2"/>
      <c r="N227" s="55"/>
      <c r="O227" s="55" t="str">
        <f>INDEX(X_Table_Swine_Stage2MMS_From_DigesterCoveredLagoons,3,1)</f>
        <v>Deep litter</v>
      </c>
      <c r="P227" s="50" cm="1">
        <f t="array" aca="1" ref="P227" ca="1">MMS_Swine_N2ODirect_Equations.VEERG_4_5_1_3__6_Stage2NitrogenInMMS(O$166,F197)</f>
        <v>40.295999999999992</v>
      </c>
      <c r="Q227" s="50" cm="1">
        <f t="array" aca="1" ref="Q227" ca="1">MMS_Swine_N2ODirect_Equations.VEERG_4_5_1_3__6_Stage2NitrogenInMMS(P$166,G197)</f>
        <v>53.655000000000008</v>
      </c>
      <c r="R227" s="50" cm="1">
        <f t="array" aca="1" ref="R227" ca="1">MMS_Swine_N2ODirect_Equations.VEERG_4_5_1_3__6_Stage2NitrogenInMMS(Q$166,H197)</f>
        <v>50.36999999999999</v>
      </c>
      <c r="S227" s="50" cm="1">
        <f t="array" aca="1" ref="S227" ca="1">MMS_Swine_N2ODirect_Equations.VEERG_4_5_1_3__6_Stage2NitrogenInMMS(R$166,I197)</f>
        <v>34.163999999999994</v>
      </c>
      <c r="T227" s="2"/>
    </row>
    <row r="228" spans="4:20" ht="20" customHeight="1" x14ac:dyDescent="0.25">
      <c r="D228" s="55"/>
      <c r="E228" s="55" t="str">
        <f>INDEX(X_Table_Swine_Stage2MMS_From_DigesterCoveredLagoons,4,1)</f>
        <v>Pit storage</v>
      </c>
      <c r="F228" s="50" cm="1">
        <f t="array" aca="1" ref="F228" ca="1">MMS_Swine_N2ODirect_Equations.VEERG_4_5_1_3__6_Stage2NitrogenInMMS(E$166,F198)</f>
        <v>40.295999999999992</v>
      </c>
      <c r="G228" s="50" cm="1">
        <f t="array" aca="1" ref="G228" ca="1">MMS_Swine_N2ODirect_Equations.VEERG_4_5_1_3__6_Stage2NitrogenInMMS(F$166,G198)</f>
        <v>53.655000000000008</v>
      </c>
      <c r="H228" s="50" cm="1">
        <f t="array" aca="1" ref="H228" ca="1">MMS_Swine_N2ODirect_Equations.VEERG_4_5_1_3__6_Stage2NitrogenInMMS(G$166,H198)</f>
        <v>50.36999999999999</v>
      </c>
      <c r="I228" s="50" cm="1">
        <f t="array" aca="1" ref="I228" ca="1">MMS_Swine_N2ODirect_Equations.VEERG_4_5_1_3__6_Stage2NitrogenInMMS(H$166,I198)</f>
        <v>34.163999999999994</v>
      </c>
      <c r="J228" s="2"/>
      <c r="N228" s="55"/>
      <c r="O228" s="55" t="str">
        <f>INDEX(X_Table_Swine_Stage2MMS_From_DigesterCoveredLagoons,4,1)</f>
        <v>Pit storage</v>
      </c>
      <c r="P228" s="50" cm="1">
        <f t="array" aca="1" ref="P228" ca="1">MMS_Swine_N2ODirect_Equations.VEERG_4_5_1_3__6_Stage2NitrogenInMMS(O$166,F198)</f>
        <v>40.295999999999992</v>
      </c>
      <c r="Q228" s="50" cm="1">
        <f t="array" aca="1" ref="Q228" ca="1">MMS_Swine_N2ODirect_Equations.VEERG_4_5_1_3__6_Stage2NitrogenInMMS(P$166,G198)</f>
        <v>53.655000000000008</v>
      </c>
      <c r="R228" s="50" cm="1">
        <f t="array" aca="1" ref="R228" ca="1">MMS_Swine_N2ODirect_Equations.VEERG_4_5_1_3__6_Stage2NitrogenInMMS(Q$166,H198)</f>
        <v>50.36999999999999</v>
      </c>
      <c r="S228" s="50" cm="1">
        <f t="array" aca="1" ref="S228" ca="1">MMS_Swine_N2ODirect_Equations.VEERG_4_5_1_3__6_Stage2NitrogenInMMS(R$166,I198)</f>
        <v>34.163999999999994</v>
      </c>
      <c r="T228" s="2"/>
    </row>
    <row r="229" spans="4:20" ht="20" customHeight="1" x14ac:dyDescent="0.25">
      <c r="D229" s="55"/>
      <c r="E229" s="55" t="str">
        <f>INDEX(X_Table_Swine_Stage2MMS_From_DigesterCoveredLagoons,5,1)</f>
        <v>Direct application</v>
      </c>
      <c r="F229" s="50" cm="1">
        <f t="array" aca="1" ref="F229" ca="1">MMS_Swine_N2ODirect_Equations.VEERG_4_5_1_3__6_Stage2NitrogenInMMS(E$166,F199)</f>
        <v>80.59199999999997</v>
      </c>
      <c r="G229" s="50" cm="1">
        <f t="array" aca="1" ref="G229" ca="1">MMS_Swine_N2ODirect_Equations.VEERG_4_5_1_3__6_Stage2NitrogenInMMS(F$166,G199)</f>
        <v>53.655000000000008</v>
      </c>
      <c r="H229" s="50" cm="1">
        <f t="array" aca="1" ref="H229" ca="1">MMS_Swine_N2ODirect_Equations.VEERG_4_5_1_3__6_Stage2NitrogenInMMS(G$166,H199)</f>
        <v>50.36999999999999</v>
      </c>
      <c r="I229" s="50" cm="1">
        <f t="array" aca="1" ref="I229" ca="1">MMS_Swine_N2ODirect_Equations.VEERG_4_5_1_3__6_Stage2NitrogenInMMS(H$166,I199)</f>
        <v>34.163999999999994</v>
      </c>
      <c r="J229" s="2"/>
      <c r="N229" s="55"/>
      <c r="O229" s="55" t="str">
        <f>INDEX(X_Table_Swine_Stage2MMS_From_DigesterCoveredLagoons,5,1)</f>
        <v>Direct application</v>
      </c>
      <c r="P229" s="50" cm="1">
        <f t="array" aca="1" ref="P229" ca="1">MMS_Swine_N2ODirect_Equations.VEERG_4_5_1_3__6_Stage2NitrogenInMMS(O$166,F199)</f>
        <v>80.59199999999997</v>
      </c>
      <c r="Q229" s="50" cm="1">
        <f t="array" aca="1" ref="Q229" ca="1">MMS_Swine_N2ODirect_Equations.VEERG_4_5_1_3__6_Stage2NitrogenInMMS(P$166,G199)</f>
        <v>53.655000000000008</v>
      </c>
      <c r="R229" s="50" cm="1">
        <f t="array" aca="1" ref="R229" ca="1">MMS_Swine_N2ODirect_Equations.VEERG_4_5_1_3__6_Stage2NitrogenInMMS(Q$166,H199)</f>
        <v>50.36999999999999</v>
      </c>
      <c r="S229" s="50" cm="1">
        <f t="array" aca="1" ref="S229" ca="1">MMS_Swine_N2ODirect_Equations.VEERG_4_5_1_3__6_Stage2NitrogenInMMS(R$166,I199)</f>
        <v>34.163999999999994</v>
      </c>
      <c r="T229" s="2"/>
    </row>
    <row r="230" spans="4:20" ht="20" customHeight="1" x14ac:dyDescent="0.25">
      <c r="D230" s="55" t="str">
        <f>INDEX(X_Table_Swine_Stage1MMS_DeepLitter,2,1)</f>
        <v>Deep litter</v>
      </c>
      <c r="E230" s="55" t="str">
        <f>INDEX(X_Table_Swine_Stage2MMS_From_DeepLitter,2,1)</f>
        <v>Anaerobic lagoon</v>
      </c>
      <c r="F230" s="50" cm="1">
        <f t="array" aca="1" ref="F230" ca="1">MMS_Swine_N2ODirect_Equations.VEERG_4_5_1_3__6_Stage2NitrogenInMMS(E$167,F200)</f>
        <v>34.856039999999993</v>
      </c>
      <c r="G230" s="50" cm="1">
        <f t="array" aca="1" ref="G230" ca="1">MMS_Swine_N2ODirect_Equations.VEERG_4_5_1_3__6_Stage2NitrogenInMMS(F$167,G200)</f>
        <v>46.411575000000006</v>
      </c>
      <c r="H230" s="50" cm="1">
        <f t="array" aca="1" ref="H230" ca="1">MMS_Swine_N2ODirect_Equations.VEERG_4_5_1_3__6_Stage2NitrogenInMMS(G$167,H200)</f>
        <v>43.570049999999988</v>
      </c>
      <c r="I230" s="50" cm="1">
        <f t="array" aca="1" ref="I230" ca="1">MMS_Swine_N2ODirect_Equations.VEERG_4_5_1_3__6_Stage2NitrogenInMMS(H$167,I200)</f>
        <v>29.551859999999994</v>
      </c>
      <c r="J230" s="2"/>
      <c r="N230" s="55" t="str">
        <f>INDEX(X_Table_Swine_Stage1MMS_DeepLitter,2,1)</f>
        <v>Deep litter</v>
      </c>
      <c r="O230" s="55" t="str">
        <f>INDEX(X_Table_Swine_Stage2MMS_From_DeepLitter,2,1)</f>
        <v>Anaerobic lagoon</v>
      </c>
      <c r="P230" s="50" cm="1">
        <f t="array" aca="1" ref="P230" ca="1">MMS_Swine_N2ODirect_Equations.VEERG_4_5_1_3__6_Stage2NitrogenInMMS(O$167,F200)</f>
        <v>34.856039999999993</v>
      </c>
      <c r="Q230" s="50" cm="1">
        <f t="array" aca="1" ref="Q230" ca="1">MMS_Swine_N2ODirect_Equations.VEERG_4_5_1_3__6_Stage2NitrogenInMMS(P$167,G200)</f>
        <v>46.411575000000006</v>
      </c>
      <c r="R230" s="50" cm="1">
        <f t="array" aca="1" ref="R230" ca="1">MMS_Swine_N2ODirect_Equations.VEERG_4_5_1_3__6_Stage2NitrogenInMMS(Q$167,H200)</f>
        <v>43.570049999999988</v>
      </c>
      <c r="S230" s="50" cm="1">
        <f t="array" aca="1" ref="S230" ca="1">MMS_Swine_N2ODirect_Equations.VEERG_4_5_1_3__6_Stage2NitrogenInMMS(R$167,I200)</f>
        <v>29.551859999999994</v>
      </c>
      <c r="T230" s="2"/>
    </row>
    <row r="231" spans="4:20" ht="20" customHeight="1" x14ac:dyDescent="0.25">
      <c r="D231" s="55"/>
      <c r="E231" s="55" t="str">
        <f>INDEX(X_Table_Swine_Stage2MMS_From_DeepLitter,3,1)</f>
        <v>Digester / covered lagoons</v>
      </c>
      <c r="F231" s="50" cm="1">
        <f t="array" aca="1" ref="F231" ca="1">MMS_Swine_N2ODirect_Equations.VEERG_4_5_1_3__6_Stage2NitrogenInMMS(E$167,F201)</f>
        <v>34.856039999999993</v>
      </c>
      <c r="G231" s="50" cm="1">
        <f t="array" aca="1" ref="G231" ca="1">MMS_Swine_N2ODirect_Equations.VEERG_4_5_1_3__6_Stage2NitrogenInMMS(F$167,G201)</f>
        <v>46.411575000000006</v>
      </c>
      <c r="H231" s="50" cm="1">
        <f t="array" aca="1" ref="H231" ca="1">MMS_Swine_N2ODirect_Equations.VEERG_4_5_1_3__6_Stage2NitrogenInMMS(G$167,H201)</f>
        <v>43.570049999999988</v>
      </c>
      <c r="I231" s="50" cm="1">
        <f t="array" aca="1" ref="I231" ca="1">MMS_Swine_N2ODirect_Equations.VEERG_4_5_1_3__6_Stage2NitrogenInMMS(H$167,I201)</f>
        <v>29.551859999999994</v>
      </c>
      <c r="J231" s="2"/>
      <c r="N231" s="55"/>
      <c r="O231" s="55" t="str">
        <f>INDEX(X_Table_Swine_Stage2MMS_From_DeepLitter,3,1)</f>
        <v>Digester / covered lagoons</v>
      </c>
      <c r="P231" s="50" cm="1">
        <f t="array" aca="1" ref="P231" ca="1">MMS_Swine_N2ODirect_Equations.VEERG_4_5_1_3__6_Stage2NitrogenInMMS(O$167,F201)</f>
        <v>34.856039999999993</v>
      </c>
      <c r="Q231" s="50" cm="1">
        <f t="array" aca="1" ref="Q231" ca="1">MMS_Swine_N2ODirect_Equations.VEERG_4_5_1_3__6_Stage2NitrogenInMMS(P$167,G201)</f>
        <v>46.411575000000006</v>
      </c>
      <c r="R231" s="50" cm="1">
        <f t="array" aca="1" ref="R231" ca="1">MMS_Swine_N2ODirect_Equations.VEERG_4_5_1_3__6_Stage2NitrogenInMMS(Q$167,H201)</f>
        <v>43.570049999999988</v>
      </c>
      <c r="S231" s="50" cm="1">
        <f t="array" aca="1" ref="S231" ca="1">MMS_Swine_N2ODirect_Equations.VEERG_4_5_1_3__6_Stage2NitrogenInMMS(R$167,I201)</f>
        <v>29.551859999999994</v>
      </c>
      <c r="T231" s="2"/>
    </row>
    <row r="232" spans="4:20" ht="20" customHeight="1" x14ac:dyDescent="0.25">
      <c r="D232" s="55"/>
      <c r="E232" s="55" t="str">
        <f>INDEX(X_Table_Swine_Stage2MMS_From_DeepLitter,4,1)</f>
        <v>Pit storage</v>
      </c>
      <c r="F232" s="50" cm="1">
        <f t="array" aca="1" ref="F232" ca="1">MMS_Swine_N2ODirect_Equations.VEERG_4_5_1_3__6_Stage2NitrogenInMMS(E$167,F202)</f>
        <v>34.856039999999993</v>
      </c>
      <c r="G232" s="50" cm="1">
        <f t="array" aca="1" ref="G232" ca="1">MMS_Swine_N2ODirect_Equations.VEERG_4_5_1_3__6_Stage2NitrogenInMMS(F$167,G202)</f>
        <v>46.411575000000006</v>
      </c>
      <c r="H232" s="50" cm="1">
        <f t="array" aca="1" ref="H232" ca="1">MMS_Swine_N2ODirect_Equations.VEERG_4_5_1_3__6_Stage2NitrogenInMMS(G$167,H202)</f>
        <v>43.570049999999988</v>
      </c>
      <c r="I232" s="50" cm="1">
        <f t="array" aca="1" ref="I232" ca="1">MMS_Swine_N2ODirect_Equations.VEERG_4_5_1_3__6_Stage2NitrogenInMMS(H$167,I202)</f>
        <v>29.551859999999994</v>
      </c>
      <c r="J232" s="2"/>
      <c r="N232" s="55"/>
      <c r="O232" s="55" t="str">
        <f>INDEX(X_Table_Swine_Stage2MMS_From_DeepLitter,4,1)</f>
        <v>Pit storage</v>
      </c>
      <c r="P232" s="50" cm="1">
        <f t="array" aca="1" ref="P232" ca="1">MMS_Swine_N2ODirect_Equations.VEERG_4_5_1_3__6_Stage2NitrogenInMMS(O$167,F202)</f>
        <v>34.856039999999993</v>
      </c>
      <c r="Q232" s="50" cm="1">
        <f t="array" aca="1" ref="Q232" ca="1">MMS_Swine_N2ODirect_Equations.VEERG_4_5_1_3__6_Stage2NitrogenInMMS(P$167,G202)</f>
        <v>46.411575000000006</v>
      </c>
      <c r="R232" s="50" cm="1">
        <f t="array" aca="1" ref="R232" ca="1">MMS_Swine_N2ODirect_Equations.VEERG_4_5_1_3__6_Stage2NitrogenInMMS(Q$167,H202)</f>
        <v>43.570049999999988</v>
      </c>
      <c r="S232" s="50" cm="1">
        <f t="array" aca="1" ref="S232" ca="1">MMS_Swine_N2ODirect_Equations.VEERG_4_5_1_3__6_Stage2NitrogenInMMS(R$167,I202)</f>
        <v>29.551859999999994</v>
      </c>
      <c r="T232" s="2"/>
    </row>
    <row r="233" spans="4:20" ht="20" customHeight="1" x14ac:dyDescent="0.25">
      <c r="D233" s="55"/>
      <c r="E233" s="55" t="str">
        <f>INDEX(X_Table_Swine_Stage2MMS_From_DeepLitter,5,1)</f>
        <v>Direct application</v>
      </c>
      <c r="F233" s="50" cm="1">
        <f t="array" aca="1" ref="F233" ca="1">MMS_Swine_N2ODirect_Equations.VEERG_4_5_1_3__6_Stage2NitrogenInMMS(E$167,F203)</f>
        <v>69.712079999999972</v>
      </c>
      <c r="G233" s="50" cm="1">
        <f t="array" aca="1" ref="G233" ca="1">MMS_Swine_N2ODirect_Equations.VEERG_4_5_1_3__6_Stage2NitrogenInMMS(F$167,G203)</f>
        <v>46.411575000000006</v>
      </c>
      <c r="H233" s="50" cm="1">
        <f t="array" aca="1" ref="H233" ca="1">MMS_Swine_N2ODirect_Equations.VEERG_4_5_1_3__6_Stage2NitrogenInMMS(G$167,H203)</f>
        <v>43.570049999999988</v>
      </c>
      <c r="I233" s="50" cm="1">
        <f t="array" aca="1" ref="I233" ca="1">MMS_Swine_N2ODirect_Equations.VEERG_4_5_1_3__6_Stage2NitrogenInMMS(H$167,I203)</f>
        <v>29.551859999999994</v>
      </c>
      <c r="J233" s="2"/>
      <c r="N233" s="55"/>
      <c r="O233" s="55" t="str">
        <f>INDEX(X_Table_Swine_Stage2MMS_From_DeepLitter,5,1)</f>
        <v>Direct application</v>
      </c>
      <c r="P233" s="50" cm="1">
        <f t="array" aca="1" ref="P233" ca="1">MMS_Swine_N2ODirect_Equations.VEERG_4_5_1_3__6_Stage2NitrogenInMMS(O$167,F203)</f>
        <v>69.712079999999972</v>
      </c>
      <c r="Q233" s="50" cm="1">
        <f t="array" aca="1" ref="Q233" ca="1">MMS_Swine_N2ODirect_Equations.VEERG_4_5_1_3__6_Stage2NitrogenInMMS(P$167,G203)</f>
        <v>46.411575000000006</v>
      </c>
      <c r="R233" s="50" cm="1">
        <f t="array" aca="1" ref="R233" ca="1">MMS_Swine_N2ODirect_Equations.VEERG_4_5_1_3__6_Stage2NitrogenInMMS(Q$167,H203)</f>
        <v>43.570049999999988</v>
      </c>
      <c r="S233" s="50" cm="1">
        <f t="array" aca="1" ref="S233" ca="1">MMS_Swine_N2ODirect_Equations.VEERG_4_5_1_3__6_Stage2NitrogenInMMS(R$167,I203)</f>
        <v>29.551859999999994</v>
      </c>
      <c r="T233" s="2"/>
    </row>
    <row r="234" spans="4:20" ht="20" customHeight="1" x14ac:dyDescent="0.25">
      <c r="D234" s="55" t="str">
        <f>INDEX(X_Table_Swine_Stage1MMS_PitStorage,2,1)</f>
        <v>Pit storage</v>
      </c>
      <c r="E234" s="55" t="str">
        <f>INDEX(X_Table_Swine_Stage2MMS_From_PitStorage,2,1)</f>
        <v>Anaerobic lagoon</v>
      </c>
      <c r="F234" s="50" cm="1">
        <f t="array" aca="1" ref="F234" ca="1">MMS_Swine_N2ODirect_Equations.VEERG_4_5_1_3__6_Stage2NitrogenInMMS(E$168,F204)</f>
        <v>30.141407999999998</v>
      </c>
      <c r="G234" s="50" cm="1">
        <f t="array" aca="1" ref="G234" ca="1">MMS_Swine_N2ODirect_Equations.VEERG_4_5_1_3__6_Stage2NitrogenInMMS(F$168,G204)</f>
        <v>40.133940000000003</v>
      </c>
      <c r="H234" s="50" cm="1">
        <f t="array" aca="1" ref="H234" ca="1">MMS_Swine_N2ODirect_Equations.VEERG_4_5_1_3__6_Stage2NitrogenInMMS(G$168,H204)</f>
        <v>37.676759999999994</v>
      </c>
      <c r="I234" s="50" cm="1">
        <f t="array" aca="1" ref="I234" ca="1">MMS_Swine_N2ODirect_Equations.VEERG_4_5_1_3__6_Stage2NitrogenInMMS(H$168,I204)</f>
        <v>25.554671999999997</v>
      </c>
      <c r="J234" s="2"/>
      <c r="N234" s="55" t="str">
        <f>INDEX(X_Table_Swine_Stage1MMS_PitStorage,2,1)</f>
        <v>Pit storage</v>
      </c>
      <c r="O234" s="55" t="str">
        <f>INDEX(X_Table_Swine_Stage2MMS_From_PitStorage,2,1)</f>
        <v>Anaerobic lagoon</v>
      </c>
      <c r="P234" s="50" cm="1">
        <f t="array" aca="1" ref="P234" ca="1">MMS_Swine_N2ODirect_Equations.VEERG_4_5_1_3__6_Stage2NitrogenInMMS(O$168,F204)</f>
        <v>30.141407999999998</v>
      </c>
      <c r="Q234" s="50" cm="1">
        <f t="array" aca="1" ref="Q234" ca="1">MMS_Swine_N2ODirect_Equations.VEERG_4_5_1_3__6_Stage2NitrogenInMMS(P$168,G204)</f>
        <v>40.133940000000003</v>
      </c>
      <c r="R234" s="50" cm="1">
        <f t="array" aca="1" ref="R234" ca="1">MMS_Swine_N2ODirect_Equations.VEERG_4_5_1_3__6_Stage2NitrogenInMMS(Q$168,H204)</f>
        <v>37.676759999999994</v>
      </c>
      <c r="S234" s="50" cm="1">
        <f t="array" aca="1" ref="S234" ca="1">MMS_Swine_N2ODirect_Equations.VEERG_4_5_1_3__6_Stage2NitrogenInMMS(R$168,I204)</f>
        <v>25.554671999999997</v>
      </c>
      <c r="T234" s="2"/>
    </row>
    <row r="235" spans="4:20" ht="20" customHeight="1" x14ac:dyDescent="0.25">
      <c r="D235" s="55"/>
      <c r="E235" s="55" t="str">
        <f>INDEX(X_Table_Swine_Stage2MMS_From_PitStorage,3,1)</f>
        <v>Digester / covered lagoons</v>
      </c>
      <c r="F235" s="50" cm="1">
        <f t="array" aca="1" ref="F235" ca="1">MMS_Swine_N2ODirect_Equations.VEERG_4_5_1_3__6_Stage2NitrogenInMMS(E$168,F205)</f>
        <v>30.141407999999998</v>
      </c>
      <c r="G235" s="50" cm="1">
        <f t="array" aca="1" ref="G235" ca="1">MMS_Swine_N2ODirect_Equations.VEERG_4_5_1_3__6_Stage2NitrogenInMMS(F$168,G205)</f>
        <v>40.133940000000003</v>
      </c>
      <c r="H235" s="50" cm="1">
        <f t="array" aca="1" ref="H235" ca="1">MMS_Swine_N2ODirect_Equations.VEERG_4_5_1_3__6_Stage2NitrogenInMMS(G$168,H205)</f>
        <v>37.676759999999994</v>
      </c>
      <c r="I235" s="50" cm="1">
        <f t="array" aca="1" ref="I235" ca="1">MMS_Swine_N2ODirect_Equations.VEERG_4_5_1_3__6_Stage2NitrogenInMMS(H$168,I205)</f>
        <v>25.554671999999997</v>
      </c>
      <c r="J235" s="2"/>
      <c r="N235" s="55"/>
      <c r="O235" s="55" t="str">
        <f>INDEX(X_Table_Swine_Stage2MMS_From_PitStorage,3,1)</f>
        <v>Digester / covered lagoons</v>
      </c>
      <c r="P235" s="50" cm="1">
        <f t="array" aca="1" ref="P235" ca="1">MMS_Swine_N2ODirect_Equations.VEERG_4_5_1_3__6_Stage2NitrogenInMMS(O$168,F205)</f>
        <v>30.141407999999998</v>
      </c>
      <c r="Q235" s="50" cm="1">
        <f t="array" aca="1" ref="Q235" ca="1">MMS_Swine_N2ODirect_Equations.VEERG_4_5_1_3__6_Stage2NitrogenInMMS(P$168,G205)</f>
        <v>40.133940000000003</v>
      </c>
      <c r="R235" s="50" cm="1">
        <f t="array" aca="1" ref="R235" ca="1">MMS_Swine_N2ODirect_Equations.VEERG_4_5_1_3__6_Stage2NitrogenInMMS(Q$168,H205)</f>
        <v>37.676759999999994</v>
      </c>
      <c r="S235" s="50" cm="1">
        <f t="array" aca="1" ref="S235" ca="1">MMS_Swine_N2ODirect_Equations.VEERG_4_5_1_3__6_Stage2NitrogenInMMS(R$168,I205)</f>
        <v>25.554671999999997</v>
      </c>
      <c r="T235" s="2"/>
    </row>
    <row r="236" spans="4:20" ht="20" customHeight="1" x14ac:dyDescent="0.25">
      <c r="D236" s="55"/>
      <c r="E236" s="55" t="str">
        <f>INDEX(X_Table_Swine_Stage2MMS_From_PitStorage,4,1)</f>
        <v>Deep litter</v>
      </c>
      <c r="F236" s="50" cm="1">
        <f t="array" aca="1" ref="F236" ca="1">MMS_Swine_N2ODirect_Equations.VEERG_4_5_1_3__6_Stage2NitrogenInMMS(E$168,F206)</f>
        <v>30.141407999999998</v>
      </c>
      <c r="G236" s="50" cm="1">
        <f t="array" aca="1" ref="G236" ca="1">MMS_Swine_N2ODirect_Equations.VEERG_4_5_1_3__6_Stage2NitrogenInMMS(F$168,G206)</f>
        <v>40.133940000000003</v>
      </c>
      <c r="H236" s="50" cm="1">
        <f t="array" aca="1" ref="H236" ca="1">MMS_Swine_N2ODirect_Equations.VEERG_4_5_1_3__6_Stage2NitrogenInMMS(G$168,H206)</f>
        <v>37.676759999999994</v>
      </c>
      <c r="I236" s="50" cm="1">
        <f t="array" aca="1" ref="I236" ca="1">MMS_Swine_N2ODirect_Equations.VEERG_4_5_1_3__6_Stage2NitrogenInMMS(H$168,I206)</f>
        <v>25.554671999999997</v>
      </c>
      <c r="J236" s="2"/>
      <c r="N236" s="55"/>
      <c r="O236" s="55" t="str">
        <f>INDEX(X_Table_Swine_Stage2MMS_From_PitStorage,4,1)</f>
        <v>Deep litter</v>
      </c>
      <c r="P236" s="50" cm="1">
        <f t="array" aca="1" ref="P236" ca="1">MMS_Swine_N2ODirect_Equations.VEERG_4_5_1_3__6_Stage2NitrogenInMMS(O$168,F206)</f>
        <v>30.141407999999998</v>
      </c>
      <c r="Q236" s="50" cm="1">
        <f t="array" aca="1" ref="Q236" ca="1">MMS_Swine_N2ODirect_Equations.VEERG_4_5_1_3__6_Stage2NitrogenInMMS(P$168,G206)</f>
        <v>40.133940000000003</v>
      </c>
      <c r="R236" s="50" cm="1">
        <f t="array" aca="1" ref="R236" ca="1">MMS_Swine_N2ODirect_Equations.VEERG_4_5_1_3__6_Stage2NitrogenInMMS(Q$168,H206)</f>
        <v>37.676759999999994</v>
      </c>
      <c r="S236" s="50" cm="1">
        <f t="array" aca="1" ref="S236" ca="1">MMS_Swine_N2ODirect_Equations.VEERG_4_5_1_3__6_Stage2NitrogenInMMS(R$168,I206)</f>
        <v>25.554671999999997</v>
      </c>
      <c r="T236" s="2"/>
    </row>
    <row r="237" spans="4:20" ht="20" customHeight="1" x14ac:dyDescent="0.25">
      <c r="D237" s="55"/>
      <c r="E237" s="55" t="str">
        <f>INDEX(X_Table_Swine_Stage2MMS_From_PitStorage,5,1)</f>
        <v>Direct application</v>
      </c>
      <c r="F237" s="50" cm="1">
        <f t="array" aca="1" ref="F237" ca="1">MMS_Swine_N2ODirect_Equations.VEERG_4_5_1_3__6_Stage2NitrogenInMMS(E$168,F207)</f>
        <v>60.282815999999976</v>
      </c>
      <c r="G237" s="50" cm="1">
        <f t="array" aca="1" ref="G237" ca="1">MMS_Swine_N2ODirect_Equations.VEERG_4_5_1_3__6_Stage2NitrogenInMMS(F$168,G207)</f>
        <v>40.133940000000003</v>
      </c>
      <c r="H237" s="50" cm="1">
        <f t="array" aca="1" ref="H237" ca="1">MMS_Swine_N2ODirect_Equations.VEERG_4_5_1_3__6_Stage2NitrogenInMMS(G$168,H207)</f>
        <v>37.676759999999994</v>
      </c>
      <c r="I237" s="50" cm="1">
        <f t="array" aca="1" ref="I237" ca="1">MMS_Swine_N2ODirect_Equations.VEERG_4_5_1_3__6_Stage2NitrogenInMMS(H$168,I207)</f>
        <v>25.554671999999997</v>
      </c>
      <c r="J237" s="2"/>
      <c r="N237" s="55"/>
      <c r="O237" s="55" t="str">
        <f>INDEX(X_Table_Swine_Stage2MMS_From_PitStorage,5,1)</f>
        <v>Direct application</v>
      </c>
      <c r="P237" s="50" cm="1">
        <f t="array" aca="1" ref="P237" ca="1">MMS_Swine_N2ODirect_Equations.VEERG_4_5_1_3__6_Stage2NitrogenInMMS(O$168,F207)</f>
        <v>60.282815999999976</v>
      </c>
      <c r="Q237" s="50" cm="1">
        <f t="array" aca="1" ref="Q237" ca="1">MMS_Swine_N2ODirect_Equations.VEERG_4_5_1_3__6_Stage2NitrogenInMMS(P$168,G207)</f>
        <v>40.133940000000003</v>
      </c>
      <c r="R237" s="50" cm="1">
        <f t="array" aca="1" ref="R237" ca="1">MMS_Swine_N2ODirect_Equations.VEERG_4_5_1_3__6_Stage2NitrogenInMMS(Q$168,H207)</f>
        <v>37.676759999999994</v>
      </c>
      <c r="S237" s="50" cm="1">
        <f t="array" aca="1" ref="S237" ca="1">MMS_Swine_N2ODirect_Equations.VEERG_4_5_1_3__6_Stage2NitrogenInMMS(R$168,I207)</f>
        <v>25.554671999999997</v>
      </c>
      <c r="T237" s="2"/>
    </row>
    <row r="238" spans="4:20" ht="20" customHeight="1" x14ac:dyDescent="0.25">
      <c r="D238" s="55" t="s">
        <v>343</v>
      </c>
      <c r="E238" s="55" t="str">
        <f>INDEX(X_Table_Swine_Stage2MMS_From_SolidStorage,2,1)</f>
        <v>Anaerobic lagoon</v>
      </c>
      <c r="F238" s="50" cm="1">
        <f t="array" aca="1" ref="F238" ca="1">MMS_Swine_N2ODirect_Equations.VEERG_4_5_1_3__6_Stage2NitrogenInMMS(E$169,F208)</f>
        <v>106.78440000000003</v>
      </c>
      <c r="G238" s="50" cm="1">
        <f t="array" aca="1" ref="G238" ca="1">MMS_Swine_N2ODirect_Equations.VEERG_4_5_1_3__6_Stage2NitrogenInMMS(F$169,G208)</f>
        <v>113.74860000000007</v>
      </c>
      <c r="H238" s="50" cm="1">
        <f t="array" aca="1" ref="H238" ca="1">MMS_Swine_N2ODirect_Equations.VEERG_4_5_1_3__6_Stage2NitrogenInMMS(G$169,H208)</f>
        <v>106.78440000000003</v>
      </c>
      <c r="I238" s="50" cm="1">
        <f t="array" aca="1" ref="I238" ca="1">MMS_Swine_N2ODirect_Equations.VEERG_4_5_1_3__6_Stage2NitrogenInMMS(H$169,I208)</f>
        <v>72.427680000000038</v>
      </c>
      <c r="J238" s="2"/>
      <c r="N238" s="55" t="s">
        <v>343</v>
      </c>
      <c r="O238" s="55" t="str">
        <f>INDEX(X_Table_Swine_Stage2MMS_From_SolidStorage,2,1)</f>
        <v>Anaerobic lagoon</v>
      </c>
      <c r="P238" s="50" cm="1">
        <f t="array" aca="1" ref="P238" ca="1">MMS_Swine_N2ODirect_Equations.VEERG_4_5_1_3__6_Stage2NitrogenInMMS(O$169,F208)</f>
        <v>106.78440000000003</v>
      </c>
      <c r="Q238" s="50" cm="1">
        <f t="array" aca="1" ref="Q238" ca="1">MMS_Swine_N2ODirect_Equations.VEERG_4_5_1_3__6_Stage2NitrogenInMMS(P$169,G208)</f>
        <v>113.74860000000007</v>
      </c>
      <c r="R238" s="50" cm="1">
        <f t="array" aca="1" ref="R238" ca="1">MMS_Swine_N2ODirect_Equations.VEERG_4_5_1_3__6_Stage2NitrogenInMMS(Q$169,H208)</f>
        <v>106.78440000000003</v>
      </c>
      <c r="S238" s="50" cm="1">
        <f t="array" aca="1" ref="S238" ca="1">MMS_Swine_N2ODirect_Equations.VEERG_4_5_1_3__6_Stage2NitrogenInMMS(R$169,I208)</f>
        <v>72.427680000000038</v>
      </c>
      <c r="T238" s="2"/>
    </row>
    <row r="239" spans="4:20" ht="20" customHeight="1" x14ac:dyDescent="0.25">
      <c r="D239" s="55"/>
      <c r="E239" s="55" t="str">
        <f>INDEX(X_Table_Swine_Stage2MMS_From_SolidStorage,3,1)</f>
        <v>Digester / covered lagoons</v>
      </c>
      <c r="F239" s="50" cm="1">
        <f t="array" aca="1" ref="F239" ca="1">MMS_Swine_N2ODirect_Equations.VEERG_4_5_1_3__6_Stage2NitrogenInMMS(E$169,F209)</f>
        <v>106.78440000000003</v>
      </c>
      <c r="G239" s="50" cm="1">
        <f t="array" aca="1" ref="G239" ca="1">MMS_Swine_N2ODirect_Equations.VEERG_4_5_1_3__6_Stage2NitrogenInMMS(F$169,G209)</f>
        <v>113.74860000000007</v>
      </c>
      <c r="H239" s="50" cm="1">
        <f t="array" aca="1" ref="H239" ca="1">MMS_Swine_N2ODirect_Equations.VEERG_4_5_1_3__6_Stage2NitrogenInMMS(G$169,H209)</f>
        <v>106.78440000000003</v>
      </c>
      <c r="I239" s="50" cm="1">
        <f t="array" aca="1" ref="I239" ca="1">MMS_Swine_N2ODirect_Equations.VEERG_4_5_1_3__6_Stage2NitrogenInMMS(H$169,I209)</f>
        <v>72.427680000000038</v>
      </c>
      <c r="J239" s="2"/>
      <c r="N239" s="55"/>
      <c r="O239" s="55" t="str">
        <f>INDEX(X_Table_Swine_Stage2MMS_From_SolidStorage,3,1)</f>
        <v>Digester / covered lagoons</v>
      </c>
      <c r="P239" s="50" cm="1">
        <f t="array" aca="1" ref="P239" ca="1">MMS_Swine_N2ODirect_Equations.VEERG_4_5_1_3__6_Stage2NitrogenInMMS(O$169,F209)</f>
        <v>106.78440000000003</v>
      </c>
      <c r="Q239" s="50" cm="1">
        <f t="array" aca="1" ref="Q239" ca="1">MMS_Swine_N2ODirect_Equations.VEERG_4_5_1_3__6_Stage2NitrogenInMMS(P$169,G209)</f>
        <v>113.74860000000007</v>
      </c>
      <c r="R239" s="50" cm="1">
        <f t="array" aca="1" ref="R239" ca="1">MMS_Swine_N2ODirect_Equations.VEERG_4_5_1_3__6_Stage2NitrogenInMMS(Q$169,H209)</f>
        <v>106.78440000000003</v>
      </c>
      <c r="S239" s="50" cm="1">
        <f t="array" aca="1" ref="S239" ca="1">MMS_Swine_N2ODirect_Equations.VEERG_4_5_1_3__6_Stage2NitrogenInMMS(R$169,I209)</f>
        <v>72.427680000000038</v>
      </c>
      <c r="T239" s="2"/>
    </row>
    <row r="240" spans="4:20" ht="20" customHeight="1" x14ac:dyDescent="0.25">
      <c r="D240" s="55"/>
      <c r="E240" s="55" t="str">
        <f>INDEX(X_Table_Swine_Stage2MMS_From_SolidStorage,4,1)</f>
        <v>Deep litter</v>
      </c>
      <c r="F240" s="50" cm="1">
        <f t="array" aca="1" ref="F240" ca="1">MMS_Swine_N2ODirect_Equations.VEERG_4_5_1_3__6_Stage2NitrogenInMMS(E$169,F210)</f>
        <v>106.78440000000003</v>
      </c>
      <c r="G240" s="50" cm="1">
        <f t="array" aca="1" ref="G240" ca="1">MMS_Swine_N2ODirect_Equations.VEERG_4_5_1_3__6_Stage2NitrogenInMMS(F$169,G210)</f>
        <v>113.74860000000007</v>
      </c>
      <c r="H240" s="50" cm="1">
        <f t="array" aca="1" ref="H240" ca="1">MMS_Swine_N2ODirect_Equations.VEERG_4_5_1_3__6_Stage2NitrogenInMMS(G$169,H210)</f>
        <v>106.78440000000003</v>
      </c>
      <c r="I240" s="50" cm="1">
        <f t="array" aca="1" ref="I240" ca="1">MMS_Swine_N2ODirect_Equations.VEERG_4_5_1_3__6_Stage2NitrogenInMMS(H$169,I210)</f>
        <v>72.427680000000038</v>
      </c>
      <c r="J240" s="2"/>
      <c r="N240" s="55"/>
      <c r="O240" s="55" t="str">
        <f>INDEX(X_Table_Swine_Stage2MMS_From_SolidStorage,4,1)</f>
        <v>Deep litter</v>
      </c>
      <c r="P240" s="50" cm="1">
        <f t="array" aca="1" ref="P240" ca="1">MMS_Swine_N2ODirect_Equations.VEERG_4_5_1_3__6_Stage2NitrogenInMMS(O$169,F210)</f>
        <v>106.78440000000003</v>
      </c>
      <c r="Q240" s="50" cm="1">
        <f t="array" aca="1" ref="Q240" ca="1">MMS_Swine_N2ODirect_Equations.VEERG_4_5_1_3__6_Stage2NitrogenInMMS(P$169,G210)</f>
        <v>113.74860000000007</v>
      </c>
      <c r="R240" s="50" cm="1">
        <f t="array" aca="1" ref="R240" ca="1">MMS_Swine_N2ODirect_Equations.VEERG_4_5_1_3__6_Stage2NitrogenInMMS(Q$169,H210)</f>
        <v>106.78440000000003</v>
      </c>
      <c r="S240" s="50" cm="1">
        <f t="array" aca="1" ref="S240" ca="1">MMS_Swine_N2ODirect_Equations.VEERG_4_5_1_3__6_Stage2NitrogenInMMS(R$169,I210)</f>
        <v>72.427680000000038</v>
      </c>
      <c r="T240" s="2"/>
    </row>
    <row r="241" spans="1:21" ht="20" customHeight="1" x14ac:dyDescent="0.25">
      <c r="D241" s="55"/>
      <c r="E241" s="55" t="str">
        <f>INDEX(X_Table_Swine_Stage2MMS_From_SolidStorage,5,1)</f>
        <v>Pit storage</v>
      </c>
      <c r="F241" s="50" cm="1">
        <f t="array" aca="1" ref="F241" ca="1">MMS_Swine_N2ODirect_Equations.VEERG_4_5_1_3__6_Stage2NitrogenInMMS(E$169,F211)</f>
        <v>53.392200000000017</v>
      </c>
      <c r="G241" s="50" cm="1">
        <f t="array" aca="1" ref="G241" ca="1">MMS_Swine_N2ODirect_Equations.VEERG_4_5_1_3__6_Stage2NitrogenInMMS(F$169,G211)</f>
        <v>56.874300000000034</v>
      </c>
      <c r="H241" s="50" cm="1">
        <f t="array" aca="1" ref="H241" ca="1">MMS_Swine_N2ODirect_Equations.VEERG_4_5_1_3__6_Stage2NitrogenInMMS(G$169,H211)</f>
        <v>53.392200000000017</v>
      </c>
      <c r="I241" s="50" cm="1">
        <f t="array" aca="1" ref="I241" ca="1">MMS_Swine_N2ODirect_Equations.VEERG_4_5_1_3__6_Stage2NitrogenInMMS(H$169,I211)</f>
        <v>36.213840000000019</v>
      </c>
      <c r="J241" s="2"/>
      <c r="N241" s="55"/>
      <c r="O241" s="55" t="str">
        <f>INDEX(X_Table_Swine_Stage2MMS_From_SolidStorage,5,1)</f>
        <v>Pit storage</v>
      </c>
      <c r="P241" s="50" cm="1">
        <f t="array" aca="1" ref="P241" ca="1">MMS_Swine_N2ODirect_Equations.VEERG_4_5_1_3__6_Stage2NitrogenInMMS(O$169,F211)</f>
        <v>53.392200000000017</v>
      </c>
      <c r="Q241" s="50" cm="1">
        <f t="array" aca="1" ref="Q241" ca="1">MMS_Swine_N2ODirect_Equations.VEERG_4_5_1_3__6_Stage2NitrogenInMMS(P$169,G211)</f>
        <v>56.874300000000034</v>
      </c>
      <c r="R241" s="50" cm="1">
        <f t="array" aca="1" ref="R241" ca="1">MMS_Swine_N2ODirect_Equations.VEERG_4_5_1_3__6_Stage2NitrogenInMMS(Q$169,H211)</f>
        <v>53.392200000000017</v>
      </c>
      <c r="S241" s="50" cm="1">
        <f t="array" aca="1" ref="S241" ca="1">MMS_Swine_N2ODirect_Equations.VEERG_4_5_1_3__6_Stage2NitrogenInMMS(R$169,I211)</f>
        <v>36.213840000000019</v>
      </c>
      <c r="T241" s="2"/>
    </row>
    <row r="242" spans="1:21" ht="20" customHeight="1" x14ac:dyDescent="0.25">
      <c r="D242" s="55"/>
      <c r="E242" s="55" t="str">
        <f>INDEX(X_Table_Swine_Stage2MMS_From_SolidStorage,6,1)</f>
        <v>Direct application</v>
      </c>
      <c r="F242" s="50" cm="1">
        <f t="array" aca="1" ref="F242" ca="1">MMS_Swine_N2ODirect_Equations.VEERG_4_5_1_3__6_Stage2NitrogenInMMS(E$169,F212)</f>
        <v>160.17660000000001</v>
      </c>
      <c r="G242" s="50" cm="1">
        <f t="array" aca="1" ref="G242" ca="1">MMS_Swine_N2ODirect_Equations.VEERG_4_5_1_3__6_Stage2NitrogenInMMS(F$169,G212)</f>
        <v>170.62290000000004</v>
      </c>
      <c r="H242" s="50" cm="1">
        <f t="array" aca="1" ref="H242" ca="1">MMS_Swine_N2ODirect_Equations.VEERG_4_5_1_3__6_Stage2NitrogenInMMS(G$169,H212)</f>
        <v>160.17660000000001</v>
      </c>
      <c r="I242" s="50" cm="1">
        <f t="array" aca="1" ref="I242" ca="1">MMS_Swine_N2ODirect_Equations.VEERG_4_5_1_3__6_Stage2NitrogenInMMS(H$169,I212)</f>
        <v>108.64152000000003</v>
      </c>
      <c r="J242" s="2"/>
      <c r="N242" s="55"/>
      <c r="O242" s="55" t="str">
        <f>INDEX(X_Table_Swine_Stage2MMS_From_SolidStorage,6,1)</f>
        <v>Direct application</v>
      </c>
      <c r="P242" s="50" cm="1">
        <f t="array" aca="1" ref="P242" ca="1">MMS_Swine_N2ODirect_Equations.VEERG_4_5_1_3__6_Stage2NitrogenInMMS(O$169,F212)</f>
        <v>160.17660000000001</v>
      </c>
      <c r="Q242" s="50" cm="1">
        <f t="array" aca="1" ref="Q242" ca="1">MMS_Swine_N2ODirect_Equations.VEERG_4_5_1_3__6_Stage2NitrogenInMMS(P$169,G212)</f>
        <v>170.62290000000004</v>
      </c>
      <c r="R242" s="50" cm="1">
        <f t="array" aca="1" ref="R242" ca="1">MMS_Swine_N2ODirect_Equations.VEERG_4_5_1_3__6_Stage2NitrogenInMMS(Q$169,H212)</f>
        <v>160.17660000000001</v>
      </c>
      <c r="S242" s="50" cm="1">
        <f t="array" aca="1" ref="S242" ca="1">MMS_Swine_N2ODirect_Equations.VEERG_4_5_1_3__6_Stage2NitrogenInMMS(R$169,I212)</f>
        <v>108.64152000000003</v>
      </c>
      <c r="T242" s="2"/>
    </row>
    <row r="243" spans="1:21" ht="20" customHeight="1" x14ac:dyDescent="0.25"/>
    <row r="244" spans="1:21" ht="20" customHeight="1" x14ac:dyDescent="0.25">
      <c r="A244" s="137" t="str">
        <f>HYPERLINK("#A1", "▲ Back to top")</f>
        <v>▲ Back to top</v>
      </c>
    </row>
    <row r="245" spans="1:21" ht="20" customHeight="1" x14ac:dyDescent="0.25">
      <c r="C245" s="43"/>
      <c r="D245" s="43"/>
      <c r="E245" s="43"/>
      <c r="F245" s="43"/>
      <c r="G245" s="43"/>
      <c r="H245" s="43"/>
      <c r="I245" s="43"/>
      <c r="J245" s="43"/>
      <c r="K245" s="43"/>
      <c r="M245" s="43"/>
      <c r="N245" s="43"/>
      <c r="O245" s="43"/>
      <c r="P245" s="43"/>
      <c r="Q245" s="43"/>
      <c r="R245" s="43"/>
      <c r="S245" s="43"/>
      <c r="T245" s="43"/>
      <c r="U245" s="43"/>
    </row>
    <row r="246" spans="1:21" ht="20" customHeight="1" x14ac:dyDescent="0.25">
      <c r="D246" s="6" t="str" cm="1">
        <f t="array" ref="D246">MMS_Swine_N2ODirect_Equations.VEERG_4_5_1_3__1_TotalAnnualDirectNitrousOxideEmissionsFromMMS_Title()</f>
        <v>Total annual direct nitrous oxide emissions from manure management systems</v>
      </c>
    </row>
    <row r="247" spans="1:21" ht="20" customHeight="1" x14ac:dyDescent="0.25">
      <c r="D247" s="5" t="str" cm="1">
        <f t="array" ref="D247">MMS_Swine_N2ODirect_Equations.VEERG_4_5_1_3__1_TotalAnnualDirectNitrousOxideEmissionsFromMMS_Source()</f>
        <v>VEERG 2026: 4.5.1.3, Equation (1)</v>
      </c>
    </row>
    <row r="248" spans="1:21" ht="20" customHeight="1" x14ac:dyDescent="0.25">
      <c r="D248" s="13" t="s">
        <v>23</v>
      </c>
      <c r="E248" s="13" t="str" cm="1">
        <f t="array" aca="1" ref="E248" ca="1">Common_InputFunctions.Utility_DisplayFunctionName(F264)</f>
        <v>=MMS_Swine_N2ODirect_Equations.VEERG_4_5_1_3__1_TotalAnnualDirectNitrousOxideEmissionsFromMMS</v>
      </c>
    </row>
    <row r="249" spans="1:21" ht="20" customHeight="1" x14ac:dyDescent="0.25"/>
    <row r="250" spans="1:21" ht="20" customHeight="1" x14ac:dyDescent="0.25"/>
    <row r="251" spans="1:21" ht="20" customHeight="1" x14ac:dyDescent="0.25">
      <c r="D251" s="51" t="s">
        <v>26</v>
      </c>
      <c r="E251" s="1" t="str" cm="1">
        <f t="array" ref="E251">MMS_Swine_N2ODirect_Equations.VEERG_4_5_1_3__1_TotalAnnualDirectNitrousOxideEmissionsFromMMS_Variable()</f>
        <v>E_N2Odir</v>
      </c>
    </row>
    <row r="252" spans="1:21" ht="20" customHeight="1" x14ac:dyDescent="0.25">
      <c r="D252" s="51" t="s">
        <v>16</v>
      </c>
      <c r="E252" s="52" t="str" cm="1">
        <f t="array" ref="E252">MMS_Swine_N2ODirect_Equations.VEERG_4_5_1_3__1_TotalAnnualDirectNitrousOxideEmissionsFromMMS_Unit()</f>
        <v>t N2O</v>
      </c>
    </row>
    <row r="253" spans="1:21" ht="20" customHeight="1" x14ac:dyDescent="0.25"/>
    <row r="254" spans="1:21" ht="20" customHeight="1" x14ac:dyDescent="0.25">
      <c r="D254" s="101" t="str" cm="1">
        <f t="array" ref="D254:E256">Common_InputFunctions.Utility_DisplayArguments_1_2(MMS_Swine_N2ODirect_Equations.VEERG_4_5_1_3__1_TotalAnnualDirectNitrousOxideEmissionsFromMMS_Arguments())</f>
        <v>MN_jmT</v>
      </c>
      <c r="E254" s="103" t="str">
        <v>nitrogen per swine class, MMS and treatment stage</v>
      </c>
      <c r="F254" s="102"/>
      <c r="G254" s="132" t="str" cm="1">
        <f t="array" ref="G254:H256">Common_InputFunctions.Utility_DisplayArguments_3_4(MMS_Swine_N2ODirect_Equations.VEERG_4_5_1_3__1_TotalAnnualDirectNitrousOxideEmissionsFromMMS_Arguments())</f>
        <v>kg N</v>
      </c>
      <c r="H254" s="127" t="str">
        <v>Calculated from 4.5.1.3 (2)(6)</v>
      </c>
      <c r="I254" s="131" t="str" cm="1">
        <f t="array" aca="1" ref="I254" ca="1">HYPERLINK(Common_InputFunctions.Utility_SourceHyperlink(D115), D115)</f>
        <v>M1_Table_MN_j_m_T-1</v>
      </c>
      <c r="J254" s="131" t="str" cm="1">
        <f t="array" aca="1" ref="J254" ca="1">HYPERLINK(Common_InputFunctions.Utility_SourceHyperlink(D214), D214)</f>
        <v>M1_Table_MN_j_m_T-2</v>
      </c>
    </row>
    <row r="255" spans="1:21" ht="20" customHeight="1" x14ac:dyDescent="0.25">
      <c r="D255" s="101" t="str">
        <v>EF_jm</v>
      </c>
      <c r="E255" s="103" t="str">
        <v>nitrous oxide emission factor for MMS</v>
      </c>
      <c r="F255" s="102"/>
      <c r="G255" s="132" t="str">
        <v>kg N2O-N/kg N</v>
      </c>
      <c r="H255" s="127" t="str">
        <v>Constant</v>
      </c>
      <c r="I255" s="136" t="str" cm="1">
        <f t="array" aca="1" ref="I255" ca="1">HYPERLINK(Common_InputFunctions.Utility_SourceHyperlink(D150), D150)</f>
        <v>Table_EF_m_t-1</v>
      </c>
      <c r="J255" s="135"/>
    </row>
    <row r="256" spans="1:21" ht="20" customHeight="1" x14ac:dyDescent="0.25">
      <c r="D256" s="101" t="str">
        <v>C_N2O</v>
      </c>
      <c r="E256" s="103" t="str">
        <v>factor to convert elemental mass of nitrous oxide to molecular mass</v>
      </c>
      <c r="F256" s="102"/>
      <c r="G256" s="132" t="str">
        <v/>
      </c>
      <c r="H256" s="127" t="str">
        <v>Constant</v>
      </c>
      <c r="I256" s="56">
        <f>Common_InputFunctions.Utility_LookupValueInTableNumber("N2O",Table_GasToMolecularConversionFactor[Gas],Table_GasToMolecularConversionFactor[Conversion factor combined])</f>
        <v>1.5714285714285714</v>
      </c>
      <c r="J256" s="102"/>
    </row>
    <row r="257" spans="4:20" ht="20" customHeight="1" x14ac:dyDescent="0.25"/>
    <row r="258" spans="4:20" ht="20" customHeight="1" x14ac:dyDescent="0.25">
      <c r="D258" s="124" t="s">
        <v>336</v>
      </c>
      <c r="E258" s="84"/>
      <c r="F258" s="84"/>
      <c r="G258" s="80"/>
    </row>
    <row r="259" spans="4:20" ht="20" customHeight="1" x14ac:dyDescent="0.25">
      <c r="D259" s="86" t="s">
        <v>334</v>
      </c>
      <c r="E259" s="83"/>
      <c r="F259" s="83"/>
      <c r="G259" s="81"/>
    </row>
    <row r="260" spans="4:20" ht="20" customHeight="1" x14ac:dyDescent="0.25"/>
    <row r="261" spans="4:20" ht="20" customHeight="1" x14ac:dyDescent="0.25">
      <c r="D261" s="113" t="s">
        <v>246</v>
      </c>
      <c r="N261" s="113" t="s">
        <v>260</v>
      </c>
    </row>
    <row r="262" spans="4:20" ht="20" customHeight="1" x14ac:dyDescent="0.25">
      <c r="D262" s="114" t="s">
        <v>247</v>
      </c>
      <c r="N262" s="114" t="s">
        <v>261</v>
      </c>
    </row>
    <row r="263" spans="4:20" ht="20" customHeight="1" x14ac:dyDescent="0.25">
      <c r="D263" s="49" t="s">
        <v>155</v>
      </c>
      <c r="E263" s="49" t="s">
        <v>163</v>
      </c>
      <c r="F263" s="49" t="s">
        <v>134</v>
      </c>
      <c r="G263" s="49" t="s">
        <v>135</v>
      </c>
      <c r="H263" s="49" t="s">
        <v>136</v>
      </c>
      <c r="I263" s="49" t="s">
        <v>192</v>
      </c>
      <c r="N263" s="49" t="s">
        <v>155</v>
      </c>
      <c r="O263" s="49" t="s">
        <v>163</v>
      </c>
      <c r="P263" s="49" t="s">
        <v>134</v>
      </c>
      <c r="Q263" s="49" t="s">
        <v>135</v>
      </c>
      <c r="R263" s="49" t="s">
        <v>136</v>
      </c>
      <c r="S263" s="49" t="s">
        <v>192</v>
      </c>
    </row>
    <row r="264" spans="4:20" ht="20" customHeight="1" x14ac:dyDescent="0.25">
      <c r="D264" s="55" t="str">
        <f>INDEX(X_Table_Swine_Stage1MMS_AnaerobicLagoon,2,1)</f>
        <v>Anaerobic lagoon</v>
      </c>
      <c r="E264" s="55" t="s">
        <v>164</v>
      </c>
      <c r="F264" s="50" cm="1">
        <f t="array" aca="1" ref="F264" ca="1">MMS_Swine_N2ODirect_Equations.VEERG_4_5_1_3__1_TotalAnnualDirectNitrousOxideEmissionsFromMMS(E118, _xlfn.XLOOKUP($D264, $D$153:$D$159, $E$153:$E$159), $I$256)</f>
        <v>0</v>
      </c>
      <c r="G264" s="50" cm="1">
        <f t="array" aca="1" ref="G264" ca="1">MMS_Swine_N2ODirect_Equations.VEERG_4_5_1_3__1_TotalAnnualDirectNitrousOxideEmissionsFromMMS(F118, _xlfn.XLOOKUP($D264, $D$153:$D$159, $E$153:$E$159), $I$256)</f>
        <v>0</v>
      </c>
      <c r="H264" s="50" cm="1">
        <f t="array" aca="1" ref="H264" ca="1">MMS_Swine_N2ODirect_Equations.VEERG_4_5_1_3__1_TotalAnnualDirectNitrousOxideEmissionsFromMMS(G118, _xlfn.XLOOKUP($D264, $D$153:$D$159, $E$153:$E$159), $I$256)</f>
        <v>0</v>
      </c>
      <c r="I264" s="50" cm="1">
        <f t="array" aca="1" ref="I264" ca="1">MMS_Swine_N2ODirect_Equations.VEERG_4_5_1_3__1_TotalAnnualDirectNitrousOxideEmissionsFromMMS(H118, _xlfn.XLOOKUP($D264, $D$153:$D$159, $E$153:$E$159), $I$256)</f>
        <v>0</v>
      </c>
      <c r="J264" s="2" t="str">
        <f>$E$252</f>
        <v>t N2O</v>
      </c>
      <c r="N264" s="55" t="str">
        <f>INDEX(X_Table_Swine_Stage1MMS_AnaerobicLagoon,2,1)</f>
        <v>Anaerobic lagoon</v>
      </c>
      <c r="O264" s="55" t="s">
        <v>164</v>
      </c>
      <c r="P264" s="50" cm="1">
        <f t="array" aca="1" ref="P264" ca="1">MMS_Swine_N2ODirect_Equations.VEERG_4_5_1_3__1_TotalAnnualDirectNitrousOxideEmissionsFromMMS(O118, _xlfn.XLOOKUP($D264, $D$153:$D$159, $E$153:$E$159), $I$256)</f>
        <v>0</v>
      </c>
      <c r="Q264" s="50" cm="1">
        <f t="array" aca="1" ref="Q264" ca="1">MMS_Swine_N2ODirect_Equations.VEERG_4_5_1_3__1_TotalAnnualDirectNitrousOxideEmissionsFromMMS(P118, _xlfn.XLOOKUP($D264, $D$153:$D$159, $E$153:$E$159), $I$256)</f>
        <v>0</v>
      </c>
      <c r="R264" s="50" cm="1">
        <f t="array" aca="1" ref="R264" ca="1">MMS_Swine_N2ODirect_Equations.VEERG_4_5_1_3__1_TotalAnnualDirectNitrousOxideEmissionsFromMMS(Q118, _xlfn.XLOOKUP($D264, $D$153:$D$159, $E$153:$E$159), $I$256)</f>
        <v>0</v>
      </c>
      <c r="S264" s="50" cm="1">
        <f t="array" aca="1" ref="S264" ca="1">MMS_Swine_N2ODirect_Equations.VEERG_4_5_1_3__1_TotalAnnualDirectNitrousOxideEmissionsFromMMS(R118, _xlfn.XLOOKUP($D264, $D$153:$D$159, $E$153:$E$159), $I$256)</f>
        <v>0</v>
      </c>
      <c r="T264" s="2" t="str">
        <f t="shared" ref="T264" si="2">$E$252</f>
        <v>t N2O</v>
      </c>
    </row>
    <row r="265" spans="4:20" ht="20" customHeight="1" x14ac:dyDescent="0.25">
      <c r="D265" s="55" t="str">
        <f>INDEX(X_Table_Swine_Stage1MMS_Drylot,2,1)</f>
        <v>Drylot (feed pad)</v>
      </c>
      <c r="E265" s="55" t="s">
        <v>164</v>
      </c>
      <c r="F265" s="50" cm="1">
        <f t="array" aca="1" ref="F265" ca="1">MMS_Swine_N2ODirect_Equations.VEERG_4_5_1_3__1_TotalAnnualDirectNitrousOxideEmissionsFromMMS(E119, _xlfn.XLOOKUP($D265, $D$153:$D$159, $E$153:$E$159), $I$256)</f>
        <v>6.3322285714285699E-3</v>
      </c>
      <c r="G265" s="50" cm="1">
        <f t="array" aca="1" ref="G265" ca="1">MMS_Swine_N2ODirect_Equations.VEERG_4_5_1_3__1_TotalAnnualDirectNitrousOxideEmissionsFromMMS(F119, _xlfn.XLOOKUP($D265, $D$153:$D$159, $E$153:$E$159), $I$256)</f>
        <v>6.7452000000000007E-3</v>
      </c>
      <c r="H265" s="50" cm="1">
        <f t="array" aca="1" ref="H265" ca="1">MMS_Swine_N2ODirect_Equations.VEERG_4_5_1_3__1_TotalAnnualDirectNitrousOxideEmissionsFromMMS(G119, _xlfn.XLOOKUP($D265, $D$153:$D$159, $E$153:$E$159), $I$256)</f>
        <v>6.3322285714285699E-3</v>
      </c>
      <c r="I265" s="50" cm="1">
        <f t="array" aca="1" ref="I265" ca="1">MMS_Swine_N2ODirect_Equations.VEERG_4_5_1_3__1_TotalAnnualDirectNitrousOxideEmissionsFromMMS(H119, _xlfn.XLOOKUP($D265, $D$153:$D$159, $E$153:$E$159), $I$256)</f>
        <v>4.2949028571428564E-3</v>
      </c>
      <c r="J265" s="2"/>
      <c r="N265" s="55" t="str">
        <f>INDEX(X_Table_Swine_Stage1MMS_Drylot,2,1)</f>
        <v>Drylot (feed pad)</v>
      </c>
      <c r="O265" s="55" t="s">
        <v>164</v>
      </c>
      <c r="P265" s="50" cm="1">
        <f t="array" aca="1" ref="P265" ca="1">MMS_Swine_N2ODirect_Equations.VEERG_4_5_1_3__1_TotalAnnualDirectNitrousOxideEmissionsFromMMS(O119, _xlfn.XLOOKUP($D265, $D$153:$D$159, $E$153:$E$159), $I$256)</f>
        <v>6.3322285714285699E-3</v>
      </c>
      <c r="Q265" s="50" cm="1">
        <f t="array" aca="1" ref="Q265" ca="1">MMS_Swine_N2ODirect_Equations.VEERG_4_5_1_3__1_TotalAnnualDirectNitrousOxideEmissionsFromMMS(P119, _xlfn.XLOOKUP($D265, $D$153:$D$159, $E$153:$E$159), $I$256)</f>
        <v>6.7452000000000007E-3</v>
      </c>
      <c r="R265" s="50" cm="1">
        <f t="array" aca="1" ref="R265" ca="1">MMS_Swine_N2ODirect_Equations.VEERG_4_5_1_3__1_TotalAnnualDirectNitrousOxideEmissionsFromMMS(Q119, _xlfn.XLOOKUP($D265, $D$153:$D$159, $E$153:$E$159), $I$256)</f>
        <v>6.3322285714285699E-3</v>
      </c>
      <c r="S265" s="50" cm="1">
        <f t="array" aca="1" ref="S265" ca="1">MMS_Swine_N2ODirect_Equations.VEERG_4_5_1_3__1_TotalAnnualDirectNitrousOxideEmissionsFromMMS(R119, _xlfn.XLOOKUP($D265, $D$153:$D$159, $E$153:$E$159), $I$256)</f>
        <v>4.2949028571428564E-3</v>
      </c>
      <c r="T265" s="2"/>
    </row>
    <row r="266" spans="4:20" ht="20" customHeight="1" x14ac:dyDescent="0.25">
      <c r="D266" s="55" t="str">
        <f>INDEX(X_Table_Swine_Stage1MMS_DigesterCoveredLagoons,2,1)</f>
        <v>Digester / covered lagoons</v>
      </c>
      <c r="E266" s="55" t="s">
        <v>164</v>
      </c>
      <c r="F266" s="50" cm="1">
        <f t="array" aca="1" ref="F266" ca="1">MMS_Swine_N2ODirect_Equations.VEERG_4_5_1_3__1_TotalAnnualDirectNitrousOxideEmissionsFromMMS(E120, _xlfn.XLOOKUP($D266, $D$153:$D$159, $E$153:$E$159), $I$256)</f>
        <v>0</v>
      </c>
      <c r="G266" s="50" cm="1">
        <f t="array" aca="1" ref="G266" ca="1">MMS_Swine_N2ODirect_Equations.VEERG_4_5_1_3__1_TotalAnnualDirectNitrousOxideEmissionsFromMMS(F120, _xlfn.XLOOKUP($D266, $D$153:$D$159, $E$153:$E$159), $I$256)</f>
        <v>0</v>
      </c>
      <c r="H266" s="50" cm="1">
        <f t="array" aca="1" ref="H266" ca="1">MMS_Swine_N2ODirect_Equations.VEERG_4_5_1_3__1_TotalAnnualDirectNitrousOxideEmissionsFromMMS(G120, _xlfn.XLOOKUP($D266, $D$153:$D$159, $E$153:$E$159), $I$256)</f>
        <v>0</v>
      </c>
      <c r="I266" s="50" cm="1">
        <f t="array" aca="1" ref="I266" ca="1">MMS_Swine_N2ODirect_Equations.VEERG_4_5_1_3__1_TotalAnnualDirectNitrousOxideEmissionsFromMMS(H120, _xlfn.XLOOKUP($D266, $D$153:$D$159, $E$153:$E$159), $I$256)</f>
        <v>0</v>
      </c>
      <c r="J266" s="2"/>
      <c r="N266" s="55" t="str">
        <f>INDEX(X_Table_Swine_Stage1MMS_DigesterCoveredLagoons,2,1)</f>
        <v>Digester / covered lagoons</v>
      </c>
      <c r="O266" s="55" t="s">
        <v>164</v>
      </c>
      <c r="P266" s="50" cm="1">
        <f t="array" aca="1" ref="P266" ca="1">MMS_Swine_N2ODirect_Equations.VEERG_4_5_1_3__1_TotalAnnualDirectNitrousOxideEmissionsFromMMS(O120, _xlfn.XLOOKUP($D266, $D$153:$D$159, $E$153:$E$159), $I$256)</f>
        <v>0</v>
      </c>
      <c r="Q266" s="50" cm="1">
        <f t="array" aca="1" ref="Q266" ca="1">MMS_Swine_N2ODirect_Equations.VEERG_4_5_1_3__1_TotalAnnualDirectNitrousOxideEmissionsFromMMS(P120, _xlfn.XLOOKUP($D266, $D$153:$D$159, $E$153:$E$159), $I$256)</f>
        <v>0</v>
      </c>
      <c r="R266" s="50" cm="1">
        <f t="array" aca="1" ref="R266" ca="1">MMS_Swine_N2ODirect_Equations.VEERG_4_5_1_3__1_TotalAnnualDirectNitrousOxideEmissionsFromMMS(Q120, _xlfn.XLOOKUP($D266, $D$153:$D$159, $E$153:$E$159), $I$256)</f>
        <v>0</v>
      </c>
      <c r="S266" s="50" cm="1">
        <f t="array" aca="1" ref="S266" ca="1">MMS_Swine_N2ODirect_Equations.VEERG_4_5_1_3__1_TotalAnnualDirectNitrousOxideEmissionsFromMMS(R120, _xlfn.XLOOKUP($D266, $D$153:$D$159, $E$153:$E$159), $I$256)</f>
        <v>0</v>
      </c>
      <c r="T266" s="2"/>
    </row>
    <row r="267" spans="4:20" ht="20" customHeight="1" x14ac:dyDescent="0.25">
      <c r="D267" s="55" t="str">
        <f>INDEX(X_Table_Swine_Stage1MMS_DeepLitter,2,1)</f>
        <v>Deep litter</v>
      </c>
      <c r="E267" s="55" t="s">
        <v>164</v>
      </c>
      <c r="F267" s="50" cm="1">
        <f t="array" aca="1" ref="F267" ca="1">MMS_Swine_N2ODirect_Equations.VEERG_4_5_1_3__1_TotalAnnualDirectNitrousOxideEmissionsFromMMS(E121, _xlfn.XLOOKUP($D267, $D$153:$D$159, $E$153:$E$159), $I$256)</f>
        <v>3.166114285714285E-3</v>
      </c>
      <c r="G267" s="50" cm="1">
        <f t="array" aca="1" ref="G267" ca="1">MMS_Swine_N2ODirect_Equations.VEERG_4_5_1_3__1_TotalAnnualDirectNitrousOxideEmissionsFromMMS(F121, _xlfn.XLOOKUP($D267, $D$153:$D$159, $E$153:$E$159), $I$256)</f>
        <v>3.3726000000000003E-3</v>
      </c>
      <c r="H267" s="50" cm="1">
        <f t="array" aca="1" ref="H267" ca="1">MMS_Swine_N2ODirect_Equations.VEERG_4_5_1_3__1_TotalAnnualDirectNitrousOxideEmissionsFromMMS(G121, _xlfn.XLOOKUP($D267, $D$153:$D$159, $E$153:$E$159), $I$256)</f>
        <v>3.166114285714285E-3</v>
      </c>
      <c r="I267" s="50" cm="1">
        <f t="array" aca="1" ref="I267" ca="1">MMS_Swine_N2ODirect_Equations.VEERG_4_5_1_3__1_TotalAnnualDirectNitrousOxideEmissionsFromMMS(H121, _xlfn.XLOOKUP($D267, $D$153:$D$159, $E$153:$E$159), $I$256)</f>
        <v>2.1474514285714282E-3</v>
      </c>
      <c r="J267" s="2"/>
      <c r="N267" s="55" t="str">
        <f>INDEX(X_Table_Swine_Stage1MMS_DeepLitter,2,1)</f>
        <v>Deep litter</v>
      </c>
      <c r="O267" s="55" t="s">
        <v>164</v>
      </c>
      <c r="P267" s="50" cm="1">
        <f t="array" aca="1" ref="P267" ca="1">MMS_Swine_N2ODirect_Equations.VEERG_4_5_1_3__1_TotalAnnualDirectNitrousOxideEmissionsFromMMS(O121, _xlfn.XLOOKUP($D267, $D$153:$D$159, $E$153:$E$159), $I$256)</f>
        <v>3.166114285714285E-3</v>
      </c>
      <c r="Q267" s="50" cm="1">
        <f t="array" aca="1" ref="Q267" ca="1">MMS_Swine_N2ODirect_Equations.VEERG_4_5_1_3__1_TotalAnnualDirectNitrousOxideEmissionsFromMMS(P121, _xlfn.XLOOKUP($D267, $D$153:$D$159, $E$153:$E$159), $I$256)</f>
        <v>3.3726000000000003E-3</v>
      </c>
      <c r="R267" s="50" cm="1">
        <f t="array" aca="1" ref="R267" ca="1">MMS_Swine_N2ODirect_Equations.VEERG_4_5_1_3__1_TotalAnnualDirectNitrousOxideEmissionsFromMMS(Q121, _xlfn.XLOOKUP($D267, $D$153:$D$159, $E$153:$E$159), $I$256)</f>
        <v>3.166114285714285E-3</v>
      </c>
      <c r="S267" s="50" cm="1">
        <f t="array" aca="1" ref="S267" ca="1">MMS_Swine_N2ODirect_Equations.VEERG_4_5_1_3__1_TotalAnnualDirectNitrousOxideEmissionsFromMMS(R121, _xlfn.XLOOKUP($D267, $D$153:$D$159, $E$153:$E$159), $I$256)</f>
        <v>2.1474514285714282E-3</v>
      </c>
      <c r="T267" s="2"/>
    </row>
    <row r="268" spans="4:20" ht="20" customHeight="1" x14ac:dyDescent="0.25">
      <c r="D268" s="55" t="str">
        <f>INDEX(X_Table_Swine_Stage1MMS_PitStorage,2,1)</f>
        <v>Pit storage</v>
      </c>
      <c r="E268" s="55" t="s">
        <v>164</v>
      </c>
      <c r="F268" s="50" cm="1">
        <f t="array" aca="1" ref="F268" ca="1">MMS_Swine_N2ODirect_Equations.VEERG_4_5_1_3__1_TotalAnnualDirectNitrousOxideEmissionsFromMMS(E122, _xlfn.XLOOKUP($D268, $D$153:$D$159, $E$153:$E$159), $I$256)</f>
        <v>6.3322285714285703E-4</v>
      </c>
      <c r="G268" s="50" cm="1">
        <f t="array" aca="1" ref="G268" ca="1">MMS_Swine_N2ODirect_Equations.VEERG_4_5_1_3__1_TotalAnnualDirectNitrousOxideEmissionsFromMMS(F122, _xlfn.XLOOKUP($D268, $D$153:$D$159, $E$153:$E$159), $I$256)</f>
        <v>6.7452000000000018E-4</v>
      </c>
      <c r="H268" s="50" cm="1">
        <f t="array" aca="1" ref="H268" ca="1">MMS_Swine_N2ODirect_Equations.VEERG_4_5_1_3__1_TotalAnnualDirectNitrousOxideEmissionsFromMMS(G122, _xlfn.XLOOKUP($D268, $D$153:$D$159, $E$153:$E$159), $I$256)</f>
        <v>6.3322285714285703E-4</v>
      </c>
      <c r="I268" s="50" cm="1">
        <f t="array" aca="1" ref="I268" ca="1">MMS_Swine_N2ODirect_Equations.VEERG_4_5_1_3__1_TotalAnnualDirectNitrousOxideEmissionsFromMMS(H122, _xlfn.XLOOKUP($D268, $D$153:$D$159, $E$153:$E$159), $I$256)</f>
        <v>4.294902857142856E-4</v>
      </c>
      <c r="J268" s="2"/>
      <c r="N268" s="55" t="str">
        <f>INDEX(X_Table_Swine_Stage1MMS_PitStorage,2,1)</f>
        <v>Pit storage</v>
      </c>
      <c r="O268" s="55" t="s">
        <v>164</v>
      </c>
      <c r="P268" s="50" cm="1">
        <f t="array" aca="1" ref="P268" ca="1">MMS_Swine_N2ODirect_Equations.VEERG_4_5_1_3__1_TotalAnnualDirectNitrousOxideEmissionsFromMMS(O122, _xlfn.XLOOKUP($D268, $D$153:$D$159, $E$153:$E$159), $I$256)</f>
        <v>6.3322285714285703E-4</v>
      </c>
      <c r="Q268" s="50" cm="1">
        <f t="array" aca="1" ref="Q268" ca="1">MMS_Swine_N2ODirect_Equations.VEERG_4_5_1_3__1_TotalAnnualDirectNitrousOxideEmissionsFromMMS(P122, _xlfn.XLOOKUP($D268, $D$153:$D$159, $E$153:$E$159), $I$256)</f>
        <v>6.7452000000000018E-4</v>
      </c>
      <c r="R268" s="50" cm="1">
        <f t="array" aca="1" ref="R268" ca="1">MMS_Swine_N2ODirect_Equations.VEERG_4_5_1_3__1_TotalAnnualDirectNitrousOxideEmissionsFromMMS(Q122, _xlfn.XLOOKUP($D268, $D$153:$D$159, $E$153:$E$159), $I$256)</f>
        <v>6.3322285714285703E-4</v>
      </c>
      <c r="S268" s="50" cm="1">
        <f t="array" aca="1" ref="S268" ca="1">MMS_Swine_N2ODirect_Equations.VEERG_4_5_1_3__1_TotalAnnualDirectNitrousOxideEmissionsFromMMS(R122, _xlfn.XLOOKUP($D268, $D$153:$D$159, $E$153:$E$159), $I$256)</f>
        <v>4.294902857142856E-4</v>
      </c>
      <c r="T268" s="2"/>
    </row>
    <row r="269" spans="4:20" ht="20" customHeight="1" x14ac:dyDescent="0.25">
      <c r="D269" s="55" t="s">
        <v>343</v>
      </c>
      <c r="E269" s="55" t="s">
        <v>164</v>
      </c>
      <c r="F269" s="50" cm="1">
        <f t="array" aca="1" ref="F269" ca="1">MMS_Swine_N2ODirect_Equations.VEERG_4_5_1_3__1_TotalAnnualDirectNitrousOxideEmissionsFromMMS(E123, _xlfn.XLOOKUP($D269, $D$153:$D$159, $E$153:$E$159), $I$256)</f>
        <v>5.2768571428571439E-3</v>
      </c>
      <c r="G269" s="50" cm="1">
        <f t="array" aca="1" ref="G269" ca="1">MMS_Swine_N2ODirect_Equations.VEERG_4_5_1_3__1_TotalAnnualDirectNitrousOxideEmissionsFromMMS(F123, _xlfn.XLOOKUP($D269, $D$153:$D$159, $E$153:$E$159), $I$256)</f>
        <v>5.6210000000000027E-3</v>
      </c>
      <c r="H269" s="50" cm="1">
        <f t="array" aca="1" ref="H269" ca="1">MMS_Swine_N2ODirect_Equations.VEERG_4_5_1_3__1_TotalAnnualDirectNitrousOxideEmissionsFromMMS(G123, _xlfn.XLOOKUP($D269, $D$153:$D$159, $E$153:$E$159), $I$256)</f>
        <v>5.2768571428571439E-3</v>
      </c>
      <c r="I269" s="50" cm="1">
        <f t="array" aca="1" ref="I269" ca="1">MMS_Swine_N2ODirect_Equations.VEERG_4_5_1_3__1_TotalAnnualDirectNitrousOxideEmissionsFromMMS(H123, _xlfn.XLOOKUP($D269, $D$153:$D$159, $E$153:$E$159), $I$256)</f>
        <v>3.5790857142857157E-3</v>
      </c>
      <c r="J269" s="2"/>
      <c r="N269" s="55" t="s">
        <v>343</v>
      </c>
      <c r="O269" s="55" t="s">
        <v>164</v>
      </c>
      <c r="P269" s="50" cm="1">
        <f t="array" aca="1" ref="P269" ca="1">MMS_Swine_N2ODirect_Equations.VEERG_4_5_1_3__1_TotalAnnualDirectNitrousOxideEmissionsFromMMS(O123, _xlfn.XLOOKUP($D269, $D$153:$D$159, $E$153:$E$159), $I$256)</f>
        <v>5.2768571428571439E-3</v>
      </c>
      <c r="Q269" s="50" cm="1">
        <f t="array" aca="1" ref="Q269" ca="1">MMS_Swine_N2ODirect_Equations.VEERG_4_5_1_3__1_TotalAnnualDirectNitrousOxideEmissionsFromMMS(P123, _xlfn.XLOOKUP($D269, $D$153:$D$159, $E$153:$E$159), $I$256)</f>
        <v>5.6210000000000027E-3</v>
      </c>
      <c r="R269" s="50" cm="1">
        <f t="array" aca="1" ref="R269" ca="1">MMS_Swine_N2ODirect_Equations.VEERG_4_5_1_3__1_TotalAnnualDirectNitrousOxideEmissionsFromMMS(Q123, _xlfn.XLOOKUP($D269, $D$153:$D$159, $E$153:$E$159), $I$256)</f>
        <v>5.2768571428571439E-3</v>
      </c>
      <c r="S269" s="50" cm="1">
        <f t="array" aca="1" ref="S269" ca="1">MMS_Swine_N2ODirect_Equations.VEERG_4_5_1_3__1_TotalAnnualDirectNitrousOxideEmissionsFromMMS(R123, _xlfn.XLOOKUP($D269, $D$153:$D$159, $E$153:$E$159), $I$256)</f>
        <v>3.5790857142857157E-3</v>
      </c>
      <c r="T269" s="2"/>
    </row>
    <row r="270" spans="4:20" ht="20" customHeight="1" x14ac:dyDescent="0.25">
      <c r="D270" s="55" t="str">
        <f>INDEX(X_Table_Swine_Stage1MMS_AnaerobicLagoon,2,1)</f>
        <v>Anaerobic lagoon</v>
      </c>
      <c r="E270" s="55" t="str">
        <f>INDEX(X_Table_Swine_Stage2MMS_From_AnaerobicLagoon,2,1)</f>
        <v>Digester / covered lagoons</v>
      </c>
      <c r="F270" s="50" cm="1">
        <f t="array" aca="1" ref="F270" ca="1">MMS_Swine_N2ODirect_Equations.VEERG_4_5_1_3__1_TotalAnnualDirectNitrousOxideEmissionsFromMMS(F217, _xlfn.XLOOKUP($E270, $D$153:$D$159, $E$153:$E$159), $I$256)</f>
        <v>0</v>
      </c>
      <c r="G270" s="50" cm="1">
        <f t="array" aca="1" ref="G270" ca="1">MMS_Swine_N2ODirect_Equations.VEERG_4_5_1_3__1_TotalAnnualDirectNitrousOxideEmissionsFromMMS(G217, _xlfn.XLOOKUP($E270, $D$153:$D$159, $E$153:$E$159), $I$256)</f>
        <v>0</v>
      </c>
      <c r="H270" s="50" cm="1">
        <f t="array" aca="1" ref="H270" ca="1">MMS_Swine_N2ODirect_Equations.VEERG_4_5_1_3__1_TotalAnnualDirectNitrousOxideEmissionsFromMMS(H217, _xlfn.XLOOKUP($E270, $D$153:$D$159, $E$153:$E$159), $I$256)</f>
        <v>0</v>
      </c>
      <c r="I270" s="50" cm="1">
        <f t="array" aca="1" ref="I270" ca="1">MMS_Swine_N2ODirect_Equations.VEERG_4_5_1_3__1_TotalAnnualDirectNitrousOxideEmissionsFromMMS(I217, _xlfn.XLOOKUP($E270, $D$153:$D$159, $E$153:$E$159), $I$256)</f>
        <v>0</v>
      </c>
      <c r="J270" s="2"/>
      <c r="N270" s="55" t="str">
        <f>INDEX(X_Table_Swine_Stage1MMS_AnaerobicLagoon,2,1)</f>
        <v>Anaerobic lagoon</v>
      </c>
      <c r="O270" s="55" t="str">
        <f>INDEX(X_Table_Swine_Stage2MMS_From_AnaerobicLagoon,2,1)</f>
        <v>Digester / covered lagoons</v>
      </c>
      <c r="P270" s="50" cm="1">
        <f t="array" aca="1" ref="P270" ca="1">MMS_Swine_N2ODirect_Equations.VEERG_4_5_1_3__1_TotalAnnualDirectNitrousOxideEmissionsFromMMS(P217, _xlfn.XLOOKUP($E270, $D$153:$D$159, $E$153:$E$159), $I$256)</f>
        <v>0</v>
      </c>
      <c r="Q270" s="50" cm="1">
        <f t="array" aca="1" ref="Q270" ca="1">MMS_Swine_N2ODirect_Equations.VEERG_4_5_1_3__1_TotalAnnualDirectNitrousOxideEmissionsFromMMS(Q217, _xlfn.XLOOKUP($E270, $D$153:$D$159, $E$153:$E$159), $I$256)</f>
        <v>0</v>
      </c>
      <c r="R270" s="50" cm="1">
        <f t="array" aca="1" ref="R270" ca="1">MMS_Swine_N2ODirect_Equations.VEERG_4_5_1_3__1_TotalAnnualDirectNitrousOxideEmissionsFromMMS(R217, _xlfn.XLOOKUP($E270, $D$153:$D$159, $E$153:$E$159), $I$256)</f>
        <v>0</v>
      </c>
      <c r="S270" s="50" cm="1">
        <f t="array" aca="1" ref="S270" ca="1">MMS_Swine_N2ODirect_Equations.VEERG_4_5_1_3__1_TotalAnnualDirectNitrousOxideEmissionsFromMMS(S217, _xlfn.XLOOKUP($E270, $D$153:$D$159, $E$153:$E$159), $I$256)</f>
        <v>0</v>
      </c>
      <c r="T270" s="2"/>
    </row>
    <row r="271" spans="4:20" ht="20" customHeight="1" x14ac:dyDescent="0.25">
      <c r="D271" s="55"/>
      <c r="E271" s="55" t="str">
        <f>INDEX(X_Table_Swine_Stage2MMS_From_AnaerobicLagoon,3,1)</f>
        <v>Deep litter</v>
      </c>
      <c r="F271" s="50" cm="1">
        <f t="array" aca="1" ref="F271" ca="1">MMS_Swine_N2ODirect_Equations.VEERG_4_5_1_3__1_TotalAnnualDirectNitrousOxideEmissionsFromMMS(F218, _xlfn.XLOOKUP($E271, $D$153:$D$159, $E$153:$E$159), $I$256)</f>
        <v>2.8495028571428569E-4</v>
      </c>
      <c r="G271" s="50" cm="1">
        <f t="array" aca="1" ref="G271" ca="1">MMS_Swine_N2ODirect_Equations.VEERG_4_5_1_3__1_TotalAnnualDirectNitrousOxideEmissionsFromMMS(G218, _xlfn.XLOOKUP($E271, $D$153:$D$159, $E$153:$E$159), $I$256)</f>
        <v>3.7941750000000007E-4</v>
      </c>
      <c r="H271" s="50" cm="1">
        <f t="array" aca="1" ref="H271" ca="1">MMS_Swine_N2ODirect_Equations.VEERG_4_5_1_3__1_TotalAnnualDirectNitrousOxideEmissionsFromMMS(H218, _xlfn.XLOOKUP($E271, $D$153:$D$159, $E$153:$E$159), $I$256)</f>
        <v>3.5618785714285701E-4</v>
      </c>
      <c r="I271" s="50" cm="1">
        <f t="array" aca="1" ref="I271" ca="1">MMS_Swine_N2ODirect_Equations.VEERG_4_5_1_3__1_TotalAnnualDirectNitrousOxideEmissionsFromMMS(I218, _xlfn.XLOOKUP($E271, $D$153:$D$159, $E$153:$E$159), $I$256)</f>
        <v>2.4158828571428564E-4</v>
      </c>
      <c r="J271" s="2"/>
      <c r="N271" s="55"/>
      <c r="O271" s="55" t="str">
        <f>INDEX(X_Table_Swine_Stage2MMS_From_AnaerobicLagoon,3,1)</f>
        <v>Deep litter</v>
      </c>
      <c r="P271" s="50" cm="1">
        <f t="array" aca="1" ref="P271" ca="1">MMS_Swine_N2ODirect_Equations.VEERG_4_5_1_3__1_TotalAnnualDirectNitrousOxideEmissionsFromMMS(P218, _xlfn.XLOOKUP($E271, $D$153:$D$159, $E$153:$E$159), $I$256)</f>
        <v>2.8495028571428569E-4</v>
      </c>
      <c r="Q271" s="50" cm="1">
        <f t="array" aca="1" ref="Q271" ca="1">MMS_Swine_N2ODirect_Equations.VEERG_4_5_1_3__1_TotalAnnualDirectNitrousOxideEmissionsFromMMS(Q218, _xlfn.XLOOKUP($E271, $D$153:$D$159, $E$153:$E$159), $I$256)</f>
        <v>3.7941750000000007E-4</v>
      </c>
      <c r="R271" s="50" cm="1">
        <f t="array" aca="1" ref="R271" ca="1">MMS_Swine_N2ODirect_Equations.VEERG_4_5_1_3__1_TotalAnnualDirectNitrousOxideEmissionsFromMMS(R218, _xlfn.XLOOKUP($E271, $D$153:$D$159, $E$153:$E$159), $I$256)</f>
        <v>3.5618785714285701E-4</v>
      </c>
      <c r="S271" s="50" cm="1">
        <f t="array" aca="1" ref="S271" ca="1">MMS_Swine_N2ODirect_Equations.VEERG_4_5_1_3__1_TotalAnnualDirectNitrousOxideEmissionsFromMMS(S218, _xlfn.XLOOKUP($E271, $D$153:$D$159, $E$153:$E$159), $I$256)</f>
        <v>2.4158828571428564E-4</v>
      </c>
      <c r="T271" s="2"/>
    </row>
    <row r="272" spans="4:20" ht="20" customHeight="1" x14ac:dyDescent="0.25">
      <c r="D272" s="55"/>
      <c r="E272" s="55" t="str">
        <f>INDEX(X_Table_Swine_Stage2MMS_From_AnaerobicLagoon,4,1)</f>
        <v>Pit storage</v>
      </c>
      <c r="F272" s="50" cm="1">
        <f t="array" aca="1" ref="F272" ca="1">MMS_Swine_N2ODirect_Equations.VEERG_4_5_1_3__1_TotalAnnualDirectNitrousOxideEmissionsFromMMS(F219, _xlfn.XLOOKUP($E272, $D$153:$D$159, $E$153:$E$159), $I$256)</f>
        <v>5.6990057142857125E-5</v>
      </c>
      <c r="G272" s="50" cm="1">
        <f t="array" aca="1" ref="G272" ca="1">MMS_Swine_N2ODirect_Equations.VEERG_4_5_1_3__1_TotalAnnualDirectNitrousOxideEmissionsFromMMS(G219, _xlfn.XLOOKUP($E272, $D$153:$D$159, $E$153:$E$159), $I$256)</f>
        <v>7.5883500000000013E-5</v>
      </c>
      <c r="H272" s="50" cm="1">
        <f t="array" aca="1" ref="H272" ca="1">MMS_Swine_N2ODirect_Equations.VEERG_4_5_1_3__1_TotalAnnualDirectNitrousOxideEmissionsFromMMS(H219, _xlfn.XLOOKUP($E272, $D$153:$D$159, $E$153:$E$159), $I$256)</f>
        <v>7.1237571428571408E-5</v>
      </c>
      <c r="I272" s="50" cm="1">
        <f t="array" aca="1" ref="I272" ca="1">MMS_Swine_N2ODirect_Equations.VEERG_4_5_1_3__1_TotalAnnualDirectNitrousOxideEmissionsFromMMS(I219, _xlfn.XLOOKUP($E272, $D$153:$D$159, $E$153:$E$159), $I$256)</f>
        <v>4.831765714285713E-5</v>
      </c>
      <c r="J272" s="2"/>
      <c r="N272" s="55"/>
      <c r="O272" s="55" t="str">
        <f>INDEX(X_Table_Swine_Stage2MMS_From_AnaerobicLagoon,4,1)</f>
        <v>Pit storage</v>
      </c>
      <c r="P272" s="50" cm="1">
        <f t="array" aca="1" ref="P272" ca="1">MMS_Swine_N2ODirect_Equations.VEERG_4_5_1_3__1_TotalAnnualDirectNitrousOxideEmissionsFromMMS(P219, _xlfn.XLOOKUP($E272, $D$153:$D$159, $E$153:$E$159), $I$256)</f>
        <v>5.6990057142857125E-5</v>
      </c>
      <c r="Q272" s="50" cm="1">
        <f t="array" aca="1" ref="Q272" ca="1">MMS_Swine_N2ODirect_Equations.VEERG_4_5_1_3__1_TotalAnnualDirectNitrousOxideEmissionsFromMMS(Q219, _xlfn.XLOOKUP($E272, $D$153:$D$159, $E$153:$E$159), $I$256)</f>
        <v>7.5883500000000013E-5</v>
      </c>
      <c r="R272" s="50" cm="1">
        <f t="array" aca="1" ref="R272" ca="1">MMS_Swine_N2ODirect_Equations.VEERG_4_5_1_3__1_TotalAnnualDirectNitrousOxideEmissionsFromMMS(R219, _xlfn.XLOOKUP($E272, $D$153:$D$159, $E$153:$E$159), $I$256)</f>
        <v>7.1237571428571408E-5</v>
      </c>
      <c r="S272" s="50" cm="1">
        <f t="array" aca="1" ref="S272" ca="1">MMS_Swine_N2ODirect_Equations.VEERG_4_5_1_3__1_TotalAnnualDirectNitrousOxideEmissionsFromMMS(S219, _xlfn.XLOOKUP($E272, $D$153:$D$159, $E$153:$E$159), $I$256)</f>
        <v>4.831765714285713E-5</v>
      </c>
      <c r="T272" s="2"/>
    </row>
    <row r="273" spans="4:20" ht="20" customHeight="1" x14ac:dyDescent="0.25">
      <c r="D273" s="55"/>
      <c r="E273" s="55" t="str">
        <f>INDEX(X_Table_Swine_Stage2MMS_From_AnaerobicLagoon,5,1)</f>
        <v>Direct application</v>
      </c>
      <c r="F273" s="50" t="s">
        <v>164</v>
      </c>
      <c r="G273" s="50" t="s">
        <v>164</v>
      </c>
      <c r="H273" s="50" t="s">
        <v>164</v>
      </c>
      <c r="I273" s="50" t="s">
        <v>164</v>
      </c>
      <c r="J273" s="2"/>
      <c r="N273" s="55"/>
      <c r="O273" s="55" t="str">
        <f>INDEX(X_Table_Swine_Stage2MMS_From_AnaerobicLagoon,5,1)</f>
        <v>Direct application</v>
      </c>
      <c r="P273" s="50" t="s">
        <v>164</v>
      </c>
      <c r="Q273" s="50" t="s">
        <v>164</v>
      </c>
      <c r="R273" s="50" t="s">
        <v>164</v>
      </c>
      <c r="S273" s="50" t="s">
        <v>164</v>
      </c>
      <c r="T273" s="2"/>
    </row>
    <row r="274" spans="4:20" ht="20" customHeight="1" x14ac:dyDescent="0.25">
      <c r="D274" s="55" t="str">
        <f>INDEX(X_Table_Swine_Stage1MMS_Drylot,2,1)</f>
        <v>Drylot (feed pad)</v>
      </c>
      <c r="E274" s="55" t="str">
        <f>INDEX(X_Table_Swine_Stage2MMS_From_Drylot,2,1)</f>
        <v>Anaerobic lagoon</v>
      </c>
      <c r="F274" s="50" cm="1">
        <f t="array" aca="1" ref="F274" ca="1">MMS_Swine_N2ODirect_Equations.VEERG_4_5_1_3__1_TotalAnnualDirectNitrousOxideEmissionsFromMMS(F221, _xlfn.XLOOKUP($E274, $D$153:$D$159, $E$153:$E$159), $I$256)</f>
        <v>0</v>
      </c>
      <c r="G274" s="50" cm="1">
        <f t="array" aca="1" ref="G274" ca="1">MMS_Swine_N2ODirect_Equations.VEERG_4_5_1_3__1_TotalAnnualDirectNitrousOxideEmissionsFromMMS(G221, _xlfn.XLOOKUP($E274, $D$153:$D$159, $E$153:$E$159), $I$256)</f>
        <v>0</v>
      </c>
      <c r="H274" s="50" cm="1">
        <f t="array" aca="1" ref="H274" ca="1">MMS_Swine_N2ODirect_Equations.VEERG_4_5_1_3__1_TotalAnnualDirectNitrousOxideEmissionsFromMMS(H221, _xlfn.XLOOKUP($E274, $D$153:$D$159, $E$153:$E$159), $I$256)</f>
        <v>0</v>
      </c>
      <c r="I274" s="50" cm="1">
        <f t="array" aca="1" ref="I274" ca="1">MMS_Swine_N2ODirect_Equations.VEERG_4_5_1_3__1_TotalAnnualDirectNitrousOxideEmissionsFromMMS(I221, _xlfn.XLOOKUP($E274, $D$153:$D$159, $E$153:$E$159), $I$256)</f>
        <v>0</v>
      </c>
      <c r="J274" s="2"/>
      <c r="N274" s="55" t="str">
        <f>INDEX(X_Table_Swine_Stage1MMS_Drylot,2,1)</f>
        <v>Drylot (feed pad)</v>
      </c>
      <c r="O274" s="55" t="str">
        <f>INDEX(X_Table_Swine_Stage2MMS_From_Drylot,2,1)</f>
        <v>Anaerobic lagoon</v>
      </c>
      <c r="P274" s="50" cm="1">
        <f t="array" aca="1" ref="P274" ca="1">MMS_Swine_N2ODirect_Equations.VEERG_4_5_1_3__1_TotalAnnualDirectNitrousOxideEmissionsFromMMS(P221, _xlfn.XLOOKUP($E274, $D$153:$D$159, $E$153:$E$159), $I$256)</f>
        <v>0</v>
      </c>
      <c r="Q274" s="50" cm="1">
        <f t="array" aca="1" ref="Q274" ca="1">MMS_Swine_N2ODirect_Equations.VEERG_4_5_1_3__1_TotalAnnualDirectNitrousOxideEmissionsFromMMS(Q221, _xlfn.XLOOKUP($E274, $D$153:$D$159, $E$153:$E$159), $I$256)</f>
        <v>0</v>
      </c>
      <c r="R274" s="50" cm="1">
        <f t="array" aca="1" ref="R274" ca="1">MMS_Swine_N2ODirect_Equations.VEERG_4_5_1_3__1_TotalAnnualDirectNitrousOxideEmissionsFromMMS(R221, _xlfn.XLOOKUP($E274, $D$153:$D$159, $E$153:$E$159), $I$256)</f>
        <v>0</v>
      </c>
      <c r="S274" s="50" cm="1">
        <f t="array" aca="1" ref="S274" ca="1">MMS_Swine_N2ODirect_Equations.VEERG_4_5_1_3__1_TotalAnnualDirectNitrousOxideEmissionsFromMMS(S221, _xlfn.XLOOKUP($E274, $D$153:$D$159, $E$153:$E$159), $I$256)</f>
        <v>0</v>
      </c>
      <c r="T274" s="2"/>
    </row>
    <row r="275" spans="4:20" ht="20" customHeight="1" x14ac:dyDescent="0.25">
      <c r="D275" s="55"/>
      <c r="E275" s="55" t="str">
        <f>INDEX(X_Table_Swine_Stage2MMS_From_Drylot,3,1)</f>
        <v>Digester / covered lagoons</v>
      </c>
      <c r="F275" s="50" cm="1">
        <f t="array" aca="1" ref="F275" ca="1">MMS_Swine_N2ODirect_Equations.VEERG_4_5_1_3__1_TotalAnnualDirectNitrousOxideEmissionsFromMMS(F222, _xlfn.XLOOKUP($E275, $D$153:$D$159, $E$153:$E$159), $I$256)</f>
        <v>0</v>
      </c>
      <c r="G275" s="50" cm="1">
        <f t="array" aca="1" ref="G275" ca="1">MMS_Swine_N2ODirect_Equations.VEERG_4_5_1_3__1_TotalAnnualDirectNitrousOxideEmissionsFromMMS(G222, _xlfn.XLOOKUP($E275, $D$153:$D$159, $E$153:$E$159), $I$256)</f>
        <v>0</v>
      </c>
      <c r="H275" s="50" cm="1">
        <f t="array" aca="1" ref="H275" ca="1">MMS_Swine_N2ODirect_Equations.VEERG_4_5_1_3__1_TotalAnnualDirectNitrousOxideEmissionsFromMMS(H222, _xlfn.XLOOKUP($E275, $D$153:$D$159, $E$153:$E$159), $I$256)</f>
        <v>0</v>
      </c>
      <c r="I275" s="50" cm="1">
        <f t="array" aca="1" ref="I275" ca="1">MMS_Swine_N2ODirect_Equations.VEERG_4_5_1_3__1_TotalAnnualDirectNitrousOxideEmissionsFromMMS(I222, _xlfn.XLOOKUP($E275, $D$153:$D$159, $E$153:$E$159), $I$256)</f>
        <v>0</v>
      </c>
      <c r="J275" s="2"/>
      <c r="N275" s="55"/>
      <c r="O275" s="55" t="str">
        <f>INDEX(X_Table_Swine_Stage2MMS_From_Drylot,3,1)</f>
        <v>Digester / covered lagoons</v>
      </c>
      <c r="P275" s="50" cm="1">
        <f t="array" aca="1" ref="P275" ca="1">MMS_Swine_N2ODirect_Equations.VEERG_4_5_1_3__1_TotalAnnualDirectNitrousOxideEmissionsFromMMS(P222, _xlfn.XLOOKUP($E275, $D$153:$D$159, $E$153:$E$159), $I$256)</f>
        <v>0</v>
      </c>
      <c r="Q275" s="50" cm="1">
        <f t="array" aca="1" ref="Q275" ca="1">MMS_Swine_N2ODirect_Equations.VEERG_4_5_1_3__1_TotalAnnualDirectNitrousOxideEmissionsFromMMS(Q222, _xlfn.XLOOKUP($E275, $D$153:$D$159, $E$153:$E$159), $I$256)</f>
        <v>0</v>
      </c>
      <c r="R275" s="50" cm="1">
        <f t="array" aca="1" ref="R275" ca="1">MMS_Swine_N2ODirect_Equations.VEERG_4_5_1_3__1_TotalAnnualDirectNitrousOxideEmissionsFromMMS(R222, _xlfn.XLOOKUP($E275, $D$153:$D$159, $E$153:$E$159), $I$256)</f>
        <v>0</v>
      </c>
      <c r="S275" s="50" cm="1">
        <f t="array" aca="1" ref="S275" ca="1">MMS_Swine_N2ODirect_Equations.VEERG_4_5_1_3__1_TotalAnnualDirectNitrousOxideEmissionsFromMMS(S222, _xlfn.XLOOKUP($E275, $D$153:$D$159, $E$153:$E$159), $I$256)</f>
        <v>0</v>
      </c>
      <c r="T275" s="2"/>
    </row>
    <row r="276" spans="4:20" ht="20" customHeight="1" x14ac:dyDescent="0.25">
      <c r="D276" s="55"/>
      <c r="E276" s="55" t="str">
        <f>INDEX(X_Table_Swine_Stage2MMS_From_Drylot,4,1)</f>
        <v>Deep litter</v>
      </c>
      <c r="F276" s="50" cm="1">
        <f t="array" aca="1" ref="F276" ca="1">MMS_Swine_N2ODirect_Equations.VEERG_4_5_1_3__1_TotalAnnualDirectNitrousOxideEmissionsFromMMS(F223, _xlfn.XLOOKUP($E276, $D$153:$D$159, $E$153:$E$159), $I$256)</f>
        <v>4.3059154285714273E-4</v>
      </c>
      <c r="G276" s="50" cm="1">
        <f t="array" aca="1" ref="G276" ca="1">MMS_Swine_N2ODirect_Equations.VEERG_4_5_1_3__1_TotalAnnualDirectNitrousOxideEmissionsFromMMS(G223, _xlfn.XLOOKUP($E276, $D$153:$D$159, $E$153:$E$159), $I$256)</f>
        <v>5.7334200000000012E-4</v>
      </c>
      <c r="H276" s="50" cm="1">
        <f t="array" aca="1" ref="H276" ca="1">MMS_Swine_N2ODirect_Equations.VEERG_4_5_1_3__1_TotalAnnualDirectNitrousOxideEmissionsFromMMS(H223, _xlfn.XLOOKUP($E276, $D$153:$D$159, $E$153:$E$159), $I$256)</f>
        <v>5.3823942857142838E-4</v>
      </c>
      <c r="I276" s="50" cm="1">
        <f t="array" aca="1" ref="I276" ca="1">MMS_Swine_N2ODirect_Equations.VEERG_4_5_1_3__1_TotalAnnualDirectNitrousOxideEmissionsFromMMS(I223, _xlfn.XLOOKUP($E276, $D$153:$D$159, $E$153:$E$159), $I$256)</f>
        <v>3.6506674285714276E-4</v>
      </c>
      <c r="J276" s="2"/>
      <c r="N276" s="55"/>
      <c r="O276" s="55" t="str">
        <f>INDEX(X_Table_Swine_Stage2MMS_From_Drylot,4,1)</f>
        <v>Deep litter</v>
      </c>
      <c r="P276" s="50" cm="1">
        <f t="array" aca="1" ref="P276" ca="1">MMS_Swine_N2ODirect_Equations.VEERG_4_5_1_3__1_TotalAnnualDirectNitrousOxideEmissionsFromMMS(P223, _xlfn.XLOOKUP($E276, $D$153:$D$159, $E$153:$E$159), $I$256)</f>
        <v>4.3059154285714273E-4</v>
      </c>
      <c r="Q276" s="50" cm="1">
        <f t="array" aca="1" ref="Q276" ca="1">MMS_Swine_N2ODirect_Equations.VEERG_4_5_1_3__1_TotalAnnualDirectNitrousOxideEmissionsFromMMS(Q223, _xlfn.XLOOKUP($E276, $D$153:$D$159, $E$153:$E$159), $I$256)</f>
        <v>5.7334200000000012E-4</v>
      </c>
      <c r="R276" s="50" cm="1">
        <f t="array" aca="1" ref="R276" ca="1">MMS_Swine_N2ODirect_Equations.VEERG_4_5_1_3__1_TotalAnnualDirectNitrousOxideEmissionsFromMMS(R223, _xlfn.XLOOKUP($E276, $D$153:$D$159, $E$153:$E$159), $I$256)</f>
        <v>5.3823942857142838E-4</v>
      </c>
      <c r="S276" s="50" cm="1">
        <f t="array" aca="1" ref="S276" ca="1">MMS_Swine_N2ODirect_Equations.VEERG_4_5_1_3__1_TotalAnnualDirectNitrousOxideEmissionsFromMMS(S223, _xlfn.XLOOKUP($E276, $D$153:$D$159, $E$153:$E$159), $I$256)</f>
        <v>3.6506674285714276E-4</v>
      </c>
      <c r="T276" s="2"/>
    </row>
    <row r="277" spans="4:20" ht="20" customHeight="1" x14ac:dyDescent="0.25">
      <c r="D277" s="55"/>
      <c r="E277" s="55" t="str">
        <f>INDEX(X_Table_Swine_Stage2MMS_From_Drylot,5,1)</f>
        <v>Pit storage</v>
      </c>
      <c r="F277" s="50" cm="1">
        <f t="array" aca="1" ref="F277" ca="1">MMS_Swine_N2ODirect_Equations.VEERG_4_5_1_3__1_TotalAnnualDirectNitrousOxideEmissionsFromMMS(F224, _xlfn.XLOOKUP($E277, $D$153:$D$159, $E$153:$E$159), $I$256)</f>
        <v>8.6118308571428545E-5</v>
      </c>
      <c r="G277" s="50" cm="1">
        <f t="array" aca="1" ref="G277" ca="1">MMS_Swine_N2ODirect_Equations.VEERG_4_5_1_3__1_TotalAnnualDirectNitrousOxideEmissionsFromMMS(G224, _xlfn.XLOOKUP($E277, $D$153:$D$159, $E$153:$E$159), $I$256)</f>
        <v>1.1466840000000002E-4</v>
      </c>
      <c r="H277" s="50" cm="1">
        <f t="array" aca="1" ref="H277" ca="1">MMS_Swine_N2ODirect_Equations.VEERG_4_5_1_3__1_TotalAnnualDirectNitrousOxideEmissionsFromMMS(H224, _xlfn.XLOOKUP($E277, $D$153:$D$159, $E$153:$E$159), $I$256)</f>
        <v>1.0764788571428568E-4</v>
      </c>
      <c r="I277" s="50" cm="1">
        <f t="array" aca="1" ref="I277" ca="1">MMS_Swine_N2ODirect_Equations.VEERG_4_5_1_3__1_TotalAnnualDirectNitrousOxideEmissionsFromMMS(I224, _xlfn.XLOOKUP($E277, $D$153:$D$159, $E$153:$E$159), $I$256)</f>
        <v>7.3013348571428544E-5</v>
      </c>
      <c r="J277" s="2"/>
      <c r="N277" s="55"/>
      <c r="O277" s="55" t="str">
        <f>INDEX(X_Table_Swine_Stage2MMS_From_Drylot,5,1)</f>
        <v>Pit storage</v>
      </c>
      <c r="P277" s="50" cm="1">
        <f t="array" aca="1" ref="P277" ca="1">MMS_Swine_N2ODirect_Equations.VEERG_4_5_1_3__1_TotalAnnualDirectNitrousOxideEmissionsFromMMS(P224, _xlfn.XLOOKUP($E277, $D$153:$D$159, $E$153:$E$159), $I$256)</f>
        <v>8.6118308571428545E-5</v>
      </c>
      <c r="Q277" s="50" cm="1">
        <f t="array" aca="1" ref="Q277" ca="1">MMS_Swine_N2ODirect_Equations.VEERG_4_5_1_3__1_TotalAnnualDirectNitrousOxideEmissionsFromMMS(Q224, _xlfn.XLOOKUP($E277, $D$153:$D$159, $E$153:$E$159), $I$256)</f>
        <v>1.1466840000000002E-4</v>
      </c>
      <c r="R277" s="50" cm="1">
        <f t="array" aca="1" ref="R277" ca="1">MMS_Swine_N2ODirect_Equations.VEERG_4_5_1_3__1_TotalAnnualDirectNitrousOxideEmissionsFromMMS(R224, _xlfn.XLOOKUP($E277, $D$153:$D$159, $E$153:$E$159), $I$256)</f>
        <v>1.0764788571428568E-4</v>
      </c>
      <c r="S277" s="50" cm="1">
        <f t="array" aca="1" ref="S277" ca="1">MMS_Swine_N2ODirect_Equations.VEERG_4_5_1_3__1_TotalAnnualDirectNitrousOxideEmissionsFromMMS(S224, _xlfn.XLOOKUP($E277, $D$153:$D$159, $E$153:$E$159), $I$256)</f>
        <v>7.3013348571428544E-5</v>
      </c>
      <c r="T277" s="2"/>
    </row>
    <row r="278" spans="4:20" ht="20" customHeight="1" x14ac:dyDescent="0.25">
      <c r="D278" s="55"/>
      <c r="E278" s="55" t="str">
        <f>INDEX(X_Table_Swine_Stage2MMS_From_Drylot,6,1)</f>
        <v>Direct application</v>
      </c>
      <c r="F278" s="50" t="s">
        <v>164</v>
      </c>
      <c r="G278" s="50" t="s">
        <v>164</v>
      </c>
      <c r="H278" s="50" t="s">
        <v>164</v>
      </c>
      <c r="I278" s="50" t="s">
        <v>164</v>
      </c>
      <c r="J278" s="2"/>
      <c r="N278" s="55"/>
      <c r="O278" s="55" t="str">
        <f>INDEX(X_Table_Swine_Stage2MMS_From_Drylot,6,1)</f>
        <v>Direct application</v>
      </c>
      <c r="P278" s="50" t="s">
        <v>164</v>
      </c>
      <c r="Q278" s="50" t="s">
        <v>164</v>
      </c>
      <c r="R278" s="50" t="s">
        <v>164</v>
      </c>
      <c r="S278" s="50" t="s">
        <v>164</v>
      </c>
      <c r="T278" s="2"/>
    </row>
    <row r="279" spans="4:20" ht="20" customHeight="1" x14ac:dyDescent="0.25">
      <c r="D279" s="55" t="str">
        <f>INDEX(X_Table_Swine_Stage1MMS_DigesterCoveredLagoons,2,1)</f>
        <v>Digester / covered lagoons</v>
      </c>
      <c r="E279" s="55" t="str">
        <f>INDEX(X_Table_Swine_Stage2MMS_From_DigesterCoveredLagoons,2,1)</f>
        <v>Anaerobic lagoon</v>
      </c>
      <c r="F279" s="50" cm="1">
        <f t="array" aca="1" ref="F279" ca="1">MMS_Swine_N2ODirect_Equations.VEERG_4_5_1_3__1_TotalAnnualDirectNitrousOxideEmissionsFromMMS(F226, _xlfn.XLOOKUP($E279, $D$153:$D$159, $E$153:$E$159), $I$256)</f>
        <v>0</v>
      </c>
      <c r="G279" s="50" cm="1">
        <f t="array" aca="1" ref="G279" ca="1">MMS_Swine_N2ODirect_Equations.VEERG_4_5_1_3__1_TotalAnnualDirectNitrousOxideEmissionsFromMMS(G226, _xlfn.XLOOKUP($E279, $D$153:$D$159, $E$153:$E$159), $I$256)</f>
        <v>0</v>
      </c>
      <c r="H279" s="50" cm="1">
        <f t="array" aca="1" ref="H279" ca="1">MMS_Swine_N2ODirect_Equations.VEERG_4_5_1_3__1_TotalAnnualDirectNitrousOxideEmissionsFromMMS(H226, _xlfn.XLOOKUP($E279, $D$153:$D$159, $E$153:$E$159), $I$256)</f>
        <v>0</v>
      </c>
      <c r="I279" s="50" cm="1">
        <f t="array" aca="1" ref="I279" ca="1">MMS_Swine_N2ODirect_Equations.VEERG_4_5_1_3__1_TotalAnnualDirectNitrousOxideEmissionsFromMMS(I226, _xlfn.XLOOKUP($E279, $D$153:$D$159, $E$153:$E$159), $I$256)</f>
        <v>0</v>
      </c>
      <c r="J279" s="2"/>
      <c r="N279" s="55" t="str">
        <f>INDEX(X_Table_Swine_Stage1MMS_DigesterCoveredLagoons,2,1)</f>
        <v>Digester / covered lagoons</v>
      </c>
      <c r="O279" s="55" t="str">
        <f>INDEX(X_Table_Swine_Stage2MMS_From_DigesterCoveredLagoons,2,1)</f>
        <v>Anaerobic lagoon</v>
      </c>
      <c r="P279" s="50" cm="1">
        <f t="array" aca="1" ref="P279" ca="1">MMS_Swine_N2ODirect_Equations.VEERG_4_5_1_3__1_TotalAnnualDirectNitrousOxideEmissionsFromMMS(P226, _xlfn.XLOOKUP($E279, $D$153:$D$159, $E$153:$E$159), $I$256)</f>
        <v>0</v>
      </c>
      <c r="Q279" s="50" cm="1">
        <f t="array" aca="1" ref="Q279" ca="1">MMS_Swine_N2ODirect_Equations.VEERG_4_5_1_3__1_TotalAnnualDirectNitrousOxideEmissionsFromMMS(Q226, _xlfn.XLOOKUP($E279, $D$153:$D$159, $E$153:$E$159), $I$256)</f>
        <v>0</v>
      </c>
      <c r="R279" s="50" cm="1">
        <f t="array" aca="1" ref="R279" ca="1">MMS_Swine_N2ODirect_Equations.VEERG_4_5_1_3__1_TotalAnnualDirectNitrousOxideEmissionsFromMMS(R226, _xlfn.XLOOKUP($E279, $D$153:$D$159, $E$153:$E$159), $I$256)</f>
        <v>0</v>
      </c>
      <c r="S279" s="50" cm="1">
        <f t="array" aca="1" ref="S279" ca="1">MMS_Swine_N2ODirect_Equations.VEERG_4_5_1_3__1_TotalAnnualDirectNitrousOxideEmissionsFromMMS(S226, _xlfn.XLOOKUP($E279, $D$153:$D$159, $E$153:$E$159), $I$256)</f>
        <v>0</v>
      </c>
      <c r="T279" s="2"/>
    </row>
    <row r="280" spans="4:20" ht="20" customHeight="1" x14ac:dyDescent="0.25">
      <c r="D280" s="55"/>
      <c r="E280" s="55" t="str">
        <f>INDEX(X_Table_Swine_Stage2MMS_From_DigesterCoveredLagoons,3,1)</f>
        <v>Deep litter</v>
      </c>
      <c r="F280" s="50" cm="1">
        <f t="array" aca="1" ref="F280" ca="1">MMS_Swine_N2ODirect_Equations.VEERG_4_5_1_3__1_TotalAnnualDirectNitrousOxideEmissionsFromMMS(F227, _xlfn.XLOOKUP($E280, $D$153:$D$159, $E$153:$E$159), $I$256)</f>
        <v>6.3322285714285703E-4</v>
      </c>
      <c r="G280" s="50" cm="1">
        <f t="array" aca="1" ref="G280" ca="1">MMS_Swine_N2ODirect_Equations.VEERG_4_5_1_3__1_TotalAnnualDirectNitrousOxideEmissionsFromMMS(G227, _xlfn.XLOOKUP($E280, $D$153:$D$159, $E$153:$E$159), $I$256)</f>
        <v>8.4315000000000008E-4</v>
      </c>
      <c r="H280" s="50" cm="1">
        <f t="array" aca="1" ref="H280" ca="1">MMS_Swine_N2ODirect_Equations.VEERG_4_5_1_3__1_TotalAnnualDirectNitrousOxideEmissionsFromMMS(H227, _xlfn.XLOOKUP($E280, $D$153:$D$159, $E$153:$E$159), $I$256)</f>
        <v>7.9152857142857124E-4</v>
      </c>
      <c r="I280" s="50" cm="1">
        <f t="array" aca="1" ref="I280" ca="1">MMS_Swine_N2ODirect_Equations.VEERG_4_5_1_3__1_TotalAnnualDirectNitrousOxideEmissionsFromMMS(I227, _xlfn.XLOOKUP($E280, $D$153:$D$159, $E$153:$E$159), $I$256)</f>
        <v>5.3686285714285705E-4</v>
      </c>
      <c r="J280" s="2"/>
      <c r="N280" s="55"/>
      <c r="O280" s="55" t="str">
        <f>INDEX(X_Table_Swine_Stage2MMS_From_DigesterCoveredLagoons,3,1)</f>
        <v>Deep litter</v>
      </c>
      <c r="P280" s="50" cm="1">
        <f t="array" aca="1" ref="P280" ca="1">MMS_Swine_N2ODirect_Equations.VEERG_4_5_1_3__1_TotalAnnualDirectNitrousOxideEmissionsFromMMS(P227, _xlfn.XLOOKUP($E280, $D$153:$D$159, $E$153:$E$159), $I$256)</f>
        <v>6.3322285714285703E-4</v>
      </c>
      <c r="Q280" s="50" cm="1">
        <f t="array" aca="1" ref="Q280" ca="1">MMS_Swine_N2ODirect_Equations.VEERG_4_5_1_3__1_TotalAnnualDirectNitrousOxideEmissionsFromMMS(Q227, _xlfn.XLOOKUP($E280, $D$153:$D$159, $E$153:$E$159), $I$256)</f>
        <v>8.4315000000000008E-4</v>
      </c>
      <c r="R280" s="50" cm="1">
        <f t="array" aca="1" ref="R280" ca="1">MMS_Swine_N2ODirect_Equations.VEERG_4_5_1_3__1_TotalAnnualDirectNitrousOxideEmissionsFromMMS(R227, _xlfn.XLOOKUP($E280, $D$153:$D$159, $E$153:$E$159), $I$256)</f>
        <v>7.9152857142857124E-4</v>
      </c>
      <c r="S280" s="50" cm="1">
        <f t="array" aca="1" ref="S280" ca="1">MMS_Swine_N2ODirect_Equations.VEERG_4_5_1_3__1_TotalAnnualDirectNitrousOxideEmissionsFromMMS(S227, _xlfn.XLOOKUP($E280, $D$153:$D$159, $E$153:$E$159), $I$256)</f>
        <v>5.3686285714285705E-4</v>
      </c>
      <c r="T280" s="2"/>
    </row>
    <row r="281" spans="4:20" ht="20" customHeight="1" x14ac:dyDescent="0.25">
      <c r="D281" s="55"/>
      <c r="E281" s="55" t="str">
        <f>INDEX(X_Table_Swine_Stage2MMS_From_DigesterCoveredLagoons,4,1)</f>
        <v>Pit storage</v>
      </c>
      <c r="F281" s="50" cm="1">
        <f t="array" aca="1" ref="F281" ca="1">MMS_Swine_N2ODirect_Equations.VEERG_4_5_1_3__1_TotalAnnualDirectNitrousOxideEmissionsFromMMS(F228, _xlfn.XLOOKUP($E281, $D$153:$D$159, $E$153:$E$159), $I$256)</f>
        <v>1.266445714285714E-4</v>
      </c>
      <c r="G281" s="50" cm="1">
        <f t="array" aca="1" ref="G281" ca="1">MMS_Swine_N2ODirect_Equations.VEERG_4_5_1_3__1_TotalAnnualDirectNitrousOxideEmissionsFromMMS(G228, _xlfn.XLOOKUP($E281, $D$153:$D$159, $E$153:$E$159), $I$256)</f>
        <v>1.6863000000000004E-4</v>
      </c>
      <c r="H281" s="50" cm="1">
        <f t="array" aca="1" ref="H281" ca="1">MMS_Swine_N2ODirect_Equations.VEERG_4_5_1_3__1_TotalAnnualDirectNitrousOxideEmissionsFromMMS(H228, _xlfn.XLOOKUP($E281, $D$153:$D$159, $E$153:$E$159), $I$256)</f>
        <v>1.5830571428571426E-4</v>
      </c>
      <c r="I281" s="50" cm="1">
        <f t="array" aca="1" ref="I281" ca="1">MMS_Swine_N2ODirect_Equations.VEERG_4_5_1_3__1_TotalAnnualDirectNitrousOxideEmissionsFromMMS(I228, _xlfn.XLOOKUP($E281, $D$153:$D$159, $E$153:$E$159), $I$256)</f>
        <v>1.073725714285714E-4</v>
      </c>
      <c r="J281" s="2"/>
      <c r="N281" s="55"/>
      <c r="O281" s="55" t="str">
        <f>INDEX(X_Table_Swine_Stage2MMS_From_DigesterCoveredLagoons,4,1)</f>
        <v>Pit storage</v>
      </c>
      <c r="P281" s="50" cm="1">
        <f t="array" aca="1" ref="P281" ca="1">MMS_Swine_N2ODirect_Equations.VEERG_4_5_1_3__1_TotalAnnualDirectNitrousOxideEmissionsFromMMS(P228, _xlfn.XLOOKUP($E281, $D$153:$D$159, $E$153:$E$159), $I$256)</f>
        <v>1.266445714285714E-4</v>
      </c>
      <c r="Q281" s="50" cm="1">
        <f t="array" aca="1" ref="Q281" ca="1">MMS_Swine_N2ODirect_Equations.VEERG_4_5_1_3__1_TotalAnnualDirectNitrousOxideEmissionsFromMMS(Q228, _xlfn.XLOOKUP($E281, $D$153:$D$159, $E$153:$E$159), $I$256)</f>
        <v>1.6863000000000004E-4</v>
      </c>
      <c r="R281" s="50" cm="1">
        <f t="array" aca="1" ref="R281" ca="1">MMS_Swine_N2ODirect_Equations.VEERG_4_5_1_3__1_TotalAnnualDirectNitrousOxideEmissionsFromMMS(R228, _xlfn.XLOOKUP($E281, $D$153:$D$159, $E$153:$E$159), $I$256)</f>
        <v>1.5830571428571426E-4</v>
      </c>
      <c r="S281" s="50" cm="1">
        <f t="array" aca="1" ref="S281" ca="1">MMS_Swine_N2ODirect_Equations.VEERG_4_5_1_3__1_TotalAnnualDirectNitrousOxideEmissionsFromMMS(S228, _xlfn.XLOOKUP($E281, $D$153:$D$159, $E$153:$E$159), $I$256)</f>
        <v>1.073725714285714E-4</v>
      </c>
      <c r="T281" s="2"/>
    </row>
    <row r="282" spans="4:20" ht="20" customHeight="1" x14ac:dyDescent="0.25">
      <c r="D282" s="55"/>
      <c r="E282" s="55" t="str">
        <f>INDEX(X_Table_Swine_Stage2MMS_From_DigesterCoveredLagoons,5,1)</f>
        <v>Direct application</v>
      </c>
      <c r="F282" s="50" t="s">
        <v>164</v>
      </c>
      <c r="G282" s="50" t="s">
        <v>164</v>
      </c>
      <c r="H282" s="50" t="s">
        <v>164</v>
      </c>
      <c r="I282" s="50" t="s">
        <v>164</v>
      </c>
      <c r="J282" s="2"/>
      <c r="N282" s="55"/>
      <c r="O282" s="55" t="str">
        <f>INDEX(X_Table_Swine_Stage2MMS_From_DigesterCoveredLagoons,5,1)</f>
        <v>Direct application</v>
      </c>
      <c r="P282" s="50" t="s">
        <v>164</v>
      </c>
      <c r="Q282" s="50" t="s">
        <v>164</v>
      </c>
      <c r="R282" s="50" t="s">
        <v>164</v>
      </c>
      <c r="S282" s="50" t="s">
        <v>164</v>
      </c>
      <c r="T282" s="2"/>
    </row>
    <row r="283" spans="4:20" ht="20" customHeight="1" x14ac:dyDescent="0.25">
      <c r="D283" s="55" t="str">
        <f>INDEX(X_Table_Swine_Stage1MMS_DeepLitter,2,1)</f>
        <v>Deep litter</v>
      </c>
      <c r="E283" s="55" t="str">
        <f>INDEX(X_Table_Swine_Stage2MMS_From_DeepLitter,2,1)</f>
        <v>Anaerobic lagoon</v>
      </c>
      <c r="F283" s="50" cm="1">
        <f t="array" aca="1" ref="F283" ca="1">MMS_Swine_N2ODirect_Equations.VEERG_4_5_1_3__1_TotalAnnualDirectNitrousOxideEmissionsFromMMS(F230, _xlfn.XLOOKUP($E283, $D$153:$D$159, $E$153:$E$159), $I$256)</f>
        <v>0</v>
      </c>
      <c r="G283" s="50" cm="1">
        <f t="array" aca="1" ref="G283" ca="1">MMS_Swine_N2ODirect_Equations.VEERG_4_5_1_3__1_TotalAnnualDirectNitrousOxideEmissionsFromMMS(G230, _xlfn.XLOOKUP($E283, $D$153:$D$159, $E$153:$E$159), $I$256)</f>
        <v>0</v>
      </c>
      <c r="H283" s="50" cm="1">
        <f t="array" aca="1" ref="H283" ca="1">MMS_Swine_N2ODirect_Equations.VEERG_4_5_1_3__1_TotalAnnualDirectNitrousOxideEmissionsFromMMS(H230, _xlfn.XLOOKUP($E283, $D$153:$D$159, $E$153:$E$159), $I$256)</f>
        <v>0</v>
      </c>
      <c r="I283" s="50" cm="1">
        <f t="array" aca="1" ref="I283" ca="1">MMS_Swine_N2ODirect_Equations.VEERG_4_5_1_3__1_TotalAnnualDirectNitrousOxideEmissionsFromMMS(I230, _xlfn.XLOOKUP($E283, $D$153:$D$159, $E$153:$E$159), $I$256)</f>
        <v>0</v>
      </c>
      <c r="J283" s="2"/>
      <c r="N283" s="55" t="str">
        <f>INDEX(X_Table_Swine_Stage1MMS_DeepLitter,2,1)</f>
        <v>Deep litter</v>
      </c>
      <c r="O283" s="55" t="str">
        <f>INDEX(X_Table_Swine_Stage2MMS_From_DeepLitter,2,1)</f>
        <v>Anaerobic lagoon</v>
      </c>
      <c r="P283" s="50" cm="1">
        <f t="array" aca="1" ref="P283" ca="1">MMS_Swine_N2ODirect_Equations.VEERG_4_5_1_3__1_TotalAnnualDirectNitrousOxideEmissionsFromMMS(P230, _xlfn.XLOOKUP($E283, $D$153:$D$159, $E$153:$E$159), $I$256)</f>
        <v>0</v>
      </c>
      <c r="Q283" s="50" cm="1">
        <f t="array" aca="1" ref="Q283" ca="1">MMS_Swine_N2ODirect_Equations.VEERG_4_5_1_3__1_TotalAnnualDirectNitrousOxideEmissionsFromMMS(Q230, _xlfn.XLOOKUP($E283, $D$153:$D$159, $E$153:$E$159), $I$256)</f>
        <v>0</v>
      </c>
      <c r="R283" s="50" cm="1">
        <f t="array" aca="1" ref="R283" ca="1">MMS_Swine_N2ODirect_Equations.VEERG_4_5_1_3__1_TotalAnnualDirectNitrousOxideEmissionsFromMMS(R230, _xlfn.XLOOKUP($E283, $D$153:$D$159, $E$153:$E$159), $I$256)</f>
        <v>0</v>
      </c>
      <c r="S283" s="50" cm="1">
        <f t="array" aca="1" ref="S283" ca="1">MMS_Swine_N2ODirect_Equations.VEERG_4_5_1_3__1_TotalAnnualDirectNitrousOxideEmissionsFromMMS(S230, _xlfn.XLOOKUP($E283, $D$153:$D$159, $E$153:$E$159), $I$256)</f>
        <v>0</v>
      </c>
      <c r="T283" s="2"/>
    </row>
    <row r="284" spans="4:20" ht="20" customHeight="1" x14ac:dyDescent="0.25">
      <c r="D284" s="55"/>
      <c r="E284" s="55" t="str">
        <f>INDEX(X_Table_Swine_Stage2MMS_From_DeepLitter,3,1)</f>
        <v>Digester / covered lagoons</v>
      </c>
      <c r="F284" s="50" cm="1">
        <f t="array" aca="1" ref="F284" ca="1">MMS_Swine_N2ODirect_Equations.VEERG_4_5_1_3__1_TotalAnnualDirectNitrousOxideEmissionsFromMMS(F231, _xlfn.XLOOKUP($E284, $D$153:$D$159, $E$153:$E$159), $I$256)</f>
        <v>0</v>
      </c>
      <c r="G284" s="50" cm="1">
        <f t="array" aca="1" ref="G284" ca="1">MMS_Swine_N2ODirect_Equations.VEERG_4_5_1_3__1_TotalAnnualDirectNitrousOxideEmissionsFromMMS(G231, _xlfn.XLOOKUP($E284, $D$153:$D$159, $E$153:$E$159), $I$256)</f>
        <v>0</v>
      </c>
      <c r="H284" s="50" cm="1">
        <f t="array" aca="1" ref="H284" ca="1">MMS_Swine_N2ODirect_Equations.VEERG_4_5_1_3__1_TotalAnnualDirectNitrousOxideEmissionsFromMMS(H231, _xlfn.XLOOKUP($E284, $D$153:$D$159, $E$153:$E$159), $I$256)</f>
        <v>0</v>
      </c>
      <c r="I284" s="50" cm="1">
        <f t="array" aca="1" ref="I284" ca="1">MMS_Swine_N2ODirect_Equations.VEERG_4_5_1_3__1_TotalAnnualDirectNitrousOxideEmissionsFromMMS(I231, _xlfn.XLOOKUP($E284, $D$153:$D$159, $E$153:$E$159), $I$256)</f>
        <v>0</v>
      </c>
      <c r="J284" s="2"/>
      <c r="N284" s="55"/>
      <c r="O284" s="55" t="str">
        <f>INDEX(X_Table_Swine_Stage2MMS_From_DeepLitter,3,1)</f>
        <v>Digester / covered lagoons</v>
      </c>
      <c r="P284" s="50" cm="1">
        <f t="array" aca="1" ref="P284" ca="1">MMS_Swine_N2ODirect_Equations.VEERG_4_5_1_3__1_TotalAnnualDirectNitrousOxideEmissionsFromMMS(P231, _xlfn.XLOOKUP($E284, $D$153:$D$159, $E$153:$E$159), $I$256)</f>
        <v>0</v>
      </c>
      <c r="Q284" s="50" cm="1">
        <f t="array" aca="1" ref="Q284" ca="1">MMS_Swine_N2ODirect_Equations.VEERG_4_5_1_3__1_TotalAnnualDirectNitrousOxideEmissionsFromMMS(Q231, _xlfn.XLOOKUP($E284, $D$153:$D$159, $E$153:$E$159), $I$256)</f>
        <v>0</v>
      </c>
      <c r="R284" s="50" cm="1">
        <f t="array" aca="1" ref="R284" ca="1">MMS_Swine_N2ODirect_Equations.VEERG_4_5_1_3__1_TotalAnnualDirectNitrousOxideEmissionsFromMMS(R231, _xlfn.XLOOKUP($E284, $D$153:$D$159, $E$153:$E$159), $I$256)</f>
        <v>0</v>
      </c>
      <c r="S284" s="50" cm="1">
        <f t="array" aca="1" ref="S284" ca="1">MMS_Swine_N2ODirect_Equations.VEERG_4_5_1_3__1_TotalAnnualDirectNitrousOxideEmissionsFromMMS(S231, _xlfn.XLOOKUP($E284, $D$153:$D$159, $E$153:$E$159), $I$256)</f>
        <v>0</v>
      </c>
      <c r="T284" s="2"/>
    </row>
    <row r="285" spans="4:20" ht="20" customHeight="1" x14ac:dyDescent="0.25">
      <c r="D285" s="55"/>
      <c r="E285" s="55" t="str">
        <f>INDEX(X_Table_Swine_Stage2MMS_From_DeepLitter,4,1)</f>
        <v>Pit storage</v>
      </c>
      <c r="F285" s="50" cm="1">
        <f t="array" aca="1" ref="F285" ca="1">MMS_Swine_N2ODirect_Equations.VEERG_4_5_1_3__1_TotalAnnualDirectNitrousOxideEmissionsFromMMS(F232, _xlfn.XLOOKUP($E285, $D$153:$D$159, $E$153:$E$159), $I$256)</f>
        <v>1.0954755428571425E-4</v>
      </c>
      <c r="G285" s="50" cm="1">
        <f t="array" aca="1" ref="G285" ca="1">MMS_Swine_N2ODirect_Equations.VEERG_4_5_1_3__1_TotalAnnualDirectNitrousOxideEmissionsFromMMS(G232, _xlfn.XLOOKUP($E285, $D$153:$D$159, $E$153:$E$159), $I$256)</f>
        <v>1.4586495000000002E-4</v>
      </c>
      <c r="H285" s="50" cm="1">
        <f t="array" aca="1" ref="H285" ca="1">MMS_Swine_N2ODirect_Equations.VEERG_4_5_1_3__1_TotalAnnualDirectNitrousOxideEmissionsFromMMS(H232, _xlfn.XLOOKUP($E285, $D$153:$D$159, $E$153:$E$159), $I$256)</f>
        <v>1.3693444285714282E-4</v>
      </c>
      <c r="I285" s="50" cm="1">
        <f t="array" aca="1" ref="I285" ca="1">MMS_Swine_N2ODirect_Equations.VEERG_4_5_1_3__1_TotalAnnualDirectNitrousOxideEmissionsFromMMS(I232, _xlfn.XLOOKUP($E285, $D$153:$D$159, $E$153:$E$159), $I$256)</f>
        <v>9.2877274285714271E-5</v>
      </c>
      <c r="J285" s="2"/>
      <c r="N285" s="55"/>
      <c r="O285" s="55" t="str">
        <f>INDEX(X_Table_Swine_Stage2MMS_From_DeepLitter,4,1)</f>
        <v>Pit storage</v>
      </c>
      <c r="P285" s="50" cm="1">
        <f t="array" aca="1" ref="P285" ca="1">MMS_Swine_N2ODirect_Equations.VEERG_4_5_1_3__1_TotalAnnualDirectNitrousOxideEmissionsFromMMS(P232, _xlfn.XLOOKUP($E285, $D$153:$D$159, $E$153:$E$159), $I$256)</f>
        <v>1.0954755428571425E-4</v>
      </c>
      <c r="Q285" s="50" cm="1">
        <f t="array" aca="1" ref="Q285" ca="1">MMS_Swine_N2ODirect_Equations.VEERG_4_5_1_3__1_TotalAnnualDirectNitrousOxideEmissionsFromMMS(Q232, _xlfn.XLOOKUP($E285, $D$153:$D$159, $E$153:$E$159), $I$256)</f>
        <v>1.4586495000000002E-4</v>
      </c>
      <c r="R285" s="50" cm="1">
        <f t="array" aca="1" ref="R285" ca="1">MMS_Swine_N2ODirect_Equations.VEERG_4_5_1_3__1_TotalAnnualDirectNitrousOxideEmissionsFromMMS(R232, _xlfn.XLOOKUP($E285, $D$153:$D$159, $E$153:$E$159), $I$256)</f>
        <v>1.3693444285714282E-4</v>
      </c>
      <c r="S285" s="50" cm="1">
        <f t="array" aca="1" ref="S285" ca="1">MMS_Swine_N2ODirect_Equations.VEERG_4_5_1_3__1_TotalAnnualDirectNitrousOxideEmissionsFromMMS(S232, _xlfn.XLOOKUP($E285, $D$153:$D$159, $E$153:$E$159), $I$256)</f>
        <v>9.2877274285714271E-5</v>
      </c>
      <c r="T285" s="2"/>
    </row>
    <row r="286" spans="4:20" ht="20" customHeight="1" x14ac:dyDescent="0.25">
      <c r="D286" s="55"/>
      <c r="E286" s="55" t="str">
        <f>INDEX(X_Table_Swine_Stage2MMS_From_DeepLitter,5,1)</f>
        <v>Direct application</v>
      </c>
      <c r="F286" s="50" t="s">
        <v>164</v>
      </c>
      <c r="G286" s="50" t="s">
        <v>164</v>
      </c>
      <c r="H286" s="50" t="s">
        <v>164</v>
      </c>
      <c r="I286" s="50" t="s">
        <v>164</v>
      </c>
      <c r="J286" s="2"/>
      <c r="N286" s="55"/>
      <c r="O286" s="55" t="str">
        <f>INDEX(X_Table_Swine_Stage2MMS_From_DeepLitter,5,1)</f>
        <v>Direct application</v>
      </c>
      <c r="P286" s="50" t="s">
        <v>164</v>
      </c>
      <c r="Q286" s="50" t="s">
        <v>164</v>
      </c>
      <c r="R286" s="50" t="s">
        <v>164</v>
      </c>
      <c r="S286" s="50" t="s">
        <v>164</v>
      </c>
      <c r="T286" s="2"/>
    </row>
    <row r="287" spans="4:20" ht="20" customHeight="1" x14ac:dyDescent="0.25">
      <c r="D287" s="55" t="str">
        <f>INDEX(X_Table_Swine_Stage1MMS_PitStorage,2,1)</f>
        <v>Pit storage</v>
      </c>
      <c r="E287" s="55" t="str">
        <f>INDEX(X_Table_Swine_Stage2MMS_From_PitStorage,2,1)</f>
        <v>Anaerobic lagoon</v>
      </c>
      <c r="F287" s="50" cm="1">
        <f t="array" aca="1" ref="F287" ca="1">MMS_Swine_N2ODirect_Equations.VEERG_4_5_1_3__1_TotalAnnualDirectNitrousOxideEmissionsFromMMS(F234, _xlfn.XLOOKUP($E287, $D$153:$D$159, $E$153:$E$159), $I$256)</f>
        <v>0</v>
      </c>
      <c r="G287" s="50" cm="1">
        <f t="array" aca="1" ref="G287" ca="1">MMS_Swine_N2ODirect_Equations.VEERG_4_5_1_3__1_TotalAnnualDirectNitrousOxideEmissionsFromMMS(G234, _xlfn.XLOOKUP($E287, $D$153:$D$159, $E$153:$E$159), $I$256)</f>
        <v>0</v>
      </c>
      <c r="H287" s="50" cm="1">
        <f t="array" aca="1" ref="H287" ca="1">MMS_Swine_N2ODirect_Equations.VEERG_4_5_1_3__1_TotalAnnualDirectNitrousOxideEmissionsFromMMS(H234, _xlfn.XLOOKUP($E287, $D$153:$D$159, $E$153:$E$159), $I$256)</f>
        <v>0</v>
      </c>
      <c r="I287" s="50" cm="1">
        <f t="array" aca="1" ref="I287" ca="1">MMS_Swine_N2ODirect_Equations.VEERG_4_5_1_3__1_TotalAnnualDirectNitrousOxideEmissionsFromMMS(I234, _xlfn.XLOOKUP($E287, $D$153:$D$159, $E$153:$E$159), $I$256)</f>
        <v>0</v>
      </c>
      <c r="J287" s="2"/>
      <c r="N287" s="55" t="str">
        <f>INDEX(X_Table_Swine_Stage1MMS_PitStorage,2,1)</f>
        <v>Pit storage</v>
      </c>
      <c r="O287" s="55" t="str">
        <f>INDEX(X_Table_Swine_Stage2MMS_From_PitStorage,2,1)</f>
        <v>Anaerobic lagoon</v>
      </c>
      <c r="P287" s="50" cm="1">
        <f t="array" aca="1" ref="P287" ca="1">MMS_Swine_N2ODirect_Equations.VEERG_4_5_1_3__1_TotalAnnualDirectNitrousOxideEmissionsFromMMS(P234, _xlfn.XLOOKUP($E287, $D$153:$D$159, $E$153:$E$159), $I$256)</f>
        <v>0</v>
      </c>
      <c r="Q287" s="50" cm="1">
        <f t="array" aca="1" ref="Q287" ca="1">MMS_Swine_N2ODirect_Equations.VEERG_4_5_1_3__1_TotalAnnualDirectNitrousOxideEmissionsFromMMS(Q234, _xlfn.XLOOKUP($E287, $D$153:$D$159, $E$153:$E$159), $I$256)</f>
        <v>0</v>
      </c>
      <c r="R287" s="50" cm="1">
        <f t="array" aca="1" ref="R287" ca="1">MMS_Swine_N2ODirect_Equations.VEERG_4_5_1_3__1_TotalAnnualDirectNitrousOxideEmissionsFromMMS(R234, _xlfn.XLOOKUP($E287, $D$153:$D$159, $E$153:$E$159), $I$256)</f>
        <v>0</v>
      </c>
      <c r="S287" s="50" cm="1">
        <f t="array" aca="1" ref="S287" ca="1">MMS_Swine_N2ODirect_Equations.VEERG_4_5_1_3__1_TotalAnnualDirectNitrousOxideEmissionsFromMMS(S234, _xlfn.XLOOKUP($E287, $D$153:$D$159, $E$153:$E$159), $I$256)</f>
        <v>0</v>
      </c>
      <c r="T287" s="2"/>
    </row>
    <row r="288" spans="4:20" ht="20" customHeight="1" x14ac:dyDescent="0.25">
      <c r="D288" s="55"/>
      <c r="E288" s="55" t="str">
        <f>INDEX(X_Table_Swine_Stage2MMS_From_PitStorage,3,1)</f>
        <v>Digester / covered lagoons</v>
      </c>
      <c r="F288" s="50" cm="1">
        <f t="array" aca="1" ref="F288" ca="1">MMS_Swine_N2ODirect_Equations.VEERG_4_5_1_3__1_TotalAnnualDirectNitrousOxideEmissionsFromMMS(F235, _xlfn.XLOOKUP($E288, $D$153:$D$159, $E$153:$E$159), $I$256)</f>
        <v>0</v>
      </c>
      <c r="G288" s="50" cm="1">
        <f t="array" aca="1" ref="G288" ca="1">MMS_Swine_N2ODirect_Equations.VEERG_4_5_1_3__1_TotalAnnualDirectNitrousOxideEmissionsFromMMS(G235, _xlfn.XLOOKUP($E288, $D$153:$D$159, $E$153:$E$159), $I$256)</f>
        <v>0</v>
      </c>
      <c r="H288" s="50" cm="1">
        <f t="array" aca="1" ref="H288" ca="1">MMS_Swine_N2ODirect_Equations.VEERG_4_5_1_3__1_TotalAnnualDirectNitrousOxideEmissionsFromMMS(H235, _xlfn.XLOOKUP($E288, $D$153:$D$159, $E$153:$E$159), $I$256)</f>
        <v>0</v>
      </c>
      <c r="I288" s="50" cm="1">
        <f t="array" aca="1" ref="I288" ca="1">MMS_Swine_N2ODirect_Equations.VEERG_4_5_1_3__1_TotalAnnualDirectNitrousOxideEmissionsFromMMS(I235, _xlfn.XLOOKUP($E288, $D$153:$D$159, $E$153:$E$159), $I$256)</f>
        <v>0</v>
      </c>
      <c r="J288" s="2"/>
      <c r="N288" s="55"/>
      <c r="O288" s="55" t="str">
        <f>INDEX(X_Table_Swine_Stage2MMS_From_PitStorage,3,1)</f>
        <v>Digester / covered lagoons</v>
      </c>
      <c r="P288" s="50" cm="1">
        <f t="array" aca="1" ref="P288" ca="1">MMS_Swine_N2ODirect_Equations.VEERG_4_5_1_3__1_TotalAnnualDirectNitrousOxideEmissionsFromMMS(P235, _xlfn.XLOOKUP($E288, $D$153:$D$159, $E$153:$E$159), $I$256)</f>
        <v>0</v>
      </c>
      <c r="Q288" s="50" cm="1">
        <f t="array" aca="1" ref="Q288" ca="1">MMS_Swine_N2ODirect_Equations.VEERG_4_5_1_3__1_TotalAnnualDirectNitrousOxideEmissionsFromMMS(Q235, _xlfn.XLOOKUP($E288, $D$153:$D$159, $E$153:$E$159), $I$256)</f>
        <v>0</v>
      </c>
      <c r="R288" s="50" cm="1">
        <f t="array" aca="1" ref="R288" ca="1">MMS_Swine_N2ODirect_Equations.VEERG_4_5_1_3__1_TotalAnnualDirectNitrousOxideEmissionsFromMMS(R235, _xlfn.XLOOKUP($E288, $D$153:$D$159, $E$153:$E$159), $I$256)</f>
        <v>0</v>
      </c>
      <c r="S288" s="50" cm="1">
        <f t="array" aca="1" ref="S288" ca="1">MMS_Swine_N2ODirect_Equations.VEERG_4_5_1_3__1_TotalAnnualDirectNitrousOxideEmissionsFromMMS(S235, _xlfn.XLOOKUP($E288, $D$153:$D$159, $E$153:$E$159), $I$256)</f>
        <v>0</v>
      </c>
      <c r="T288" s="2"/>
    </row>
    <row r="289" spans="1:20" ht="20" customHeight="1" x14ac:dyDescent="0.25">
      <c r="D289" s="55"/>
      <c r="E289" s="55" t="str">
        <f>INDEX(X_Table_Swine_Stage2MMS_From_PitStorage,4,1)</f>
        <v>Deep litter</v>
      </c>
      <c r="F289" s="50" cm="1">
        <f t="array" aca="1" ref="F289" ca="1">MMS_Swine_N2ODirect_Equations.VEERG_4_5_1_3__1_TotalAnnualDirectNitrousOxideEmissionsFromMMS(F236, _xlfn.XLOOKUP($E289, $D$153:$D$159, $E$153:$E$159), $I$256)</f>
        <v>4.7365069714285705E-4</v>
      </c>
      <c r="G289" s="50" cm="1">
        <f t="array" aca="1" ref="G289" ca="1">MMS_Swine_N2ODirect_Equations.VEERG_4_5_1_3__1_TotalAnnualDirectNitrousOxideEmissionsFromMMS(G236, _xlfn.XLOOKUP($E289, $D$153:$D$159, $E$153:$E$159), $I$256)</f>
        <v>6.306762E-4</v>
      </c>
      <c r="H289" s="50" cm="1">
        <f t="array" aca="1" ref="H289" ca="1">MMS_Swine_N2ODirect_Equations.VEERG_4_5_1_3__1_TotalAnnualDirectNitrousOxideEmissionsFromMMS(H236, _xlfn.XLOOKUP($E289, $D$153:$D$159, $E$153:$E$159), $I$256)</f>
        <v>5.9206337142857137E-4</v>
      </c>
      <c r="I289" s="50" cm="1">
        <f t="array" aca="1" ref="I289" ca="1">MMS_Swine_N2ODirect_Equations.VEERG_4_5_1_3__1_TotalAnnualDirectNitrousOxideEmissionsFromMMS(I236, _xlfn.XLOOKUP($E289, $D$153:$D$159, $E$153:$E$159), $I$256)</f>
        <v>4.0157341714285705E-4</v>
      </c>
      <c r="J289" s="2"/>
      <c r="N289" s="55"/>
      <c r="O289" s="55" t="str">
        <f>INDEX(X_Table_Swine_Stage2MMS_From_PitStorage,4,1)</f>
        <v>Deep litter</v>
      </c>
      <c r="P289" s="50" cm="1">
        <f t="array" aca="1" ref="P289" ca="1">MMS_Swine_N2ODirect_Equations.VEERG_4_5_1_3__1_TotalAnnualDirectNitrousOxideEmissionsFromMMS(P236, _xlfn.XLOOKUP($E289, $D$153:$D$159, $E$153:$E$159), $I$256)</f>
        <v>4.7365069714285705E-4</v>
      </c>
      <c r="Q289" s="50" cm="1">
        <f t="array" aca="1" ref="Q289" ca="1">MMS_Swine_N2ODirect_Equations.VEERG_4_5_1_3__1_TotalAnnualDirectNitrousOxideEmissionsFromMMS(Q236, _xlfn.XLOOKUP($E289, $D$153:$D$159, $E$153:$E$159), $I$256)</f>
        <v>6.306762E-4</v>
      </c>
      <c r="R289" s="50" cm="1">
        <f t="array" aca="1" ref="R289" ca="1">MMS_Swine_N2ODirect_Equations.VEERG_4_5_1_3__1_TotalAnnualDirectNitrousOxideEmissionsFromMMS(R236, _xlfn.XLOOKUP($E289, $D$153:$D$159, $E$153:$E$159), $I$256)</f>
        <v>5.9206337142857137E-4</v>
      </c>
      <c r="S289" s="50" cm="1">
        <f t="array" aca="1" ref="S289" ca="1">MMS_Swine_N2ODirect_Equations.VEERG_4_5_1_3__1_TotalAnnualDirectNitrousOxideEmissionsFromMMS(S236, _xlfn.XLOOKUP($E289, $D$153:$D$159, $E$153:$E$159), $I$256)</f>
        <v>4.0157341714285705E-4</v>
      </c>
      <c r="T289" s="2"/>
    </row>
    <row r="290" spans="1:20" ht="20" customHeight="1" x14ac:dyDescent="0.25">
      <c r="D290" s="55"/>
      <c r="E290" s="55" t="str">
        <f>INDEX(X_Table_Swine_Stage2MMS_From_PitStorage,5,1)</f>
        <v>Direct application</v>
      </c>
      <c r="F290" s="50" t="s">
        <v>164</v>
      </c>
      <c r="G290" s="50" t="s">
        <v>164</v>
      </c>
      <c r="H290" s="50" t="s">
        <v>164</v>
      </c>
      <c r="I290" s="50" t="s">
        <v>164</v>
      </c>
      <c r="J290" s="2"/>
      <c r="N290" s="55"/>
      <c r="O290" s="55" t="str">
        <f>INDEX(X_Table_Swine_Stage2MMS_From_PitStorage,5,1)</f>
        <v>Direct application</v>
      </c>
      <c r="P290" s="50" t="s">
        <v>164</v>
      </c>
      <c r="Q290" s="50" t="s">
        <v>164</v>
      </c>
      <c r="R290" s="50" t="s">
        <v>164</v>
      </c>
      <c r="S290" s="50" t="s">
        <v>164</v>
      </c>
      <c r="T290" s="2"/>
    </row>
    <row r="291" spans="1:20" ht="20" customHeight="1" x14ac:dyDescent="0.25">
      <c r="D291" s="55" t="s">
        <v>343</v>
      </c>
      <c r="E291" s="55" t="str">
        <f>INDEX(X_Table_Swine_Stage2MMS_From_SolidStorage,2,1)</f>
        <v>Anaerobic lagoon</v>
      </c>
      <c r="F291" s="50" cm="1">
        <f t="array" aca="1" ref="F291" ca="1">MMS_Swine_N2ODirect_Equations.VEERG_4_5_1_3__1_TotalAnnualDirectNitrousOxideEmissionsFromMMS(F238, _xlfn.XLOOKUP($E291, $D$153:$D$159, $E$153:$E$159), $I$256)</f>
        <v>0</v>
      </c>
      <c r="G291" s="50" cm="1">
        <f t="array" aca="1" ref="G291" ca="1">MMS_Swine_N2ODirect_Equations.VEERG_4_5_1_3__1_TotalAnnualDirectNitrousOxideEmissionsFromMMS(G238, _xlfn.XLOOKUP($E291, $D$153:$D$159, $E$153:$E$159), $I$256)</f>
        <v>0</v>
      </c>
      <c r="H291" s="50" cm="1">
        <f t="array" aca="1" ref="H291" ca="1">MMS_Swine_N2ODirect_Equations.VEERG_4_5_1_3__1_TotalAnnualDirectNitrousOxideEmissionsFromMMS(H238, _xlfn.XLOOKUP($E291, $D$153:$D$159, $E$153:$E$159), $I$256)</f>
        <v>0</v>
      </c>
      <c r="I291" s="50" cm="1">
        <f t="array" aca="1" ref="I291" ca="1">MMS_Swine_N2ODirect_Equations.VEERG_4_5_1_3__1_TotalAnnualDirectNitrousOxideEmissionsFromMMS(I238, _xlfn.XLOOKUP($E291, $D$153:$D$159, $E$153:$E$159), $I$256)</f>
        <v>0</v>
      </c>
      <c r="J291" s="2"/>
      <c r="N291" s="55" t="s">
        <v>343</v>
      </c>
      <c r="O291" s="55" t="str">
        <f>INDEX(X_Table_Swine_Stage2MMS_From_SolidStorage,2,1)</f>
        <v>Anaerobic lagoon</v>
      </c>
      <c r="P291" s="50" cm="1">
        <f t="array" aca="1" ref="P291" ca="1">MMS_Swine_N2ODirect_Equations.VEERG_4_5_1_3__1_TotalAnnualDirectNitrousOxideEmissionsFromMMS(P238, _xlfn.XLOOKUP($E291, $D$153:$D$159, $E$153:$E$159), $I$256)</f>
        <v>0</v>
      </c>
      <c r="Q291" s="50" cm="1">
        <f t="array" aca="1" ref="Q291" ca="1">MMS_Swine_N2ODirect_Equations.VEERG_4_5_1_3__1_TotalAnnualDirectNitrousOxideEmissionsFromMMS(Q238, _xlfn.XLOOKUP($E291, $D$153:$D$159, $E$153:$E$159), $I$256)</f>
        <v>0</v>
      </c>
      <c r="R291" s="50" cm="1">
        <f t="array" aca="1" ref="R291" ca="1">MMS_Swine_N2ODirect_Equations.VEERG_4_5_1_3__1_TotalAnnualDirectNitrousOxideEmissionsFromMMS(R238, _xlfn.XLOOKUP($E291, $D$153:$D$159, $E$153:$E$159), $I$256)</f>
        <v>0</v>
      </c>
      <c r="S291" s="50" cm="1">
        <f t="array" aca="1" ref="S291" ca="1">MMS_Swine_N2ODirect_Equations.VEERG_4_5_1_3__1_TotalAnnualDirectNitrousOxideEmissionsFromMMS(S238, _xlfn.XLOOKUP($E291, $D$153:$D$159, $E$153:$E$159), $I$256)</f>
        <v>0</v>
      </c>
      <c r="T291" s="2"/>
    </row>
    <row r="292" spans="1:20" ht="20" customHeight="1" x14ac:dyDescent="0.25">
      <c r="D292" s="55"/>
      <c r="E292" s="55" t="str">
        <f>INDEX(X_Table_Swine_Stage2MMS_From_SolidStorage,3,1)</f>
        <v>Digester / covered lagoons</v>
      </c>
      <c r="F292" s="50" cm="1">
        <f t="array" aca="1" ref="F292" ca="1">MMS_Swine_N2ODirect_Equations.VEERG_4_5_1_3__1_TotalAnnualDirectNitrousOxideEmissionsFromMMS(F239, _xlfn.XLOOKUP($E292, $D$153:$D$159, $E$153:$E$159), $I$256)</f>
        <v>0</v>
      </c>
      <c r="G292" s="50" cm="1">
        <f t="array" aca="1" ref="G292" ca="1">MMS_Swine_N2ODirect_Equations.VEERG_4_5_1_3__1_TotalAnnualDirectNitrousOxideEmissionsFromMMS(G239, _xlfn.XLOOKUP($E292, $D$153:$D$159, $E$153:$E$159), $I$256)</f>
        <v>0</v>
      </c>
      <c r="H292" s="50" cm="1">
        <f t="array" aca="1" ref="H292" ca="1">MMS_Swine_N2ODirect_Equations.VEERG_4_5_1_3__1_TotalAnnualDirectNitrousOxideEmissionsFromMMS(H239, _xlfn.XLOOKUP($E292, $D$153:$D$159, $E$153:$E$159), $I$256)</f>
        <v>0</v>
      </c>
      <c r="I292" s="50" cm="1">
        <f t="array" aca="1" ref="I292" ca="1">MMS_Swine_N2ODirect_Equations.VEERG_4_5_1_3__1_TotalAnnualDirectNitrousOxideEmissionsFromMMS(I239, _xlfn.XLOOKUP($E292, $D$153:$D$159, $E$153:$E$159), $I$256)</f>
        <v>0</v>
      </c>
      <c r="J292" s="2"/>
      <c r="N292" s="55"/>
      <c r="O292" s="55" t="str">
        <f>INDEX(X_Table_Swine_Stage2MMS_From_SolidStorage,3,1)</f>
        <v>Digester / covered lagoons</v>
      </c>
      <c r="P292" s="50" cm="1">
        <f t="array" aca="1" ref="P292" ca="1">MMS_Swine_N2ODirect_Equations.VEERG_4_5_1_3__1_TotalAnnualDirectNitrousOxideEmissionsFromMMS(P239, _xlfn.XLOOKUP($E292, $D$153:$D$159, $E$153:$E$159), $I$256)</f>
        <v>0</v>
      </c>
      <c r="Q292" s="50" cm="1">
        <f t="array" aca="1" ref="Q292" ca="1">MMS_Swine_N2ODirect_Equations.VEERG_4_5_1_3__1_TotalAnnualDirectNitrousOxideEmissionsFromMMS(Q239, _xlfn.XLOOKUP($E292, $D$153:$D$159, $E$153:$E$159), $I$256)</f>
        <v>0</v>
      </c>
      <c r="R292" s="50" cm="1">
        <f t="array" aca="1" ref="R292" ca="1">MMS_Swine_N2ODirect_Equations.VEERG_4_5_1_3__1_TotalAnnualDirectNitrousOxideEmissionsFromMMS(R239, _xlfn.XLOOKUP($E292, $D$153:$D$159, $E$153:$E$159), $I$256)</f>
        <v>0</v>
      </c>
      <c r="S292" s="50" cm="1">
        <f t="array" aca="1" ref="S292" ca="1">MMS_Swine_N2ODirect_Equations.VEERG_4_5_1_3__1_TotalAnnualDirectNitrousOxideEmissionsFromMMS(S239, _xlfn.XLOOKUP($E292, $D$153:$D$159, $E$153:$E$159), $I$256)</f>
        <v>0</v>
      </c>
      <c r="T292" s="2"/>
    </row>
    <row r="293" spans="1:20" ht="20" customHeight="1" x14ac:dyDescent="0.25">
      <c r="D293" s="55"/>
      <c r="E293" s="55" t="str">
        <f>INDEX(X_Table_Swine_Stage2MMS_From_SolidStorage,4,1)</f>
        <v>Deep litter</v>
      </c>
      <c r="F293" s="50" cm="1">
        <f t="array" aca="1" ref="F293" ca="1">MMS_Swine_N2ODirect_Equations.VEERG_4_5_1_3__1_TotalAnnualDirectNitrousOxideEmissionsFromMMS(F240, _xlfn.XLOOKUP($E293, $D$153:$D$159, $E$153:$E$159), $I$256)</f>
        <v>1.6780405714285722E-3</v>
      </c>
      <c r="G293" s="50" cm="1">
        <f t="array" aca="1" ref="G293" ca="1">MMS_Swine_N2ODirect_Equations.VEERG_4_5_1_3__1_TotalAnnualDirectNitrousOxideEmissionsFromMMS(G240, _xlfn.XLOOKUP($E293, $D$153:$D$159, $E$153:$E$159), $I$256)</f>
        <v>1.787478000000001E-3</v>
      </c>
      <c r="H293" s="50" cm="1">
        <f t="array" aca="1" ref="H293" ca="1">MMS_Swine_N2ODirect_Equations.VEERG_4_5_1_3__1_TotalAnnualDirectNitrousOxideEmissionsFromMMS(H240, _xlfn.XLOOKUP($E293, $D$153:$D$159, $E$153:$E$159), $I$256)</f>
        <v>1.6780405714285722E-3</v>
      </c>
      <c r="I293" s="50" cm="1">
        <f t="array" aca="1" ref="I293" ca="1">MMS_Swine_N2ODirect_Equations.VEERG_4_5_1_3__1_TotalAnnualDirectNitrousOxideEmissionsFromMMS(I240, _xlfn.XLOOKUP($E293, $D$153:$D$159, $E$153:$E$159), $I$256)</f>
        <v>1.1381492571428578E-3</v>
      </c>
      <c r="J293" s="2"/>
      <c r="N293" s="55"/>
      <c r="O293" s="55" t="str">
        <f>INDEX(X_Table_Swine_Stage2MMS_From_SolidStorage,4,1)</f>
        <v>Deep litter</v>
      </c>
      <c r="P293" s="50" cm="1">
        <f t="array" aca="1" ref="P293" ca="1">MMS_Swine_N2ODirect_Equations.VEERG_4_5_1_3__1_TotalAnnualDirectNitrousOxideEmissionsFromMMS(P240, _xlfn.XLOOKUP($E293, $D$153:$D$159, $E$153:$E$159), $I$256)</f>
        <v>1.6780405714285722E-3</v>
      </c>
      <c r="Q293" s="50" cm="1">
        <f t="array" aca="1" ref="Q293" ca="1">MMS_Swine_N2ODirect_Equations.VEERG_4_5_1_3__1_TotalAnnualDirectNitrousOxideEmissionsFromMMS(Q240, _xlfn.XLOOKUP($E293, $D$153:$D$159, $E$153:$E$159), $I$256)</f>
        <v>1.787478000000001E-3</v>
      </c>
      <c r="R293" s="50" cm="1">
        <f t="array" aca="1" ref="R293" ca="1">MMS_Swine_N2ODirect_Equations.VEERG_4_5_1_3__1_TotalAnnualDirectNitrousOxideEmissionsFromMMS(R240, _xlfn.XLOOKUP($E293, $D$153:$D$159, $E$153:$E$159), $I$256)</f>
        <v>1.6780405714285722E-3</v>
      </c>
      <c r="S293" s="50" cm="1">
        <f t="array" aca="1" ref="S293" ca="1">MMS_Swine_N2ODirect_Equations.VEERG_4_5_1_3__1_TotalAnnualDirectNitrousOxideEmissionsFromMMS(S240, _xlfn.XLOOKUP($E293, $D$153:$D$159, $E$153:$E$159), $I$256)</f>
        <v>1.1381492571428578E-3</v>
      </c>
      <c r="T293" s="2"/>
    </row>
    <row r="294" spans="1:20" ht="20" customHeight="1" x14ac:dyDescent="0.25">
      <c r="D294" s="55"/>
      <c r="E294" s="55" t="str">
        <f>INDEX(X_Table_Swine_Stage2MMS_From_SolidStorage,5,1)</f>
        <v>Pit storage</v>
      </c>
      <c r="F294" s="50" cm="1">
        <f t="array" aca="1" ref="F294" ca="1">MMS_Swine_N2ODirect_Equations.VEERG_4_5_1_3__1_TotalAnnualDirectNitrousOxideEmissionsFromMMS(F241, _xlfn.XLOOKUP($E294, $D$153:$D$159, $E$153:$E$159), $I$256)</f>
        <v>1.6780405714285717E-4</v>
      </c>
      <c r="G294" s="50" cm="1">
        <f t="array" aca="1" ref="G294" ca="1">MMS_Swine_N2ODirect_Equations.VEERG_4_5_1_3__1_TotalAnnualDirectNitrousOxideEmissionsFromMMS(G241, _xlfn.XLOOKUP($E294, $D$153:$D$159, $E$153:$E$159), $I$256)</f>
        <v>1.7874780000000013E-4</v>
      </c>
      <c r="H294" s="50" cm="1">
        <f t="array" aca="1" ref="H294" ca="1">MMS_Swine_N2ODirect_Equations.VEERG_4_5_1_3__1_TotalAnnualDirectNitrousOxideEmissionsFromMMS(H241, _xlfn.XLOOKUP($E294, $D$153:$D$159, $E$153:$E$159), $I$256)</f>
        <v>1.6780405714285717E-4</v>
      </c>
      <c r="I294" s="50" cm="1">
        <f t="array" aca="1" ref="I294" ca="1">MMS_Swine_N2ODirect_Equations.VEERG_4_5_1_3__1_TotalAnnualDirectNitrousOxideEmissionsFromMMS(I241, _xlfn.XLOOKUP($E294, $D$153:$D$159, $E$153:$E$159), $I$256)</f>
        <v>1.1381492571428576E-4</v>
      </c>
      <c r="J294" s="2"/>
      <c r="N294" s="55"/>
      <c r="O294" s="55" t="str">
        <f>INDEX(X_Table_Swine_Stage2MMS_From_SolidStorage,5,1)</f>
        <v>Pit storage</v>
      </c>
      <c r="P294" s="50" cm="1">
        <f t="array" aca="1" ref="P294" ca="1">MMS_Swine_N2ODirect_Equations.VEERG_4_5_1_3__1_TotalAnnualDirectNitrousOxideEmissionsFromMMS(P241, _xlfn.XLOOKUP($E294, $D$153:$D$159, $E$153:$E$159), $I$256)</f>
        <v>1.6780405714285717E-4</v>
      </c>
      <c r="Q294" s="50" cm="1">
        <f t="array" aca="1" ref="Q294" ca="1">MMS_Swine_N2ODirect_Equations.VEERG_4_5_1_3__1_TotalAnnualDirectNitrousOxideEmissionsFromMMS(Q241, _xlfn.XLOOKUP($E294, $D$153:$D$159, $E$153:$E$159), $I$256)</f>
        <v>1.7874780000000013E-4</v>
      </c>
      <c r="R294" s="50" cm="1">
        <f t="array" aca="1" ref="R294" ca="1">MMS_Swine_N2ODirect_Equations.VEERG_4_5_1_3__1_TotalAnnualDirectNitrousOxideEmissionsFromMMS(R241, _xlfn.XLOOKUP($E294, $D$153:$D$159, $E$153:$E$159), $I$256)</f>
        <v>1.6780405714285717E-4</v>
      </c>
      <c r="S294" s="50" cm="1">
        <f t="array" aca="1" ref="S294" ca="1">MMS_Swine_N2ODirect_Equations.VEERG_4_5_1_3__1_TotalAnnualDirectNitrousOxideEmissionsFromMMS(S241, _xlfn.XLOOKUP($E294, $D$153:$D$159, $E$153:$E$159), $I$256)</f>
        <v>1.1381492571428576E-4</v>
      </c>
      <c r="T294" s="2"/>
    </row>
    <row r="295" spans="1:20" ht="20" customHeight="1" x14ac:dyDescent="0.25">
      <c r="D295" s="55"/>
      <c r="E295" s="55" t="str">
        <f>INDEX(X_Table_Swine_Stage2MMS_From_SolidStorage,6,1)</f>
        <v>Direct application</v>
      </c>
      <c r="F295" s="50" t="s">
        <v>164</v>
      </c>
      <c r="G295" s="50" t="s">
        <v>164</v>
      </c>
      <c r="H295" s="50" t="s">
        <v>164</v>
      </c>
      <c r="I295" s="50" t="s">
        <v>164</v>
      </c>
      <c r="J295" s="2"/>
      <c r="N295" s="55"/>
      <c r="O295" s="55" t="str">
        <f>INDEX(X_Table_Swine_Stage2MMS_From_SolidStorage,6,1)</f>
        <v>Direct application</v>
      </c>
      <c r="P295" s="50" t="s">
        <v>164</v>
      </c>
      <c r="Q295" s="50" t="s">
        <v>164</v>
      </c>
      <c r="R295" s="50" t="s">
        <v>164</v>
      </c>
      <c r="S295" s="50" t="s">
        <v>164</v>
      </c>
      <c r="T295" s="2"/>
    </row>
    <row r="296" spans="1:20" ht="20" customHeight="1" x14ac:dyDescent="0.25"/>
    <row r="297" spans="1:20" ht="20" customHeight="1" x14ac:dyDescent="0.25">
      <c r="D297" s="94" t="s">
        <v>96</v>
      </c>
      <c r="E297" s="95">
        <f ca="1">SUM(F264:I295)</f>
        <v>7.4343140661428567E-2</v>
      </c>
      <c r="F297" s="96" t="str">
        <f>$E$252</f>
        <v>t N2O</v>
      </c>
      <c r="N297" s="94" t="s">
        <v>96</v>
      </c>
      <c r="O297" s="95">
        <f ca="1">SUM(P264:S295)</f>
        <v>7.4343140661428567E-2</v>
      </c>
      <c r="P297" s="96" t="str">
        <f>$E$252</f>
        <v>t N2O</v>
      </c>
    </row>
    <row r="298" spans="1:20" ht="20" customHeight="1" x14ac:dyDescent="0.25"/>
    <row r="299" spans="1:20" ht="20" customHeight="1" x14ac:dyDescent="0.25">
      <c r="D299" s="55" t="str" cm="1">
        <f t="array" ref="D299:E300">Common_Equations.Common_ConvertN2OToCO2e_Arguments()</f>
        <v>EN2O</v>
      </c>
      <c r="E299" s="56" t="str">
        <v>Nitrous oxide emissions (t N2O)</v>
      </c>
      <c r="F299" s="97"/>
      <c r="G299" s="50">
        <f ca="1">E297</f>
        <v>7.4343140661428567E-2</v>
      </c>
      <c r="N299" s="55" t="str" cm="1">
        <f t="array" ref="N299:O300">Common_Equations.Common_ConvertN2OToCO2e_Arguments()</f>
        <v>EN2O</v>
      </c>
      <c r="O299" s="56" t="str">
        <v>Nitrous oxide emissions (t N2O)</v>
      </c>
      <c r="P299" s="97"/>
      <c r="Q299" s="50">
        <f ca="1">O297</f>
        <v>7.4343140661428567E-2</v>
      </c>
    </row>
    <row r="300" spans="1:20" ht="20" customHeight="1" x14ac:dyDescent="0.25">
      <c r="D300" s="55" t="str">
        <v>GWPN2O</v>
      </c>
      <c r="E300" s="56" t="str">
        <v>Global warming potential for nitrous oxide (t CO2-e / t N2O)</v>
      </c>
      <c r="F300" s="97"/>
      <c r="G300" s="50">
        <f>Common_InputFunctions.Utility_LookupValueInTableNumber("N2O",Table_GWPData[Gas],Table_GWPData[CO2-e factor])</f>
        <v>265</v>
      </c>
      <c r="N300" s="55" t="str">
        <v>GWPN2O</v>
      </c>
      <c r="O300" s="56" t="str">
        <v>Global warming potential for nitrous oxide (t CO2-e / t N2O)</v>
      </c>
      <c r="P300" s="97"/>
      <c r="Q300" s="50">
        <f>Common_InputFunctions.Utility_LookupValueInTableNumber("N2O",Table_GWPData[Gas],Table_GWPData[CO2-e factor])</f>
        <v>265</v>
      </c>
    </row>
    <row r="301" spans="1:20" ht="20" customHeight="1" x14ac:dyDescent="0.25"/>
    <row r="302" spans="1:20" ht="20" customHeight="1" x14ac:dyDescent="0.25">
      <c r="A302" s="137" t="str">
        <f>HYPERLINK("#A1", "▲ Back to top")</f>
        <v>▲ Back to top</v>
      </c>
      <c r="D302" s="43" t="s">
        <v>93</v>
      </c>
      <c r="E302" s="43" cm="1">
        <f t="array" aca="1" ref="E302" ca="1">Common_Equations.Common_ConvertN2OToCO2e(G299,G300)</f>
        <v>19.700932275278571</v>
      </c>
      <c r="F302" s="98" t="str" cm="1">
        <f t="array" ref="F302">Common_Equations.Common_ConvertN2OToCO2e_Unit()</f>
        <v>t CO2e</v>
      </c>
      <c r="N302" s="43" t="s">
        <v>93</v>
      </c>
      <c r="O302" s="43" cm="1">
        <f t="array" aca="1" ref="O302" ca="1">Common_Equations.Common_ConvertN2OToCO2e(Q299,Q300)</f>
        <v>19.700932275278571</v>
      </c>
      <c r="P302" s="98" t="str" cm="1">
        <f t="array" ref="P302">Common_Equations.Common_ConvertN2OToCO2e_Unit()</f>
        <v>t CO2e</v>
      </c>
    </row>
    <row r="303" spans="1:20" ht="20" customHeight="1" x14ac:dyDescent="0.25"/>
    <row r="304" spans="1:20" ht="20" customHeight="1" x14ac:dyDescent="0.25"/>
  </sheetData>
  <dataValidations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U165"/>
  <sheetViews>
    <sheetView showGridLines="0" topLeftCell="A108" zoomScaleNormal="100" workbookViewId="0">
      <selection activeCell="A26" sqref="A26"/>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277</v>
      </c>
      <c r="L1"/>
    </row>
    <row r="2" spans="1:21" s="9" customFormat="1" ht="20" customHeight="1" x14ac:dyDescent="0.25">
      <c r="A2"/>
      <c r="L2"/>
    </row>
    <row r="3" spans="1:21" ht="20"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 customHeight="1" x14ac:dyDescent="0.25">
      <c r="D6" s="5" t="str" cm="1">
        <f t="array" ref="D6">MMS_Swine_AtmosphericDeposition_Equations.VEERG_4_5_1_5__2_TotalNitrogenVolatilisedFromMMS_Source()</f>
        <v>VEERG 2026: 4.5.1.1, Equation (2)</v>
      </c>
    </row>
    <row r="7" spans="1:21" ht="20" customHeight="1" x14ac:dyDescent="0.25">
      <c r="D7" s="13" t="s">
        <v>23</v>
      </c>
      <c r="E7" s="13" t="str" cm="1">
        <f t="array" aca="1" ref="E7" ca="1">Common_InputFunctions.Utility_DisplayFunctionName(F73)</f>
        <v>=MMS_Swine_AtmosphericDeposition_Equations.VEERG_4_5_1_5__2_TotalNitrogenVolatilisedFromMMS</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Swine'!A1", "Swine")</f>
        <v>Swine</v>
      </c>
      <c r="D10" s="51" t="s">
        <v>26</v>
      </c>
      <c r="E10" s="1" t="str" cm="1">
        <f t="array" ref="E10">MMS_Swine_AtmosphericDeposition_Equations.VEERG_4_5_1_5__2_TotalNitrogenVolatilisedFromMMS_Variable()</f>
        <v>MMS_ATMOS</v>
      </c>
    </row>
    <row r="11" spans="1:21" ht="20" customHeight="1" x14ac:dyDescent="0.25">
      <c r="D11" s="51" t="s">
        <v>16</v>
      </c>
      <c r="E11" s="52" t="str" cm="1">
        <f t="array" ref="E11">MMS_Swine_AtmosphericDeposition_Equations.VEERG_4_5_1_5__2_TotalNitrogenVolatilisedFromMMS_Unit()</f>
        <v>kg N</v>
      </c>
    </row>
    <row r="12" spans="1:21" ht="20" customHeight="1" x14ac:dyDescent="0.25"/>
    <row r="13" spans="1:21" ht="20" customHeight="1" x14ac:dyDescent="0.25">
      <c r="A13" s="18" t="s">
        <v>71</v>
      </c>
      <c r="D13" s="55" t="str" cm="1">
        <f t="array" ref="D13:E14">Common_InputFunctions.Utility_DisplayArguments_1_2(MMS_Swine_AtmosphericDeposition_Equations.VEERG_4_5_1_5__2_TotalNitrogenVolatilisedFromMMS_Arguments())</f>
        <v>MN_jmT</v>
      </c>
      <c r="E13" s="56" t="str">
        <v>nitrogen per swine class, MMS and treatment stage</v>
      </c>
      <c r="F13" s="57"/>
      <c r="G13" s="132" t="str" cm="1">
        <f t="array" ref="G13:H14">Common_InputFunctions.Utility_DisplayArguments_3_4(MMS_Swine_AtmosphericDeposition_Equations.VEERG_4_5_1_5__2_TotalNitrogenVolatilisedFromMMS_Arguments())</f>
        <v>kg N</v>
      </c>
      <c r="H13" s="127" t="str">
        <v>Calculated from 4.5.1.3 (2)(6)</v>
      </c>
      <c r="I13" s="131" t="str" cm="1">
        <f t="array" aca="1" ref="I13" ca="1">HYPERLINK(Common_InputFunctions.Utility_SourceHyperlink(D19), D19)</f>
        <v>M1_Table_MN_j_m_T-1</v>
      </c>
      <c r="J13" s="131" t="str" cm="1">
        <f t="array" aca="1" ref="J13" ca="1">HYPERLINK(Common_InputFunctions.Utility_SourceHyperlink(D29), D29)</f>
        <v>M1_Table_MN_j_m_T-2</v>
      </c>
    </row>
    <row r="14" spans="1:21" ht="20" customHeight="1" x14ac:dyDescent="0.25">
      <c r="A14" s="17" t="str">
        <f>HYPERLINK("#'4.5.1.1-2 Methane'!A1", "4.5.1.1-2 Methane")</f>
        <v>4.5.1.1-2 Methane</v>
      </c>
      <c r="D14" s="55" t="str">
        <v>FracGASMmT</v>
      </c>
      <c r="E14" s="56" t="str">
        <v>fraction of N volatilised in each MMS</v>
      </c>
      <c r="F14" s="57"/>
      <c r="G14" s="132" t="str">
        <v>(kg NH3-N + NOx-N)/kg N</v>
      </c>
      <c r="H14" s="127" t="str">
        <v>Constant</v>
      </c>
      <c r="I14" s="136" t="str" cm="1">
        <f t="array" aca="1" ref="I14" ca="1">HYPERLINK(Common_InputFunctions.Utility_SourceHyperlink(D59), D59)</f>
        <v>Table_FracGASM_m_t</v>
      </c>
      <c r="J14" s="135"/>
    </row>
    <row r="15" spans="1:21" ht="20" customHeight="1" x14ac:dyDescent="0.25">
      <c r="A15" s="17" t="str">
        <f>HYPERLINK("#'4.5.1.3-4 Direct N2O'!A1", "4.5.1.3-4 Direct N2O")</f>
        <v>4.5.1.3-4 Direct N2O</v>
      </c>
    </row>
    <row r="16" spans="1:21" ht="20" customHeight="1" x14ac:dyDescent="0.25">
      <c r="A16" s="143" t="str">
        <f>HYPERLINK("#'4.5.1.5-6 Atmos Dep'!A1", "4.5.1.5-6 Atmos Dep")</f>
        <v>4.5.1.5-6 Atmos Dep</v>
      </c>
      <c r="D16" s="124" t="s">
        <v>335</v>
      </c>
      <c r="E16" s="84"/>
      <c r="F16" s="84"/>
      <c r="G16" s="80"/>
    </row>
    <row r="17" spans="1:20" ht="20" customHeight="1" x14ac:dyDescent="0.25">
      <c r="A17" s="17" t="str">
        <f>HYPERLINK("#'4.5.1.7-8 Leaching and runoff'!A1", "4.5.1.7-8 Leaching and runoff")</f>
        <v>4.5.1.7-8 Leaching and runoff</v>
      </c>
      <c r="D17" s="86" t="s">
        <v>334</v>
      </c>
      <c r="E17" s="83"/>
      <c r="F17" s="83"/>
      <c r="G17" s="81"/>
    </row>
    <row r="18" spans="1:20" ht="20" customHeight="1" x14ac:dyDescent="0.25">
      <c r="A18" s="17" t="str">
        <f>HYPERLINK("#'4.5.1.9 Manure applied to soils'!A1", "4.5.1.9 Manure applied to soils")</f>
        <v>4.5.1.9 Manure applied to soils</v>
      </c>
    </row>
    <row r="19" spans="1:20" ht="20" customHeight="1" x14ac:dyDescent="0.25">
      <c r="D19" s="113" t="s">
        <v>233</v>
      </c>
      <c r="N19" s="113" t="s">
        <v>233</v>
      </c>
    </row>
    <row r="20" spans="1:20" ht="20" customHeight="1" x14ac:dyDescent="0.25">
      <c r="D20" s="114" t="s">
        <v>234</v>
      </c>
      <c r="N20" s="114" t="s">
        <v>234</v>
      </c>
    </row>
    <row r="21" spans="1:20" ht="20" customHeight="1" x14ac:dyDescent="0.25">
      <c r="A21" s="141" t="s">
        <v>1</v>
      </c>
      <c r="D21" s="49" t="s">
        <v>155</v>
      </c>
      <c r="E21" s="49" t="s">
        <v>134</v>
      </c>
      <c r="F21" s="49" t="s">
        <v>135</v>
      </c>
      <c r="G21" s="49" t="s">
        <v>136</v>
      </c>
      <c r="H21" s="49" t="s">
        <v>192</v>
      </c>
      <c r="N21" s="49" t="s">
        <v>155</v>
      </c>
      <c r="O21" s="49" t="s">
        <v>134</v>
      </c>
      <c r="P21" s="49" t="s">
        <v>135</v>
      </c>
      <c r="Q21" s="49" t="s">
        <v>136</v>
      </c>
      <c r="R21" s="49" t="s">
        <v>192</v>
      </c>
    </row>
    <row r="22" spans="1:20" ht="20" customHeight="1" x14ac:dyDescent="0.25">
      <c r="A22" s="17" t="str">
        <f>HYPERLINK("#'Constants - Swine'!A1", "Constants - Swine")</f>
        <v>Constants - Swine</v>
      </c>
      <c r="D22" s="55" t="str">
        <f>INDEX(X_Table_Swine_Stage1MMS_AnaerobicLagoon,2,1)</f>
        <v>Anaerobic lagoon</v>
      </c>
      <c r="E22" s="50">
        <f ca="1">'4.5.1.3-4 Direct N2O'!E118</f>
        <v>201.47999999999996</v>
      </c>
      <c r="F22" s="50">
        <f ca="1">'4.5.1.3-4 Direct N2O'!F118</f>
        <v>214.62000000000003</v>
      </c>
      <c r="G22" s="50">
        <f ca="1">'4.5.1.3-4 Direct N2O'!G118</f>
        <v>201.47999999999996</v>
      </c>
      <c r="H22" s="50">
        <f ca="1">'4.5.1.3-4 Direct N2O'!H118</f>
        <v>136.65599999999998</v>
      </c>
      <c r="I22" s="2" t="str">
        <f>$G$13</f>
        <v>kg N</v>
      </c>
      <c r="N22" s="55" t="str">
        <f>INDEX(X_Table_Swine_Stage1MMS_AnaerobicLagoon,2,1)</f>
        <v>Anaerobic lagoon</v>
      </c>
      <c r="O22" s="50">
        <f ca="1">'4.5.1.3-4 Direct N2O'!O118</f>
        <v>201.47999999999996</v>
      </c>
      <c r="P22" s="50">
        <f ca="1">'4.5.1.3-4 Direct N2O'!P118</f>
        <v>214.62000000000003</v>
      </c>
      <c r="Q22" s="50">
        <f ca="1">'4.5.1.3-4 Direct N2O'!Q118</f>
        <v>201.47999999999996</v>
      </c>
      <c r="R22" s="50">
        <f ca="1">'4.5.1.3-4 Direct N2O'!R118</f>
        <v>136.65599999999998</v>
      </c>
      <c r="S22" s="2" t="str">
        <f>$G$13</f>
        <v>kg N</v>
      </c>
    </row>
    <row r="23" spans="1:20" ht="20" customHeight="1" x14ac:dyDescent="0.25">
      <c r="A23" s="17" t="str">
        <f>HYPERLINK("#'Constants - Common'!A1", "Constants - Common")</f>
        <v>Constants - Common</v>
      </c>
      <c r="D23" s="55" t="str">
        <f>INDEX(X_Table_Swine_Stage1MMS_Drylot,2,1)</f>
        <v>Drylot (feed pad)</v>
      </c>
      <c r="E23" s="50">
        <f ca="1">'4.5.1.3-4 Direct N2O'!E119</f>
        <v>201.47999999999996</v>
      </c>
      <c r="F23" s="50">
        <f ca="1">'4.5.1.3-4 Direct N2O'!F119</f>
        <v>214.62000000000003</v>
      </c>
      <c r="G23" s="50">
        <f ca="1">'4.5.1.3-4 Direct N2O'!G119</f>
        <v>201.47999999999996</v>
      </c>
      <c r="H23" s="50">
        <f ca="1">'4.5.1.3-4 Direct N2O'!H119</f>
        <v>136.65599999999998</v>
      </c>
      <c r="I23" s="2"/>
      <c r="N23" s="55" t="str">
        <f>INDEX(X_Table_Swine_Stage1MMS_Drylot,2,1)</f>
        <v>Drylot (feed pad)</v>
      </c>
      <c r="O23" s="50">
        <f ca="1">'4.5.1.3-4 Direct N2O'!O119</f>
        <v>201.47999999999996</v>
      </c>
      <c r="P23" s="50">
        <f ca="1">'4.5.1.3-4 Direct N2O'!P119</f>
        <v>214.62000000000003</v>
      </c>
      <c r="Q23" s="50">
        <f ca="1">'4.5.1.3-4 Direct N2O'!Q119</f>
        <v>201.47999999999996</v>
      </c>
      <c r="R23" s="50">
        <f ca="1">'4.5.1.3-4 Direct N2O'!R119</f>
        <v>136.65599999999998</v>
      </c>
      <c r="S23" s="2"/>
    </row>
    <row r="24" spans="1:20" ht="20" customHeight="1" x14ac:dyDescent="0.25">
      <c r="A24" s="17" t="str">
        <f>HYPERLINK("#'Constants - Common livestock'!A1", "Constants - Common livestock")</f>
        <v>Constants - Common livestock</v>
      </c>
      <c r="D24" s="55" t="str">
        <f>INDEX(X_Table_Swine_Stage1MMS_DigesterCoveredLagoons,2,1)</f>
        <v>Digester / covered lagoons</v>
      </c>
      <c r="E24" s="50">
        <f ca="1">'4.5.1.3-4 Direct N2O'!E120</f>
        <v>201.47999999999996</v>
      </c>
      <c r="F24" s="50">
        <f ca="1">'4.5.1.3-4 Direct N2O'!F120</f>
        <v>214.62000000000003</v>
      </c>
      <c r="G24" s="50">
        <f ca="1">'4.5.1.3-4 Direct N2O'!G120</f>
        <v>201.47999999999996</v>
      </c>
      <c r="H24" s="50">
        <f ca="1">'4.5.1.3-4 Direct N2O'!H120</f>
        <v>136.65599999999998</v>
      </c>
      <c r="I24" s="2"/>
      <c r="N24" s="55" t="str">
        <f>INDEX(X_Table_Swine_Stage1MMS_DigesterCoveredLagoons,2,1)</f>
        <v>Digester / covered lagoons</v>
      </c>
      <c r="O24" s="50">
        <f ca="1">'4.5.1.3-4 Direct N2O'!O120</f>
        <v>201.47999999999996</v>
      </c>
      <c r="P24" s="50">
        <f ca="1">'4.5.1.3-4 Direct N2O'!P120</f>
        <v>214.62000000000003</v>
      </c>
      <c r="Q24" s="50">
        <f ca="1">'4.5.1.3-4 Direct N2O'!Q120</f>
        <v>201.47999999999996</v>
      </c>
      <c r="R24" s="50">
        <f ca="1">'4.5.1.3-4 Direct N2O'!R120</f>
        <v>136.65599999999998</v>
      </c>
      <c r="S24" s="2"/>
    </row>
    <row r="25" spans="1:20" ht="20" customHeight="1" x14ac:dyDescent="0.25">
      <c r="A25" s="17" t="str">
        <f>HYPERLINK("#'Acknowledgements'!A1", "Acknowledgements")</f>
        <v>Acknowledgements</v>
      </c>
      <c r="D25" s="55" t="str">
        <f>INDEX(X_Table_Swine_Stage1MMS_DeepLitter,2,1)</f>
        <v>Deep litter</v>
      </c>
      <c r="E25" s="50">
        <f ca="1">'4.5.1.3-4 Direct N2O'!E121</f>
        <v>201.47999999999996</v>
      </c>
      <c r="F25" s="50">
        <f ca="1">'4.5.1.3-4 Direct N2O'!F121</f>
        <v>214.62000000000003</v>
      </c>
      <c r="G25" s="50">
        <f ca="1">'4.5.1.3-4 Direct N2O'!G121</f>
        <v>201.47999999999996</v>
      </c>
      <c r="H25" s="50">
        <f ca="1">'4.5.1.3-4 Direct N2O'!H121</f>
        <v>136.65599999999998</v>
      </c>
      <c r="I25" s="2"/>
      <c r="N25" s="55" t="str">
        <f>INDEX(X_Table_Swine_Stage1MMS_DeepLitter,2,1)</f>
        <v>Deep litter</v>
      </c>
      <c r="O25" s="50">
        <f ca="1">'4.5.1.3-4 Direct N2O'!O121</f>
        <v>201.47999999999996</v>
      </c>
      <c r="P25" s="50">
        <f ca="1">'4.5.1.3-4 Direct N2O'!P121</f>
        <v>214.62000000000003</v>
      </c>
      <c r="Q25" s="50">
        <f ca="1">'4.5.1.3-4 Direct N2O'!Q121</f>
        <v>201.47999999999996</v>
      </c>
      <c r="R25" s="50">
        <f ca="1">'4.5.1.3-4 Direct N2O'!R121</f>
        <v>136.65599999999998</v>
      </c>
      <c r="S25" s="2"/>
    </row>
    <row r="26" spans="1:20" ht="20" customHeight="1" x14ac:dyDescent="0.25">
      <c r="A26" s="17" t="str">
        <f>HYPERLINK("#'Tab template'!A1", "Tab template")</f>
        <v>Tab template</v>
      </c>
      <c r="D26" s="55" t="str">
        <f>INDEX(X_Table_Swine_Stage1MMS_PitStorage,2,1)</f>
        <v>Pit storage</v>
      </c>
      <c r="E26" s="50">
        <f ca="1">'4.5.1.3-4 Direct N2O'!E122</f>
        <v>201.47999999999996</v>
      </c>
      <c r="F26" s="50">
        <f ca="1">'4.5.1.3-4 Direct N2O'!F122</f>
        <v>214.62000000000003</v>
      </c>
      <c r="G26" s="50">
        <f ca="1">'4.5.1.3-4 Direct N2O'!G122</f>
        <v>201.47999999999996</v>
      </c>
      <c r="H26" s="50">
        <f ca="1">'4.5.1.3-4 Direct N2O'!H122</f>
        <v>136.65599999999998</v>
      </c>
      <c r="I26" s="2"/>
      <c r="N26" s="55" t="str">
        <f>INDEX(X_Table_Swine_Stage1MMS_PitStorage,2,1)</f>
        <v>Pit storage</v>
      </c>
      <c r="O26" s="50">
        <f ca="1">'4.5.1.3-4 Direct N2O'!O122</f>
        <v>201.47999999999996</v>
      </c>
      <c r="P26" s="50">
        <f ca="1">'4.5.1.3-4 Direct N2O'!P122</f>
        <v>214.62000000000003</v>
      </c>
      <c r="Q26" s="50">
        <f ca="1">'4.5.1.3-4 Direct N2O'!Q122</f>
        <v>201.47999999999996</v>
      </c>
      <c r="R26" s="50">
        <f ca="1">'4.5.1.3-4 Direct N2O'!R122</f>
        <v>136.65599999999998</v>
      </c>
      <c r="S26" s="2"/>
    </row>
    <row r="27" spans="1:20" ht="20" customHeight="1" x14ac:dyDescent="0.25">
      <c r="D27" s="55" t="s">
        <v>343</v>
      </c>
      <c r="E27" s="50">
        <f ca="1">'4.5.1.3-4 Direct N2O'!E123</f>
        <v>671.60000000000014</v>
      </c>
      <c r="F27" s="50">
        <f ca="1">'4.5.1.3-4 Direct N2O'!F123</f>
        <v>715.40000000000032</v>
      </c>
      <c r="G27" s="50">
        <f ca="1">'4.5.1.3-4 Direct N2O'!G123</f>
        <v>671.60000000000014</v>
      </c>
      <c r="H27" s="50">
        <f ca="1">'4.5.1.3-4 Direct N2O'!H123</f>
        <v>455.52000000000015</v>
      </c>
      <c r="I27" s="2"/>
      <c r="N27" s="55" t="s">
        <v>343</v>
      </c>
      <c r="O27" s="50">
        <f ca="1">'4.5.1.3-4 Direct N2O'!O123</f>
        <v>671.60000000000014</v>
      </c>
      <c r="P27" s="50">
        <f ca="1">'4.5.1.3-4 Direct N2O'!P123</f>
        <v>715.40000000000032</v>
      </c>
      <c r="Q27" s="50">
        <f ca="1">'4.5.1.3-4 Direct N2O'!Q123</f>
        <v>671.60000000000014</v>
      </c>
      <c r="R27" s="50">
        <f ca="1">'4.5.1.3-4 Direct N2O'!R123</f>
        <v>455.52000000000015</v>
      </c>
      <c r="S27" s="2"/>
    </row>
    <row r="28" spans="1:20" ht="20" customHeight="1" x14ac:dyDescent="0.25"/>
    <row r="29" spans="1:20" ht="20" customHeight="1" x14ac:dyDescent="0.25">
      <c r="D29" s="113" t="s">
        <v>244</v>
      </c>
      <c r="N29" s="113" t="s">
        <v>244</v>
      </c>
    </row>
    <row r="30" spans="1:20" ht="20" customHeight="1" x14ac:dyDescent="0.25">
      <c r="D30" s="114" t="s">
        <v>245</v>
      </c>
      <c r="N30" s="114" t="s">
        <v>245</v>
      </c>
    </row>
    <row r="31" spans="1:20" ht="20" customHeight="1" x14ac:dyDescent="0.25">
      <c r="D31" s="49" t="s">
        <v>155</v>
      </c>
      <c r="E31" s="49" t="s">
        <v>163</v>
      </c>
      <c r="F31" s="49" t="s">
        <v>134</v>
      </c>
      <c r="G31" s="49" t="s">
        <v>135</v>
      </c>
      <c r="H31" s="49" t="s">
        <v>136</v>
      </c>
      <c r="I31" s="49" t="s">
        <v>192</v>
      </c>
      <c r="N31" s="49" t="s">
        <v>155</v>
      </c>
      <c r="O31" s="49" t="s">
        <v>163</v>
      </c>
      <c r="P31" s="49" t="s">
        <v>134</v>
      </c>
      <c r="Q31" s="49" t="s">
        <v>135</v>
      </c>
      <c r="R31" s="49" t="s">
        <v>136</v>
      </c>
      <c r="S31" s="49" t="s">
        <v>192</v>
      </c>
    </row>
    <row r="32" spans="1:20" ht="20" customHeight="1" x14ac:dyDescent="0.25">
      <c r="D32" s="55" t="str">
        <f>INDEX(X_Table_Swine_Stage1MMS_AnaerobicLagoon,2,1)</f>
        <v>Anaerobic lagoon</v>
      </c>
      <c r="E32" s="55" t="str">
        <f>INDEX(X_Table_Swine_Stage2MMS_From_AnaerobicLagoon,2,1)</f>
        <v>Digester / covered lagoons</v>
      </c>
      <c r="F32" s="50">
        <f ca="1">'4.5.1.3-4 Direct N2O'!F217</f>
        <v>18.133199999999995</v>
      </c>
      <c r="G32" s="50">
        <f ca="1">'4.5.1.3-4 Direct N2O'!G217</f>
        <v>24.144750000000002</v>
      </c>
      <c r="H32" s="50">
        <f ca="1">'4.5.1.3-4 Direct N2O'!H217</f>
        <v>22.666499999999992</v>
      </c>
      <c r="I32" s="50">
        <f ca="1">'4.5.1.3-4 Direct N2O'!I217</f>
        <v>15.373799999999996</v>
      </c>
      <c r="J32" s="2" t="str">
        <f>$G$13</f>
        <v>kg N</v>
      </c>
      <c r="N32" s="55" t="str">
        <f>INDEX(X_Table_Swine_Stage1MMS_AnaerobicLagoon,2,1)</f>
        <v>Anaerobic lagoon</v>
      </c>
      <c r="O32" s="55" t="str">
        <f>INDEX(X_Table_Swine_Stage2MMS_From_AnaerobicLagoon,2,1)</f>
        <v>Digester / covered lagoons</v>
      </c>
      <c r="P32" s="50">
        <f ca="1">'4.5.1.3-4 Direct N2O'!P217</f>
        <v>18.133199999999995</v>
      </c>
      <c r="Q32" s="50">
        <f ca="1">'4.5.1.3-4 Direct N2O'!Q217</f>
        <v>24.144750000000002</v>
      </c>
      <c r="R32" s="50">
        <f ca="1">'4.5.1.3-4 Direct N2O'!R217</f>
        <v>22.666499999999992</v>
      </c>
      <c r="S32" s="50">
        <f ca="1">'4.5.1.3-4 Direct N2O'!S217</f>
        <v>15.373799999999996</v>
      </c>
      <c r="T32" s="2" t="str">
        <f>$G$13</f>
        <v>kg N</v>
      </c>
    </row>
    <row r="33" spans="4:20" ht="20" customHeight="1" x14ac:dyDescent="0.25">
      <c r="D33" s="55"/>
      <c r="E33" s="55" t="str">
        <f>INDEX(X_Table_Swine_Stage2MMS_From_AnaerobicLagoon,3,1)</f>
        <v>Deep litter</v>
      </c>
      <c r="F33" s="50">
        <f ca="1">'4.5.1.3-4 Direct N2O'!F218</f>
        <v>18.133199999999995</v>
      </c>
      <c r="G33" s="50">
        <f ca="1">'4.5.1.3-4 Direct N2O'!G218</f>
        <v>24.144750000000002</v>
      </c>
      <c r="H33" s="50">
        <f ca="1">'4.5.1.3-4 Direct N2O'!H218</f>
        <v>22.666499999999992</v>
      </c>
      <c r="I33" s="50">
        <f ca="1">'4.5.1.3-4 Direct N2O'!I218</f>
        <v>15.373799999999996</v>
      </c>
      <c r="J33" s="2"/>
      <c r="N33" s="55"/>
      <c r="O33" s="55" t="str">
        <f>INDEX(X_Table_Swine_Stage2MMS_From_AnaerobicLagoon,3,1)</f>
        <v>Deep litter</v>
      </c>
      <c r="P33" s="50">
        <f ca="1">'4.5.1.3-4 Direct N2O'!P218</f>
        <v>18.133199999999995</v>
      </c>
      <c r="Q33" s="50">
        <f ca="1">'4.5.1.3-4 Direct N2O'!Q218</f>
        <v>24.144750000000002</v>
      </c>
      <c r="R33" s="50">
        <f ca="1">'4.5.1.3-4 Direct N2O'!R218</f>
        <v>22.666499999999992</v>
      </c>
      <c r="S33" s="50">
        <f ca="1">'4.5.1.3-4 Direct N2O'!S218</f>
        <v>15.373799999999996</v>
      </c>
      <c r="T33" s="2"/>
    </row>
    <row r="34" spans="4:20" ht="20" customHeight="1" x14ac:dyDescent="0.25">
      <c r="D34" s="55"/>
      <c r="E34" s="55" t="str">
        <f>INDEX(X_Table_Swine_Stage2MMS_From_AnaerobicLagoon,4,1)</f>
        <v>Pit storage</v>
      </c>
      <c r="F34" s="50">
        <f ca="1">'4.5.1.3-4 Direct N2O'!F219</f>
        <v>18.133199999999995</v>
      </c>
      <c r="G34" s="50">
        <f ca="1">'4.5.1.3-4 Direct N2O'!G219</f>
        <v>24.144750000000002</v>
      </c>
      <c r="H34" s="50">
        <f ca="1">'4.5.1.3-4 Direct N2O'!H219</f>
        <v>22.666499999999992</v>
      </c>
      <c r="I34" s="50">
        <f ca="1">'4.5.1.3-4 Direct N2O'!I219</f>
        <v>15.373799999999996</v>
      </c>
      <c r="J34" s="2"/>
      <c r="N34" s="55"/>
      <c r="O34" s="55" t="str">
        <f>INDEX(X_Table_Swine_Stage2MMS_From_AnaerobicLagoon,4,1)</f>
        <v>Pit storage</v>
      </c>
      <c r="P34" s="50">
        <f ca="1">'4.5.1.3-4 Direct N2O'!P219</f>
        <v>18.133199999999995</v>
      </c>
      <c r="Q34" s="50">
        <f ca="1">'4.5.1.3-4 Direct N2O'!Q219</f>
        <v>24.144750000000002</v>
      </c>
      <c r="R34" s="50">
        <f ca="1">'4.5.1.3-4 Direct N2O'!R219</f>
        <v>22.666499999999992</v>
      </c>
      <c r="S34" s="50">
        <f ca="1">'4.5.1.3-4 Direct N2O'!S219</f>
        <v>15.373799999999996</v>
      </c>
      <c r="T34" s="2"/>
    </row>
    <row r="35" spans="4:20" ht="20" customHeight="1" x14ac:dyDescent="0.25">
      <c r="D35" s="55"/>
      <c r="E35" s="55" t="str">
        <f>INDEX(X_Table_Swine_Stage2MMS_From_AnaerobicLagoon,5,1)</f>
        <v>Direct application</v>
      </c>
      <c r="F35" s="50">
        <f ca="1">'4.5.1.3-4 Direct N2O'!F220</f>
        <v>36.266399999999976</v>
      </c>
      <c r="G35" s="50">
        <f ca="1">'4.5.1.3-4 Direct N2O'!G220</f>
        <v>24.144750000000002</v>
      </c>
      <c r="H35" s="50">
        <f ca="1">'4.5.1.3-4 Direct N2O'!H220</f>
        <v>22.666499999999992</v>
      </c>
      <c r="I35" s="50">
        <f ca="1">'4.5.1.3-4 Direct N2O'!I220</f>
        <v>15.373799999999996</v>
      </c>
      <c r="J35" s="2"/>
      <c r="N35" s="55"/>
      <c r="O35" s="55" t="str">
        <f>INDEX(X_Table_Swine_Stage2MMS_From_AnaerobicLagoon,5,1)</f>
        <v>Direct application</v>
      </c>
      <c r="P35" s="50">
        <f ca="1">'4.5.1.3-4 Direct N2O'!P220</f>
        <v>36.266399999999976</v>
      </c>
      <c r="Q35" s="50">
        <f ca="1">'4.5.1.3-4 Direct N2O'!Q220</f>
        <v>24.144750000000002</v>
      </c>
      <c r="R35" s="50">
        <f ca="1">'4.5.1.3-4 Direct N2O'!R220</f>
        <v>22.666499999999992</v>
      </c>
      <c r="S35" s="50">
        <f ca="1">'4.5.1.3-4 Direct N2O'!S220</f>
        <v>15.373799999999996</v>
      </c>
      <c r="T35" s="2"/>
    </row>
    <row r="36" spans="4:20" ht="20" customHeight="1" x14ac:dyDescent="0.25">
      <c r="D36" s="55" t="str">
        <f>INDEX(X_Table_Swine_Stage1MMS_Drylot,2,1)</f>
        <v>Drylot (feed pad)</v>
      </c>
      <c r="E36" s="55" t="str">
        <f>INDEX(X_Table_Swine_Stage2MMS_From_Drylot,2,1)</f>
        <v>Anaerobic lagoon</v>
      </c>
      <c r="F36" s="50">
        <f ca="1">'4.5.1.3-4 Direct N2O'!F221</f>
        <v>27.401279999999993</v>
      </c>
      <c r="G36" s="50">
        <f ca="1">'4.5.1.3-4 Direct N2O'!G221</f>
        <v>36.485400000000006</v>
      </c>
      <c r="H36" s="50">
        <f ca="1">'4.5.1.3-4 Direct N2O'!H221</f>
        <v>34.251599999999989</v>
      </c>
      <c r="I36" s="50">
        <f ca="1">'4.5.1.3-4 Direct N2O'!I221</f>
        <v>23.231519999999993</v>
      </c>
      <c r="J36" s="2"/>
      <c r="N36" s="55" t="str">
        <f>INDEX(X_Table_Swine_Stage1MMS_Drylot,2,1)</f>
        <v>Drylot (feed pad)</v>
      </c>
      <c r="O36" s="55" t="str">
        <f>INDEX(X_Table_Swine_Stage2MMS_From_Drylot,2,1)</f>
        <v>Anaerobic lagoon</v>
      </c>
      <c r="P36" s="50">
        <f ca="1">'4.5.1.3-4 Direct N2O'!P221</f>
        <v>27.401279999999993</v>
      </c>
      <c r="Q36" s="50">
        <f ca="1">'4.5.1.3-4 Direct N2O'!Q221</f>
        <v>36.485400000000006</v>
      </c>
      <c r="R36" s="50">
        <f ca="1">'4.5.1.3-4 Direct N2O'!R221</f>
        <v>34.251599999999989</v>
      </c>
      <c r="S36" s="50">
        <f ca="1">'4.5.1.3-4 Direct N2O'!S221</f>
        <v>23.231519999999993</v>
      </c>
      <c r="T36" s="2"/>
    </row>
    <row r="37" spans="4:20" ht="20" customHeight="1" x14ac:dyDescent="0.25">
      <c r="D37" s="55"/>
      <c r="E37" s="55" t="str">
        <f>INDEX(X_Table_Swine_Stage2MMS_From_Drylot,3,1)</f>
        <v>Digester / covered lagoons</v>
      </c>
      <c r="F37" s="50">
        <f ca="1">'4.5.1.3-4 Direct N2O'!F222</f>
        <v>27.401279999999993</v>
      </c>
      <c r="G37" s="50">
        <f ca="1">'4.5.1.3-4 Direct N2O'!G222</f>
        <v>36.485400000000006</v>
      </c>
      <c r="H37" s="50">
        <f ca="1">'4.5.1.3-4 Direct N2O'!H222</f>
        <v>34.251599999999989</v>
      </c>
      <c r="I37" s="50">
        <f ca="1">'4.5.1.3-4 Direct N2O'!I222</f>
        <v>23.231519999999993</v>
      </c>
      <c r="J37" s="2"/>
      <c r="N37" s="55"/>
      <c r="O37" s="55" t="str">
        <f>INDEX(X_Table_Swine_Stage2MMS_From_Drylot,3,1)</f>
        <v>Digester / covered lagoons</v>
      </c>
      <c r="P37" s="50">
        <f ca="1">'4.5.1.3-4 Direct N2O'!P222</f>
        <v>27.401279999999993</v>
      </c>
      <c r="Q37" s="50">
        <f ca="1">'4.5.1.3-4 Direct N2O'!Q222</f>
        <v>36.485400000000006</v>
      </c>
      <c r="R37" s="50">
        <f ca="1">'4.5.1.3-4 Direct N2O'!R222</f>
        <v>34.251599999999989</v>
      </c>
      <c r="S37" s="50">
        <f ca="1">'4.5.1.3-4 Direct N2O'!S222</f>
        <v>23.231519999999993</v>
      </c>
      <c r="T37" s="2"/>
    </row>
    <row r="38" spans="4:20" ht="20" customHeight="1" x14ac:dyDescent="0.25">
      <c r="D38" s="55"/>
      <c r="E38" s="55" t="str">
        <f>INDEX(X_Table_Swine_Stage2MMS_From_Drylot,4,1)</f>
        <v>Deep litter</v>
      </c>
      <c r="F38" s="50">
        <f ca="1">'4.5.1.3-4 Direct N2O'!F223</f>
        <v>27.401279999999993</v>
      </c>
      <c r="G38" s="50">
        <f ca="1">'4.5.1.3-4 Direct N2O'!G223</f>
        <v>36.485400000000006</v>
      </c>
      <c r="H38" s="50">
        <f ca="1">'4.5.1.3-4 Direct N2O'!H223</f>
        <v>34.251599999999989</v>
      </c>
      <c r="I38" s="50">
        <f ca="1">'4.5.1.3-4 Direct N2O'!I223</f>
        <v>23.231519999999993</v>
      </c>
      <c r="J38" s="2"/>
      <c r="N38" s="55"/>
      <c r="O38" s="55" t="str">
        <f>INDEX(X_Table_Swine_Stage2MMS_From_Drylot,4,1)</f>
        <v>Deep litter</v>
      </c>
      <c r="P38" s="50">
        <f ca="1">'4.5.1.3-4 Direct N2O'!P223</f>
        <v>27.401279999999993</v>
      </c>
      <c r="Q38" s="50">
        <f ca="1">'4.5.1.3-4 Direct N2O'!Q223</f>
        <v>36.485400000000006</v>
      </c>
      <c r="R38" s="50">
        <f ca="1">'4.5.1.3-4 Direct N2O'!R223</f>
        <v>34.251599999999989</v>
      </c>
      <c r="S38" s="50">
        <f ca="1">'4.5.1.3-4 Direct N2O'!S223</f>
        <v>23.231519999999993</v>
      </c>
      <c r="T38" s="2"/>
    </row>
    <row r="39" spans="4:20" ht="20" customHeight="1" x14ac:dyDescent="0.25">
      <c r="D39" s="55"/>
      <c r="E39" s="55" t="str">
        <f>INDEX(X_Table_Swine_Stage2MMS_From_Drylot,5,1)</f>
        <v>Pit storage</v>
      </c>
      <c r="F39" s="50">
        <f ca="1">'4.5.1.3-4 Direct N2O'!F224</f>
        <v>27.401279999999993</v>
      </c>
      <c r="G39" s="50">
        <f ca="1">'4.5.1.3-4 Direct N2O'!G224</f>
        <v>36.485400000000006</v>
      </c>
      <c r="H39" s="50">
        <f ca="1">'4.5.1.3-4 Direct N2O'!H224</f>
        <v>34.251599999999989</v>
      </c>
      <c r="I39" s="50">
        <f ca="1">'4.5.1.3-4 Direct N2O'!I224</f>
        <v>23.231519999999993</v>
      </c>
      <c r="J39" s="2"/>
      <c r="N39" s="55"/>
      <c r="O39" s="55" t="str">
        <f>INDEX(X_Table_Swine_Stage2MMS_From_Drylot,5,1)</f>
        <v>Pit storage</v>
      </c>
      <c r="P39" s="50">
        <f ca="1">'4.5.1.3-4 Direct N2O'!P224</f>
        <v>27.401279999999993</v>
      </c>
      <c r="Q39" s="50">
        <f ca="1">'4.5.1.3-4 Direct N2O'!Q224</f>
        <v>36.485400000000006</v>
      </c>
      <c r="R39" s="50">
        <f ca="1">'4.5.1.3-4 Direct N2O'!R224</f>
        <v>34.251599999999989</v>
      </c>
      <c r="S39" s="50">
        <f ca="1">'4.5.1.3-4 Direct N2O'!S224</f>
        <v>23.231519999999993</v>
      </c>
      <c r="T39" s="2"/>
    </row>
    <row r="40" spans="4:20" ht="20" customHeight="1" x14ac:dyDescent="0.25">
      <c r="D40" s="55"/>
      <c r="E40" s="55" t="str">
        <f>INDEX(X_Table_Swine_Stage2MMS_From_Drylot,6,1)</f>
        <v>Direct application</v>
      </c>
      <c r="F40" s="50">
        <f ca="1">'4.5.1.3-4 Direct N2O'!F225</f>
        <v>27.401279999999986</v>
      </c>
      <c r="G40" s="50">
        <f ca="1">'4.5.1.3-4 Direct N2O'!G225</f>
        <v>0</v>
      </c>
      <c r="H40" s="50">
        <f ca="1">'4.5.1.3-4 Direct N2O'!H225</f>
        <v>0</v>
      </c>
      <c r="I40" s="50">
        <f ca="1">'4.5.1.3-4 Direct N2O'!I225</f>
        <v>0</v>
      </c>
      <c r="J40" s="2"/>
      <c r="N40" s="55"/>
      <c r="O40" s="55" t="str">
        <f>INDEX(X_Table_Swine_Stage2MMS_From_Drylot,6,1)</f>
        <v>Direct application</v>
      </c>
      <c r="P40" s="50">
        <f ca="1">'4.5.1.3-4 Direct N2O'!P225</f>
        <v>27.401279999999986</v>
      </c>
      <c r="Q40" s="50">
        <f ca="1">'4.5.1.3-4 Direct N2O'!Q225</f>
        <v>0</v>
      </c>
      <c r="R40" s="50">
        <f ca="1">'4.5.1.3-4 Direct N2O'!R225</f>
        <v>0</v>
      </c>
      <c r="S40" s="50">
        <f ca="1">'4.5.1.3-4 Direct N2O'!S225</f>
        <v>0</v>
      </c>
      <c r="T40" s="2"/>
    </row>
    <row r="41" spans="4:20" ht="20" customHeight="1" x14ac:dyDescent="0.25">
      <c r="D41" s="55" t="str">
        <f>INDEX(X_Table_Swine_Stage1MMS_DigesterCoveredLagoons,2,1)</f>
        <v>Digester / covered lagoons</v>
      </c>
      <c r="E41" s="55" t="str">
        <f>INDEX(X_Table_Swine_Stage2MMS_From_DigesterCoveredLagoons,2,1)</f>
        <v>Anaerobic lagoon</v>
      </c>
      <c r="F41" s="50">
        <f ca="1">'4.5.1.3-4 Direct N2O'!F226</f>
        <v>40.295999999999992</v>
      </c>
      <c r="G41" s="50">
        <f ca="1">'4.5.1.3-4 Direct N2O'!G226</f>
        <v>53.655000000000008</v>
      </c>
      <c r="H41" s="50">
        <f ca="1">'4.5.1.3-4 Direct N2O'!H226</f>
        <v>50.36999999999999</v>
      </c>
      <c r="I41" s="50">
        <f ca="1">'4.5.1.3-4 Direct N2O'!I226</f>
        <v>34.163999999999994</v>
      </c>
      <c r="J41" s="2"/>
      <c r="N41" s="55" t="str">
        <f>INDEX(X_Table_Swine_Stage1MMS_DigesterCoveredLagoons,2,1)</f>
        <v>Digester / covered lagoons</v>
      </c>
      <c r="O41" s="55" t="str">
        <f>INDEX(X_Table_Swine_Stage2MMS_From_DigesterCoveredLagoons,2,1)</f>
        <v>Anaerobic lagoon</v>
      </c>
      <c r="P41" s="50">
        <f ca="1">'4.5.1.3-4 Direct N2O'!P226</f>
        <v>40.295999999999992</v>
      </c>
      <c r="Q41" s="50">
        <f ca="1">'4.5.1.3-4 Direct N2O'!Q226</f>
        <v>53.655000000000008</v>
      </c>
      <c r="R41" s="50">
        <f ca="1">'4.5.1.3-4 Direct N2O'!R226</f>
        <v>50.36999999999999</v>
      </c>
      <c r="S41" s="50">
        <f ca="1">'4.5.1.3-4 Direct N2O'!S226</f>
        <v>34.163999999999994</v>
      </c>
      <c r="T41" s="2"/>
    </row>
    <row r="42" spans="4:20" ht="20" customHeight="1" x14ac:dyDescent="0.25">
      <c r="D42" s="55"/>
      <c r="E42" s="55" t="str">
        <f>INDEX(X_Table_Swine_Stage2MMS_From_DigesterCoveredLagoons,3,1)</f>
        <v>Deep litter</v>
      </c>
      <c r="F42" s="50">
        <f ca="1">'4.5.1.3-4 Direct N2O'!F227</f>
        <v>40.295999999999992</v>
      </c>
      <c r="G42" s="50">
        <f ca="1">'4.5.1.3-4 Direct N2O'!G227</f>
        <v>53.655000000000008</v>
      </c>
      <c r="H42" s="50">
        <f ca="1">'4.5.1.3-4 Direct N2O'!H227</f>
        <v>50.36999999999999</v>
      </c>
      <c r="I42" s="50">
        <f ca="1">'4.5.1.3-4 Direct N2O'!I227</f>
        <v>34.163999999999994</v>
      </c>
      <c r="J42" s="2"/>
      <c r="N42" s="55"/>
      <c r="O42" s="55" t="str">
        <f>INDEX(X_Table_Swine_Stage2MMS_From_DigesterCoveredLagoons,3,1)</f>
        <v>Deep litter</v>
      </c>
      <c r="P42" s="50">
        <f ca="1">'4.5.1.3-4 Direct N2O'!P227</f>
        <v>40.295999999999992</v>
      </c>
      <c r="Q42" s="50">
        <f ca="1">'4.5.1.3-4 Direct N2O'!Q227</f>
        <v>53.655000000000008</v>
      </c>
      <c r="R42" s="50">
        <f ca="1">'4.5.1.3-4 Direct N2O'!R227</f>
        <v>50.36999999999999</v>
      </c>
      <c r="S42" s="50">
        <f ca="1">'4.5.1.3-4 Direct N2O'!S227</f>
        <v>34.163999999999994</v>
      </c>
      <c r="T42" s="2"/>
    </row>
    <row r="43" spans="4:20" ht="20" customHeight="1" x14ac:dyDescent="0.25">
      <c r="D43" s="55"/>
      <c r="E43" s="55" t="str">
        <f>INDEX(X_Table_Swine_Stage2MMS_From_DigesterCoveredLagoons,4,1)</f>
        <v>Pit storage</v>
      </c>
      <c r="F43" s="50">
        <f ca="1">'4.5.1.3-4 Direct N2O'!F228</f>
        <v>40.295999999999992</v>
      </c>
      <c r="G43" s="50">
        <f ca="1">'4.5.1.3-4 Direct N2O'!G228</f>
        <v>53.655000000000008</v>
      </c>
      <c r="H43" s="50">
        <f ca="1">'4.5.1.3-4 Direct N2O'!H228</f>
        <v>50.36999999999999</v>
      </c>
      <c r="I43" s="50">
        <f ca="1">'4.5.1.3-4 Direct N2O'!I228</f>
        <v>34.163999999999994</v>
      </c>
      <c r="J43" s="2"/>
      <c r="N43" s="55"/>
      <c r="O43" s="55" t="str">
        <f>INDEX(X_Table_Swine_Stage2MMS_From_DigesterCoveredLagoons,4,1)</f>
        <v>Pit storage</v>
      </c>
      <c r="P43" s="50">
        <f ca="1">'4.5.1.3-4 Direct N2O'!P228</f>
        <v>40.295999999999992</v>
      </c>
      <c r="Q43" s="50">
        <f ca="1">'4.5.1.3-4 Direct N2O'!Q228</f>
        <v>53.655000000000008</v>
      </c>
      <c r="R43" s="50">
        <f ca="1">'4.5.1.3-4 Direct N2O'!R228</f>
        <v>50.36999999999999</v>
      </c>
      <c r="S43" s="50">
        <f ca="1">'4.5.1.3-4 Direct N2O'!S228</f>
        <v>34.163999999999994</v>
      </c>
      <c r="T43" s="2"/>
    </row>
    <row r="44" spans="4:20" ht="20" customHeight="1" x14ac:dyDescent="0.25">
      <c r="D44" s="55"/>
      <c r="E44" s="55" t="str">
        <f>INDEX(X_Table_Swine_Stage2MMS_From_DigesterCoveredLagoons,5,1)</f>
        <v>Direct application</v>
      </c>
      <c r="F44" s="50">
        <f ca="1">'4.5.1.3-4 Direct N2O'!F229</f>
        <v>80.59199999999997</v>
      </c>
      <c r="G44" s="50">
        <f ca="1">'4.5.1.3-4 Direct N2O'!G229</f>
        <v>53.655000000000008</v>
      </c>
      <c r="H44" s="50">
        <f ca="1">'4.5.1.3-4 Direct N2O'!H229</f>
        <v>50.36999999999999</v>
      </c>
      <c r="I44" s="50">
        <f ca="1">'4.5.1.3-4 Direct N2O'!I229</f>
        <v>34.163999999999994</v>
      </c>
      <c r="J44" s="2"/>
      <c r="N44" s="55"/>
      <c r="O44" s="55" t="str">
        <f>INDEX(X_Table_Swine_Stage2MMS_From_DigesterCoveredLagoons,5,1)</f>
        <v>Direct application</v>
      </c>
      <c r="P44" s="50">
        <f ca="1">'4.5.1.3-4 Direct N2O'!P229</f>
        <v>80.59199999999997</v>
      </c>
      <c r="Q44" s="50">
        <f ca="1">'4.5.1.3-4 Direct N2O'!Q229</f>
        <v>53.655000000000008</v>
      </c>
      <c r="R44" s="50">
        <f ca="1">'4.5.1.3-4 Direct N2O'!R229</f>
        <v>50.36999999999999</v>
      </c>
      <c r="S44" s="50">
        <f ca="1">'4.5.1.3-4 Direct N2O'!S229</f>
        <v>34.163999999999994</v>
      </c>
      <c r="T44" s="2"/>
    </row>
    <row r="45" spans="4:20" ht="20" customHeight="1" x14ac:dyDescent="0.25">
      <c r="D45" s="55" t="str">
        <f>INDEX(X_Table_Swine_Stage1MMS_DeepLitter,2,1)</f>
        <v>Deep litter</v>
      </c>
      <c r="E45" s="55" t="str">
        <f>INDEX(X_Table_Swine_Stage2MMS_From_DeepLitter,2,1)</f>
        <v>Anaerobic lagoon</v>
      </c>
      <c r="F45" s="50">
        <f ca="1">'4.5.1.3-4 Direct N2O'!F230</f>
        <v>34.856039999999993</v>
      </c>
      <c r="G45" s="50">
        <f ca="1">'4.5.1.3-4 Direct N2O'!G230</f>
        <v>46.411575000000006</v>
      </c>
      <c r="H45" s="50">
        <f ca="1">'4.5.1.3-4 Direct N2O'!H230</f>
        <v>43.570049999999988</v>
      </c>
      <c r="I45" s="50">
        <f ca="1">'4.5.1.3-4 Direct N2O'!I230</f>
        <v>29.551859999999994</v>
      </c>
      <c r="J45" s="2"/>
      <c r="N45" s="55" t="str">
        <f>INDEX(X_Table_Swine_Stage1MMS_DeepLitter,2,1)</f>
        <v>Deep litter</v>
      </c>
      <c r="O45" s="55" t="str">
        <f>INDEX(X_Table_Swine_Stage2MMS_From_DeepLitter,2,1)</f>
        <v>Anaerobic lagoon</v>
      </c>
      <c r="P45" s="50">
        <f ca="1">'4.5.1.3-4 Direct N2O'!P230</f>
        <v>34.856039999999993</v>
      </c>
      <c r="Q45" s="50">
        <f ca="1">'4.5.1.3-4 Direct N2O'!Q230</f>
        <v>46.411575000000006</v>
      </c>
      <c r="R45" s="50">
        <f ca="1">'4.5.1.3-4 Direct N2O'!R230</f>
        <v>43.570049999999988</v>
      </c>
      <c r="S45" s="50">
        <f ca="1">'4.5.1.3-4 Direct N2O'!S230</f>
        <v>29.551859999999994</v>
      </c>
      <c r="T45" s="2"/>
    </row>
    <row r="46" spans="4:20" ht="20" customHeight="1" x14ac:dyDescent="0.25">
      <c r="D46" s="55"/>
      <c r="E46" s="55" t="str">
        <f>INDEX(X_Table_Swine_Stage2MMS_From_DeepLitter,3,1)</f>
        <v>Digester / covered lagoons</v>
      </c>
      <c r="F46" s="50">
        <f ca="1">'4.5.1.3-4 Direct N2O'!F231</f>
        <v>34.856039999999993</v>
      </c>
      <c r="G46" s="50">
        <f ca="1">'4.5.1.3-4 Direct N2O'!G231</f>
        <v>46.411575000000006</v>
      </c>
      <c r="H46" s="50">
        <f ca="1">'4.5.1.3-4 Direct N2O'!H231</f>
        <v>43.570049999999988</v>
      </c>
      <c r="I46" s="50">
        <f ca="1">'4.5.1.3-4 Direct N2O'!I231</f>
        <v>29.551859999999994</v>
      </c>
      <c r="J46" s="2"/>
      <c r="N46" s="55"/>
      <c r="O46" s="55" t="str">
        <f>INDEX(X_Table_Swine_Stage2MMS_From_DeepLitter,3,1)</f>
        <v>Digester / covered lagoons</v>
      </c>
      <c r="P46" s="50">
        <f ca="1">'4.5.1.3-4 Direct N2O'!P231</f>
        <v>34.856039999999993</v>
      </c>
      <c r="Q46" s="50">
        <f ca="1">'4.5.1.3-4 Direct N2O'!Q231</f>
        <v>46.411575000000006</v>
      </c>
      <c r="R46" s="50">
        <f ca="1">'4.5.1.3-4 Direct N2O'!R231</f>
        <v>43.570049999999988</v>
      </c>
      <c r="S46" s="50">
        <f ca="1">'4.5.1.3-4 Direct N2O'!S231</f>
        <v>29.551859999999994</v>
      </c>
      <c r="T46" s="2"/>
    </row>
    <row r="47" spans="4:20" ht="20" customHeight="1" x14ac:dyDescent="0.25">
      <c r="D47" s="55"/>
      <c r="E47" s="55" t="str">
        <f>INDEX(X_Table_Swine_Stage2MMS_From_DeepLitter,4,1)</f>
        <v>Pit storage</v>
      </c>
      <c r="F47" s="50">
        <f ca="1">'4.5.1.3-4 Direct N2O'!F232</f>
        <v>34.856039999999993</v>
      </c>
      <c r="G47" s="50">
        <f ca="1">'4.5.1.3-4 Direct N2O'!G232</f>
        <v>46.411575000000006</v>
      </c>
      <c r="H47" s="50">
        <f ca="1">'4.5.1.3-4 Direct N2O'!H232</f>
        <v>43.570049999999988</v>
      </c>
      <c r="I47" s="50">
        <f ca="1">'4.5.1.3-4 Direct N2O'!I232</f>
        <v>29.551859999999994</v>
      </c>
      <c r="J47" s="2"/>
      <c r="N47" s="55"/>
      <c r="O47" s="55" t="str">
        <f>INDEX(X_Table_Swine_Stage2MMS_From_DeepLitter,4,1)</f>
        <v>Pit storage</v>
      </c>
      <c r="P47" s="50">
        <f ca="1">'4.5.1.3-4 Direct N2O'!P232</f>
        <v>34.856039999999993</v>
      </c>
      <c r="Q47" s="50">
        <f ca="1">'4.5.1.3-4 Direct N2O'!Q232</f>
        <v>46.411575000000006</v>
      </c>
      <c r="R47" s="50">
        <f ca="1">'4.5.1.3-4 Direct N2O'!R232</f>
        <v>43.570049999999988</v>
      </c>
      <c r="S47" s="50">
        <f ca="1">'4.5.1.3-4 Direct N2O'!S232</f>
        <v>29.551859999999994</v>
      </c>
      <c r="T47" s="2"/>
    </row>
    <row r="48" spans="4:20" ht="20" customHeight="1" x14ac:dyDescent="0.25">
      <c r="D48" s="55"/>
      <c r="E48" s="55" t="str">
        <f>INDEX(X_Table_Swine_Stage2MMS_From_DeepLitter,5,1)</f>
        <v>Direct application</v>
      </c>
      <c r="F48" s="50">
        <f ca="1">'4.5.1.3-4 Direct N2O'!F233</f>
        <v>69.712079999999972</v>
      </c>
      <c r="G48" s="50">
        <f ca="1">'4.5.1.3-4 Direct N2O'!G233</f>
        <v>46.411575000000006</v>
      </c>
      <c r="H48" s="50">
        <f ca="1">'4.5.1.3-4 Direct N2O'!H233</f>
        <v>43.570049999999988</v>
      </c>
      <c r="I48" s="50">
        <f ca="1">'4.5.1.3-4 Direct N2O'!I233</f>
        <v>29.551859999999994</v>
      </c>
      <c r="J48" s="2"/>
      <c r="N48" s="55"/>
      <c r="O48" s="55" t="str">
        <f>INDEX(X_Table_Swine_Stage2MMS_From_DeepLitter,5,1)</f>
        <v>Direct application</v>
      </c>
      <c r="P48" s="50">
        <f ca="1">'4.5.1.3-4 Direct N2O'!P233</f>
        <v>69.712079999999972</v>
      </c>
      <c r="Q48" s="50">
        <f ca="1">'4.5.1.3-4 Direct N2O'!Q233</f>
        <v>46.411575000000006</v>
      </c>
      <c r="R48" s="50">
        <f ca="1">'4.5.1.3-4 Direct N2O'!R233</f>
        <v>43.570049999999988</v>
      </c>
      <c r="S48" s="50">
        <f ca="1">'4.5.1.3-4 Direct N2O'!S233</f>
        <v>29.551859999999994</v>
      </c>
      <c r="T48" s="2"/>
    </row>
    <row r="49" spans="4:20" ht="20" customHeight="1" x14ac:dyDescent="0.25">
      <c r="D49" s="55" t="str">
        <f>INDEX(X_Table_Swine_Stage1MMS_PitStorage,2,1)</f>
        <v>Pit storage</v>
      </c>
      <c r="E49" s="55" t="str">
        <f>INDEX(X_Table_Swine_Stage2MMS_From_PitStorage,2,1)</f>
        <v>Anaerobic lagoon</v>
      </c>
      <c r="F49" s="50">
        <f ca="1">'4.5.1.3-4 Direct N2O'!F234</f>
        <v>30.141407999999998</v>
      </c>
      <c r="G49" s="50">
        <f ca="1">'4.5.1.3-4 Direct N2O'!G234</f>
        <v>40.133940000000003</v>
      </c>
      <c r="H49" s="50">
        <f ca="1">'4.5.1.3-4 Direct N2O'!H234</f>
        <v>37.676759999999994</v>
      </c>
      <c r="I49" s="50">
        <f ca="1">'4.5.1.3-4 Direct N2O'!I234</f>
        <v>25.554671999999997</v>
      </c>
      <c r="J49" s="2"/>
      <c r="N49" s="55" t="str">
        <f>INDEX(X_Table_Swine_Stage1MMS_PitStorage,2,1)</f>
        <v>Pit storage</v>
      </c>
      <c r="O49" s="55" t="str">
        <f>INDEX(X_Table_Swine_Stage2MMS_From_PitStorage,2,1)</f>
        <v>Anaerobic lagoon</v>
      </c>
      <c r="P49" s="50">
        <f ca="1">'4.5.1.3-4 Direct N2O'!P234</f>
        <v>30.141407999999998</v>
      </c>
      <c r="Q49" s="50">
        <f ca="1">'4.5.1.3-4 Direct N2O'!Q234</f>
        <v>40.133940000000003</v>
      </c>
      <c r="R49" s="50">
        <f ca="1">'4.5.1.3-4 Direct N2O'!R234</f>
        <v>37.676759999999994</v>
      </c>
      <c r="S49" s="50">
        <f ca="1">'4.5.1.3-4 Direct N2O'!S234</f>
        <v>25.554671999999997</v>
      </c>
      <c r="T49" s="2"/>
    </row>
    <row r="50" spans="4:20" ht="20" customHeight="1" x14ac:dyDescent="0.25">
      <c r="D50" s="55"/>
      <c r="E50" s="55" t="str">
        <f>INDEX(X_Table_Swine_Stage2MMS_From_PitStorage,3,1)</f>
        <v>Digester / covered lagoons</v>
      </c>
      <c r="F50" s="50">
        <f ca="1">'4.5.1.3-4 Direct N2O'!F235</f>
        <v>30.141407999999998</v>
      </c>
      <c r="G50" s="50">
        <f ca="1">'4.5.1.3-4 Direct N2O'!G235</f>
        <v>40.133940000000003</v>
      </c>
      <c r="H50" s="50">
        <f ca="1">'4.5.1.3-4 Direct N2O'!H235</f>
        <v>37.676759999999994</v>
      </c>
      <c r="I50" s="50">
        <f ca="1">'4.5.1.3-4 Direct N2O'!I235</f>
        <v>25.554671999999997</v>
      </c>
      <c r="J50" s="2"/>
      <c r="N50" s="55"/>
      <c r="O50" s="55" t="str">
        <f>INDEX(X_Table_Swine_Stage2MMS_From_PitStorage,3,1)</f>
        <v>Digester / covered lagoons</v>
      </c>
      <c r="P50" s="50">
        <f ca="1">'4.5.1.3-4 Direct N2O'!P235</f>
        <v>30.141407999999998</v>
      </c>
      <c r="Q50" s="50">
        <f ca="1">'4.5.1.3-4 Direct N2O'!Q235</f>
        <v>40.133940000000003</v>
      </c>
      <c r="R50" s="50">
        <f ca="1">'4.5.1.3-4 Direct N2O'!R235</f>
        <v>37.676759999999994</v>
      </c>
      <c r="S50" s="50">
        <f ca="1">'4.5.1.3-4 Direct N2O'!S235</f>
        <v>25.554671999999997</v>
      </c>
      <c r="T50" s="2"/>
    </row>
    <row r="51" spans="4:20" ht="20" customHeight="1" x14ac:dyDescent="0.25">
      <c r="D51" s="55"/>
      <c r="E51" s="55" t="str">
        <f>INDEX(X_Table_Swine_Stage2MMS_From_PitStorage,4,1)</f>
        <v>Deep litter</v>
      </c>
      <c r="F51" s="50">
        <f ca="1">'4.5.1.3-4 Direct N2O'!F236</f>
        <v>30.141407999999998</v>
      </c>
      <c r="G51" s="50">
        <f ca="1">'4.5.1.3-4 Direct N2O'!G236</f>
        <v>40.133940000000003</v>
      </c>
      <c r="H51" s="50">
        <f ca="1">'4.5.1.3-4 Direct N2O'!H236</f>
        <v>37.676759999999994</v>
      </c>
      <c r="I51" s="50">
        <f ca="1">'4.5.1.3-4 Direct N2O'!I236</f>
        <v>25.554671999999997</v>
      </c>
      <c r="J51" s="2"/>
      <c r="N51" s="55"/>
      <c r="O51" s="55" t="str">
        <f>INDEX(X_Table_Swine_Stage2MMS_From_PitStorage,4,1)</f>
        <v>Deep litter</v>
      </c>
      <c r="P51" s="50">
        <f ca="1">'4.5.1.3-4 Direct N2O'!P236</f>
        <v>30.141407999999998</v>
      </c>
      <c r="Q51" s="50">
        <f ca="1">'4.5.1.3-4 Direct N2O'!Q236</f>
        <v>40.133940000000003</v>
      </c>
      <c r="R51" s="50">
        <f ca="1">'4.5.1.3-4 Direct N2O'!R236</f>
        <v>37.676759999999994</v>
      </c>
      <c r="S51" s="50">
        <f ca="1">'4.5.1.3-4 Direct N2O'!S236</f>
        <v>25.554671999999997</v>
      </c>
      <c r="T51" s="2"/>
    </row>
    <row r="52" spans="4:20" ht="20" customHeight="1" x14ac:dyDescent="0.25">
      <c r="D52" s="55"/>
      <c r="E52" s="55" t="str">
        <f>INDEX(X_Table_Swine_Stage2MMS_From_PitStorage,5,1)</f>
        <v>Direct application</v>
      </c>
      <c r="F52" s="50">
        <f ca="1">'4.5.1.3-4 Direct N2O'!F237</f>
        <v>60.282815999999976</v>
      </c>
      <c r="G52" s="50">
        <f ca="1">'4.5.1.3-4 Direct N2O'!G237</f>
        <v>40.133940000000003</v>
      </c>
      <c r="H52" s="50">
        <f ca="1">'4.5.1.3-4 Direct N2O'!H237</f>
        <v>37.676759999999994</v>
      </c>
      <c r="I52" s="50">
        <f ca="1">'4.5.1.3-4 Direct N2O'!I237</f>
        <v>25.554671999999997</v>
      </c>
      <c r="J52" s="2"/>
      <c r="N52" s="55"/>
      <c r="O52" s="55" t="str">
        <f>INDEX(X_Table_Swine_Stage2MMS_From_PitStorage,5,1)</f>
        <v>Direct application</v>
      </c>
      <c r="P52" s="50">
        <f ca="1">'4.5.1.3-4 Direct N2O'!P237</f>
        <v>60.282815999999976</v>
      </c>
      <c r="Q52" s="50">
        <f ca="1">'4.5.1.3-4 Direct N2O'!Q237</f>
        <v>40.133940000000003</v>
      </c>
      <c r="R52" s="50">
        <f ca="1">'4.5.1.3-4 Direct N2O'!R237</f>
        <v>37.676759999999994</v>
      </c>
      <c r="S52" s="50">
        <f ca="1">'4.5.1.3-4 Direct N2O'!S237</f>
        <v>25.554671999999997</v>
      </c>
      <c r="T52" s="2"/>
    </row>
    <row r="53" spans="4:20" ht="20" customHeight="1" x14ac:dyDescent="0.25">
      <c r="D53" s="55" t="s">
        <v>343</v>
      </c>
      <c r="E53" s="55" t="str">
        <f>INDEX(X_Table_Swine_Stage2MMS_From_SolidStorage,2,1)</f>
        <v>Anaerobic lagoon</v>
      </c>
      <c r="F53" s="50">
        <f ca="1">'4.5.1.3-4 Direct N2O'!F238</f>
        <v>106.78440000000003</v>
      </c>
      <c r="G53" s="50">
        <f ca="1">'4.5.1.3-4 Direct N2O'!G238</f>
        <v>113.74860000000007</v>
      </c>
      <c r="H53" s="50">
        <f ca="1">'4.5.1.3-4 Direct N2O'!H238</f>
        <v>106.78440000000003</v>
      </c>
      <c r="I53" s="50">
        <f ca="1">'4.5.1.3-4 Direct N2O'!I238</f>
        <v>72.427680000000038</v>
      </c>
      <c r="J53" s="2"/>
      <c r="N53" s="55" t="s">
        <v>343</v>
      </c>
      <c r="O53" s="55" t="str">
        <f>INDEX(X_Table_Swine_Stage2MMS_From_SolidStorage,2,1)</f>
        <v>Anaerobic lagoon</v>
      </c>
      <c r="P53" s="50">
        <f ca="1">'4.5.1.3-4 Direct N2O'!P238</f>
        <v>106.78440000000003</v>
      </c>
      <c r="Q53" s="50">
        <f ca="1">'4.5.1.3-4 Direct N2O'!Q238</f>
        <v>113.74860000000007</v>
      </c>
      <c r="R53" s="50">
        <f ca="1">'4.5.1.3-4 Direct N2O'!R238</f>
        <v>106.78440000000003</v>
      </c>
      <c r="S53" s="50">
        <f ca="1">'4.5.1.3-4 Direct N2O'!S238</f>
        <v>72.427680000000038</v>
      </c>
      <c r="T53" s="2"/>
    </row>
    <row r="54" spans="4:20" ht="20" customHeight="1" x14ac:dyDescent="0.25">
      <c r="D54" s="55"/>
      <c r="E54" s="55" t="str">
        <f>INDEX(X_Table_Swine_Stage2MMS_From_SolidStorage,3,1)</f>
        <v>Digester / covered lagoons</v>
      </c>
      <c r="F54" s="50">
        <f ca="1">'4.5.1.3-4 Direct N2O'!F239</f>
        <v>106.78440000000003</v>
      </c>
      <c r="G54" s="50">
        <f ca="1">'4.5.1.3-4 Direct N2O'!G239</f>
        <v>113.74860000000007</v>
      </c>
      <c r="H54" s="50">
        <f ca="1">'4.5.1.3-4 Direct N2O'!H239</f>
        <v>106.78440000000003</v>
      </c>
      <c r="I54" s="50">
        <f ca="1">'4.5.1.3-4 Direct N2O'!I239</f>
        <v>72.427680000000038</v>
      </c>
      <c r="J54" s="2"/>
      <c r="N54" s="55"/>
      <c r="O54" s="55" t="str">
        <f>INDEX(X_Table_Swine_Stage2MMS_From_SolidStorage,3,1)</f>
        <v>Digester / covered lagoons</v>
      </c>
      <c r="P54" s="50">
        <f ca="1">'4.5.1.3-4 Direct N2O'!P239</f>
        <v>106.78440000000003</v>
      </c>
      <c r="Q54" s="50">
        <f ca="1">'4.5.1.3-4 Direct N2O'!Q239</f>
        <v>113.74860000000007</v>
      </c>
      <c r="R54" s="50">
        <f ca="1">'4.5.1.3-4 Direct N2O'!R239</f>
        <v>106.78440000000003</v>
      </c>
      <c r="S54" s="50">
        <f ca="1">'4.5.1.3-4 Direct N2O'!S239</f>
        <v>72.427680000000038</v>
      </c>
      <c r="T54" s="2"/>
    </row>
    <row r="55" spans="4:20" ht="20" customHeight="1" x14ac:dyDescent="0.25">
      <c r="D55" s="55"/>
      <c r="E55" s="55" t="str">
        <f>INDEX(X_Table_Swine_Stage2MMS_From_SolidStorage,4,1)</f>
        <v>Deep litter</v>
      </c>
      <c r="F55" s="50">
        <f ca="1">'4.5.1.3-4 Direct N2O'!F240</f>
        <v>106.78440000000003</v>
      </c>
      <c r="G55" s="50">
        <f ca="1">'4.5.1.3-4 Direct N2O'!G240</f>
        <v>113.74860000000007</v>
      </c>
      <c r="H55" s="50">
        <f ca="1">'4.5.1.3-4 Direct N2O'!H240</f>
        <v>106.78440000000003</v>
      </c>
      <c r="I55" s="50">
        <f ca="1">'4.5.1.3-4 Direct N2O'!I240</f>
        <v>72.427680000000038</v>
      </c>
      <c r="J55" s="2"/>
      <c r="N55" s="55"/>
      <c r="O55" s="55" t="str">
        <f>INDEX(X_Table_Swine_Stage2MMS_From_SolidStorage,4,1)</f>
        <v>Deep litter</v>
      </c>
      <c r="P55" s="50">
        <f ca="1">'4.5.1.3-4 Direct N2O'!P240</f>
        <v>106.78440000000003</v>
      </c>
      <c r="Q55" s="50">
        <f ca="1">'4.5.1.3-4 Direct N2O'!Q240</f>
        <v>113.74860000000007</v>
      </c>
      <c r="R55" s="50">
        <f ca="1">'4.5.1.3-4 Direct N2O'!R240</f>
        <v>106.78440000000003</v>
      </c>
      <c r="S55" s="50">
        <f ca="1">'4.5.1.3-4 Direct N2O'!S240</f>
        <v>72.427680000000038</v>
      </c>
      <c r="T55" s="2"/>
    </row>
    <row r="56" spans="4:20" ht="20" customHeight="1" x14ac:dyDescent="0.25">
      <c r="D56" s="55"/>
      <c r="E56" s="55" t="str">
        <f>INDEX(X_Table_Swine_Stage2MMS_From_SolidStorage,5,1)</f>
        <v>Pit storage</v>
      </c>
      <c r="F56" s="50">
        <f ca="1">'4.5.1.3-4 Direct N2O'!F241</f>
        <v>53.392200000000017</v>
      </c>
      <c r="G56" s="50">
        <f ca="1">'4.5.1.3-4 Direct N2O'!G241</f>
        <v>56.874300000000034</v>
      </c>
      <c r="H56" s="50">
        <f ca="1">'4.5.1.3-4 Direct N2O'!H241</f>
        <v>53.392200000000017</v>
      </c>
      <c r="I56" s="50">
        <f ca="1">'4.5.1.3-4 Direct N2O'!I241</f>
        <v>36.213840000000019</v>
      </c>
      <c r="J56" s="2"/>
      <c r="N56" s="55"/>
      <c r="O56" s="55" t="str">
        <f>INDEX(X_Table_Swine_Stage2MMS_From_SolidStorage,5,1)</f>
        <v>Pit storage</v>
      </c>
      <c r="P56" s="50">
        <f ca="1">'4.5.1.3-4 Direct N2O'!P241</f>
        <v>53.392200000000017</v>
      </c>
      <c r="Q56" s="50">
        <f ca="1">'4.5.1.3-4 Direct N2O'!Q241</f>
        <v>56.874300000000034</v>
      </c>
      <c r="R56" s="50">
        <f ca="1">'4.5.1.3-4 Direct N2O'!R241</f>
        <v>53.392200000000017</v>
      </c>
      <c r="S56" s="50">
        <f ca="1">'4.5.1.3-4 Direct N2O'!S241</f>
        <v>36.213840000000019</v>
      </c>
      <c r="T56" s="2"/>
    </row>
    <row r="57" spans="4:20" ht="20" customHeight="1" x14ac:dyDescent="0.25">
      <c r="D57" s="55"/>
      <c r="E57" s="55" t="str">
        <f>INDEX(X_Table_Swine_Stage2MMS_From_SolidStorage,6,1)</f>
        <v>Direct application</v>
      </c>
      <c r="F57" s="50">
        <f ca="1">'4.5.1.3-4 Direct N2O'!F242</f>
        <v>160.17660000000001</v>
      </c>
      <c r="G57" s="50">
        <f ca="1">'4.5.1.3-4 Direct N2O'!G242</f>
        <v>170.62290000000004</v>
      </c>
      <c r="H57" s="50">
        <f ca="1">'4.5.1.3-4 Direct N2O'!H242</f>
        <v>160.17660000000001</v>
      </c>
      <c r="I57" s="50">
        <f ca="1">'4.5.1.3-4 Direct N2O'!I242</f>
        <v>108.64152000000003</v>
      </c>
      <c r="J57" s="2"/>
      <c r="N57" s="55"/>
      <c r="O57" s="55" t="str">
        <f>INDEX(X_Table_Swine_Stage2MMS_From_SolidStorage,6,1)</f>
        <v>Direct application</v>
      </c>
      <c r="P57" s="50">
        <f ca="1">'4.5.1.3-4 Direct N2O'!P242</f>
        <v>160.17660000000001</v>
      </c>
      <c r="Q57" s="50">
        <f ca="1">'4.5.1.3-4 Direct N2O'!Q242</f>
        <v>170.62290000000004</v>
      </c>
      <c r="R57" s="50">
        <f ca="1">'4.5.1.3-4 Direct N2O'!R242</f>
        <v>160.17660000000001</v>
      </c>
      <c r="S57" s="50">
        <f ca="1">'4.5.1.3-4 Direct N2O'!S242</f>
        <v>108.64152000000003</v>
      </c>
      <c r="T57" s="2"/>
    </row>
    <row r="58" spans="4:20" ht="20" customHeight="1" x14ac:dyDescent="0.25"/>
    <row r="59" spans="4:20" ht="20" customHeight="1" x14ac:dyDescent="0.25">
      <c r="D59" s="113" t="s">
        <v>293</v>
      </c>
    </row>
    <row r="60" spans="4:20" ht="20" customHeight="1" x14ac:dyDescent="0.25">
      <c r="D60" s="114" t="s">
        <v>294</v>
      </c>
    </row>
    <row r="61" spans="4:20" ht="20" customHeight="1" x14ac:dyDescent="0.25">
      <c r="D61" s="49" t="s">
        <v>155</v>
      </c>
      <c r="E61" s="49" t="s">
        <v>237</v>
      </c>
    </row>
    <row r="62" spans="4:20" ht="20" customHeight="1" x14ac:dyDescent="0.25">
      <c r="D62" s="55" t="str">
        <f>INDEX(X_Table_Swine_Stage1MMS_AnaerobicLagoon,2,1)</f>
        <v>Anaerobic lagoon</v>
      </c>
      <c r="E62" s="50" cm="1">
        <f t="array" ref="E62">Common_InputFunctions.Utility_LookupValueInTableNumber(D62, Table_SourceData_Swine_FracGASM[NIR reference],Table_SourceData_Swine_FracGASM[FracGASMmT])</f>
        <v>0.55000000000000004</v>
      </c>
      <c r="F62" s="2" t="str">
        <f>G14</f>
        <v>(kg NH3-N + NOx-N)/kg N</v>
      </c>
    </row>
    <row r="63" spans="4:20" ht="20" customHeight="1" x14ac:dyDescent="0.25">
      <c r="D63" s="55" t="str">
        <f>INDEX(X_Table_Swine_Stage1MMS_Drylot,2,1)</f>
        <v>Drylot (feed pad)</v>
      </c>
      <c r="E63" s="50" cm="1">
        <f t="array" ref="E63">Common_InputFunctions.Utility_LookupValueInTableNumber(D63, Table_SourceData_Swine_FracGASM[NIR reference],Table_SourceData_Swine_FracGASM[FracGASMmT])</f>
        <v>0.3</v>
      </c>
    </row>
    <row r="64" spans="4:20" ht="20" customHeight="1" x14ac:dyDescent="0.25">
      <c r="D64" s="55" t="str">
        <f>INDEX(X_Table_Swine_Stage1MMS_DigesterCoveredLagoons,2,1)</f>
        <v>Digester / covered lagoons</v>
      </c>
      <c r="E64" s="50" cm="1">
        <f t="array" ref="E64">Common_InputFunctions.Utility_LookupValueInTableNumber(D64, Table_SourceData_Swine_FracGASM[NIR reference],Table_SourceData_Swine_FracGASM[FracGASMmT])</f>
        <v>0</v>
      </c>
    </row>
    <row r="65" spans="4:20" ht="20" customHeight="1" x14ac:dyDescent="0.25">
      <c r="D65" s="55" t="str">
        <f>INDEX(X_Table_Swine_Stage1MMS_DeepLitter,2,1)</f>
        <v>Deep litter</v>
      </c>
      <c r="E65" s="50" cm="1">
        <f t="array" ref="E65">Common_InputFunctions.Utility_LookupValueInTableNumber(D65, Table_SourceData_Swine_FracGASM[NIR reference],Table_SourceData_Swine_FracGASM[FracGASMmT])</f>
        <v>0.125</v>
      </c>
    </row>
    <row r="66" spans="4:20" ht="20" customHeight="1" x14ac:dyDescent="0.25">
      <c r="D66" s="55" t="str">
        <f>INDEX(X_Table_Swine_Stage1MMS_PitStorage,2,1)</f>
        <v>Pit storage</v>
      </c>
      <c r="E66" s="50" cm="1">
        <f t="array" ref="E66">Common_InputFunctions.Utility_LookupValueInTableNumber(D66, Table_SourceData_Swine_FracGASM[NIR reference],Table_SourceData_Swine_FracGASM[FracGASMmT])</f>
        <v>0.25</v>
      </c>
    </row>
    <row r="67" spans="4:20" ht="20" customHeight="1" x14ac:dyDescent="0.25">
      <c r="D67" s="55" t="s">
        <v>343</v>
      </c>
      <c r="E67" s="50" cm="1">
        <f t="array" ref="E67">Common_InputFunctions.Utility_LookupValueInTableNumber(D67, Table_SourceData_Swine_FracGASM[NIR reference],Table_SourceData_Swine_FracGASM[FracGASMmT])</f>
        <v>0.2</v>
      </c>
    </row>
    <row r="68" spans="4:20" ht="20" customHeight="1" x14ac:dyDescent="0.25">
      <c r="D68" s="55" t="str">
        <f>'Constants - Swine'!D47</f>
        <v>Direct application</v>
      </c>
      <c r="E68" s="50" cm="1">
        <f t="array" ref="E68">Common_InputFunctions.Utility_LookupValueInTableNumber(D68, Table_SourceData_Swine_FracGASM[NIR reference],Table_SourceData_Swine_FracGASM[FracGASMmT])</f>
        <v>0</v>
      </c>
    </row>
    <row r="69" spans="4:20" ht="20" customHeight="1" x14ac:dyDescent="0.25"/>
    <row r="70" spans="4:20" ht="20" customHeight="1" x14ac:dyDescent="0.25">
      <c r="D70" s="113" t="s">
        <v>246</v>
      </c>
      <c r="N70" s="113" t="s">
        <v>246</v>
      </c>
    </row>
    <row r="71" spans="4:20" ht="20" customHeight="1" x14ac:dyDescent="0.25">
      <c r="D71" s="114" t="s">
        <v>247</v>
      </c>
      <c r="N71" s="114" t="s">
        <v>247</v>
      </c>
    </row>
    <row r="72" spans="4:20" ht="20" customHeight="1" x14ac:dyDescent="0.25">
      <c r="D72" s="49" t="s">
        <v>155</v>
      </c>
      <c r="E72" s="49" t="s">
        <v>163</v>
      </c>
      <c r="F72" s="49" t="s">
        <v>134</v>
      </c>
      <c r="G72" s="49" t="s">
        <v>135</v>
      </c>
      <c r="H72" s="49" t="s">
        <v>136</v>
      </c>
      <c r="I72" s="49" t="s">
        <v>192</v>
      </c>
      <c r="N72" s="49" t="s">
        <v>155</v>
      </c>
      <c r="O72" s="49" t="s">
        <v>163</v>
      </c>
      <c r="P72" s="49" t="s">
        <v>134</v>
      </c>
      <c r="Q72" s="49" t="s">
        <v>135</v>
      </c>
      <c r="R72" s="49" t="s">
        <v>136</v>
      </c>
      <c r="S72" s="49" t="s">
        <v>192</v>
      </c>
    </row>
    <row r="73" spans="4:20" ht="20" customHeight="1" x14ac:dyDescent="0.25">
      <c r="D73" s="55" t="str">
        <f>INDEX(X_Table_Swine_Stage1MMS_AnaerobicLagoon,2,1)</f>
        <v>Anaerobic lagoon</v>
      </c>
      <c r="E73" s="55" t="s">
        <v>164</v>
      </c>
      <c r="F73" s="50" cm="1">
        <f t="array" aca="1" ref="F73" ca="1">MMS_Swine_AtmosphericDeposition_Equations.VEERG_4_5_1_5__2_TotalNitrogenVolatilisedFromMMS(E22,_xlfn.XLOOKUP($D73,$D$62:$D$68,$E$62:$E$68))</f>
        <v>110.81399999999999</v>
      </c>
      <c r="G73" s="50" cm="1">
        <f t="array" aca="1" ref="G73" ca="1">MMS_Swine_AtmosphericDeposition_Equations.VEERG_4_5_1_5__2_TotalNitrogenVolatilisedFromMMS(F22,_xlfn.XLOOKUP($D73,$D$62:$D$68,$E$62:$E$68))</f>
        <v>118.04100000000003</v>
      </c>
      <c r="H73" s="50" cm="1">
        <f t="array" aca="1" ref="H73" ca="1">MMS_Swine_AtmosphericDeposition_Equations.VEERG_4_5_1_5__2_TotalNitrogenVolatilisedFromMMS(G22,_xlfn.XLOOKUP($D73,$D$62:$D$68,$E$62:$E$68))</f>
        <v>110.81399999999999</v>
      </c>
      <c r="I73" s="50" cm="1">
        <f t="array" aca="1" ref="I73" ca="1">MMS_Swine_AtmosphericDeposition_Equations.VEERG_4_5_1_5__2_TotalNitrogenVolatilisedFromMMS(H22,_xlfn.XLOOKUP($D73,$D$62:$D$68,$E$62:$E$68))</f>
        <v>75.160799999999995</v>
      </c>
      <c r="J73" s="2" t="str">
        <f>$E$11</f>
        <v>kg N</v>
      </c>
      <c r="N73" s="55" t="str">
        <f>INDEX(X_Table_Swine_Stage1MMS_AnaerobicLagoon,2,1)</f>
        <v>Anaerobic lagoon</v>
      </c>
      <c r="O73" s="55" t="s">
        <v>164</v>
      </c>
      <c r="P73" s="50" cm="1">
        <f t="array" aca="1" ref="P73" ca="1">MMS_Swine_AtmosphericDeposition_Equations.VEERG_4_5_1_5__2_TotalNitrogenVolatilisedFromMMS(O22,_xlfn.XLOOKUP($N73,$D$62:$D$68,$E$62:$E$68))</f>
        <v>110.81399999999999</v>
      </c>
      <c r="Q73" s="50" cm="1">
        <f t="array" aca="1" ref="Q73" ca="1">MMS_Swine_AtmosphericDeposition_Equations.VEERG_4_5_1_5__2_TotalNitrogenVolatilisedFromMMS(P22,_xlfn.XLOOKUP($N73,$D$62:$D$68,$E$62:$E$68))</f>
        <v>118.04100000000003</v>
      </c>
      <c r="R73" s="50" cm="1">
        <f t="array" aca="1" ref="R73" ca="1">MMS_Swine_AtmosphericDeposition_Equations.VEERG_4_5_1_5__2_TotalNitrogenVolatilisedFromMMS(Q22,_xlfn.XLOOKUP($N73,$D$62:$D$68,$E$62:$E$68))</f>
        <v>110.81399999999999</v>
      </c>
      <c r="S73" s="50" cm="1">
        <f t="array" aca="1" ref="S73" ca="1">MMS_Swine_AtmosphericDeposition_Equations.VEERG_4_5_1_5__2_TotalNitrogenVolatilisedFromMMS(R22,_xlfn.XLOOKUP($N73,$D$62:$D$68,$E$62:$E$68))</f>
        <v>75.160799999999995</v>
      </c>
      <c r="T73" s="2" t="str">
        <f>$E$11</f>
        <v>kg N</v>
      </c>
    </row>
    <row r="74" spans="4:20" ht="20" customHeight="1" x14ac:dyDescent="0.25">
      <c r="D74" s="55" t="str">
        <f>INDEX(X_Table_Swine_Stage1MMS_Drylot,2,1)</f>
        <v>Drylot (feed pad)</v>
      </c>
      <c r="E74" s="55" t="s">
        <v>164</v>
      </c>
      <c r="F74" s="50" cm="1">
        <f t="array" aca="1" ref="F74" ca="1">MMS_Swine_AtmosphericDeposition_Equations.VEERG_4_5_1_5__2_TotalNitrogenVolatilisedFromMMS(E23,_xlfn.XLOOKUP($D74,$D$62:$D$68,$E$62:$E$68))</f>
        <v>60.443999999999988</v>
      </c>
      <c r="G74" s="50" cm="1">
        <f t="array" aca="1" ref="G74" ca="1">MMS_Swine_AtmosphericDeposition_Equations.VEERG_4_5_1_5__2_TotalNitrogenVolatilisedFromMMS(F23,_xlfn.XLOOKUP($D74,$D$62:$D$68,$E$62:$E$68))</f>
        <v>64.38600000000001</v>
      </c>
      <c r="H74" s="50" cm="1">
        <f t="array" aca="1" ref="H74" ca="1">MMS_Swine_AtmosphericDeposition_Equations.VEERG_4_5_1_5__2_TotalNitrogenVolatilisedFromMMS(G23,_xlfn.XLOOKUP($D74,$D$62:$D$68,$E$62:$E$68))</f>
        <v>60.443999999999988</v>
      </c>
      <c r="I74" s="50" cm="1">
        <f t="array" aca="1" ref="I74" ca="1">MMS_Swine_AtmosphericDeposition_Equations.VEERG_4_5_1_5__2_TotalNitrogenVolatilisedFromMMS(H23,_xlfn.XLOOKUP($D74,$D$62:$D$68,$E$62:$E$68))</f>
        <v>40.996799999999993</v>
      </c>
      <c r="J74" s="2"/>
      <c r="N74" s="55" t="str">
        <f>INDEX(X_Table_Swine_Stage1MMS_Drylot,2,1)</f>
        <v>Drylot (feed pad)</v>
      </c>
      <c r="O74" s="55" t="s">
        <v>164</v>
      </c>
      <c r="P74" s="50" cm="1">
        <f t="array" aca="1" ref="P74" ca="1">MMS_Swine_AtmosphericDeposition_Equations.VEERG_4_5_1_5__2_TotalNitrogenVolatilisedFromMMS(O23,_xlfn.XLOOKUP($N74,$D$62:$D$68,$E$62:$E$68))</f>
        <v>60.443999999999988</v>
      </c>
      <c r="Q74" s="50" cm="1">
        <f t="array" aca="1" ref="Q74" ca="1">MMS_Swine_AtmosphericDeposition_Equations.VEERG_4_5_1_5__2_TotalNitrogenVolatilisedFromMMS(P23,_xlfn.XLOOKUP($N74,$D$62:$D$68,$E$62:$E$68))</f>
        <v>64.38600000000001</v>
      </c>
      <c r="R74" s="50" cm="1">
        <f t="array" aca="1" ref="R74" ca="1">MMS_Swine_AtmosphericDeposition_Equations.VEERG_4_5_1_5__2_TotalNitrogenVolatilisedFromMMS(Q23,_xlfn.XLOOKUP($N74,$D$62:$D$68,$E$62:$E$68))</f>
        <v>60.443999999999988</v>
      </c>
      <c r="S74" s="50" cm="1">
        <f t="array" aca="1" ref="S74" ca="1">MMS_Swine_AtmosphericDeposition_Equations.VEERG_4_5_1_5__2_TotalNitrogenVolatilisedFromMMS(R23,_xlfn.XLOOKUP($N74,$D$62:$D$68,$E$62:$E$68))</f>
        <v>40.996799999999993</v>
      </c>
      <c r="T74" s="2"/>
    </row>
    <row r="75" spans="4:20" ht="20" customHeight="1" x14ac:dyDescent="0.25">
      <c r="D75" s="55" t="str">
        <f>INDEX(X_Table_Swine_Stage1MMS_DigesterCoveredLagoons,2,1)</f>
        <v>Digester / covered lagoons</v>
      </c>
      <c r="E75" s="55" t="s">
        <v>164</v>
      </c>
      <c r="F75" s="50" cm="1">
        <f t="array" aca="1" ref="F75" ca="1">MMS_Swine_AtmosphericDeposition_Equations.VEERG_4_5_1_5__2_TotalNitrogenVolatilisedFromMMS(E24,_xlfn.XLOOKUP($D75,$D$62:$D$68,$E$62:$E$68))</f>
        <v>0</v>
      </c>
      <c r="G75" s="50" cm="1">
        <f t="array" aca="1" ref="G75" ca="1">MMS_Swine_AtmosphericDeposition_Equations.VEERG_4_5_1_5__2_TotalNitrogenVolatilisedFromMMS(F24,_xlfn.XLOOKUP($D75,$D$62:$D$68,$E$62:$E$68))</f>
        <v>0</v>
      </c>
      <c r="H75" s="50" cm="1">
        <f t="array" aca="1" ref="H75" ca="1">MMS_Swine_AtmosphericDeposition_Equations.VEERG_4_5_1_5__2_TotalNitrogenVolatilisedFromMMS(G24,_xlfn.XLOOKUP($D75,$D$62:$D$68,$E$62:$E$68))</f>
        <v>0</v>
      </c>
      <c r="I75" s="50" cm="1">
        <f t="array" aca="1" ref="I75" ca="1">MMS_Swine_AtmosphericDeposition_Equations.VEERG_4_5_1_5__2_TotalNitrogenVolatilisedFromMMS(H24,_xlfn.XLOOKUP($D75,$D$62:$D$68,$E$62:$E$68))</f>
        <v>0</v>
      </c>
      <c r="J75" s="2"/>
      <c r="N75" s="55" t="str">
        <f>INDEX(X_Table_Swine_Stage1MMS_DigesterCoveredLagoons,2,1)</f>
        <v>Digester / covered lagoons</v>
      </c>
      <c r="O75" s="55" t="s">
        <v>164</v>
      </c>
      <c r="P75" s="50" cm="1">
        <f t="array" aca="1" ref="P75" ca="1">MMS_Swine_AtmosphericDeposition_Equations.VEERG_4_5_1_5__2_TotalNitrogenVolatilisedFromMMS(O24,_xlfn.XLOOKUP($N75,$D$62:$D$68,$E$62:$E$68))</f>
        <v>0</v>
      </c>
      <c r="Q75" s="50" cm="1">
        <f t="array" aca="1" ref="Q75" ca="1">MMS_Swine_AtmosphericDeposition_Equations.VEERG_4_5_1_5__2_TotalNitrogenVolatilisedFromMMS(P24,_xlfn.XLOOKUP($N75,$D$62:$D$68,$E$62:$E$68))</f>
        <v>0</v>
      </c>
      <c r="R75" s="50" cm="1">
        <f t="array" aca="1" ref="R75" ca="1">MMS_Swine_AtmosphericDeposition_Equations.VEERG_4_5_1_5__2_TotalNitrogenVolatilisedFromMMS(Q24,_xlfn.XLOOKUP($N75,$D$62:$D$68,$E$62:$E$68))</f>
        <v>0</v>
      </c>
      <c r="S75" s="50" cm="1">
        <f t="array" aca="1" ref="S75" ca="1">MMS_Swine_AtmosphericDeposition_Equations.VEERG_4_5_1_5__2_TotalNitrogenVolatilisedFromMMS(R24,_xlfn.XLOOKUP($N75,$D$62:$D$68,$E$62:$E$68))</f>
        <v>0</v>
      </c>
      <c r="T75" s="2"/>
    </row>
    <row r="76" spans="4:20" ht="20" customHeight="1" x14ac:dyDescent="0.25">
      <c r="D76" s="55" t="str">
        <f>INDEX(X_Table_Swine_Stage1MMS_DeepLitter,2,1)</f>
        <v>Deep litter</v>
      </c>
      <c r="E76" s="55" t="s">
        <v>164</v>
      </c>
      <c r="F76" s="50" cm="1">
        <f t="array" aca="1" ref="F76" ca="1">MMS_Swine_AtmosphericDeposition_Equations.VEERG_4_5_1_5__2_TotalNitrogenVolatilisedFromMMS(E25,_xlfn.XLOOKUP($D76,$D$62:$D$68,$E$62:$E$68))</f>
        <v>25.184999999999995</v>
      </c>
      <c r="G76" s="50" cm="1">
        <f t="array" aca="1" ref="G76" ca="1">MMS_Swine_AtmosphericDeposition_Equations.VEERG_4_5_1_5__2_TotalNitrogenVolatilisedFromMMS(F25,_xlfn.XLOOKUP($D76,$D$62:$D$68,$E$62:$E$68))</f>
        <v>26.827500000000004</v>
      </c>
      <c r="H76" s="50" cm="1">
        <f t="array" aca="1" ref="H76" ca="1">MMS_Swine_AtmosphericDeposition_Equations.VEERG_4_5_1_5__2_TotalNitrogenVolatilisedFromMMS(G25,_xlfn.XLOOKUP($D76,$D$62:$D$68,$E$62:$E$68))</f>
        <v>25.184999999999995</v>
      </c>
      <c r="I76" s="50" cm="1">
        <f t="array" aca="1" ref="I76" ca="1">MMS_Swine_AtmosphericDeposition_Equations.VEERG_4_5_1_5__2_TotalNitrogenVolatilisedFromMMS(H25,_xlfn.XLOOKUP($D76,$D$62:$D$68,$E$62:$E$68))</f>
        <v>17.081999999999997</v>
      </c>
      <c r="J76" s="2"/>
      <c r="N76" s="55" t="str">
        <f>INDEX(X_Table_Swine_Stage1MMS_DeepLitter,2,1)</f>
        <v>Deep litter</v>
      </c>
      <c r="O76" s="55" t="s">
        <v>164</v>
      </c>
      <c r="P76" s="50" cm="1">
        <f t="array" aca="1" ref="P76" ca="1">MMS_Swine_AtmosphericDeposition_Equations.VEERG_4_5_1_5__2_TotalNitrogenVolatilisedFromMMS(O25,_xlfn.XLOOKUP($N76,$D$62:$D$68,$E$62:$E$68))</f>
        <v>25.184999999999995</v>
      </c>
      <c r="Q76" s="50" cm="1">
        <f t="array" aca="1" ref="Q76" ca="1">MMS_Swine_AtmosphericDeposition_Equations.VEERG_4_5_1_5__2_TotalNitrogenVolatilisedFromMMS(P25,_xlfn.XLOOKUP($N76,$D$62:$D$68,$E$62:$E$68))</f>
        <v>26.827500000000004</v>
      </c>
      <c r="R76" s="50" cm="1">
        <f t="array" aca="1" ref="R76" ca="1">MMS_Swine_AtmosphericDeposition_Equations.VEERG_4_5_1_5__2_TotalNitrogenVolatilisedFromMMS(Q25,_xlfn.XLOOKUP($N76,$D$62:$D$68,$E$62:$E$68))</f>
        <v>25.184999999999995</v>
      </c>
      <c r="S76" s="50" cm="1">
        <f t="array" aca="1" ref="S76" ca="1">MMS_Swine_AtmosphericDeposition_Equations.VEERG_4_5_1_5__2_TotalNitrogenVolatilisedFromMMS(R25,_xlfn.XLOOKUP($N76,$D$62:$D$68,$E$62:$E$68))</f>
        <v>17.081999999999997</v>
      </c>
      <c r="T76" s="2"/>
    </row>
    <row r="77" spans="4:20" ht="20" customHeight="1" x14ac:dyDescent="0.25">
      <c r="D77" s="55" t="str">
        <f>INDEX(X_Table_Swine_Stage1MMS_PitStorage,2,1)</f>
        <v>Pit storage</v>
      </c>
      <c r="E77" s="55" t="s">
        <v>164</v>
      </c>
      <c r="F77" s="50" cm="1">
        <f t="array" aca="1" ref="F77" ca="1">MMS_Swine_AtmosphericDeposition_Equations.VEERG_4_5_1_5__2_TotalNitrogenVolatilisedFromMMS(E26,_xlfn.XLOOKUP($D77,$D$62:$D$68,$E$62:$E$68))</f>
        <v>50.36999999999999</v>
      </c>
      <c r="G77" s="50" cm="1">
        <f t="array" aca="1" ref="G77" ca="1">MMS_Swine_AtmosphericDeposition_Equations.VEERG_4_5_1_5__2_TotalNitrogenVolatilisedFromMMS(F26,_xlfn.XLOOKUP($D77,$D$62:$D$68,$E$62:$E$68))</f>
        <v>53.655000000000008</v>
      </c>
      <c r="H77" s="50" cm="1">
        <f t="array" aca="1" ref="H77" ca="1">MMS_Swine_AtmosphericDeposition_Equations.VEERG_4_5_1_5__2_TotalNitrogenVolatilisedFromMMS(G26,_xlfn.XLOOKUP($D77,$D$62:$D$68,$E$62:$E$68))</f>
        <v>50.36999999999999</v>
      </c>
      <c r="I77" s="50" cm="1">
        <f t="array" aca="1" ref="I77" ca="1">MMS_Swine_AtmosphericDeposition_Equations.VEERG_4_5_1_5__2_TotalNitrogenVolatilisedFromMMS(H26,_xlfn.XLOOKUP($D77,$D$62:$D$68,$E$62:$E$68))</f>
        <v>34.163999999999994</v>
      </c>
      <c r="J77" s="2"/>
      <c r="N77" s="55" t="str">
        <f>INDEX(X_Table_Swine_Stage1MMS_PitStorage,2,1)</f>
        <v>Pit storage</v>
      </c>
      <c r="O77" s="55" t="s">
        <v>164</v>
      </c>
      <c r="P77" s="50" cm="1">
        <f t="array" aca="1" ref="P77" ca="1">MMS_Swine_AtmosphericDeposition_Equations.VEERG_4_5_1_5__2_TotalNitrogenVolatilisedFromMMS(O26,_xlfn.XLOOKUP($N77,$D$62:$D$68,$E$62:$E$68))</f>
        <v>50.36999999999999</v>
      </c>
      <c r="Q77" s="50" cm="1">
        <f t="array" aca="1" ref="Q77" ca="1">MMS_Swine_AtmosphericDeposition_Equations.VEERG_4_5_1_5__2_TotalNitrogenVolatilisedFromMMS(P26,_xlfn.XLOOKUP($N77,$D$62:$D$68,$E$62:$E$68))</f>
        <v>53.655000000000008</v>
      </c>
      <c r="R77" s="50" cm="1">
        <f t="array" aca="1" ref="R77" ca="1">MMS_Swine_AtmosphericDeposition_Equations.VEERG_4_5_1_5__2_TotalNitrogenVolatilisedFromMMS(Q26,_xlfn.XLOOKUP($N77,$D$62:$D$68,$E$62:$E$68))</f>
        <v>50.36999999999999</v>
      </c>
      <c r="S77" s="50" cm="1">
        <f t="array" aca="1" ref="S77" ca="1">MMS_Swine_AtmosphericDeposition_Equations.VEERG_4_5_1_5__2_TotalNitrogenVolatilisedFromMMS(R26,_xlfn.XLOOKUP($N77,$D$62:$D$68,$E$62:$E$68))</f>
        <v>34.163999999999994</v>
      </c>
      <c r="T77" s="2"/>
    </row>
    <row r="78" spans="4:20" ht="20" customHeight="1" x14ac:dyDescent="0.25">
      <c r="D78" s="55" t="s">
        <v>343</v>
      </c>
      <c r="E78" s="55" t="s">
        <v>164</v>
      </c>
      <c r="F78" s="50" cm="1">
        <f t="array" aca="1" ref="F78" ca="1">MMS_Swine_AtmosphericDeposition_Equations.VEERG_4_5_1_5__2_TotalNitrogenVolatilisedFromMMS(E27,_xlfn.XLOOKUP($D78,$D$62:$D$68,$E$62:$E$68))</f>
        <v>134.32000000000002</v>
      </c>
      <c r="G78" s="50" cm="1">
        <f t="array" aca="1" ref="G78" ca="1">MMS_Swine_AtmosphericDeposition_Equations.VEERG_4_5_1_5__2_TotalNitrogenVolatilisedFromMMS(F27,_xlfn.XLOOKUP($D78,$D$62:$D$68,$E$62:$E$68))</f>
        <v>143.08000000000007</v>
      </c>
      <c r="H78" s="50" cm="1">
        <f t="array" aca="1" ref="H78" ca="1">MMS_Swine_AtmosphericDeposition_Equations.VEERG_4_5_1_5__2_TotalNitrogenVolatilisedFromMMS(G27,_xlfn.XLOOKUP($D78,$D$62:$D$68,$E$62:$E$68))</f>
        <v>134.32000000000002</v>
      </c>
      <c r="I78" s="50" cm="1">
        <f t="array" aca="1" ref="I78" ca="1">MMS_Swine_AtmosphericDeposition_Equations.VEERG_4_5_1_5__2_TotalNitrogenVolatilisedFromMMS(H27,_xlfn.XLOOKUP($D78,$D$62:$D$68,$E$62:$E$68))</f>
        <v>91.104000000000042</v>
      </c>
      <c r="J78" s="2"/>
      <c r="N78" s="55" t="s">
        <v>343</v>
      </c>
      <c r="O78" s="55" t="s">
        <v>164</v>
      </c>
      <c r="P78" s="50" cm="1">
        <f t="array" aca="1" ref="P78" ca="1">MMS_Swine_AtmosphericDeposition_Equations.VEERG_4_5_1_5__2_TotalNitrogenVolatilisedFromMMS(O27,_xlfn.XLOOKUP($N78,$D$62:$D$68,$E$62:$E$68))</f>
        <v>134.32000000000002</v>
      </c>
      <c r="Q78" s="50" cm="1">
        <f t="array" aca="1" ref="Q78" ca="1">MMS_Swine_AtmosphericDeposition_Equations.VEERG_4_5_1_5__2_TotalNitrogenVolatilisedFromMMS(P27,_xlfn.XLOOKUP($N78,$D$62:$D$68,$E$62:$E$68))</f>
        <v>143.08000000000007</v>
      </c>
      <c r="R78" s="50" cm="1">
        <f t="array" aca="1" ref="R78" ca="1">MMS_Swine_AtmosphericDeposition_Equations.VEERG_4_5_1_5__2_TotalNitrogenVolatilisedFromMMS(Q27,_xlfn.XLOOKUP($N78,$D$62:$D$68,$E$62:$E$68))</f>
        <v>134.32000000000002</v>
      </c>
      <c r="S78" s="50" cm="1">
        <f t="array" aca="1" ref="S78" ca="1">MMS_Swine_AtmosphericDeposition_Equations.VEERG_4_5_1_5__2_TotalNitrogenVolatilisedFromMMS(R27,_xlfn.XLOOKUP($N78,$D$62:$D$68,$E$62:$E$68))</f>
        <v>91.104000000000042</v>
      </c>
      <c r="T78" s="2"/>
    </row>
    <row r="79" spans="4:20" ht="20" customHeight="1" x14ac:dyDescent="0.25">
      <c r="D79" s="55" t="str">
        <f>INDEX(X_Table_Swine_Stage1MMS_AnaerobicLagoon,2,1)</f>
        <v>Anaerobic lagoon</v>
      </c>
      <c r="E79" s="55" t="str">
        <f>INDEX(X_Table_Swine_Stage2MMS_From_AnaerobicLagoon,2,1)</f>
        <v>Digester / covered lagoons</v>
      </c>
      <c r="F79" s="50" cm="1">
        <f t="array" aca="1" ref="F79" ca="1">MMS_Swine_AtmosphericDeposition_Equations.VEERG_4_5_1_5__2_TotalNitrogenVolatilisedFromMMS(F32,_xlfn.XLOOKUP($E79,$D$62:$D$68,$E$62:$E$68))</f>
        <v>0</v>
      </c>
      <c r="G79" s="50" cm="1">
        <f t="array" aca="1" ref="G79" ca="1">MMS_Swine_AtmosphericDeposition_Equations.VEERG_4_5_1_5__2_TotalNitrogenVolatilisedFromMMS(G32,_xlfn.XLOOKUP($E79,$D$62:$D$68,$E$62:$E$68))</f>
        <v>0</v>
      </c>
      <c r="H79" s="50" cm="1">
        <f t="array" aca="1" ref="H79" ca="1">MMS_Swine_AtmosphericDeposition_Equations.VEERG_4_5_1_5__2_TotalNitrogenVolatilisedFromMMS(H32,_xlfn.XLOOKUP($E79,$D$62:$D$68,$E$62:$E$68))</f>
        <v>0</v>
      </c>
      <c r="I79" s="50" cm="1">
        <f t="array" aca="1" ref="I79" ca="1">MMS_Swine_AtmosphericDeposition_Equations.VEERG_4_5_1_5__2_TotalNitrogenVolatilisedFromMMS(I32,_xlfn.XLOOKUP($E79,$D$62:$D$68,$E$62:$E$68))</f>
        <v>0</v>
      </c>
      <c r="J79" s="2"/>
      <c r="N79" s="55" t="str">
        <f>INDEX(X_Table_Swine_Stage1MMS_AnaerobicLagoon,2,1)</f>
        <v>Anaerobic lagoon</v>
      </c>
      <c r="O79" s="55" t="str">
        <f>INDEX(X_Table_Swine_Stage2MMS_From_AnaerobicLagoon,2,1)</f>
        <v>Digester / covered lagoons</v>
      </c>
      <c r="P79" s="50" cm="1">
        <f t="array" aca="1" ref="P79" ca="1">MMS_Swine_AtmosphericDeposition_Equations.VEERG_4_5_1_5__2_TotalNitrogenVolatilisedFromMMS(P32,_xlfn.XLOOKUP($O79,$D$62:$D$68,$E$62:$E$68))</f>
        <v>0</v>
      </c>
      <c r="Q79" s="50" cm="1">
        <f t="array" aca="1" ref="Q79" ca="1">MMS_Swine_AtmosphericDeposition_Equations.VEERG_4_5_1_5__2_TotalNitrogenVolatilisedFromMMS(Q32,_xlfn.XLOOKUP($O79,$D$62:$D$68,$E$62:$E$68))</f>
        <v>0</v>
      </c>
      <c r="R79" s="50" cm="1">
        <f t="array" aca="1" ref="R79" ca="1">MMS_Swine_AtmosphericDeposition_Equations.VEERG_4_5_1_5__2_TotalNitrogenVolatilisedFromMMS(R32,_xlfn.XLOOKUP($O79,$D$62:$D$68,$E$62:$E$68))</f>
        <v>0</v>
      </c>
      <c r="S79" s="50" cm="1">
        <f t="array" aca="1" ref="S79" ca="1">MMS_Swine_AtmosphericDeposition_Equations.VEERG_4_5_1_5__2_TotalNitrogenVolatilisedFromMMS(S32,_xlfn.XLOOKUP($O79,$D$62:$D$68,$E$62:$E$68))</f>
        <v>0</v>
      </c>
      <c r="T79" s="2"/>
    </row>
    <row r="80" spans="4:20" ht="20" customHeight="1" x14ac:dyDescent="0.25">
      <c r="D80" s="55"/>
      <c r="E80" s="55" t="str">
        <f>INDEX(X_Table_Swine_Stage2MMS_From_AnaerobicLagoon,3,1)</f>
        <v>Deep litter</v>
      </c>
      <c r="F80" s="50" cm="1">
        <f t="array" aca="1" ref="F80" ca="1">MMS_Swine_AtmosphericDeposition_Equations.VEERG_4_5_1_5__2_TotalNitrogenVolatilisedFromMMS(F33,_xlfn.XLOOKUP($E80,$D$62:$D$68,$E$62:$E$68))</f>
        <v>2.2666499999999994</v>
      </c>
      <c r="G80" s="50" cm="1">
        <f t="array" aca="1" ref="G80" ca="1">MMS_Swine_AtmosphericDeposition_Equations.VEERG_4_5_1_5__2_TotalNitrogenVolatilisedFromMMS(G33,_xlfn.XLOOKUP($E80,$D$62:$D$68,$E$62:$E$68))</f>
        <v>3.0180937500000002</v>
      </c>
      <c r="H80" s="50" cm="1">
        <f t="array" aca="1" ref="H80" ca="1">MMS_Swine_AtmosphericDeposition_Equations.VEERG_4_5_1_5__2_TotalNitrogenVolatilisedFromMMS(H33,_xlfn.XLOOKUP($E80,$D$62:$D$68,$E$62:$E$68))</f>
        <v>2.833312499999999</v>
      </c>
      <c r="I80" s="50" cm="1">
        <f t="array" aca="1" ref="I80" ca="1">MMS_Swine_AtmosphericDeposition_Equations.VEERG_4_5_1_5__2_TotalNitrogenVolatilisedFromMMS(I33,_xlfn.XLOOKUP($E80,$D$62:$D$68,$E$62:$E$68))</f>
        <v>1.9217249999999995</v>
      </c>
      <c r="J80" s="2"/>
      <c r="N80" s="55"/>
      <c r="O80" s="55" t="str">
        <f>INDEX(X_Table_Swine_Stage2MMS_From_AnaerobicLagoon,3,1)</f>
        <v>Deep litter</v>
      </c>
      <c r="P80" s="50" cm="1">
        <f t="array" aca="1" ref="P80" ca="1">MMS_Swine_AtmosphericDeposition_Equations.VEERG_4_5_1_5__2_TotalNitrogenVolatilisedFromMMS(P33,_xlfn.XLOOKUP($O80,$D$62:$D$68,$E$62:$E$68))</f>
        <v>2.2666499999999994</v>
      </c>
      <c r="Q80" s="50" cm="1">
        <f t="array" aca="1" ref="Q80" ca="1">MMS_Swine_AtmosphericDeposition_Equations.VEERG_4_5_1_5__2_TotalNitrogenVolatilisedFromMMS(Q33,_xlfn.XLOOKUP($O80,$D$62:$D$68,$E$62:$E$68))</f>
        <v>3.0180937500000002</v>
      </c>
      <c r="R80" s="50" cm="1">
        <f t="array" aca="1" ref="R80" ca="1">MMS_Swine_AtmosphericDeposition_Equations.VEERG_4_5_1_5__2_TotalNitrogenVolatilisedFromMMS(R33,_xlfn.XLOOKUP($O80,$D$62:$D$68,$E$62:$E$68))</f>
        <v>2.833312499999999</v>
      </c>
      <c r="S80" s="50" cm="1">
        <f t="array" aca="1" ref="S80" ca="1">MMS_Swine_AtmosphericDeposition_Equations.VEERG_4_5_1_5__2_TotalNitrogenVolatilisedFromMMS(S33,_xlfn.XLOOKUP($O80,$D$62:$D$68,$E$62:$E$68))</f>
        <v>1.9217249999999995</v>
      </c>
      <c r="T80" s="2"/>
    </row>
    <row r="81" spans="4:20" ht="20" customHeight="1" x14ac:dyDescent="0.25">
      <c r="D81" s="55"/>
      <c r="E81" s="55" t="str">
        <f>INDEX(X_Table_Swine_Stage2MMS_From_AnaerobicLagoon,4,1)</f>
        <v>Pit storage</v>
      </c>
      <c r="F81" s="50" cm="1">
        <f t="array" aca="1" ref="F81" ca="1">MMS_Swine_AtmosphericDeposition_Equations.VEERG_4_5_1_5__2_TotalNitrogenVolatilisedFromMMS(F34,_xlfn.XLOOKUP($E81,$D$62:$D$68,$E$62:$E$68))</f>
        <v>4.5332999999999988</v>
      </c>
      <c r="G81" s="50" cm="1">
        <f t="array" aca="1" ref="G81" ca="1">MMS_Swine_AtmosphericDeposition_Equations.VEERG_4_5_1_5__2_TotalNitrogenVolatilisedFromMMS(G34,_xlfn.XLOOKUP($E81,$D$62:$D$68,$E$62:$E$68))</f>
        <v>6.0361875000000005</v>
      </c>
      <c r="H81" s="50" cm="1">
        <f t="array" aca="1" ref="H81" ca="1">MMS_Swine_AtmosphericDeposition_Equations.VEERG_4_5_1_5__2_TotalNitrogenVolatilisedFromMMS(H34,_xlfn.XLOOKUP($E81,$D$62:$D$68,$E$62:$E$68))</f>
        <v>5.666624999999998</v>
      </c>
      <c r="I81" s="50" cm="1">
        <f t="array" aca="1" ref="I81" ca="1">MMS_Swine_AtmosphericDeposition_Equations.VEERG_4_5_1_5__2_TotalNitrogenVolatilisedFromMMS(I34,_xlfn.XLOOKUP($E81,$D$62:$D$68,$E$62:$E$68))</f>
        <v>3.8434499999999989</v>
      </c>
      <c r="J81" s="2"/>
      <c r="N81" s="55"/>
      <c r="O81" s="55" t="str">
        <f>INDEX(X_Table_Swine_Stage2MMS_From_AnaerobicLagoon,4,1)</f>
        <v>Pit storage</v>
      </c>
      <c r="P81" s="50" cm="1">
        <f t="array" aca="1" ref="P81" ca="1">MMS_Swine_AtmosphericDeposition_Equations.VEERG_4_5_1_5__2_TotalNitrogenVolatilisedFromMMS(P34,_xlfn.XLOOKUP($O81,$D$62:$D$68,$E$62:$E$68))</f>
        <v>4.5332999999999988</v>
      </c>
      <c r="Q81" s="50" cm="1">
        <f t="array" aca="1" ref="Q81" ca="1">MMS_Swine_AtmosphericDeposition_Equations.VEERG_4_5_1_5__2_TotalNitrogenVolatilisedFromMMS(Q34,_xlfn.XLOOKUP($O81,$D$62:$D$68,$E$62:$E$68))</f>
        <v>6.0361875000000005</v>
      </c>
      <c r="R81" s="50" cm="1">
        <f t="array" aca="1" ref="R81" ca="1">MMS_Swine_AtmosphericDeposition_Equations.VEERG_4_5_1_5__2_TotalNitrogenVolatilisedFromMMS(R34,_xlfn.XLOOKUP($O81,$D$62:$D$68,$E$62:$E$68))</f>
        <v>5.666624999999998</v>
      </c>
      <c r="S81" s="50" cm="1">
        <f t="array" aca="1" ref="S81" ca="1">MMS_Swine_AtmosphericDeposition_Equations.VEERG_4_5_1_5__2_TotalNitrogenVolatilisedFromMMS(S34,_xlfn.XLOOKUP($O81,$D$62:$D$68,$E$62:$E$68))</f>
        <v>3.8434499999999989</v>
      </c>
      <c r="T81" s="2"/>
    </row>
    <row r="82" spans="4:20" ht="20" customHeight="1" x14ac:dyDescent="0.25">
      <c r="D82" s="55"/>
      <c r="E82" s="55" t="str">
        <f>INDEX(X_Table_Swine_Stage2MMS_From_AnaerobicLagoon,5,1)</f>
        <v>Direct application</v>
      </c>
      <c r="F82" s="50" t="s">
        <v>164</v>
      </c>
      <c r="G82" s="50" t="s">
        <v>164</v>
      </c>
      <c r="H82" s="50" t="s">
        <v>164</v>
      </c>
      <c r="I82" s="50" t="s">
        <v>164</v>
      </c>
      <c r="N82" s="55"/>
      <c r="O82" s="55" t="str">
        <f>INDEX(X_Table_Swine_Stage2MMS_From_AnaerobicLagoon,5,1)</f>
        <v>Direct application</v>
      </c>
      <c r="P82" s="50" t="s">
        <v>164</v>
      </c>
      <c r="Q82" s="50" t="s">
        <v>164</v>
      </c>
      <c r="R82" s="50" t="s">
        <v>164</v>
      </c>
      <c r="S82" s="50" t="s">
        <v>164</v>
      </c>
      <c r="T82" s="2"/>
    </row>
    <row r="83" spans="4:20" ht="20" customHeight="1" x14ac:dyDescent="0.25">
      <c r="D83" s="55" t="str">
        <f>INDEX(X_Table_Swine_Stage1MMS_Drylot,2,1)</f>
        <v>Drylot (feed pad)</v>
      </c>
      <c r="E83" s="55" t="str">
        <f>INDEX(X_Table_Swine_Stage2MMS_From_Drylot,2,1)</f>
        <v>Anaerobic lagoon</v>
      </c>
      <c r="F83" s="50" cm="1">
        <f t="array" aca="1" ref="F83" ca="1">MMS_Swine_AtmosphericDeposition_Equations.VEERG_4_5_1_5__2_TotalNitrogenVolatilisedFromMMS(F36,_xlfn.XLOOKUP($E83,$D$62:$D$68,$E$62:$E$68))</f>
        <v>15.070703999999997</v>
      </c>
      <c r="G83" s="50" cm="1">
        <f t="array" aca="1" ref="G83" ca="1">MMS_Swine_AtmosphericDeposition_Equations.VEERG_4_5_1_5__2_TotalNitrogenVolatilisedFromMMS(G36,_xlfn.XLOOKUP($E83,$D$62:$D$68,$E$62:$E$68))</f>
        <v>20.066970000000005</v>
      </c>
      <c r="H83" s="50" cm="1">
        <f t="array" aca="1" ref="H83" ca="1">MMS_Swine_AtmosphericDeposition_Equations.VEERG_4_5_1_5__2_TotalNitrogenVolatilisedFromMMS(H36,_xlfn.XLOOKUP($E83,$D$62:$D$68,$E$62:$E$68))</f>
        <v>18.838379999999997</v>
      </c>
      <c r="I83" s="50" cm="1">
        <f t="array" aca="1" ref="I83" ca="1">MMS_Swine_AtmosphericDeposition_Equations.VEERG_4_5_1_5__2_TotalNitrogenVolatilisedFromMMS(I36,_xlfn.XLOOKUP($E83,$D$62:$D$68,$E$62:$E$68))</f>
        <v>12.777335999999996</v>
      </c>
      <c r="J83" s="2"/>
      <c r="N83" s="55" t="str">
        <f>INDEX(X_Table_Swine_Stage1MMS_Drylot,2,1)</f>
        <v>Drylot (feed pad)</v>
      </c>
      <c r="O83" s="55" t="str">
        <f>INDEX(X_Table_Swine_Stage2MMS_From_Drylot,2,1)</f>
        <v>Anaerobic lagoon</v>
      </c>
      <c r="P83" s="50" cm="1">
        <f t="array" aca="1" ref="P83" ca="1">MMS_Swine_AtmosphericDeposition_Equations.VEERG_4_5_1_5__2_TotalNitrogenVolatilisedFromMMS(P36,_xlfn.XLOOKUP($O83,$D$62:$D$68,$E$62:$E$68))</f>
        <v>15.070703999999997</v>
      </c>
      <c r="Q83" s="50" cm="1">
        <f t="array" aca="1" ref="Q83" ca="1">MMS_Swine_AtmosphericDeposition_Equations.VEERG_4_5_1_5__2_TotalNitrogenVolatilisedFromMMS(Q36,_xlfn.XLOOKUP($O83,$D$62:$D$68,$E$62:$E$68))</f>
        <v>20.066970000000005</v>
      </c>
      <c r="R83" s="50" cm="1">
        <f t="array" aca="1" ref="R83" ca="1">MMS_Swine_AtmosphericDeposition_Equations.VEERG_4_5_1_5__2_TotalNitrogenVolatilisedFromMMS(R36,_xlfn.XLOOKUP($O83,$D$62:$D$68,$E$62:$E$68))</f>
        <v>18.838379999999997</v>
      </c>
      <c r="S83" s="50" cm="1">
        <f t="array" aca="1" ref="S83" ca="1">MMS_Swine_AtmosphericDeposition_Equations.VEERG_4_5_1_5__2_TotalNitrogenVolatilisedFromMMS(S36,_xlfn.XLOOKUP($O83,$D$62:$D$68,$E$62:$E$68))</f>
        <v>12.777335999999996</v>
      </c>
      <c r="T83" s="2"/>
    </row>
    <row r="84" spans="4:20" ht="20" customHeight="1" x14ac:dyDescent="0.25">
      <c r="D84" s="55"/>
      <c r="E84" s="55" t="str">
        <f>INDEX(X_Table_Swine_Stage2MMS_From_Drylot,3,1)</f>
        <v>Digester / covered lagoons</v>
      </c>
      <c r="F84" s="50" cm="1">
        <f t="array" aca="1" ref="F84" ca="1">MMS_Swine_AtmosphericDeposition_Equations.VEERG_4_5_1_5__2_TotalNitrogenVolatilisedFromMMS(F37,_xlfn.XLOOKUP($E84,$D$62:$D$68,$E$62:$E$68))</f>
        <v>0</v>
      </c>
      <c r="G84" s="50" cm="1">
        <f t="array" aca="1" ref="G84" ca="1">MMS_Swine_AtmosphericDeposition_Equations.VEERG_4_5_1_5__2_TotalNitrogenVolatilisedFromMMS(G37,_xlfn.XLOOKUP($E84,$D$62:$D$68,$E$62:$E$68))</f>
        <v>0</v>
      </c>
      <c r="H84" s="50" cm="1">
        <f t="array" aca="1" ref="H84" ca="1">MMS_Swine_AtmosphericDeposition_Equations.VEERG_4_5_1_5__2_TotalNitrogenVolatilisedFromMMS(H37,_xlfn.XLOOKUP($E84,$D$62:$D$68,$E$62:$E$68))</f>
        <v>0</v>
      </c>
      <c r="I84" s="50" cm="1">
        <f t="array" aca="1" ref="I84" ca="1">MMS_Swine_AtmosphericDeposition_Equations.VEERG_4_5_1_5__2_TotalNitrogenVolatilisedFromMMS(I37,_xlfn.XLOOKUP($E84,$D$62:$D$68,$E$62:$E$68))</f>
        <v>0</v>
      </c>
      <c r="J84" s="2"/>
      <c r="N84" s="55"/>
      <c r="O84" s="55" t="str">
        <f>INDEX(X_Table_Swine_Stage2MMS_From_Drylot,3,1)</f>
        <v>Digester / covered lagoons</v>
      </c>
      <c r="P84" s="50" cm="1">
        <f t="array" aca="1" ref="P84" ca="1">MMS_Swine_AtmosphericDeposition_Equations.VEERG_4_5_1_5__2_TotalNitrogenVolatilisedFromMMS(P37,_xlfn.XLOOKUP($O84,$D$62:$D$68,$E$62:$E$68))</f>
        <v>0</v>
      </c>
      <c r="Q84" s="50" cm="1">
        <f t="array" aca="1" ref="Q84" ca="1">MMS_Swine_AtmosphericDeposition_Equations.VEERG_4_5_1_5__2_TotalNitrogenVolatilisedFromMMS(Q37,_xlfn.XLOOKUP($O84,$D$62:$D$68,$E$62:$E$68))</f>
        <v>0</v>
      </c>
      <c r="R84" s="50" cm="1">
        <f t="array" aca="1" ref="R84" ca="1">MMS_Swine_AtmosphericDeposition_Equations.VEERG_4_5_1_5__2_TotalNitrogenVolatilisedFromMMS(R37,_xlfn.XLOOKUP($O84,$D$62:$D$68,$E$62:$E$68))</f>
        <v>0</v>
      </c>
      <c r="S84" s="50" cm="1">
        <f t="array" aca="1" ref="S84" ca="1">MMS_Swine_AtmosphericDeposition_Equations.VEERG_4_5_1_5__2_TotalNitrogenVolatilisedFromMMS(S37,_xlfn.XLOOKUP($O84,$D$62:$D$68,$E$62:$E$68))</f>
        <v>0</v>
      </c>
      <c r="T84" s="2"/>
    </row>
    <row r="85" spans="4:20" ht="20" customHeight="1" x14ac:dyDescent="0.25">
      <c r="D85" s="55"/>
      <c r="E85" s="55" t="str">
        <f>INDEX(X_Table_Swine_Stage2MMS_From_Drylot,4,1)</f>
        <v>Deep litter</v>
      </c>
      <c r="F85" s="50" cm="1">
        <f t="array" aca="1" ref="F85" ca="1">MMS_Swine_AtmosphericDeposition_Equations.VEERG_4_5_1_5__2_TotalNitrogenVolatilisedFromMMS(F38,_xlfn.XLOOKUP($E85,$D$62:$D$68,$E$62:$E$68))</f>
        <v>3.4251599999999991</v>
      </c>
      <c r="G85" s="50" cm="1">
        <f t="array" aca="1" ref="G85" ca="1">MMS_Swine_AtmosphericDeposition_Equations.VEERG_4_5_1_5__2_TotalNitrogenVolatilisedFromMMS(G38,_xlfn.XLOOKUP($E85,$D$62:$D$68,$E$62:$E$68))</f>
        <v>4.5606750000000007</v>
      </c>
      <c r="H85" s="50" cm="1">
        <f t="array" aca="1" ref="H85" ca="1">MMS_Swine_AtmosphericDeposition_Equations.VEERG_4_5_1_5__2_TotalNitrogenVolatilisedFromMMS(H38,_xlfn.XLOOKUP($E85,$D$62:$D$68,$E$62:$E$68))</f>
        <v>4.2814499999999986</v>
      </c>
      <c r="I85" s="50" cm="1">
        <f t="array" aca="1" ref="I85" ca="1">MMS_Swine_AtmosphericDeposition_Equations.VEERG_4_5_1_5__2_TotalNitrogenVolatilisedFromMMS(I38,_xlfn.XLOOKUP($E85,$D$62:$D$68,$E$62:$E$68))</f>
        <v>2.9039399999999991</v>
      </c>
      <c r="J85" s="2"/>
      <c r="N85" s="55"/>
      <c r="O85" s="55" t="str">
        <f>INDEX(X_Table_Swine_Stage2MMS_From_Drylot,4,1)</f>
        <v>Deep litter</v>
      </c>
      <c r="P85" s="50" cm="1">
        <f t="array" aca="1" ref="P85" ca="1">MMS_Swine_AtmosphericDeposition_Equations.VEERG_4_5_1_5__2_TotalNitrogenVolatilisedFromMMS(P38,_xlfn.XLOOKUP($O85,$D$62:$D$68,$E$62:$E$68))</f>
        <v>3.4251599999999991</v>
      </c>
      <c r="Q85" s="50" cm="1">
        <f t="array" aca="1" ref="Q85" ca="1">MMS_Swine_AtmosphericDeposition_Equations.VEERG_4_5_1_5__2_TotalNitrogenVolatilisedFromMMS(Q38,_xlfn.XLOOKUP($O85,$D$62:$D$68,$E$62:$E$68))</f>
        <v>4.5606750000000007</v>
      </c>
      <c r="R85" s="50" cm="1">
        <f t="array" aca="1" ref="R85" ca="1">MMS_Swine_AtmosphericDeposition_Equations.VEERG_4_5_1_5__2_TotalNitrogenVolatilisedFromMMS(R38,_xlfn.XLOOKUP($O85,$D$62:$D$68,$E$62:$E$68))</f>
        <v>4.2814499999999986</v>
      </c>
      <c r="S85" s="50" cm="1">
        <f t="array" aca="1" ref="S85" ca="1">MMS_Swine_AtmosphericDeposition_Equations.VEERG_4_5_1_5__2_TotalNitrogenVolatilisedFromMMS(S38,_xlfn.XLOOKUP($O85,$D$62:$D$68,$E$62:$E$68))</f>
        <v>2.9039399999999991</v>
      </c>
      <c r="T85" s="2"/>
    </row>
    <row r="86" spans="4:20" ht="20" customHeight="1" x14ac:dyDescent="0.25">
      <c r="D86" s="55"/>
      <c r="E86" s="55" t="str">
        <f>INDEX(X_Table_Swine_Stage2MMS_From_Drylot,5,1)</f>
        <v>Pit storage</v>
      </c>
      <c r="F86" s="50" cm="1">
        <f t="array" aca="1" ref="F86" ca="1">MMS_Swine_AtmosphericDeposition_Equations.VEERG_4_5_1_5__2_TotalNitrogenVolatilisedFromMMS(F39,_xlfn.XLOOKUP($E86,$D$62:$D$68,$E$62:$E$68))</f>
        <v>6.8503199999999982</v>
      </c>
      <c r="G86" s="50" cm="1">
        <f t="array" aca="1" ref="G86" ca="1">MMS_Swine_AtmosphericDeposition_Equations.VEERG_4_5_1_5__2_TotalNitrogenVolatilisedFromMMS(G39,_xlfn.XLOOKUP($E86,$D$62:$D$68,$E$62:$E$68))</f>
        <v>9.1213500000000014</v>
      </c>
      <c r="H86" s="50" cm="1">
        <f t="array" aca="1" ref="H86" ca="1">MMS_Swine_AtmosphericDeposition_Equations.VEERG_4_5_1_5__2_TotalNitrogenVolatilisedFromMMS(H39,_xlfn.XLOOKUP($E86,$D$62:$D$68,$E$62:$E$68))</f>
        <v>8.5628999999999973</v>
      </c>
      <c r="I86" s="50" cm="1">
        <f t="array" aca="1" ref="I86" ca="1">MMS_Swine_AtmosphericDeposition_Equations.VEERG_4_5_1_5__2_TotalNitrogenVolatilisedFromMMS(I39,_xlfn.XLOOKUP($E86,$D$62:$D$68,$E$62:$E$68))</f>
        <v>5.8078799999999982</v>
      </c>
      <c r="J86" s="2"/>
      <c r="N86" s="55"/>
      <c r="O86" s="55" t="str">
        <f>INDEX(X_Table_Swine_Stage2MMS_From_Drylot,5,1)</f>
        <v>Pit storage</v>
      </c>
      <c r="P86" s="50" cm="1">
        <f t="array" aca="1" ref="P86" ca="1">MMS_Swine_AtmosphericDeposition_Equations.VEERG_4_5_1_5__2_TotalNitrogenVolatilisedFromMMS(P39,_xlfn.XLOOKUP($O86,$D$62:$D$68,$E$62:$E$68))</f>
        <v>6.8503199999999982</v>
      </c>
      <c r="Q86" s="50" cm="1">
        <f t="array" aca="1" ref="Q86" ca="1">MMS_Swine_AtmosphericDeposition_Equations.VEERG_4_5_1_5__2_TotalNitrogenVolatilisedFromMMS(Q39,_xlfn.XLOOKUP($O86,$D$62:$D$68,$E$62:$E$68))</f>
        <v>9.1213500000000014</v>
      </c>
      <c r="R86" s="50" cm="1">
        <f t="array" aca="1" ref="R86" ca="1">MMS_Swine_AtmosphericDeposition_Equations.VEERG_4_5_1_5__2_TotalNitrogenVolatilisedFromMMS(R39,_xlfn.XLOOKUP($O86,$D$62:$D$68,$E$62:$E$68))</f>
        <v>8.5628999999999973</v>
      </c>
      <c r="S86" s="50" cm="1">
        <f t="array" aca="1" ref="S86" ca="1">MMS_Swine_AtmosphericDeposition_Equations.VEERG_4_5_1_5__2_TotalNitrogenVolatilisedFromMMS(S39,_xlfn.XLOOKUP($O86,$D$62:$D$68,$E$62:$E$68))</f>
        <v>5.8078799999999982</v>
      </c>
      <c r="T86" s="2"/>
    </row>
    <row r="87" spans="4:20" ht="20" customHeight="1" x14ac:dyDescent="0.25">
      <c r="D87" s="55"/>
      <c r="E87" s="55" t="str">
        <f>INDEX(X_Table_Swine_Stage2MMS_From_Drylot,6,1)</f>
        <v>Direct application</v>
      </c>
      <c r="F87" s="50" t="s">
        <v>164</v>
      </c>
      <c r="G87" s="50" t="s">
        <v>164</v>
      </c>
      <c r="H87" s="50" t="s">
        <v>164</v>
      </c>
      <c r="I87" s="50" t="s">
        <v>164</v>
      </c>
      <c r="N87" s="55"/>
      <c r="O87" s="55" t="str">
        <f>INDEX(X_Table_Swine_Stage2MMS_From_Drylot,6,1)</f>
        <v>Direct application</v>
      </c>
      <c r="P87" s="50" t="s">
        <v>164</v>
      </c>
      <c r="Q87" s="50" t="s">
        <v>164</v>
      </c>
      <c r="R87" s="50" t="s">
        <v>164</v>
      </c>
      <c r="S87" s="50" t="s">
        <v>164</v>
      </c>
      <c r="T87" s="2"/>
    </row>
    <row r="88" spans="4:20" ht="20" customHeight="1" x14ac:dyDescent="0.25">
      <c r="D88" s="55" t="str">
        <f>INDEX(X_Table_Swine_Stage1MMS_DigesterCoveredLagoons,2,1)</f>
        <v>Digester / covered lagoons</v>
      </c>
      <c r="E88" s="55" t="str">
        <f>INDEX(X_Table_Swine_Stage2MMS_From_DigesterCoveredLagoons,2,1)</f>
        <v>Anaerobic lagoon</v>
      </c>
      <c r="F88" s="50" cm="1">
        <f t="array" aca="1" ref="F88" ca="1">MMS_Swine_AtmosphericDeposition_Equations.VEERG_4_5_1_5__2_TotalNitrogenVolatilisedFromMMS(F41,_xlfn.XLOOKUP($E88,$D$62:$D$68,$E$62:$E$68))</f>
        <v>22.162799999999997</v>
      </c>
      <c r="G88" s="50" cm="1">
        <f t="array" aca="1" ref="G88" ca="1">MMS_Swine_AtmosphericDeposition_Equations.VEERG_4_5_1_5__2_TotalNitrogenVolatilisedFromMMS(G41,_xlfn.XLOOKUP($E88,$D$62:$D$68,$E$62:$E$68))</f>
        <v>29.510250000000006</v>
      </c>
      <c r="H88" s="50" cm="1">
        <f t="array" aca="1" ref="H88" ca="1">MMS_Swine_AtmosphericDeposition_Equations.VEERG_4_5_1_5__2_TotalNitrogenVolatilisedFromMMS(H41,_xlfn.XLOOKUP($E88,$D$62:$D$68,$E$62:$E$68))</f>
        <v>27.703499999999998</v>
      </c>
      <c r="I88" s="50" cm="1">
        <f t="array" aca="1" ref="I88" ca="1">MMS_Swine_AtmosphericDeposition_Equations.VEERG_4_5_1_5__2_TotalNitrogenVolatilisedFromMMS(I41,_xlfn.XLOOKUP($E88,$D$62:$D$68,$E$62:$E$68))</f>
        <v>18.790199999999999</v>
      </c>
      <c r="J88" s="2"/>
      <c r="N88" s="55" t="str">
        <f>INDEX(X_Table_Swine_Stage1MMS_DigesterCoveredLagoons,2,1)</f>
        <v>Digester / covered lagoons</v>
      </c>
      <c r="O88" s="55" t="str">
        <f>INDEX(X_Table_Swine_Stage2MMS_From_DigesterCoveredLagoons,2,1)</f>
        <v>Anaerobic lagoon</v>
      </c>
      <c r="P88" s="50" cm="1">
        <f t="array" aca="1" ref="P88" ca="1">MMS_Swine_AtmosphericDeposition_Equations.VEERG_4_5_1_5__2_TotalNitrogenVolatilisedFromMMS(P41,_xlfn.XLOOKUP($O88,$D$62:$D$68,$E$62:$E$68))</f>
        <v>22.162799999999997</v>
      </c>
      <c r="Q88" s="50" cm="1">
        <f t="array" aca="1" ref="Q88" ca="1">MMS_Swine_AtmosphericDeposition_Equations.VEERG_4_5_1_5__2_TotalNitrogenVolatilisedFromMMS(Q41,_xlfn.XLOOKUP($O88,$D$62:$D$68,$E$62:$E$68))</f>
        <v>29.510250000000006</v>
      </c>
      <c r="R88" s="50" cm="1">
        <f t="array" aca="1" ref="R88" ca="1">MMS_Swine_AtmosphericDeposition_Equations.VEERG_4_5_1_5__2_TotalNitrogenVolatilisedFromMMS(R41,_xlfn.XLOOKUP($O88,$D$62:$D$68,$E$62:$E$68))</f>
        <v>27.703499999999998</v>
      </c>
      <c r="S88" s="50" cm="1">
        <f t="array" aca="1" ref="S88" ca="1">MMS_Swine_AtmosphericDeposition_Equations.VEERG_4_5_1_5__2_TotalNitrogenVolatilisedFromMMS(S41,_xlfn.XLOOKUP($O88,$D$62:$D$68,$E$62:$E$68))</f>
        <v>18.790199999999999</v>
      </c>
      <c r="T88" s="2"/>
    </row>
    <row r="89" spans="4:20" ht="20" customHeight="1" x14ac:dyDescent="0.25">
      <c r="D89" s="55"/>
      <c r="E89" s="55" t="str">
        <f>INDEX(X_Table_Swine_Stage2MMS_From_DigesterCoveredLagoons,3,1)</f>
        <v>Deep litter</v>
      </c>
      <c r="F89" s="50" cm="1">
        <f t="array" aca="1" ref="F89" ca="1">MMS_Swine_AtmosphericDeposition_Equations.VEERG_4_5_1_5__2_TotalNitrogenVolatilisedFromMMS(F42,_xlfn.XLOOKUP($E89,$D$62:$D$68,$E$62:$E$68))</f>
        <v>5.036999999999999</v>
      </c>
      <c r="G89" s="50" cm="1">
        <f t="array" aca="1" ref="G89" ca="1">MMS_Swine_AtmosphericDeposition_Equations.VEERG_4_5_1_5__2_TotalNitrogenVolatilisedFromMMS(G42,_xlfn.XLOOKUP($E89,$D$62:$D$68,$E$62:$E$68))</f>
        <v>6.706875000000001</v>
      </c>
      <c r="H89" s="50" cm="1">
        <f t="array" aca="1" ref="H89" ca="1">MMS_Swine_AtmosphericDeposition_Equations.VEERG_4_5_1_5__2_TotalNitrogenVolatilisedFromMMS(H42,_xlfn.XLOOKUP($E89,$D$62:$D$68,$E$62:$E$68))</f>
        <v>6.2962499999999988</v>
      </c>
      <c r="I89" s="50" cm="1">
        <f t="array" aca="1" ref="I89" ca="1">MMS_Swine_AtmosphericDeposition_Equations.VEERG_4_5_1_5__2_TotalNitrogenVolatilisedFromMMS(I42,_xlfn.XLOOKUP($E89,$D$62:$D$68,$E$62:$E$68))</f>
        <v>4.2704999999999993</v>
      </c>
      <c r="J89" s="2"/>
      <c r="N89" s="55"/>
      <c r="O89" s="55" t="str">
        <f>INDEX(X_Table_Swine_Stage2MMS_From_DigesterCoveredLagoons,3,1)</f>
        <v>Deep litter</v>
      </c>
      <c r="P89" s="50" cm="1">
        <f t="array" aca="1" ref="P89" ca="1">MMS_Swine_AtmosphericDeposition_Equations.VEERG_4_5_1_5__2_TotalNitrogenVolatilisedFromMMS(P42,_xlfn.XLOOKUP($O89,$D$62:$D$68,$E$62:$E$68))</f>
        <v>5.036999999999999</v>
      </c>
      <c r="Q89" s="50" cm="1">
        <f t="array" aca="1" ref="Q89" ca="1">MMS_Swine_AtmosphericDeposition_Equations.VEERG_4_5_1_5__2_TotalNitrogenVolatilisedFromMMS(Q42,_xlfn.XLOOKUP($O89,$D$62:$D$68,$E$62:$E$68))</f>
        <v>6.706875000000001</v>
      </c>
      <c r="R89" s="50" cm="1">
        <f t="array" aca="1" ref="R89" ca="1">MMS_Swine_AtmosphericDeposition_Equations.VEERG_4_5_1_5__2_TotalNitrogenVolatilisedFromMMS(R42,_xlfn.XLOOKUP($O89,$D$62:$D$68,$E$62:$E$68))</f>
        <v>6.2962499999999988</v>
      </c>
      <c r="S89" s="50" cm="1">
        <f t="array" aca="1" ref="S89" ca="1">MMS_Swine_AtmosphericDeposition_Equations.VEERG_4_5_1_5__2_TotalNitrogenVolatilisedFromMMS(S42,_xlfn.XLOOKUP($O89,$D$62:$D$68,$E$62:$E$68))</f>
        <v>4.2704999999999993</v>
      </c>
      <c r="T89" s="2"/>
    </row>
    <row r="90" spans="4:20" ht="20" customHeight="1" x14ac:dyDescent="0.25">
      <c r="D90" s="55"/>
      <c r="E90" s="55" t="str">
        <f>INDEX(X_Table_Swine_Stage2MMS_From_DigesterCoveredLagoons,4,1)</f>
        <v>Pit storage</v>
      </c>
      <c r="F90" s="50" cm="1">
        <f t="array" aca="1" ref="F90" ca="1">MMS_Swine_AtmosphericDeposition_Equations.VEERG_4_5_1_5__2_TotalNitrogenVolatilisedFromMMS(F43,_xlfn.XLOOKUP($E90,$D$62:$D$68,$E$62:$E$68))</f>
        <v>10.073999999999998</v>
      </c>
      <c r="G90" s="50" cm="1">
        <f t="array" aca="1" ref="G90" ca="1">MMS_Swine_AtmosphericDeposition_Equations.VEERG_4_5_1_5__2_TotalNitrogenVolatilisedFromMMS(G43,_xlfn.XLOOKUP($E90,$D$62:$D$68,$E$62:$E$68))</f>
        <v>13.413750000000002</v>
      </c>
      <c r="H90" s="50" cm="1">
        <f t="array" aca="1" ref="H90" ca="1">MMS_Swine_AtmosphericDeposition_Equations.VEERG_4_5_1_5__2_TotalNitrogenVolatilisedFromMMS(H43,_xlfn.XLOOKUP($E90,$D$62:$D$68,$E$62:$E$68))</f>
        <v>12.592499999999998</v>
      </c>
      <c r="I90" s="50" cm="1">
        <f t="array" aca="1" ref="I90" ca="1">MMS_Swine_AtmosphericDeposition_Equations.VEERG_4_5_1_5__2_TotalNitrogenVolatilisedFromMMS(I43,_xlfn.XLOOKUP($E90,$D$62:$D$68,$E$62:$E$68))</f>
        <v>8.5409999999999986</v>
      </c>
      <c r="J90" s="2"/>
      <c r="N90" s="55"/>
      <c r="O90" s="55" t="str">
        <f>INDEX(X_Table_Swine_Stage2MMS_From_DigesterCoveredLagoons,4,1)</f>
        <v>Pit storage</v>
      </c>
      <c r="P90" s="50" cm="1">
        <f t="array" aca="1" ref="P90" ca="1">MMS_Swine_AtmosphericDeposition_Equations.VEERG_4_5_1_5__2_TotalNitrogenVolatilisedFromMMS(P43,_xlfn.XLOOKUP($O90,$D$62:$D$68,$E$62:$E$68))</f>
        <v>10.073999999999998</v>
      </c>
      <c r="Q90" s="50" cm="1">
        <f t="array" aca="1" ref="Q90" ca="1">MMS_Swine_AtmosphericDeposition_Equations.VEERG_4_5_1_5__2_TotalNitrogenVolatilisedFromMMS(Q43,_xlfn.XLOOKUP($O90,$D$62:$D$68,$E$62:$E$68))</f>
        <v>13.413750000000002</v>
      </c>
      <c r="R90" s="50" cm="1">
        <f t="array" aca="1" ref="R90" ca="1">MMS_Swine_AtmosphericDeposition_Equations.VEERG_4_5_1_5__2_TotalNitrogenVolatilisedFromMMS(R43,_xlfn.XLOOKUP($O90,$D$62:$D$68,$E$62:$E$68))</f>
        <v>12.592499999999998</v>
      </c>
      <c r="S90" s="50" cm="1">
        <f t="array" aca="1" ref="S90" ca="1">MMS_Swine_AtmosphericDeposition_Equations.VEERG_4_5_1_5__2_TotalNitrogenVolatilisedFromMMS(S43,_xlfn.XLOOKUP($O90,$D$62:$D$68,$E$62:$E$68))</f>
        <v>8.5409999999999986</v>
      </c>
      <c r="T90" s="2"/>
    </row>
    <row r="91" spans="4:20" ht="20" customHeight="1" x14ac:dyDescent="0.25">
      <c r="D91" s="55"/>
      <c r="E91" s="55" t="str">
        <f>INDEX(X_Table_Swine_Stage2MMS_From_DigesterCoveredLagoons,5,1)</f>
        <v>Direct application</v>
      </c>
      <c r="F91" s="50" t="s">
        <v>164</v>
      </c>
      <c r="G91" s="50" t="s">
        <v>164</v>
      </c>
      <c r="H91" s="50" t="s">
        <v>164</v>
      </c>
      <c r="I91" s="50" t="s">
        <v>164</v>
      </c>
      <c r="N91" s="55"/>
      <c r="O91" s="55" t="str">
        <f>INDEX(X_Table_Swine_Stage2MMS_From_DigesterCoveredLagoons,5,1)</f>
        <v>Direct application</v>
      </c>
      <c r="P91" s="50" t="s">
        <v>164</v>
      </c>
      <c r="Q91" s="50" t="s">
        <v>164</v>
      </c>
      <c r="R91" s="50" t="s">
        <v>164</v>
      </c>
      <c r="S91" s="50" t="s">
        <v>164</v>
      </c>
      <c r="T91" s="2"/>
    </row>
    <row r="92" spans="4:20" ht="20" customHeight="1" x14ac:dyDescent="0.25">
      <c r="D92" s="55" t="str">
        <f>INDEX(X_Table_Swine_Stage1MMS_DeepLitter,2,1)</f>
        <v>Deep litter</v>
      </c>
      <c r="E92" s="55" t="str">
        <f>INDEX(X_Table_Swine_Stage2MMS_From_DeepLitter,2,1)</f>
        <v>Anaerobic lagoon</v>
      </c>
      <c r="F92" s="50" cm="1">
        <f t="array" aca="1" ref="F92" ca="1">MMS_Swine_AtmosphericDeposition_Equations.VEERG_4_5_1_5__2_TotalNitrogenVolatilisedFromMMS(F45,_xlfn.XLOOKUP($E92,$D$62:$D$68,$E$62:$E$68))</f>
        <v>19.170821999999998</v>
      </c>
      <c r="G92" s="50" cm="1">
        <f t="array" aca="1" ref="G92" ca="1">MMS_Swine_AtmosphericDeposition_Equations.VEERG_4_5_1_5__2_TotalNitrogenVolatilisedFromMMS(G45,_xlfn.XLOOKUP($E92,$D$62:$D$68,$E$62:$E$68))</f>
        <v>25.526366250000006</v>
      </c>
      <c r="H92" s="50" cm="1">
        <f t="array" aca="1" ref="H92" ca="1">MMS_Swine_AtmosphericDeposition_Equations.VEERG_4_5_1_5__2_TotalNitrogenVolatilisedFromMMS(H45,_xlfn.XLOOKUP($E92,$D$62:$D$68,$E$62:$E$68))</f>
        <v>23.963527499999994</v>
      </c>
      <c r="I92" s="50" cm="1">
        <f t="array" aca="1" ref="I92" ca="1">MMS_Swine_AtmosphericDeposition_Equations.VEERG_4_5_1_5__2_TotalNitrogenVolatilisedFromMMS(I45,_xlfn.XLOOKUP($E92,$D$62:$D$68,$E$62:$E$68))</f>
        <v>16.253522999999998</v>
      </c>
      <c r="J92" s="2"/>
      <c r="N92" s="55" t="str">
        <f>INDEX(X_Table_Swine_Stage1MMS_DeepLitter,2,1)</f>
        <v>Deep litter</v>
      </c>
      <c r="O92" s="55" t="str">
        <f>INDEX(X_Table_Swine_Stage2MMS_From_DeepLitter,2,1)</f>
        <v>Anaerobic lagoon</v>
      </c>
      <c r="P92" s="50" cm="1">
        <f t="array" aca="1" ref="P92" ca="1">MMS_Swine_AtmosphericDeposition_Equations.VEERG_4_5_1_5__2_TotalNitrogenVolatilisedFromMMS(P45,_xlfn.XLOOKUP($O92,$D$62:$D$68,$E$62:$E$68))</f>
        <v>19.170821999999998</v>
      </c>
      <c r="Q92" s="50" cm="1">
        <f t="array" aca="1" ref="Q92" ca="1">MMS_Swine_AtmosphericDeposition_Equations.VEERG_4_5_1_5__2_TotalNitrogenVolatilisedFromMMS(Q45,_xlfn.XLOOKUP($O92,$D$62:$D$68,$E$62:$E$68))</f>
        <v>25.526366250000006</v>
      </c>
      <c r="R92" s="50" cm="1">
        <f t="array" aca="1" ref="R92" ca="1">MMS_Swine_AtmosphericDeposition_Equations.VEERG_4_5_1_5__2_TotalNitrogenVolatilisedFromMMS(R45,_xlfn.XLOOKUP($O92,$D$62:$D$68,$E$62:$E$68))</f>
        <v>23.963527499999994</v>
      </c>
      <c r="S92" s="50" cm="1">
        <f t="array" aca="1" ref="S92" ca="1">MMS_Swine_AtmosphericDeposition_Equations.VEERG_4_5_1_5__2_TotalNitrogenVolatilisedFromMMS(S45,_xlfn.XLOOKUP($O92,$D$62:$D$68,$E$62:$E$68))</f>
        <v>16.253522999999998</v>
      </c>
      <c r="T92" s="2"/>
    </row>
    <row r="93" spans="4:20" ht="20" customHeight="1" x14ac:dyDescent="0.25">
      <c r="D93" s="55"/>
      <c r="E93" s="55" t="str">
        <f>INDEX(X_Table_Swine_Stage2MMS_From_DeepLitter,3,1)</f>
        <v>Digester / covered lagoons</v>
      </c>
      <c r="F93" s="50" cm="1">
        <f t="array" aca="1" ref="F93" ca="1">MMS_Swine_AtmosphericDeposition_Equations.VEERG_4_5_1_5__2_TotalNitrogenVolatilisedFromMMS(F46,_xlfn.XLOOKUP($E93,$D$62:$D$68,$E$62:$E$68))</f>
        <v>0</v>
      </c>
      <c r="G93" s="50" cm="1">
        <f t="array" aca="1" ref="G93" ca="1">MMS_Swine_AtmosphericDeposition_Equations.VEERG_4_5_1_5__2_TotalNitrogenVolatilisedFromMMS(G46,_xlfn.XLOOKUP($E93,$D$62:$D$68,$E$62:$E$68))</f>
        <v>0</v>
      </c>
      <c r="H93" s="50" cm="1">
        <f t="array" aca="1" ref="H93" ca="1">MMS_Swine_AtmosphericDeposition_Equations.VEERG_4_5_1_5__2_TotalNitrogenVolatilisedFromMMS(H46,_xlfn.XLOOKUP($E93,$D$62:$D$68,$E$62:$E$68))</f>
        <v>0</v>
      </c>
      <c r="I93" s="50" cm="1">
        <f t="array" aca="1" ref="I93" ca="1">MMS_Swine_AtmosphericDeposition_Equations.VEERG_4_5_1_5__2_TotalNitrogenVolatilisedFromMMS(I46,_xlfn.XLOOKUP($E93,$D$62:$D$68,$E$62:$E$68))</f>
        <v>0</v>
      </c>
      <c r="J93" s="2"/>
      <c r="N93" s="55"/>
      <c r="O93" s="55" t="str">
        <f>INDEX(X_Table_Swine_Stage2MMS_From_DeepLitter,3,1)</f>
        <v>Digester / covered lagoons</v>
      </c>
      <c r="P93" s="50" cm="1">
        <f t="array" aca="1" ref="P93" ca="1">MMS_Swine_AtmosphericDeposition_Equations.VEERG_4_5_1_5__2_TotalNitrogenVolatilisedFromMMS(P46,_xlfn.XLOOKUP($O93,$D$62:$D$68,$E$62:$E$68))</f>
        <v>0</v>
      </c>
      <c r="Q93" s="50" cm="1">
        <f t="array" aca="1" ref="Q93" ca="1">MMS_Swine_AtmosphericDeposition_Equations.VEERG_4_5_1_5__2_TotalNitrogenVolatilisedFromMMS(Q46,_xlfn.XLOOKUP($O93,$D$62:$D$68,$E$62:$E$68))</f>
        <v>0</v>
      </c>
      <c r="R93" s="50" cm="1">
        <f t="array" aca="1" ref="R93" ca="1">MMS_Swine_AtmosphericDeposition_Equations.VEERG_4_5_1_5__2_TotalNitrogenVolatilisedFromMMS(R46,_xlfn.XLOOKUP($O93,$D$62:$D$68,$E$62:$E$68))</f>
        <v>0</v>
      </c>
      <c r="S93" s="50" cm="1">
        <f t="array" aca="1" ref="S93" ca="1">MMS_Swine_AtmosphericDeposition_Equations.VEERG_4_5_1_5__2_TotalNitrogenVolatilisedFromMMS(S46,_xlfn.XLOOKUP($O93,$D$62:$D$68,$E$62:$E$68))</f>
        <v>0</v>
      </c>
      <c r="T93" s="2"/>
    </row>
    <row r="94" spans="4:20" ht="20" customHeight="1" x14ac:dyDescent="0.25">
      <c r="D94" s="55"/>
      <c r="E94" s="55" t="str">
        <f>INDEX(X_Table_Swine_Stage2MMS_From_DeepLitter,4,1)</f>
        <v>Pit storage</v>
      </c>
      <c r="F94" s="50" cm="1">
        <f t="array" aca="1" ref="F94" ca="1">MMS_Swine_AtmosphericDeposition_Equations.VEERG_4_5_1_5__2_TotalNitrogenVolatilisedFromMMS(F47,_xlfn.XLOOKUP($E94,$D$62:$D$68,$E$62:$E$68))</f>
        <v>8.7140099999999983</v>
      </c>
      <c r="G94" s="50" cm="1">
        <f t="array" aca="1" ref="G94" ca="1">MMS_Swine_AtmosphericDeposition_Equations.VEERG_4_5_1_5__2_TotalNitrogenVolatilisedFromMMS(G47,_xlfn.XLOOKUP($E94,$D$62:$D$68,$E$62:$E$68))</f>
        <v>11.602893750000002</v>
      </c>
      <c r="H94" s="50" cm="1">
        <f t="array" aca="1" ref="H94" ca="1">MMS_Swine_AtmosphericDeposition_Equations.VEERG_4_5_1_5__2_TotalNitrogenVolatilisedFromMMS(H47,_xlfn.XLOOKUP($E94,$D$62:$D$68,$E$62:$E$68))</f>
        <v>10.892512499999997</v>
      </c>
      <c r="I94" s="50" cm="1">
        <f t="array" aca="1" ref="I94" ca="1">MMS_Swine_AtmosphericDeposition_Equations.VEERG_4_5_1_5__2_TotalNitrogenVolatilisedFromMMS(I47,_xlfn.XLOOKUP($E94,$D$62:$D$68,$E$62:$E$68))</f>
        <v>7.3879649999999986</v>
      </c>
      <c r="J94" s="2"/>
      <c r="N94" s="55"/>
      <c r="O94" s="55" t="str">
        <f>INDEX(X_Table_Swine_Stage2MMS_From_DeepLitter,4,1)</f>
        <v>Pit storage</v>
      </c>
      <c r="P94" s="50" cm="1">
        <f t="array" aca="1" ref="P94" ca="1">MMS_Swine_AtmosphericDeposition_Equations.VEERG_4_5_1_5__2_TotalNitrogenVolatilisedFromMMS(P47,_xlfn.XLOOKUP($O94,$D$62:$D$68,$E$62:$E$68))</f>
        <v>8.7140099999999983</v>
      </c>
      <c r="Q94" s="50" cm="1">
        <f t="array" aca="1" ref="Q94" ca="1">MMS_Swine_AtmosphericDeposition_Equations.VEERG_4_5_1_5__2_TotalNitrogenVolatilisedFromMMS(Q47,_xlfn.XLOOKUP($O94,$D$62:$D$68,$E$62:$E$68))</f>
        <v>11.602893750000002</v>
      </c>
      <c r="R94" s="50" cm="1">
        <f t="array" aca="1" ref="R94" ca="1">MMS_Swine_AtmosphericDeposition_Equations.VEERG_4_5_1_5__2_TotalNitrogenVolatilisedFromMMS(R47,_xlfn.XLOOKUP($O94,$D$62:$D$68,$E$62:$E$68))</f>
        <v>10.892512499999997</v>
      </c>
      <c r="S94" s="50" cm="1">
        <f t="array" aca="1" ref="S94" ca="1">MMS_Swine_AtmosphericDeposition_Equations.VEERG_4_5_1_5__2_TotalNitrogenVolatilisedFromMMS(S47,_xlfn.XLOOKUP($O94,$D$62:$D$68,$E$62:$E$68))</f>
        <v>7.3879649999999986</v>
      </c>
      <c r="T94" s="2"/>
    </row>
    <row r="95" spans="4:20" ht="20" customHeight="1" x14ac:dyDescent="0.25">
      <c r="D95" s="55"/>
      <c r="E95" s="55" t="str">
        <f>INDEX(X_Table_Swine_Stage2MMS_From_DeepLitter,5,1)</f>
        <v>Direct application</v>
      </c>
      <c r="F95" s="50" t="s">
        <v>164</v>
      </c>
      <c r="G95" s="50" t="s">
        <v>164</v>
      </c>
      <c r="H95" s="50" t="s">
        <v>164</v>
      </c>
      <c r="I95" s="50" t="s">
        <v>164</v>
      </c>
      <c r="N95" s="55"/>
      <c r="O95" s="55" t="str">
        <f>INDEX(X_Table_Swine_Stage2MMS_From_DeepLitter,5,1)</f>
        <v>Direct application</v>
      </c>
      <c r="P95" s="50" t="s">
        <v>164</v>
      </c>
      <c r="Q95" s="50" t="s">
        <v>164</v>
      </c>
      <c r="R95" s="50" t="s">
        <v>164</v>
      </c>
      <c r="S95" s="50" t="s">
        <v>164</v>
      </c>
      <c r="T95" s="2"/>
    </row>
    <row r="96" spans="4:20" ht="20" customHeight="1" x14ac:dyDescent="0.25">
      <c r="D96" s="55" t="str">
        <f>INDEX(X_Table_Swine_Stage1MMS_PitStorage,2,1)</f>
        <v>Pit storage</v>
      </c>
      <c r="E96" s="55" t="str">
        <f>INDEX(X_Table_Swine_Stage2MMS_From_PitStorage,2,1)</f>
        <v>Anaerobic lagoon</v>
      </c>
      <c r="F96" s="50" cm="1">
        <f t="array" aca="1" ref="F96" ca="1">MMS_Swine_AtmosphericDeposition_Equations.VEERG_4_5_1_5__2_TotalNitrogenVolatilisedFromMMS(F49,_xlfn.XLOOKUP($E96,$D$62:$D$68,$E$62:$E$68))</f>
        <v>16.577774399999999</v>
      </c>
      <c r="G96" s="50" cm="1">
        <f t="array" aca="1" ref="G96" ca="1">MMS_Swine_AtmosphericDeposition_Equations.VEERG_4_5_1_5__2_TotalNitrogenVolatilisedFromMMS(G49,_xlfn.XLOOKUP($E96,$D$62:$D$68,$E$62:$E$68))</f>
        <v>22.073667000000004</v>
      </c>
      <c r="H96" s="50" cm="1">
        <f t="array" aca="1" ref="H96" ca="1">MMS_Swine_AtmosphericDeposition_Equations.VEERG_4_5_1_5__2_TotalNitrogenVolatilisedFromMMS(H49,_xlfn.XLOOKUP($E96,$D$62:$D$68,$E$62:$E$68))</f>
        <v>20.722217999999998</v>
      </c>
      <c r="I96" s="50" cm="1">
        <f t="array" aca="1" ref="I96" ca="1">MMS_Swine_AtmosphericDeposition_Equations.VEERG_4_5_1_5__2_TotalNitrogenVolatilisedFromMMS(I49,_xlfn.XLOOKUP($E96,$D$62:$D$68,$E$62:$E$68))</f>
        <v>14.055069599999999</v>
      </c>
      <c r="J96" s="2"/>
      <c r="N96" s="55" t="str">
        <f>INDEX(X_Table_Swine_Stage1MMS_PitStorage,2,1)</f>
        <v>Pit storage</v>
      </c>
      <c r="O96" s="55" t="str">
        <f>INDEX(X_Table_Swine_Stage2MMS_From_PitStorage,2,1)</f>
        <v>Anaerobic lagoon</v>
      </c>
      <c r="P96" s="50" cm="1">
        <f t="array" aca="1" ref="P96" ca="1">MMS_Swine_AtmosphericDeposition_Equations.VEERG_4_5_1_5__2_TotalNitrogenVolatilisedFromMMS(P49,_xlfn.XLOOKUP($O96,$D$62:$D$68,$E$62:$E$68))</f>
        <v>16.577774399999999</v>
      </c>
      <c r="Q96" s="50" cm="1">
        <f t="array" aca="1" ref="Q96" ca="1">MMS_Swine_AtmosphericDeposition_Equations.VEERG_4_5_1_5__2_TotalNitrogenVolatilisedFromMMS(Q49,_xlfn.XLOOKUP($O96,$D$62:$D$68,$E$62:$E$68))</f>
        <v>22.073667000000004</v>
      </c>
      <c r="R96" s="50" cm="1">
        <f t="array" aca="1" ref="R96" ca="1">MMS_Swine_AtmosphericDeposition_Equations.VEERG_4_5_1_5__2_TotalNitrogenVolatilisedFromMMS(R49,_xlfn.XLOOKUP($O96,$D$62:$D$68,$E$62:$E$68))</f>
        <v>20.722217999999998</v>
      </c>
      <c r="S96" s="50" cm="1">
        <f t="array" aca="1" ref="S96" ca="1">MMS_Swine_AtmosphericDeposition_Equations.VEERG_4_5_1_5__2_TotalNitrogenVolatilisedFromMMS(S49,_xlfn.XLOOKUP($O96,$D$62:$D$68,$E$62:$E$68))</f>
        <v>14.055069599999999</v>
      </c>
      <c r="T96" s="2"/>
    </row>
    <row r="97" spans="3:21" ht="20" customHeight="1" x14ac:dyDescent="0.25">
      <c r="D97" s="55"/>
      <c r="E97" s="55" t="str">
        <f>INDEX(X_Table_Swine_Stage2MMS_From_PitStorage,3,1)</f>
        <v>Digester / covered lagoons</v>
      </c>
      <c r="F97" s="50" cm="1">
        <f t="array" aca="1" ref="F97" ca="1">MMS_Swine_AtmosphericDeposition_Equations.VEERG_4_5_1_5__2_TotalNitrogenVolatilisedFromMMS(F50,_xlfn.XLOOKUP($E97,$D$62:$D$68,$E$62:$E$68))</f>
        <v>0</v>
      </c>
      <c r="G97" s="50" cm="1">
        <f t="array" aca="1" ref="G97" ca="1">MMS_Swine_AtmosphericDeposition_Equations.VEERG_4_5_1_5__2_TotalNitrogenVolatilisedFromMMS(G50,_xlfn.XLOOKUP($E97,$D$62:$D$68,$E$62:$E$68))</f>
        <v>0</v>
      </c>
      <c r="H97" s="50" cm="1">
        <f t="array" aca="1" ref="H97" ca="1">MMS_Swine_AtmosphericDeposition_Equations.VEERG_4_5_1_5__2_TotalNitrogenVolatilisedFromMMS(H50,_xlfn.XLOOKUP($E97,$D$62:$D$68,$E$62:$E$68))</f>
        <v>0</v>
      </c>
      <c r="I97" s="50" cm="1">
        <f t="array" aca="1" ref="I97" ca="1">MMS_Swine_AtmosphericDeposition_Equations.VEERG_4_5_1_5__2_TotalNitrogenVolatilisedFromMMS(I50,_xlfn.XLOOKUP($E97,$D$62:$D$68,$E$62:$E$68))</f>
        <v>0</v>
      </c>
      <c r="J97" s="2"/>
      <c r="N97" s="55"/>
      <c r="O97" s="55" t="str">
        <f>INDEX(X_Table_Swine_Stage2MMS_From_PitStorage,3,1)</f>
        <v>Digester / covered lagoons</v>
      </c>
      <c r="P97" s="50" cm="1">
        <f t="array" aca="1" ref="P97" ca="1">MMS_Swine_AtmosphericDeposition_Equations.VEERG_4_5_1_5__2_TotalNitrogenVolatilisedFromMMS(P50,_xlfn.XLOOKUP($O97,$D$62:$D$68,$E$62:$E$68))</f>
        <v>0</v>
      </c>
      <c r="Q97" s="50" cm="1">
        <f t="array" aca="1" ref="Q97" ca="1">MMS_Swine_AtmosphericDeposition_Equations.VEERG_4_5_1_5__2_TotalNitrogenVolatilisedFromMMS(Q50,_xlfn.XLOOKUP($O97,$D$62:$D$68,$E$62:$E$68))</f>
        <v>0</v>
      </c>
      <c r="R97" s="50" cm="1">
        <f t="array" aca="1" ref="R97" ca="1">MMS_Swine_AtmosphericDeposition_Equations.VEERG_4_5_1_5__2_TotalNitrogenVolatilisedFromMMS(R50,_xlfn.XLOOKUP($O97,$D$62:$D$68,$E$62:$E$68))</f>
        <v>0</v>
      </c>
      <c r="S97" s="50" cm="1">
        <f t="array" aca="1" ref="S97" ca="1">MMS_Swine_AtmosphericDeposition_Equations.VEERG_4_5_1_5__2_TotalNitrogenVolatilisedFromMMS(S50,_xlfn.XLOOKUP($O97,$D$62:$D$68,$E$62:$E$68))</f>
        <v>0</v>
      </c>
      <c r="T97" s="2"/>
    </row>
    <row r="98" spans="3:21" ht="20" customHeight="1" x14ac:dyDescent="0.25">
      <c r="D98" s="55"/>
      <c r="E98" s="55" t="str">
        <f>INDEX(X_Table_Swine_Stage2MMS_From_PitStorage,4,1)</f>
        <v>Deep litter</v>
      </c>
      <c r="F98" s="50" cm="1">
        <f t="array" aca="1" ref="F98" ca="1">MMS_Swine_AtmosphericDeposition_Equations.VEERG_4_5_1_5__2_TotalNitrogenVolatilisedFromMMS(F51,_xlfn.XLOOKUP($E98,$D$62:$D$68,$E$62:$E$68))</f>
        <v>3.7676759999999998</v>
      </c>
      <c r="G98" s="50" cm="1">
        <f t="array" aca="1" ref="G98" ca="1">MMS_Swine_AtmosphericDeposition_Equations.VEERG_4_5_1_5__2_TotalNitrogenVolatilisedFromMMS(G51,_xlfn.XLOOKUP($E98,$D$62:$D$68,$E$62:$E$68))</f>
        <v>5.0167425000000003</v>
      </c>
      <c r="H98" s="50" cm="1">
        <f t="array" aca="1" ref="H98" ca="1">MMS_Swine_AtmosphericDeposition_Equations.VEERG_4_5_1_5__2_TotalNitrogenVolatilisedFromMMS(H51,_xlfn.XLOOKUP($E98,$D$62:$D$68,$E$62:$E$68))</f>
        <v>4.7095949999999993</v>
      </c>
      <c r="I98" s="50" cm="1">
        <f t="array" aca="1" ref="I98" ca="1">MMS_Swine_AtmosphericDeposition_Equations.VEERG_4_5_1_5__2_TotalNitrogenVolatilisedFromMMS(I51,_xlfn.XLOOKUP($E98,$D$62:$D$68,$E$62:$E$68))</f>
        <v>3.1943339999999996</v>
      </c>
      <c r="J98" s="2"/>
      <c r="N98" s="55"/>
      <c r="O98" s="55" t="str">
        <f>INDEX(X_Table_Swine_Stage2MMS_From_PitStorage,4,1)</f>
        <v>Deep litter</v>
      </c>
      <c r="P98" s="50" cm="1">
        <f t="array" aca="1" ref="P98" ca="1">MMS_Swine_AtmosphericDeposition_Equations.VEERG_4_5_1_5__2_TotalNitrogenVolatilisedFromMMS(P51,_xlfn.XLOOKUP($O98,$D$62:$D$68,$E$62:$E$68))</f>
        <v>3.7676759999999998</v>
      </c>
      <c r="Q98" s="50" cm="1">
        <f t="array" aca="1" ref="Q98" ca="1">MMS_Swine_AtmosphericDeposition_Equations.VEERG_4_5_1_5__2_TotalNitrogenVolatilisedFromMMS(Q51,_xlfn.XLOOKUP($O98,$D$62:$D$68,$E$62:$E$68))</f>
        <v>5.0167425000000003</v>
      </c>
      <c r="R98" s="50" cm="1">
        <f t="array" aca="1" ref="R98" ca="1">MMS_Swine_AtmosphericDeposition_Equations.VEERG_4_5_1_5__2_TotalNitrogenVolatilisedFromMMS(R51,_xlfn.XLOOKUP($O98,$D$62:$D$68,$E$62:$E$68))</f>
        <v>4.7095949999999993</v>
      </c>
      <c r="S98" s="50" cm="1">
        <f t="array" aca="1" ref="S98" ca="1">MMS_Swine_AtmosphericDeposition_Equations.VEERG_4_5_1_5__2_TotalNitrogenVolatilisedFromMMS(S51,_xlfn.XLOOKUP($O98,$D$62:$D$68,$E$62:$E$68))</f>
        <v>3.1943339999999996</v>
      </c>
      <c r="T98" s="2"/>
    </row>
    <row r="99" spans="3:21" ht="20" customHeight="1" x14ac:dyDescent="0.25">
      <c r="D99" s="55"/>
      <c r="E99" s="55" t="str">
        <f>INDEX(X_Table_Swine_Stage2MMS_From_PitStorage,5,1)</f>
        <v>Direct application</v>
      </c>
      <c r="F99" s="50" t="s">
        <v>164</v>
      </c>
      <c r="G99" s="50" t="s">
        <v>164</v>
      </c>
      <c r="H99" s="50" t="s">
        <v>164</v>
      </c>
      <c r="I99" s="50" t="s">
        <v>164</v>
      </c>
      <c r="N99" s="55"/>
      <c r="O99" s="55" t="str">
        <f>INDEX(X_Table_Swine_Stage2MMS_From_PitStorage,5,1)</f>
        <v>Direct application</v>
      </c>
      <c r="P99" s="50" t="s">
        <v>164</v>
      </c>
      <c r="Q99" s="50" t="s">
        <v>164</v>
      </c>
      <c r="R99" s="50" t="s">
        <v>164</v>
      </c>
      <c r="S99" s="50" t="s">
        <v>164</v>
      </c>
      <c r="T99" s="2"/>
    </row>
    <row r="100" spans="3:21" ht="20" customHeight="1" x14ac:dyDescent="0.25">
      <c r="D100" s="55" t="s">
        <v>343</v>
      </c>
      <c r="E100" s="55" t="str">
        <f>INDEX(X_Table_Swine_Stage2MMS_From_SolidStorage,2,1)</f>
        <v>Anaerobic lagoon</v>
      </c>
      <c r="F100" s="50" cm="1">
        <f t="array" aca="1" ref="F100" ca="1">MMS_Swine_AtmosphericDeposition_Equations.VEERG_4_5_1_5__2_TotalNitrogenVolatilisedFromMMS(F53,_xlfn.XLOOKUP($E100,$D$62:$D$68,$E$62:$E$68))</f>
        <v>58.731420000000021</v>
      </c>
      <c r="G100" s="50" cm="1">
        <f t="array" aca="1" ref="G100" ca="1">MMS_Swine_AtmosphericDeposition_Equations.VEERG_4_5_1_5__2_TotalNitrogenVolatilisedFromMMS(G53,_xlfn.XLOOKUP($E100,$D$62:$D$68,$E$62:$E$68))</f>
        <v>62.56173000000004</v>
      </c>
      <c r="H100" s="50" cm="1">
        <f t="array" aca="1" ref="H100" ca="1">MMS_Swine_AtmosphericDeposition_Equations.VEERG_4_5_1_5__2_TotalNitrogenVolatilisedFromMMS(H53,_xlfn.XLOOKUP($E100,$D$62:$D$68,$E$62:$E$68))</f>
        <v>58.731420000000021</v>
      </c>
      <c r="I100" s="50" cm="1">
        <f t="array" aca="1" ref="I100" ca="1">MMS_Swine_AtmosphericDeposition_Equations.VEERG_4_5_1_5__2_TotalNitrogenVolatilisedFromMMS(I53,_xlfn.XLOOKUP($E100,$D$62:$D$68,$E$62:$E$68))</f>
        <v>39.835224000000025</v>
      </c>
      <c r="J100" s="2"/>
      <c r="N100" s="55" t="s">
        <v>343</v>
      </c>
      <c r="O100" s="55" t="str">
        <f>INDEX(X_Table_Swine_Stage2MMS_From_SolidStorage,2,1)</f>
        <v>Anaerobic lagoon</v>
      </c>
      <c r="P100" s="50" cm="1">
        <f t="array" aca="1" ref="P100" ca="1">MMS_Swine_AtmosphericDeposition_Equations.VEERG_4_5_1_5__2_TotalNitrogenVolatilisedFromMMS(P53,_xlfn.XLOOKUP($O100,$D$62:$D$68,$E$62:$E$68))</f>
        <v>58.731420000000021</v>
      </c>
      <c r="Q100" s="50" cm="1">
        <f t="array" aca="1" ref="Q100" ca="1">MMS_Swine_AtmosphericDeposition_Equations.VEERG_4_5_1_5__2_TotalNitrogenVolatilisedFromMMS(Q53,_xlfn.XLOOKUP($O100,$D$62:$D$68,$E$62:$E$68))</f>
        <v>62.56173000000004</v>
      </c>
      <c r="R100" s="50" cm="1">
        <f t="array" aca="1" ref="R100" ca="1">MMS_Swine_AtmosphericDeposition_Equations.VEERG_4_5_1_5__2_TotalNitrogenVolatilisedFromMMS(R53,_xlfn.XLOOKUP($O100,$D$62:$D$68,$E$62:$E$68))</f>
        <v>58.731420000000021</v>
      </c>
      <c r="S100" s="50" cm="1">
        <f t="array" aca="1" ref="S100" ca="1">MMS_Swine_AtmosphericDeposition_Equations.VEERG_4_5_1_5__2_TotalNitrogenVolatilisedFromMMS(S53,_xlfn.XLOOKUP($O100,$D$62:$D$68,$E$62:$E$68))</f>
        <v>39.835224000000025</v>
      </c>
      <c r="T100" s="2"/>
    </row>
    <row r="101" spans="3:21" ht="20" customHeight="1" x14ac:dyDescent="0.25">
      <c r="D101" s="55"/>
      <c r="E101" s="55" t="str">
        <f>INDEX(X_Table_Swine_Stage2MMS_From_SolidStorage,3,1)</f>
        <v>Digester / covered lagoons</v>
      </c>
      <c r="F101" s="50" cm="1">
        <f t="array" aca="1" ref="F101" ca="1">MMS_Swine_AtmosphericDeposition_Equations.VEERG_4_5_1_5__2_TotalNitrogenVolatilisedFromMMS(F54,_xlfn.XLOOKUP($E101,$D$62:$D$68,$E$62:$E$68))</f>
        <v>0</v>
      </c>
      <c r="G101" s="50" cm="1">
        <f t="array" aca="1" ref="G101" ca="1">MMS_Swine_AtmosphericDeposition_Equations.VEERG_4_5_1_5__2_TotalNitrogenVolatilisedFromMMS(G54,_xlfn.XLOOKUP($E101,$D$62:$D$68,$E$62:$E$68))</f>
        <v>0</v>
      </c>
      <c r="H101" s="50" cm="1">
        <f t="array" aca="1" ref="H101" ca="1">MMS_Swine_AtmosphericDeposition_Equations.VEERG_4_5_1_5__2_TotalNitrogenVolatilisedFromMMS(H54,_xlfn.XLOOKUP($E101,$D$62:$D$68,$E$62:$E$68))</f>
        <v>0</v>
      </c>
      <c r="I101" s="50" cm="1">
        <f t="array" aca="1" ref="I101" ca="1">MMS_Swine_AtmosphericDeposition_Equations.VEERG_4_5_1_5__2_TotalNitrogenVolatilisedFromMMS(I54,_xlfn.XLOOKUP($E101,$D$62:$D$68,$E$62:$E$68))</f>
        <v>0</v>
      </c>
      <c r="J101" s="2"/>
      <c r="N101" s="55"/>
      <c r="O101" s="55" t="str">
        <f>INDEX(X_Table_Swine_Stage2MMS_From_SolidStorage,3,1)</f>
        <v>Digester / covered lagoons</v>
      </c>
      <c r="P101" s="50" cm="1">
        <f t="array" aca="1" ref="P101" ca="1">MMS_Swine_AtmosphericDeposition_Equations.VEERG_4_5_1_5__2_TotalNitrogenVolatilisedFromMMS(P54,_xlfn.XLOOKUP($O101,$D$62:$D$68,$E$62:$E$68))</f>
        <v>0</v>
      </c>
      <c r="Q101" s="50" cm="1">
        <f t="array" aca="1" ref="Q101" ca="1">MMS_Swine_AtmosphericDeposition_Equations.VEERG_4_5_1_5__2_TotalNitrogenVolatilisedFromMMS(Q54,_xlfn.XLOOKUP($O101,$D$62:$D$68,$E$62:$E$68))</f>
        <v>0</v>
      </c>
      <c r="R101" s="50" cm="1">
        <f t="array" aca="1" ref="R101" ca="1">MMS_Swine_AtmosphericDeposition_Equations.VEERG_4_5_1_5__2_TotalNitrogenVolatilisedFromMMS(R54,_xlfn.XLOOKUP($O101,$D$62:$D$68,$E$62:$E$68))</f>
        <v>0</v>
      </c>
      <c r="S101" s="50" cm="1">
        <f t="array" aca="1" ref="S101" ca="1">MMS_Swine_AtmosphericDeposition_Equations.VEERG_4_5_1_5__2_TotalNitrogenVolatilisedFromMMS(S54,_xlfn.XLOOKUP($O101,$D$62:$D$68,$E$62:$E$68))</f>
        <v>0</v>
      </c>
      <c r="T101" s="2"/>
    </row>
    <row r="102" spans="3:21" ht="20" customHeight="1" x14ac:dyDescent="0.25">
      <c r="D102" s="55"/>
      <c r="E102" s="55" t="str">
        <f>INDEX(X_Table_Swine_Stage2MMS_From_SolidStorage,4,1)</f>
        <v>Deep litter</v>
      </c>
      <c r="F102" s="50" cm="1">
        <f t="array" aca="1" ref="F102" ca="1">MMS_Swine_AtmosphericDeposition_Equations.VEERG_4_5_1_5__2_TotalNitrogenVolatilisedFromMMS(F55,_xlfn.XLOOKUP($E102,$D$62:$D$68,$E$62:$E$68))</f>
        <v>13.348050000000004</v>
      </c>
      <c r="G102" s="50" cm="1">
        <f t="array" aca="1" ref="G102" ca="1">MMS_Swine_AtmosphericDeposition_Equations.VEERG_4_5_1_5__2_TotalNitrogenVolatilisedFromMMS(G55,_xlfn.XLOOKUP($E102,$D$62:$D$68,$E$62:$E$68))</f>
        <v>14.218575000000008</v>
      </c>
      <c r="H102" s="50" cm="1">
        <f t="array" aca="1" ref="H102" ca="1">MMS_Swine_AtmosphericDeposition_Equations.VEERG_4_5_1_5__2_TotalNitrogenVolatilisedFromMMS(H55,_xlfn.XLOOKUP($E102,$D$62:$D$68,$E$62:$E$68))</f>
        <v>13.348050000000004</v>
      </c>
      <c r="I102" s="50" cm="1">
        <f t="array" aca="1" ref="I102" ca="1">MMS_Swine_AtmosphericDeposition_Equations.VEERG_4_5_1_5__2_TotalNitrogenVolatilisedFromMMS(I55,_xlfn.XLOOKUP($E102,$D$62:$D$68,$E$62:$E$68))</f>
        <v>9.0534600000000047</v>
      </c>
      <c r="J102" s="2"/>
      <c r="N102" s="55"/>
      <c r="O102" s="55" t="str">
        <f>INDEX(X_Table_Swine_Stage2MMS_From_SolidStorage,4,1)</f>
        <v>Deep litter</v>
      </c>
      <c r="P102" s="50" cm="1">
        <f t="array" aca="1" ref="P102" ca="1">MMS_Swine_AtmosphericDeposition_Equations.VEERG_4_5_1_5__2_TotalNitrogenVolatilisedFromMMS(P55,_xlfn.XLOOKUP($O102,$D$62:$D$68,$E$62:$E$68))</f>
        <v>13.348050000000004</v>
      </c>
      <c r="Q102" s="50" cm="1">
        <f t="array" aca="1" ref="Q102" ca="1">MMS_Swine_AtmosphericDeposition_Equations.VEERG_4_5_1_5__2_TotalNitrogenVolatilisedFromMMS(Q55,_xlfn.XLOOKUP($O102,$D$62:$D$68,$E$62:$E$68))</f>
        <v>14.218575000000008</v>
      </c>
      <c r="R102" s="50" cm="1">
        <f t="array" aca="1" ref="R102" ca="1">MMS_Swine_AtmosphericDeposition_Equations.VEERG_4_5_1_5__2_TotalNitrogenVolatilisedFromMMS(R55,_xlfn.XLOOKUP($O102,$D$62:$D$68,$E$62:$E$68))</f>
        <v>13.348050000000004</v>
      </c>
      <c r="S102" s="50" cm="1">
        <f t="array" aca="1" ref="S102" ca="1">MMS_Swine_AtmosphericDeposition_Equations.VEERG_4_5_1_5__2_TotalNitrogenVolatilisedFromMMS(S55,_xlfn.XLOOKUP($O102,$D$62:$D$68,$E$62:$E$68))</f>
        <v>9.0534600000000047</v>
      </c>
      <c r="T102" s="2"/>
    </row>
    <row r="103" spans="3:21" ht="20" customHeight="1" x14ac:dyDescent="0.25">
      <c r="D103" s="55"/>
      <c r="E103" s="55" t="str">
        <f>INDEX(X_Table_Swine_Stage2MMS_From_SolidStorage,5,1)</f>
        <v>Pit storage</v>
      </c>
      <c r="F103" s="50" cm="1">
        <f t="array" aca="1" ref="F103" ca="1">MMS_Swine_AtmosphericDeposition_Equations.VEERG_4_5_1_5__2_TotalNitrogenVolatilisedFromMMS(F56,_xlfn.XLOOKUP($E103,$D$62:$D$68,$E$62:$E$68))</f>
        <v>13.348050000000004</v>
      </c>
      <c r="G103" s="50" cm="1">
        <f t="array" aca="1" ref="G103" ca="1">MMS_Swine_AtmosphericDeposition_Equations.VEERG_4_5_1_5__2_TotalNitrogenVolatilisedFromMMS(G56,_xlfn.XLOOKUP($E103,$D$62:$D$68,$E$62:$E$68))</f>
        <v>14.218575000000008</v>
      </c>
      <c r="H103" s="50" cm="1">
        <f t="array" aca="1" ref="H103" ca="1">MMS_Swine_AtmosphericDeposition_Equations.VEERG_4_5_1_5__2_TotalNitrogenVolatilisedFromMMS(H56,_xlfn.XLOOKUP($E103,$D$62:$D$68,$E$62:$E$68))</f>
        <v>13.348050000000004</v>
      </c>
      <c r="I103" s="50" cm="1">
        <f t="array" aca="1" ref="I103" ca="1">MMS_Swine_AtmosphericDeposition_Equations.VEERG_4_5_1_5__2_TotalNitrogenVolatilisedFromMMS(I56,_xlfn.XLOOKUP($E103,$D$62:$D$68,$E$62:$E$68))</f>
        <v>9.0534600000000047</v>
      </c>
      <c r="J103" s="2"/>
      <c r="N103" s="55"/>
      <c r="O103" s="55" t="str">
        <f>INDEX(X_Table_Swine_Stage2MMS_From_SolidStorage,5,1)</f>
        <v>Pit storage</v>
      </c>
      <c r="P103" s="50" cm="1">
        <f t="array" aca="1" ref="P103" ca="1">MMS_Swine_AtmosphericDeposition_Equations.VEERG_4_5_1_5__2_TotalNitrogenVolatilisedFromMMS(P56,_xlfn.XLOOKUP($O103,$D$62:$D$68,$E$62:$E$68))</f>
        <v>13.348050000000004</v>
      </c>
      <c r="Q103" s="50" cm="1">
        <f t="array" aca="1" ref="Q103" ca="1">MMS_Swine_AtmosphericDeposition_Equations.VEERG_4_5_1_5__2_TotalNitrogenVolatilisedFromMMS(Q56,_xlfn.XLOOKUP($O103,$D$62:$D$68,$E$62:$E$68))</f>
        <v>14.218575000000008</v>
      </c>
      <c r="R103" s="50" cm="1">
        <f t="array" aca="1" ref="R103" ca="1">MMS_Swine_AtmosphericDeposition_Equations.VEERG_4_5_1_5__2_TotalNitrogenVolatilisedFromMMS(R56,_xlfn.XLOOKUP($O103,$D$62:$D$68,$E$62:$E$68))</f>
        <v>13.348050000000004</v>
      </c>
      <c r="S103" s="50" cm="1">
        <f t="array" aca="1" ref="S103" ca="1">MMS_Swine_AtmosphericDeposition_Equations.VEERG_4_5_1_5__2_TotalNitrogenVolatilisedFromMMS(S56,_xlfn.XLOOKUP($O103,$D$62:$D$68,$E$62:$E$68))</f>
        <v>9.0534600000000047</v>
      </c>
      <c r="T103" s="2"/>
    </row>
    <row r="104" spans="3:21" ht="20" customHeight="1" x14ac:dyDescent="0.25">
      <c r="D104" s="55"/>
      <c r="E104" s="55" t="str">
        <f>INDEX(X_Table_Swine_Stage2MMS_From_SolidStorage,6,1)</f>
        <v>Direct application</v>
      </c>
      <c r="F104" s="50" t="s">
        <v>164</v>
      </c>
      <c r="G104" s="50" t="s">
        <v>164</v>
      </c>
      <c r="H104" s="50" t="s">
        <v>164</v>
      </c>
      <c r="I104" s="50" t="s">
        <v>164</v>
      </c>
      <c r="N104" s="55"/>
      <c r="O104" s="55" t="str">
        <f>INDEX(X_Table_Swine_Stage2MMS_From_SolidStorage,6,1)</f>
        <v>Direct application</v>
      </c>
      <c r="P104" s="50" t="s">
        <v>164</v>
      </c>
      <c r="Q104" s="50" t="s">
        <v>164</v>
      </c>
      <c r="R104" s="50" t="s">
        <v>164</v>
      </c>
      <c r="S104" s="50" t="s">
        <v>164</v>
      </c>
      <c r="T104" s="2"/>
    </row>
    <row r="105" spans="3:21" ht="20" customHeight="1" x14ac:dyDescent="0.25"/>
    <row r="106" spans="3:21" ht="20" customHeight="1" x14ac:dyDescent="0.25">
      <c r="D106" s="106" t="s">
        <v>251</v>
      </c>
      <c r="E106" s="43">
        <f ca="1">SUM(F73:I104)</f>
        <v>2267.6728942500004</v>
      </c>
      <c r="F106" s="98" t="str">
        <f>$E$11</f>
        <v>kg N</v>
      </c>
      <c r="N106" s="106" t="s">
        <v>251</v>
      </c>
      <c r="O106" s="43">
        <f ca="1">SUM(P73:S104)</f>
        <v>2267.6728942500004</v>
      </c>
      <c r="P106" s="98" t="str">
        <f>$E$11</f>
        <v>kg N</v>
      </c>
    </row>
    <row r="107" spans="3:21" ht="20" customHeight="1" x14ac:dyDescent="0.25"/>
    <row r="108" spans="3:21" ht="20" customHeight="1" x14ac:dyDescent="0.25"/>
    <row r="109" spans="3:21" ht="20" customHeight="1" x14ac:dyDescent="0.25">
      <c r="C109" s="43"/>
      <c r="D109" s="43"/>
      <c r="E109" s="43"/>
      <c r="F109" s="43"/>
      <c r="G109" s="43"/>
      <c r="H109" s="43"/>
      <c r="I109" s="43"/>
      <c r="J109" s="43"/>
      <c r="K109" s="43"/>
      <c r="N109" s="43"/>
      <c r="O109" s="43"/>
      <c r="P109" s="43"/>
      <c r="Q109" s="43"/>
      <c r="R109" s="43"/>
      <c r="S109" s="43"/>
      <c r="T109" s="43"/>
      <c r="U109" s="43"/>
    </row>
    <row r="110" spans="3:21" ht="20"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3:21" ht="20"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3:21" ht="20" customHeight="1" x14ac:dyDescent="0.25">
      <c r="D112" s="13" t="s">
        <v>23</v>
      </c>
      <c r="E112" s="13" t="str" cm="1">
        <f t="array" aca="1" ref="E112" ca="1">Common_InputFunctions.Utility_DisplayFunctionName(E125)</f>
        <v>=MMS_Swine_AtmosphericDeposition_Equations.VEERG_4_5_1_5__1_AnnualAtmosphericDepositionEmissionsFromMMS</v>
      </c>
      <c r="N112" s="13" t="s">
        <v>23</v>
      </c>
      <c r="O112" s="13" t="str" cm="1">
        <f t="array" aca="1" ref="O112" ca="1">Common_InputFunctions.Utility_DisplayFunctionName(O125)</f>
        <v>=MMS_Swine_AtmosphericDeposition_Equations.VEERG_4_5_1_5__1_AnnualAtmosphericDepositionEmissionsFromMMS</v>
      </c>
    </row>
    <row r="113" spans="4:19" ht="20" customHeight="1" x14ac:dyDescent="0.25"/>
    <row r="114" spans="4:19" ht="20" customHeight="1" x14ac:dyDescent="0.25"/>
    <row r="115" spans="4:19" ht="20" customHeight="1" x14ac:dyDescent="0.25">
      <c r="D115" s="51" t="s">
        <v>26</v>
      </c>
      <c r="E115" s="1" t="str" cm="1">
        <f t="array" ref="E115">MMS_Swine_AtmosphericDeposition_Equations.VEERG_4_5_1_5__1_AnnualAtmosphericDepositionEmissionsFromMMS_Variable()</f>
        <v>E_N2OMMSad</v>
      </c>
      <c r="N115" s="51" t="s">
        <v>26</v>
      </c>
      <c r="O115" s="1" t="str" cm="1">
        <f t="array" ref="O115">MMS_Swine_AtmosphericDeposition_Equations.VEERG_4_5_1_5__1_AnnualAtmosphericDepositionEmissionsFromMMS_Variable()</f>
        <v>E_N2OMMSad</v>
      </c>
    </row>
    <row r="116" spans="4:19" ht="20" customHeight="1" x14ac:dyDescent="0.25">
      <c r="D116" s="51" t="s">
        <v>16</v>
      </c>
      <c r="E116" s="52" t="str" cm="1">
        <f t="array" ref="E116">MMS_Swine_AtmosphericDeposition_Equations.VEERG_4_5_1_5__1_AnnualAtmosphericDepositionEmissionsFromMMS_Unit()</f>
        <v>t N2O</v>
      </c>
      <c r="N116" s="51" t="s">
        <v>16</v>
      </c>
      <c r="O116" s="52" t="str" cm="1">
        <f t="array" ref="O116">MMS_Swine_AtmosphericDeposition_Equations.VEERG_4_5_1_5__1_AnnualAtmosphericDepositionEmissionsFromMMS_Unit()</f>
        <v>t N2O</v>
      </c>
    </row>
    <row r="117" spans="4:19" ht="20" customHeight="1" x14ac:dyDescent="0.25"/>
    <row r="118" spans="4:19" ht="20" customHeight="1" x14ac:dyDescent="0.25">
      <c r="D118" s="55" t="str" cm="1">
        <f t="array" ref="D118:E123">Common_InputFunctions.Utility_DisplayArguments_1_2(MMS_Swine_AtmosphericDeposition_Equations.VEERG_4_5_1_5__1_AnnualAtmosphericDepositionEmissionsFromMMS_Arguments())</f>
        <v>MMS_ATMOS</v>
      </c>
      <c r="E118" s="56" t="str">
        <v>mass of N volatilised from MMS</v>
      </c>
      <c r="F118" s="57"/>
      <c r="G118" s="132" t="str" cm="1">
        <f t="array" ref="G118:H123">Common_InputFunctions.Utility_DisplayArguments_3_4(MMS_Swine_AtmosphericDeposition_Equations.VEERG_4_5_1_5__1_AnnualAtmosphericDepositionEmissionsFromMMS_Arguments())</f>
        <v>kg N</v>
      </c>
      <c r="H118" s="127" t="str">
        <v>Calculated from 4.5.1.5 (2)</v>
      </c>
      <c r="I118" s="132">
        <f ca="1">$E$106</f>
        <v>2267.6728942500004</v>
      </c>
      <c r="N118" s="55" t="str" cm="1">
        <f t="array" ref="N118:O123">Common_InputFunctions.Utility_DisplayArguments_1_2(MMS_Swine_AtmosphericDeposition_Equations.VEERG_4_5_1_5__1_AnnualAtmosphericDepositionEmissionsFromMMS_Arguments())</f>
        <v>MMS_ATMOS</v>
      </c>
      <c r="O118" s="56" t="str">
        <v>mass of N volatilised from MMS</v>
      </c>
      <c r="P118" s="57"/>
      <c r="Q118" s="132" t="str" cm="1">
        <f t="array" ref="Q118:R123">Common_InputFunctions.Utility_DisplayArguments_3_4(MMS_Swine_AtmosphericDeposition_Equations.VEERG_4_5_1_5__1_AnnualAtmosphericDepositionEmissionsFromMMS_Arguments())</f>
        <v>kg N</v>
      </c>
      <c r="R118" s="127" t="str">
        <v>Calculated from 4.5.1.5 (2)</v>
      </c>
      <c r="S118" s="55">
        <f ca="1">$E$106</f>
        <v>2267.6728942500004</v>
      </c>
    </row>
    <row r="119" spans="4:19" ht="20" customHeight="1" x14ac:dyDescent="0.25">
      <c r="D119" s="55" t="str">
        <v>EF_N2O</v>
      </c>
      <c r="E119" s="56" t="str">
        <v>nitrous oxide emission factor for atmospheric deposition</v>
      </c>
      <c r="F119" s="57"/>
      <c r="G119" s="132" t="str">
        <v>kg N2O-N/kg N</v>
      </c>
      <c r="H119" s="127" t="str">
        <v>Constant</v>
      </c>
      <c r="I119" s="132">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5" t="str">
        <v>EF_N2O</v>
      </c>
      <c r="O119" s="56" t="str">
        <v>nitrous oxide emission factor for atmospheric deposition</v>
      </c>
      <c r="P119" s="57"/>
      <c r="Q119" s="132" t="str">
        <v>kg N2O-N/kg N</v>
      </c>
      <c r="R119" s="127" t="str">
        <v>Constant</v>
      </c>
      <c r="S119" s="55"/>
    </row>
    <row r="120" spans="4:19" ht="20" customHeight="1" x14ac:dyDescent="0.25">
      <c r="D120" s="55" t="str">
        <v>C_N2O</v>
      </c>
      <c r="E120" s="56" t="str">
        <v>factor to convert elemental mass of N2O to molecular mass</v>
      </c>
      <c r="F120" s="57"/>
      <c r="G120" s="132" t="str">
        <v/>
      </c>
      <c r="H120" s="127" t="str">
        <v>Constant</v>
      </c>
      <c r="I120" s="132">
        <f>Common_InputFunctions.Utility_LookupValueInTableNumber("N2O",Table_GasToMolecularConversionFactor[Gas],Table_GasToMolecularConversionFactor[Conversion factor combined])</f>
        <v>1.5714285714285714</v>
      </c>
      <c r="N120" s="55" t="str">
        <v>C_N2O</v>
      </c>
      <c r="O120" s="56" t="str">
        <v>factor to convert elemental mass of N2O to molecular mass</v>
      </c>
      <c r="P120" s="57"/>
      <c r="Q120" s="132" t="str">
        <v/>
      </c>
      <c r="R120" s="127" t="str">
        <v>Constant</v>
      </c>
      <c r="S120" s="55"/>
    </row>
    <row r="121" spans="4:19" ht="20" customHeight="1" x14ac:dyDescent="0.25">
      <c r="D121" s="55" t="str">
        <v>j</v>
      </c>
      <c r="E121" s="56" t="str">
        <v>production system</v>
      </c>
      <c r="F121" s="57"/>
      <c r="G121" s="132" t="str">
        <v/>
      </c>
      <c r="H121" s="128" t="str">
        <v>Input</v>
      </c>
      <c r="I121" s="132" t="str">
        <f>X_Cell_Swine_ManureAppliedProductionSystem</f>
        <v>Crop</v>
      </c>
      <c r="N121" s="55" t="str">
        <v>j</v>
      </c>
      <c r="O121" s="56" t="str">
        <v>production system</v>
      </c>
      <c r="P121" s="57"/>
      <c r="Q121" s="132" t="str">
        <v/>
      </c>
      <c r="R121" s="128" t="str">
        <v>Input</v>
      </c>
      <c r="S121" s="55"/>
    </row>
    <row r="122" spans="4:19" ht="20" customHeight="1" x14ac:dyDescent="0.25">
      <c r="D122" s="55" t="str">
        <v>ir</v>
      </c>
      <c r="E122" s="56" t="str">
        <v>irrigation method</v>
      </c>
      <c r="F122" s="57"/>
      <c r="G122" s="132" t="str">
        <v/>
      </c>
      <c r="H122" s="128" t="str">
        <v>Input</v>
      </c>
      <c r="I122" s="132" t="str">
        <f>X_Cell_Swine_ManureAppliedIrrigationMethod</f>
        <v>Sprinkler irrigation</v>
      </c>
      <c r="N122" s="55" t="str">
        <v>ir</v>
      </c>
      <c r="O122" s="56" t="str">
        <v>irrigation method</v>
      </c>
      <c r="P122" s="57"/>
      <c r="Q122" s="132" t="str">
        <v/>
      </c>
      <c r="R122" s="128" t="str">
        <v>Input</v>
      </c>
      <c r="S122" s="55"/>
    </row>
    <row r="123" spans="4:19" ht="20" customHeight="1" x14ac:dyDescent="0.25">
      <c r="D123" s="55" t="str">
        <v>r</v>
      </c>
      <c r="E123" s="56" t="str">
        <v>rainfall region</v>
      </c>
      <c r="F123" s="57"/>
      <c r="G123" s="132" t="str">
        <v/>
      </c>
      <c r="H123" s="128" t="str">
        <v>Input</v>
      </c>
      <c r="I123" s="132" t="str">
        <f>X_Cell_Site_RainfallZone</f>
        <v>High rainfall</v>
      </c>
      <c r="N123" s="55" t="str">
        <v>r</v>
      </c>
      <c r="O123" s="56" t="str">
        <v>rainfall region</v>
      </c>
      <c r="P123" s="57"/>
      <c r="Q123" s="132" t="str">
        <v/>
      </c>
      <c r="R123" s="128" t="str">
        <v>Input</v>
      </c>
      <c r="S123" s="55"/>
    </row>
    <row r="124" spans="4:19" ht="20" customHeight="1" x14ac:dyDescent="0.25"/>
    <row r="125" spans="4:19" ht="20" customHeight="1" x14ac:dyDescent="0.25">
      <c r="D125" s="94" t="s">
        <v>248</v>
      </c>
      <c r="E125" s="95" cm="1">
        <f t="array" aca="1" ref="E125" ca="1">MMS_Swine_AtmosphericDeposition_Equations.VEERG_4_5_1_5__1_AnnualAtmosphericDepositionEmissionsFromMMS(I118,I119,I120)</f>
        <v>2.4944401836750004E-2</v>
      </c>
      <c r="F125" s="96" t="str">
        <f>E116</f>
        <v>t N2O</v>
      </c>
      <c r="N125" s="94" t="s">
        <v>248</v>
      </c>
      <c r="O125" s="95" cm="1">
        <f t="array" aca="1" ref="O125" ca="1">MMS_Swine_AtmosphericDeposition_Equations.VEERG_4_5_1_5__1_AnnualAtmosphericDepositionEmissionsFromMMS(S118,I119,I120)</f>
        <v>2.4944401836750004E-2</v>
      </c>
      <c r="P125" s="96" t="str">
        <f>O116</f>
        <v>t N2O</v>
      </c>
    </row>
    <row r="126" spans="4:19" ht="20" customHeight="1" x14ac:dyDescent="0.25"/>
    <row r="127" spans="4:19" ht="20" customHeight="1" x14ac:dyDescent="0.25">
      <c r="D127" s="55" t="str" cm="1">
        <f t="array" ref="D127:E128">Common_Equations.Common_ConvertN2OToCO2e_Arguments()</f>
        <v>EN2O</v>
      </c>
      <c r="E127" s="56" t="str">
        <v>Nitrous oxide emissions (t N2O)</v>
      </c>
      <c r="F127" s="97"/>
      <c r="G127" s="50">
        <f ca="1">E125</f>
        <v>2.4944401836750004E-2</v>
      </c>
      <c r="N127" s="55" t="str" cm="1">
        <f t="array" ref="N127:O128">Common_Equations.Common_ConvertN2OToCO2e_Arguments()</f>
        <v>EN2O</v>
      </c>
      <c r="O127" s="56" t="str">
        <v>Nitrous oxide emissions (t N2O)</v>
      </c>
      <c r="P127" s="97"/>
      <c r="Q127" s="50">
        <f ca="1">O125</f>
        <v>2.4944401836750004E-2</v>
      </c>
    </row>
    <row r="128" spans="4:19" ht="20" customHeight="1" x14ac:dyDescent="0.25">
      <c r="D128" s="55" t="str">
        <v>GWPN2O</v>
      </c>
      <c r="E128" s="56" t="str">
        <v>Global warming potential for nitrous oxide (t CO2-e / t N2O)</v>
      </c>
      <c r="F128" s="97"/>
      <c r="G128" s="50">
        <f>Common_InputFunctions.Utility_LookupValueInTableNumber("N2O",Table_GWPData[Gas],Table_GWPData[CO2-e factor])</f>
        <v>265</v>
      </c>
      <c r="N128" s="55" t="str">
        <v>GWPN2O</v>
      </c>
      <c r="O128" s="56" t="str">
        <v>Global warming potential for nitrous oxide (t CO2-e / t N2O)</v>
      </c>
      <c r="P128" s="97"/>
      <c r="Q128" s="50">
        <f>Common_InputFunctions.Utility_LookupValueInTableNumber("N2O",Table_GWPData[Gas],Table_GWPData[CO2-e factor])</f>
        <v>265</v>
      </c>
    </row>
    <row r="129" spans="4:16" ht="20" customHeight="1" x14ac:dyDescent="0.25"/>
    <row r="130" spans="4:16" ht="20" customHeight="1" x14ac:dyDescent="0.25">
      <c r="D130" s="43" t="s">
        <v>93</v>
      </c>
      <c r="E130" s="43" cm="1">
        <f t="array" aca="1" ref="E130" ca="1">Common_Equations.Common_ConvertN2OToCO2e(G127,G128)</f>
        <v>6.6102664867387508</v>
      </c>
      <c r="F130" s="98" t="str" cm="1">
        <f t="array" ref="F130">Common_Equations.Common_ConvertN2OToCO2e_Unit()</f>
        <v>t CO2e</v>
      </c>
      <c r="N130" s="43" t="s">
        <v>93</v>
      </c>
      <c r="O130" s="43" cm="1">
        <f t="array" aca="1" ref="O130" ca="1">Common_Equations.Common_ConvertN2OToCO2e(Q127,Q128)</f>
        <v>6.6102664867387508</v>
      </c>
      <c r="P130" s="98" t="str" cm="1">
        <f t="array" ref="P130">Common_Equations.Common_ConvertN2OToCO2e_Unit()</f>
        <v>t CO2e</v>
      </c>
    </row>
    <row r="131" spans="4:16" ht="20" customHeight="1" x14ac:dyDescent="0.25"/>
    <row r="132" spans="4:16" ht="20" customHeight="1" x14ac:dyDescent="0.25"/>
    <row r="133" spans="4:16" ht="20" customHeight="1" x14ac:dyDescent="0.25"/>
    <row r="134" spans="4:16" ht="20" customHeight="1" x14ac:dyDescent="0.25"/>
    <row r="135" spans="4:16" ht="20" customHeight="1" x14ac:dyDescent="0.25"/>
    <row r="136" spans="4:16" ht="20" customHeight="1" x14ac:dyDescent="0.25"/>
    <row r="137" spans="4:16" ht="20" customHeight="1" x14ac:dyDescent="0.25"/>
    <row r="138" spans="4:16" ht="20" customHeight="1" x14ac:dyDescent="0.25"/>
    <row r="139" spans="4:16" ht="20" customHeight="1" x14ac:dyDescent="0.25"/>
    <row r="140" spans="4:16" ht="20" customHeight="1" x14ac:dyDescent="0.25"/>
    <row r="141" spans="4:16" ht="20" customHeight="1" x14ac:dyDescent="0.25"/>
    <row r="142" spans="4:16" ht="20" customHeight="1" x14ac:dyDescent="0.25"/>
    <row r="143" spans="4:16" ht="20" customHeight="1" x14ac:dyDescent="0.25"/>
    <row r="144" spans="4:16"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S165"/>
  <sheetViews>
    <sheetView showGridLines="0" topLeftCell="A10" zoomScaleNormal="100" workbookViewId="0">
      <selection activeCell="I15" sqref="I15"/>
    </sheetView>
  </sheetViews>
  <sheetFormatPr defaultRowHeight="20" x14ac:dyDescent="0.25" customHeight="1"/>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4" t="e" vm="1">
        <v>#VALUE!</v>
      </c>
      <c r="C1" s="8" t="s">
        <v>276</v>
      </c>
      <c r="K1"/>
    </row>
    <row r="2" spans="1:19" s="9" customFormat="1" ht="20" customHeight="1" x14ac:dyDescent="0.25">
      <c r="A2"/>
      <c r="K2"/>
    </row>
    <row r="3" spans="1:19" ht="20" customHeight="1" x14ac:dyDescent="0.25">
      <c r="A3" s="17" t="str">
        <f>HYPERLINK("#'Home'!A1", "Home")</f>
        <v>Home</v>
      </c>
      <c r="C3" s="4"/>
      <c r="D3" s="4" t="s">
        <v>94</v>
      </c>
      <c r="E3" s="4"/>
      <c r="F3" s="4"/>
      <c r="G3" s="4"/>
      <c r="H3" s="4"/>
      <c r="I3" s="4"/>
      <c r="J3" s="4"/>
      <c r="L3" s="4"/>
      <c r="M3" s="4" t="s">
        <v>95</v>
      </c>
      <c r="N3" s="4"/>
      <c r="O3" s="4"/>
      <c r="P3" s="4"/>
      <c r="Q3" s="4"/>
      <c r="R3" s="4"/>
      <c r="S3" s="4"/>
    </row>
    <row r="4" spans="1:19" ht="20" customHeight="1" x14ac:dyDescent="0.25">
      <c r="A4" s="17" t="str">
        <f>HYPERLINK("#'Overview'!A1", "Overview")</f>
        <v>Overview</v>
      </c>
    </row>
    <row r="5" spans="1:19" ht="20"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 customHeight="1" x14ac:dyDescent="0.25">
      <c r="D6" s="5" t="str" cm="1">
        <f t="array" ref="D6">MMS_Swine_LeachingAndRunoff_Equations.VEERG_4_5_1_7__2_MassOfNitrogenLostToLeachingAndRunoffFromDrylotMMS_Source()</f>
        <v>VEERG 2026: 4.5.1.7, Equation (2)</v>
      </c>
    </row>
    <row r="7" spans="1:19" ht="20" customHeight="1" x14ac:dyDescent="0.25">
      <c r="D7" s="13" t="s">
        <v>23</v>
      </c>
      <c r="E7" s="13" t="str" cm="1">
        <f t="array" aca="1" ref="E7" ca="1">Common_InputFunctions.Utility_DisplayFunctionName($E$28)</f>
        <v>=MMS_Swine_LeachingAndRunoff_Equations.VEERG_4_5_1_7__2_MassOfNitrogenLostToLeachingAndRunoffFromDrylotMMS</v>
      </c>
    </row>
    <row r="8" spans="1:19" ht="20" customHeight="1" x14ac:dyDescent="0.25">
      <c r="A8" s="19" t="s">
        <v>0</v>
      </c>
    </row>
    <row r="9" spans="1:19" ht="20" customHeight="1" x14ac:dyDescent="0.25">
      <c r="A9" s="17" t="str">
        <f>HYPERLINK("#'Input - Site'!A1", "Site")</f>
        <v>Site</v>
      </c>
    </row>
    <row r="10" spans="1:19" ht="20" customHeight="1" x14ac:dyDescent="0.25">
      <c r="A10" s="17" t="str">
        <f>HYPERLINK("#'Input - Swine'!A1", "Swine")</f>
        <v>Swine</v>
      </c>
      <c r="D10" s="51" t="s">
        <v>26</v>
      </c>
      <c r="E10" s="1" t="str" cm="1">
        <f t="array" ref="E10">MMS_Swine_LeachingAndRunoff_Equations.VEERG_4_5_1_7__2_MassOfNitrogenLostToLeachingAndRunoffFromDrylotMMS_Variable()</f>
        <v>MNLeach_jm5</v>
      </c>
      <c r="F10" s="100" t="s">
        <v>263</v>
      </c>
    </row>
    <row r="11" spans="1:19" ht="20" customHeight="1" x14ac:dyDescent="0.25">
      <c r="D11" s="51" t="s">
        <v>16</v>
      </c>
      <c r="E11" s="52" t="str" cm="1">
        <f t="array" ref="E11">MMS_Swine_LeachingAndRunoff_Equations.VEERG_4_5_1_7__2_MassOfNitrogenLostToLeachingAndRunoffFromDrylotMMS_Unit()</f>
        <v>kg N</v>
      </c>
      <c r="F11" s="100" t="s">
        <v>268</v>
      </c>
    </row>
    <row r="12" spans="1:19" ht="20" customHeight="1" x14ac:dyDescent="0.25"/>
    <row r="13" spans="1:19" ht="20" customHeight="1" x14ac:dyDescent="0.25">
      <c r="A13" s="18" t="s">
        <v>71</v>
      </c>
      <c r="D13" s="132" t="str" cm="1">
        <f t="array" ref="D13:E18">Common_InputFunctions.Utility_DisplayArguments_1_2(MMS_Swine_LeachingAndRunoff_Equations.VEERG_4_5_1_7__2_MassOfNitrogenLostToLeachingAndRunoffFromDrylotMMS_Arguments())</f>
        <v>MN_jm5T1</v>
      </c>
      <c r="E13" s="134" t="str">
        <v>nitrogen in treatment stage 1 drylot MMS</v>
      </c>
      <c r="F13" s="133"/>
      <c r="G13" s="132" t="str" cm="1">
        <f t="array" ref="G13:H18">Common_InputFunctions.Utility_DisplayArguments_3_4(MMS_Swine_LeachingAndRunoff_Equations.VEERG_4_5_1_7__2_MassOfNitrogenLostToLeachingAndRunoffFromDrylotMMS_Arguments())</f>
        <v>kg N</v>
      </c>
      <c r="H13" s="127" t="str">
        <v>Calculated from 4.5.1.3 (2)</v>
      </c>
      <c r="I13" s="131" t="str" cm="1">
        <f t="array" aca="1" ref="I13" ca="1">HYPERLINK(Common_InputFunctions.Utility_SourceHyperlink(D20), D20)</f>
        <v>M1_Table_MN_j_m-5_T-1</v>
      </c>
    </row>
    <row r="14" spans="1:19" ht="20" customHeight="1" x14ac:dyDescent="0.25">
      <c r="A14" s="17" t="str">
        <f>HYPERLINK("#'4.5.1.1-2 Methane'!A1", "4.5.1.1-2 Methane")</f>
        <v>4.5.1.1-2 Methane</v>
      </c>
      <c r="D14" s="132" t="str">
        <v>FracWET</v>
      </c>
      <c r="E14" s="134" t="str">
        <v>fraction of N available for leaching and runoff</v>
      </c>
      <c r="F14" s="133"/>
      <c r="G14" s="132" t="str">
        <v>fraction</v>
      </c>
      <c r="H14" s="127" t="str">
        <v>Constant</v>
      </c>
      <c r="I14" s="132">
        <f>Common_InputFunctions.CommonCropping_GetFracWET(I16,I18,Table_SourceData_FracWET[Is in leaching zone],Table_SourceData_FracWET[FracWET],Table_SourceData_FracWETIrrigation[Irrigation type i],Table_SourceData_FracWETIrrigation[FracWET])</f>
        <v>1</v>
      </c>
    </row>
    <row r="15" spans="1:19" ht="20" customHeight="1" x14ac:dyDescent="0.25">
      <c r="A15" s="17" t="str">
        <f>HYPERLINK("#'4.5.1.3-4 Direct N2O'!A1", "4.5.1.3-4 Direct N2O")</f>
        <v>4.5.1.3-4 Direct N2O</v>
      </c>
      <c r="D15" s="132" t="str">
        <v>FracLEACH_MS</v>
      </c>
      <c r="E15" s="134" t="str">
        <v>fraction of N lost through leaching and runoff</v>
      </c>
      <c r="F15" s="133"/>
      <c r="G15" s="132" t="str">
        <v>fraction</v>
      </c>
      <c r="H15" s="127" t="str">
        <v>Constant</v>
      </c>
      <c r="I15" s="132">
        <f>SourceData_Swine_FracLEACH_DrylotMMS_Data</f>
        <v>0.02</v>
      </c>
    </row>
    <row r="16" spans="1:19" ht="20" customHeight="1" x14ac:dyDescent="0.25">
      <c r="A16" s="17" t="str">
        <f>HYPERLINK("#'4.5.1.5-6 Atmos Dep'!A1", "4.5.1.5-6 Atmos Dep")</f>
        <v>4.5.1.5-6 Atmos Dep</v>
      </c>
      <c r="D16" s="132" t="str">
        <v>z</v>
      </c>
      <c r="E16" s="134" t="str">
        <v>location in leaching zone</v>
      </c>
      <c r="F16" s="133"/>
      <c r="G16" s="132" t="str">
        <v/>
      </c>
      <c r="H16" s="128" t="str">
        <v>Input</v>
      </c>
      <c r="I16" s="132" t="str">
        <f>X_Cell_Site_LeachingZone</f>
        <v>NO - Not in leaching zone</v>
      </c>
    </row>
    <row r="17" spans="1:19" ht="20" customHeight="1" x14ac:dyDescent="0.25">
      <c r="A17" s="143" t="str">
        <f>HYPERLINK("#'4.5.1.7-8 Leaching and runoff'!A1", "4.5.1.7-8 Leaching and runoff")</f>
        <v>4.5.1.7-8 Leaching and runoff</v>
      </c>
      <c r="D17" s="132" t="str">
        <v>j</v>
      </c>
      <c r="E17" s="134" t="str">
        <v>production system</v>
      </c>
      <c r="F17" s="133"/>
      <c r="G17" s="132" t="str">
        <v/>
      </c>
      <c r="H17" s="128" t="str">
        <v>Input</v>
      </c>
      <c r="I17" s="132" t="str">
        <f>X_Cell_Swine_ManureAppliedProductionSystem</f>
        <v>Crop</v>
      </c>
    </row>
    <row r="18" spans="1:19" ht="20" customHeight="1" x14ac:dyDescent="0.25">
      <c r="A18" s="17" t="str">
        <f>HYPERLINK("#'4.5.1.9 Manure applied to soils'!A1", "4.5.1.9 Manure applied to soils")</f>
        <v>4.5.1.9 Manure applied to soils</v>
      </c>
      <c r="D18" s="132" t="str">
        <v>ir</v>
      </c>
      <c r="E18" s="134" t="str">
        <v>irrigation method</v>
      </c>
      <c r="F18" s="133"/>
      <c r="G18" s="132" t="str">
        <v/>
      </c>
      <c r="H18" s="128" t="str">
        <v>Input</v>
      </c>
      <c r="I18" s="132" t="str">
        <f>X_Cell_Swine_ManureAppliedIrrigationMethod</f>
        <v>Sprinkler irrigation</v>
      </c>
    </row>
    <row r="19" spans="1:19" ht="20" customHeight="1" x14ac:dyDescent="0.25"/>
    <row r="20" spans="1:19" ht="20" customHeight="1" x14ac:dyDescent="0.25">
      <c r="D20" s="92" t="s">
        <v>264</v>
      </c>
      <c r="M20" s="92" t="s">
        <v>266</v>
      </c>
    </row>
    <row r="21" spans="1:19" ht="20" customHeight="1" x14ac:dyDescent="0.25">
      <c r="A21" s="141" t="s">
        <v>1</v>
      </c>
      <c r="D21" s="91" t="s">
        <v>265</v>
      </c>
      <c r="M21" s="91" t="s">
        <v>267</v>
      </c>
    </row>
    <row r="22" spans="1:19" ht="20" customHeight="1" x14ac:dyDescent="0.25">
      <c r="A22" s="17" t="str">
        <f>HYPERLINK("#'Constants - Swine'!A1", "Constants - Swine")</f>
        <v>Constants - Swine</v>
      </c>
      <c r="D22" s="49" t="s">
        <v>155</v>
      </c>
      <c r="E22" s="49" t="s">
        <v>134</v>
      </c>
      <c r="F22" s="49" t="s">
        <v>135</v>
      </c>
      <c r="G22" s="49" t="s">
        <v>136</v>
      </c>
      <c r="H22" s="49" t="s">
        <v>192</v>
      </c>
      <c r="M22" s="49" t="s">
        <v>155</v>
      </c>
      <c r="N22" s="49" t="s">
        <v>134</v>
      </c>
      <c r="O22" s="49" t="s">
        <v>135</v>
      </c>
      <c r="P22" s="49" t="s">
        <v>136</v>
      </c>
      <c r="Q22" s="49" t="s">
        <v>192</v>
      </c>
    </row>
    <row r="23" spans="1:19" ht="20" customHeight="1" x14ac:dyDescent="0.25">
      <c r="A23" s="17" t="str">
        <f>HYPERLINK("#'Constants - Common'!A1", "Constants - Common")</f>
        <v>Constants - Common</v>
      </c>
      <c r="D23" s="50" t="str">
        <f>INDEX(X_Table_Swine_Stage1MMS_Drylot,2,1)</f>
        <v>Drylot (feed pad)</v>
      </c>
      <c r="E23" s="50">
        <f ca="1">'4.5.1.3-4 Direct N2O'!E119</f>
        <v>201.47999999999996</v>
      </c>
      <c r="F23" s="50">
        <f ca="1">'4.5.1.3-4 Direct N2O'!F119</f>
        <v>214.62000000000003</v>
      </c>
      <c r="G23" s="50">
        <f ca="1">'4.5.1.3-4 Direct N2O'!G119</f>
        <v>201.47999999999996</v>
      </c>
      <c r="H23" s="50">
        <f ca="1">'4.5.1.3-4 Direct N2O'!H119</f>
        <v>136.65599999999998</v>
      </c>
      <c r="I23" s="2" t="str">
        <f>$G$13</f>
        <v>kg N</v>
      </c>
      <c r="M23" s="50" t="str">
        <f>INDEX(X_Table_Swine_Stage1MMS_Drylot,2,1)</f>
        <v>Drylot (feed pad)</v>
      </c>
      <c r="N23" s="50">
        <f ca="1">'4.5.1.3-4 Direct N2O'!O119</f>
        <v>201.47999999999996</v>
      </c>
      <c r="O23" s="50">
        <f ca="1">'4.5.1.3-4 Direct N2O'!P119</f>
        <v>214.62000000000003</v>
      </c>
      <c r="P23" s="50">
        <f ca="1">'4.5.1.3-4 Direct N2O'!Q119</f>
        <v>201.47999999999996</v>
      </c>
      <c r="Q23" s="50">
        <f ca="1">'4.5.1.3-4 Direct N2O'!R119</f>
        <v>136.65599999999998</v>
      </c>
      <c r="R23" s="2" t="str">
        <f>$G$13</f>
        <v>kg N</v>
      </c>
    </row>
    <row r="24" spans="1:19" ht="20" customHeight="1" x14ac:dyDescent="0.25">
      <c r="A24" s="17" t="str">
        <f>HYPERLINK("#'Constants - Common livestock'!A1", "Constants - Common livestock")</f>
        <v>Constants - Common livestock</v>
      </c>
    </row>
    <row r="25" spans="1:19" ht="20" customHeight="1" x14ac:dyDescent="0.25">
      <c r="A25" s="17" t="str">
        <f>HYPERLINK("#'Acknowledgements'!A1", "Acknowledgements")</f>
        <v>Acknowledgements</v>
      </c>
      <c r="D25" s="92" t="s">
        <v>269</v>
      </c>
      <c r="M25" s="92" t="s">
        <v>269</v>
      </c>
    </row>
    <row r="26" spans="1:19" ht="20" customHeight="1" x14ac:dyDescent="0.25">
      <c r="A26" s="17" t="str">
        <f>HYPERLINK("#'Tab template'!A1", "Tab template")</f>
        <v>Tab template</v>
      </c>
      <c r="D26" s="91" t="s">
        <v>270</v>
      </c>
      <c r="M26" s="91" t="s">
        <v>270</v>
      </c>
    </row>
    <row r="27" spans="1:19" ht="20" customHeight="1" x14ac:dyDescent="0.25">
      <c r="D27" s="49" t="s">
        <v>155</v>
      </c>
      <c r="E27" s="49" t="s">
        <v>134</v>
      </c>
      <c r="F27" s="49" t="s">
        <v>135</v>
      </c>
      <c r="G27" s="49" t="s">
        <v>136</v>
      </c>
      <c r="H27" s="49" t="s">
        <v>192</v>
      </c>
      <c r="M27" s="49" t="s">
        <v>155</v>
      </c>
      <c r="N27" s="49" t="s">
        <v>134</v>
      </c>
      <c r="O27" s="49" t="s">
        <v>135</v>
      </c>
      <c r="P27" s="49" t="s">
        <v>136</v>
      </c>
      <c r="Q27" s="49" t="s">
        <v>192</v>
      </c>
    </row>
    <row r="28" spans="1:19" ht="20" customHeight="1" x14ac:dyDescent="0.25">
      <c r="D28" s="50" t="str">
        <f>INDEX(X_Table_Swine_Stage1MMS_Drylot,2,1)</f>
        <v>Drylot (feed pad)</v>
      </c>
      <c r="E28" s="50" cm="1">
        <f t="array" aca="1" ref="E28" ca="1">MMS_Swine_LeachingAndRunoff_Equations.VEERG_4_5_1_7__2_MassOfNitrogenLostToLeachingAndRunoffFromDrylotMMS(E23,$I$14,$I$15)</f>
        <v>4.0295999999999994</v>
      </c>
      <c r="F28" s="50" cm="1">
        <f t="array" aca="1" ref="F28" ca="1">MMS_Swine_LeachingAndRunoff_Equations.VEERG_4_5_1_7__2_MassOfNitrogenLostToLeachingAndRunoffFromDrylotMMS(F23,$I$14,$I$15)</f>
        <v>4.2924000000000007</v>
      </c>
      <c r="G28" s="50" cm="1">
        <f t="array" aca="1" ref="G28" ca="1">MMS_Swine_LeachingAndRunoff_Equations.VEERG_4_5_1_7__2_MassOfNitrogenLostToLeachingAndRunoffFromDrylotMMS(G23,$I$14,$I$15)</f>
        <v>4.0295999999999994</v>
      </c>
      <c r="H28" s="50" cm="1">
        <f t="array" aca="1" ref="H28" ca="1">MMS_Swine_LeachingAndRunoff_Equations.VEERG_4_5_1_7__2_MassOfNitrogenLostToLeachingAndRunoffFromDrylotMMS(H23,$I$14,$I$15)</f>
        <v>2.7331199999999995</v>
      </c>
      <c r="I28" s="2" t="str">
        <f>$E$11</f>
        <v>kg N</v>
      </c>
      <c r="M28" s="50" t="str">
        <f>INDEX(X_Table_Swine_Stage1MMS_Drylot,2,1)</f>
        <v>Drylot (feed pad)</v>
      </c>
      <c r="N28" s="50" cm="1">
        <f t="array" aca="1" ref="N28" ca="1">MMS_Swine_LeachingAndRunoff_Equations.VEERG_4_5_1_7__2_MassOfNitrogenLostToLeachingAndRunoffFromDrylotMMS(N23,$I$14,$I$15)</f>
        <v>4.0295999999999994</v>
      </c>
      <c r="O28" s="50" cm="1">
        <f t="array" aca="1" ref="O28" ca="1">MMS_Swine_LeachingAndRunoff_Equations.VEERG_4_5_1_7__2_MassOfNitrogenLostToLeachingAndRunoffFromDrylotMMS(O23,$I$14,$I$15)</f>
        <v>4.2924000000000007</v>
      </c>
      <c r="P28" s="50" cm="1">
        <f t="array" aca="1" ref="P28" ca="1">MMS_Swine_LeachingAndRunoff_Equations.VEERG_4_5_1_7__2_MassOfNitrogenLostToLeachingAndRunoffFromDrylotMMS(P23,$I$14,$I$15)</f>
        <v>4.0295999999999994</v>
      </c>
      <c r="Q28" s="50" cm="1">
        <f t="array" aca="1" ref="Q28" ca="1">MMS_Swine_LeachingAndRunoff_Equations.VEERG_4_5_1_7__2_MassOfNitrogenLostToLeachingAndRunoffFromDrylotMMS(Q23,$I$14,$I$15)</f>
        <v>2.7331199999999995</v>
      </c>
      <c r="R28" s="2" t="str">
        <f>$E$11</f>
        <v>kg N</v>
      </c>
    </row>
    <row r="29" spans="1:19" ht="20" customHeight="1" x14ac:dyDescent="0.25"/>
    <row r="30" spans="1:19" ht="20" customHeight="1" x14ac:dyDescent="0.25"/>
    <row r="31" spans="1:19" ht="20" customHeight="1" x14ac:dyDescent="0.25">
      <c r="C31" s="43"/>
      <c r="D31" s="43"/>
      <c r="E31" s="43"/>
      <c r="F31" s="43"/>
      <c r="G31" s="43"/>
      <c r="H31" s="43"/>
      <c r="I31" s="43"/>
      <c r="J31" s="43"/>
      <c r="L31" s="43"/>
      <c r="M31" s="43"/>
      <c r="N31" s="43"/>
      <c r="O31" s="43"/>
      <c r="P31" s="43"/>
      <c r="Q31" s="43"/>
      <c r="R31" s="43"/>
      <c r="S31" s="43"/>
    </row>
    <row r="32" spans="1:19" ht="20" customHeight="1" x14ac:dyDescent="0.25">
      <c r="D32" s="6" t="str" cm="1">
        <f t="array" ref="D32">MMS_Swine_LeachingAndRunoff_Equations.VEERG_4_5_1_7__1_AnnualEmissionsFromLeachingAndRunoffFromMMS_Title()</f>
        <v>Annual emissions from leaching and runoff from each MMS</v>
      </c>
    </row>
    <row r="33" spans="4:18" ht="20" customHeight="1" x14ac:dyDescent="0.25">
      <c r="D33" s="5" t="str" cm="1">
        <f t="array" ref="D33">MMS_Swine_LeachingAndRunoff_Equations.VEERG_4_5_1_7__1_AnnualEmissionsFromLeachingAndRunoffFromMMS_Source()</f>
        <v>VEERG 2026: 4.5.1.7, Equation (1)</v>
      </c>
    </row>
    <row r="34" spans="4:18" ht="20" customHeight="1" x14ac:dyDescent="0.25">
      <c r="D34" s="13" t="s">
        <v>23</v>
      </c>
      <c r="E34" s="13" t="str" cm="1">
        <f t="array" aca="1" ref="E34" ca="1">Common_InputFunctions.Utility_DisplayFunctionName($E$47)</f>
        <v>=MMS_Swine_LeachingAndRunoff_Equations.VEERG_4_5_1_7__1_AnnualEmissionsFromLeachingAndRunoffFromMMS</v>
      </c>
    </row>
    <row r="35" spans="4:18" ht="20" customHeight="1" x14ac:dyDescent="0.25"/>
    <row r="36" spans="4:18" ht="20" customHeight="1" x14ac:dyDescent="0.25"/>
    <row r="37" spans="4:18" ht="20" customHeight="1" x14ac:dyDescent="0.25">
      <c r="D37" s="51" t="s">
        <v>26</v>
      </c>
      <c r="E37" s="1" t="str" cm="1">
        <f t="array" ref="E37">MMS_Swine_LeachingAndRunoff_Equations.VEERG_4_5_1_7__1_AnnualEmissionsFromLeachingAndRunoffFromMMS_Variable()</f>
        <v>E_N2Oleach</v>
      </c>
    </row>
    <row r="38" spans="4:18" ht="20" customHeight="1" x14ac:dyDescent="0.25">
      <c r="D38" s="51" t="s">
        <v>16</v>
      </c>
      <c r="E38" s="52" t="str" cm="1">
        <f t="array" ref="E38">MMS_Swine_LeachingAndRunoff_Equations.VEERG_4_5_1_7__1_AnnualEmissionsFromLeachingAndRunoffFromMMS_Unit()</f>
        <v>t N2O</v>
      </c>
    </row>
    <row r="39" spans="4:18" ht="20" customHeight="1" x14ac:dyDescent="0.25"/>
    <row r="40" spans="4:18" ht="20" customHeight="1" x14ac:dyDescent="0.25">
      <c r="D40" s="132" t="str" cm="1">
        <f t="array" ref="D40:E42">Common_InputFunctions.Utility_DisplayArguments_1_2(MMS_Swine_LeachingAndRunoff_Equations.VEERG_4_5_1_7__1_AnnualEmissionsFromLeachingAndRunoffFromMMS_Arguments())</f>
        <v>MNLeach_jm5</v>
      </c>
      <c r="E40" s="134" t="str">
        <v>mass of N lost through leaching and runoff from drylot MMS</v>
      </c>
      <c r="F40" s="133"/>
      <c r="G40" s="132" t="str" cm="1">
        <f t="array" ref="G40:H42">Common_InputFunctions.Utility_DisplayArguments_3_4(MMS_Swine_LeachingAndRunoff_Equations.VEERG_4_5_1_7__1_AnnualEmissionsFromLeachingAndRunoffFromMMS_Arguments())</f>
        <v>kg N</v>
      </c>
      <c r="H40" s="127" t="str">
        <v>Calculated from 4.5.1.7 (2)</v>
      </c>
      <c r="I40" s="131" t="str" cm="1">
        <f t="array" aca="1" ref="I40" ca="1">HYPERLINK(Common_InputFunctions.Utility_SourceHyperlink(D25), D25)</f>
        <v>M1_Table_MN_leach_j_m-5</v>
      </c>
    </row>
    <row r="41" spans="4:18" ht="20" customHeight="1" x14ac:dyDescent="0.25">
      <c r="D41" s="132" t="str">
        <v>EF_leach</v>
      </c>
      <c r="E41" s="134" t="str">
        <v>emission factor for leaching and runoff</v>
      </c>
      <c r="F41" s="133"/>
      <c r="G41" s="132" t="str">
        <v>kg N2O-N/kg N</v>
      </c>
      <c r="H41" s="127" t="str">
        <v>Constant</v>
      </c>
      <c r="I41" s="132">
        <f>'Constants - Common'!$E$170</f>
        <v>1.0999999999999999E-2</v>
      </c>
    </row>
    <row r="42" spans="4:18" ht="20" customHeight="1" x14ac:dyDescent="0.25">
      <c r="D42" s="132" t="str">
        <v>C_N2O</v>
      </c>
      <c r="E42" s="134" t="str">
        <v>factor to convert elemental mass of N2O to molecular mass</v>
      </c>
      <c r="F42" s="133"/>
      <c r="G42" s="132" t="str">
        <v/>
      </c>
      <c r="H42" s="127" t="str">
        <v>Constant</v>
      </c>
      <c r="I42" s="132">
        <f>Common_InputFunctions.Utility_LookupValueInTableNumber("N2O",Table_GasToMolecularConversionFactor[Gas],Table_GasToMolecularConversionFactor[Conversion factor combined])</f>
        <v>1.5714285714285714</v>
      </c>
    </row>
    <row r="43" spans="4:18" ht="20" customHeight="1" x14ac:dyDescent="0.25"/>
    <row r="44" spans="4:18" ht="20" customHeight="1" x14ac:dyDescent="0.25">
      <c r="D44" s="92" t="s">
        <v>271</v>
      </c>
      <c r="M44" s="92" t="s">
        <v>274</v>
      </c>
    </row>
    <row r="45" spans="4:18" ht="20" customHeight="1" x14ac:dyDescent="0.25">
      <c r="D45" s="91" t="s">
        <v>272</v>
      </c>
      <c r="M45" s="91" t="s">
        <v>275</v>
      </c>
    </row>
    <row r="46" spans="4:18" ht="20" customHeight="1" x14ac:dyDescent="0.25">
      <c r="D46" s="49" t="s">
        <v>155</v>
      </c>
      <c r="E46" s="49" t="s">
        <v>134</v>
      </c>
      <c r="F46" s="49" t="s">
        <v>135</v>
      </c>
      <c r="G46" s="49" t="s">
        <v>136</v>
      </c>
      <c r="H46" s="49" t="s">
        <v>192</v>
      </c>
      <c r="M46" s="49" t="s">
        <v>155</v>
      </c>
      <c r="N46" s="49" t="s">
        <v>134</v>
      </c>
      <c r="O46" s="49" t="s">
        <v>135</v>
      </c>
      <c r="P46" s="49" t="s">
        <v>136</v>
      </c>
      <c r="Q46" s="49" t="s">
        <v>192</v>
      </c>
    </row>
    <row r="47" spans="4:18" ht="20" customHeight="1" x14ac:dyDescent="0.25">
      <c r="D47" s="50" t="str">
        <f>INDEX(X_Table_Swine_Stage1MMS_Drylot,2,1)</f>
        <v>Drylot (feed pad)</v>
      </c>
      <c r="E47" s="50" cm="1">
        <f t="array" aca="1" ref="E47" ca="1">MMS_Swine_LeachingAndRunoff_Equations.VEERG_4_5_1_7__1_AnnualEmissionsFromLeachingAndRunoffFromMMS(E28,$I$41,$I$42)</f>
        <v>6.9654514285714269E-5</v>
      </c>
      <c r="F47" s="50" cm="1">
        <f t="array" aca="1" ref="F47" ca="1">MMS_Swine_LeachingAndRunoff_Equations.VEERG_4_5_1_7__1_AnnualEmissionsFromLeachingAndRunoffFromMMS(F28,$I$41,$I$42)</f>
        <v>7.4197200000000009E-5</v>
      </c>
      <c r="G47" s="50" cm="1">
        <f t="array" aca="1" ref="G47" ca="1">MMS_Swine_LeachingAndRunoff_Equations.VEERG_4_5_1_7__1_AnnualEmissionsFromLeachingAndRunoffFromMMS(G28,$I$41,$I$42)</f>
        <v>6.9654514285714269E-5</v>
      </c>
      <c r="H47" s="50" cm="1">
        <f t="array" aca="1" ref="H47" ca="1">MMS_Swine_LeachingAndRunoff_Equations.VEERG_4_5_1_7__1_AnnualEmissionsFromLeachingAndRunoffFromMMS(H28,$I$41,$I$42)</f>
        <v>4.7243931428571419E-5</v>
      </c>
      <c r="I47" s="2" t="str">
        <f>$E$38</f>
        <v>t N2O</v>
      </c>
      <c r="M47" s="50" t="str">
        <f>INDEX(X_Table_Swine_Stage1MMS_Drylot,2,1)</f>
        <v>Drylot (feed pad)</v>
      </c>
      <c r="N47" s="50" cm="1">
        <f t="array" aca="1" ref="N47" ca="1">MMS_Swine_LeachingAndRunoff_Equations.VEERG_4_5_1_7__1_AnnualEmissionsFromLeachingAndRunoffFromMMS(N28,$I$41,$I$42)</f>
        <v>6.9654514285714269E-5</v>
      </c>
      <c r="O47" s="50" cm="1">
        <f t="array" aca="1" ref="O47" ca="1">MMS_Swine_LeachingAndRunoff_Equations.VEERG_4_5_1_7__1_AnnualEmissionsFromLeachingAndRunoffFromMMS(O28,$I$41,$I$42)</f>
        <v>7.4197200000000009E-5</v>
      </c>
      <c r="P47" s="50" cm="1">
        <f t="array" aca="1" ref="P47" ca="1">MMS_Swine_LeachingAndRunoff_Equations.VEERG_4_5_1_7__1_AnnualEmissionsFromLeachingAndRunoffFromMMS(P28,$I$41,$I$42)</f>
        <v>6.9654514285714269E-5</v>
      </c>
      <c r="Q47" s="50" cm="1">
        <f t="array" aca="1" ref="Q47" ca="1">MMS_Swine_LeachingAndRunoff_Equations.VEERG_4_5_1_7__1_AnnualEmissionsFromLeachingAndRunoffFromMMS(Q28,$I$41,$I$42)</f>
        <v>4.7243931428571419E-5</v>
      </c>
      <c r="R47" s="2" t="str">
        <f>$E$38</f>
        <v>t N2O</v>
      </c>
    </row>
    <row r="48" spans="4:18" ht="20" customHeight="1" x14ac:dyDescent="0.25"/>
    <row r="49" spans="4:16" ht="20" customHeight="1" x14ac:dyDescent="0.25">
      <c r="D49" s="94" t="s">
        <v>273</v>
      </c>
      <c r="E49" s="95">
        <f ca="1">SUM(E47:H47)</f>
        <v>2.6075015999999998E-4</v>
      </c>
      <c r="F49" s="96" t="str">
        <f>$E$38</f>
        <v>t N2O</v>
      </c>
      <c r="M49" s="94" t="s">
        <v>273</v>
      </c>
      <c r="N49" s="95">
        <f ca="1">SUM(N47:Q47)</f>
        <v>2.6075015999999998E-4</v>
      </c>
      <c r="O49" s="96" t="str">
        <f>$E$38</f>
        <v>t N2O</v>
      </c>
    </row>
    <row r="50" spans="4:16" ht="20" customHeight="1" x14ac:dyDescent="0.25"/>
    <row r="51" spans="4:16" ht="20" customHeight="1" x14ac:dyDescent="0.25">
      <c r="D51" s="55" t="str" cm="1">
        <f t="array" ref="D51:E52">Common_Equations.Common_ConvertN2OToCO2e_Arguments()</f>
        <v>EN2O</v>
      </c>
      <c r="E51" s="56" t="str">
        <v>Nitrous oxide emissions (t N2O)</v>
      </c>
      <c r="F51" s="97"/>
      <c r="G51" s="50">
        <f ca="1">E49</f>
        <v>2.6075015999999998E-4</v>
      </c>
      <c r="M51" s="55" t="str" cm="1">
        <f t="array" ref="M51:N52">Common_Equations.Common_ConvertN2OToCO2e_Arguments()</f>
        <v>EN2O</v>
      </c>
      <c r="N51" s="56" t="str">
        <v>Nitrous oxide emissions (t N2O)</v>
      </c>
      <c r="O51" s="97"/>
      <c r="P51" s="50">
        <f ca="1">N49</f>
        <v>2.6075015999999998E-4</v>
      </c>
    </row>
    <row r="52" spans="4:16" ht="20" customHeight="1" x14ac:dyDescent="0.25">
      <c r="D52" s="55" t="str">
        <v>GWPN2O</v>
      </c>
      <c r="E52" s="56" t="str">
        <v>Global warming potential for nitrous oxide (t CO2-e / t N2O)</v>
      </c>
      <c r="F52" s="97"/>
      <c r="G52" s="50">
        <f>Common_InputFunctions.Utility_LookupValueInTableNumber("N2O",Table_GWPData[Gas],Table_GWPData[CO2-e factor])</f>
        <v>265</v>
      </c>
      <c r="M52" s="55" t="str">
        <v>GWPN2O</v>
      </c>
      <c r="N52" s="56" t="str">
        <v>Global warming potential for nitrous oxide (t CO2-e / t N2O)</v>
      </c>
      <c r="O52" s="97"/>
      <c r="P52" s="50">
        <f>Common_InputFunctions.Utility_LookupValueInTableNumber("N2O",Table_GWPData[Gas],Table_GWPData[CO2-e factor])</f>
        <v>265</v>
      </c>
    </row>
    <row r="53" spans="4:16" ht="20" customHeight="1" x14ac:dyDescent="0.25"/>
    <row r="54" spans="4:16" ht="20" customHeight="1" x14ac:dyDescent="0.25">
      <c r="D54" s="43" t="s">
        <v>93</v>
      </c>
      <c r="E54" s="43" cm="1">
        <f t="array" aca="1" ref="E54" ca="1">Common_Equations.Common_ConvertN2OToCO2e(G51,G52)</f>
        <v>6.9098792399999998E-2</v>
      </c>
      <c r="F54" s="98" t="str" cm="1">
        <f t="array" ref="F54">Common_Equations.Common_ConvertN2OToCO2e_Unit()</f>
        <v>t CO2e</v>
      </c>
      <c r="M54" s="43" t="s">
        <v>93</v>
      </c>
      <c r="N54" s="43" cm="1">
        <f t="array" aca="1" ref="N54" ca="1">Common_Equations.Common_ConvertN2OToCO2e(P51,P52)</f>
        <v>6.9098792399999998E-2</v>
      </c>
      <c r="O54" s="98" t="str" cm="1">
        <f t="array" ref="O54">Common_Equations.Common_ConvertN2OToCO2e_Unit()</f>
        <v>t CO2e</v>
      </c>
    </row>
    <row r="55" spans="4:16" ht="20" customHeight="1" x14ac:dyDescent="0.25"/>
    <row r="56" spans="4:16" ht="20" customHeight="1" x14ac:dyDescent="0.25"/>
    <row r="57" spans="4:16" ht="20" customHeight="1" x14ac:dyDescent="0.25"/>
    <row r="58" spans="4:16" ht="20" customHeight="1" x14ac:dyDescent="0.25"/>
    <row r="59" spans="4:16" ht="20" customHeight="1" x14ac:dyDescent="0.25"/>
    <row r="60" spans="4:16" ht="20" customHeight="1" x14ac:dyDescent="0.25"/>
    <row r="61" spans="4:16" ht="20" customHeight="1" x14ac:dyDescent="0.25"/>
    <row r="62" spans="4:16" ht="20" customHeight="1" x14ac:dyDescent="0.25"/>
    <row r="63" spans="4:16" ht="20" customHeight="1" x14ac:dyDescent="0.25"/>
    <row r="64" spans="4:16"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sheetPr>
    <tabColor rgb="FF008000"/>
  </sheetPr>
  <dimension ref="A1:U286"/>
  <sheetViews>
    <sheetView showGridLines="0" topLeftCell="A145" zoomScaleNormal="100" workbookViewId="0">
      <selection activeCell="A26" sqref="A26"/>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4" t="e" vm="1">
        <v>#VALUE!</v>
      </c>
      <c r="C1" s="8" t="s">
        <v>278</v>
      </c>
    </row>
    <row r="2" spans="1:21" s="9" customFormat="1" ht="20" customHeight="1" x14ac:dyDescent="0.25">
      <c r="A2"/>
    </row>
    <row r="3" spans="1:21" ht="20"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 customHeight="1" x14ac:dyDescent="0.25">
      <c r="D6" s="5" t="str" cm="1">
        <f t="array" ref="D6">MMS_Swine_ManureAppliedToSoils_Equations.VEERG_4_5_1_9__1_MassOfNitrogenAppliedToSoilsScope1_Source()</f>
        <v>VEERG 2026: 4.5.1.9, Equation (1)</v>
      </c>
    </row>
    <row r="7" spans="1:21" ht="20" customHeight="1" x14ac:dyDescent="0.25">
      <c r="D7" s="13" t="s">
        <v>23</v>
      </c>
      <c r="E7" s="13" t="str" cm="1">
        <f t="array" aca="1" ref="E7" ca="1">Common_InputFunctions.Utility_DisplayFunctionName(F134)</f>
        <v>=MMS_Swine_ManureAppliedToSoils_Equations.VEERG_4_5_1_9__1_MassOfNitrogenAppliedToSoilsScope1</v>
      </c>
    </row>
    <row r="8" spans="1:21" ht="20" customHeight="1" x14ac:dyDescent="0.25">
      <c r="A8" s="19" t="s">
        <v>0</v>
      </c>
    </row>
    <row r="9" spans="1:21" ht="20" customHeight="1" x14ac:dyDescent="0.25">
      <c r="A9" s="17" t="str">
        <f>HYPERLINK("#'Input - Site'!A1", "Site")</f>
        <v>Site</v>
      </c>
      <c r="G9" s="100" t="s">
        <v>280</v>
      </c>
    </row>
    <row r="10" spans="1:21" ht="20" customHeight="1" x14ac:dyDescent="0.25">
      <c r="A10" s="17" t="str">
        <f>HYPERLINK("#'Input - Swine'!A1", "Swine")</f>
        <v>Swine</v>
      </c>
      <c r="D10" s="51" t="s">
        <v>26</v>
      </c>
      <c r="E10" s="1" t="str" cm="1">
        <f t="array" ref="E10">MMS_Swine_ManureAppliedToSoils_Equations.VEERG_4_5_1_9__1_MassOfNitrogenAppliedToSoilsScope1_Variable()</f>
        <v>MNSoil_scope1</v>
      </c>
      <c r="G10" s="5" t="s">
        <v>279</v>
      </c>
    </row>
    <row r="11" spans="1:21" ht="20" customHeight="1" x14ac:dyDescent="0.25">
      <c r="D11" s="51" t="s">
        <v>16</v>
      </c>
      <c r="E11" s="52" t="str" cm="1">
        <f t="array" ref="E11">MMS_Swine_ManureAppliedToSoils_Equations.VEERG_4_5_1_9__1_MassOfNitrogenAppliedToSoilsScope1_Unit()</f>
        <v>kg N</v>
      </c>
    </row>
    <row r="12" spans="1:21" ht="20" customHeight="1" x14ac:dyDescent="0.25"/>
    <row r="13" spans="1:21" ht="20" customHeight="1" x14ac:dyDescent="0.25">
      <c r="A13" s="18" t="s">
        <v>71</v>
      </c>
      <c r="D13" s="55" t="str" cm="1">
        <f t="array" ref="D13:E17">Common_InputFunctions.Utility_DisplayArguments_1_2(MMS_Swine_ManureAppliedToSoils_Equations.VEERG_4_5_1_9__1_MassOfNitrogenAppliedToSoilsScope1_Arguments())</f>
        <v>MN_jmT2</v>
      </c>
      <c r="E13" s="56" t="str">
        <v>mass of N in MMS at treatment stage 2</v>
      </c>
      <c r="F13" s="93"/>
      <c r="G13" s="57" t="str" cm="1">
        <f t="array" ref="G13:H17">Common_InputFunctions.Utility_DisplayArguments_3_4(MMS_Swine_ManureAppliedToSoils_Equations.VEERG_4_5_1_9__1_MassOfNitrogenAppliedToSoilsScope1_Arguments())</f>
        <v>kg N</v>
      </c>
      <c r="H13" s="127" t="str">
        <v>Calculated from 4.5.1.3 (6)</v>
      </c>
      <c r="I13" s="129" t="str" cm="1">
        <f t="array" aca="1" ref="I13" ca="1">HYPERLINK(Common_InputFunctions.Utility_SourceHyperlink(D19), D19)</f>
        <v>M1_Table_MN_j_m_T-2</v>
      </c>
    </row>
    <row r="14" spans="1:21" ht="20" customHeight="1" x14ac:dyDescent="0.25">
      <c r="A14" s="17" t="str">
        <f>HYPERLINK("#'4.5.1.1-2 Methane'!A1", "4.5.1.1-2 Methane")</f>
        <v>4.5.1.1-2 Methane</v>
      </c>
      <c r="D14" s="55" t="str">
        <v>EF_mT2</v>
      </c>
      <c r="E14" s="56" t="str">
        <v>nitrous oxide emission factor for each MMS at treatment stage 2</v>
      </c>
      <c r="F14" s="93"/>
      <c r="G14" s="57" t="str">
        <v>kg N2O-N/kg N</v>
      </c>
      <c r="H14" s="127" t="str">
        <v>Constant</v>
      </c>
      <c r="I14" s="129" t="str" cm="1">
        <f t="array" aca="1" ref="I14" ca="1">HYPERLINK(Common_InputFunctions.Utility_SourceHyperlink(D120), D120)</f>
        <v>Table_EF_m_T</v>
      </c>
    </row>
    <row r="15" spans="1:21" ht="20" customHeight="1" x14ac:dyDescent="0.25">
      <c r="A15" s="17" t="str">
        <f>HYPERLINK("#'4.5.1.3-4 Direct N2O'!A1", "4.5.1.3-4 Direct N2O")</f>
        <v>4.5.1.3-4 Direct N2O</v>
      </c>
      <c r="D15" s="55" t="str">
        <v>FracGASM_mT2</v>
      </c>
      <c r="E15" s="56" t="str">
        <v>fraction of animal waste N volatilised in each MMS at treatment stage 2</v>
      </c>
      <c r="F15" s="93"/>
      <c r="G15" s="57" t="str">
        <v>(kg NH3-N + NOx-N)/kg N</v>
      </c>
      <c r="H15" s="127" t="str">
        <v>Constant</v>
      </c>
      <c r="I15" s="129" t="str" cm="1">
        <f t="array" aca="1" ref="I15" ca="1">HYPERLINK(Common_InputFunctions.Utility_SourceHyperlink(D109), D109)</f>
        <v>Table_FracGASM_m_t</v>
      </c>
    </row>
    <row r="16" spans="1:21" ht="20" customHeight="1" x14ac:dyDescent="0.25">
      <c r="A16" s="17" t="str">
        <f>HYPERLINK("#'4.5.1.5-6 Atmos Dep'!A1", "4.5.1.5-6 Atmos Dep")</f>
        <v>4.5.1.5-6 Atmos Dep</v>
      </c>
      <c r="D16" s="55" t="str">
        <v>MNLeach_jm5</v>
      </c>
      <c r="E16" s="56" t="str">
        <v>mass of N lost to leaching and runoff from drylot MMS</v>
      </c>
      <c r="F16" s="93"/>
      <c r="G16" s="57" t="str">
        <v>kg N</v>
      </c>
      <c r="H16" s="127" t="str">
        <v>Calculated from 4.5.1.7 (2)</v>
      </c>
      <c r="I16" s="129" t="str" cm="1">
        <f t="array" aca="1" ref="I16" ca="1">HYPERLINK(Common_InputFunctions.Utility_SourceHyperlink(D49), D49)</f>
        <v>M1_Table_MN_leach_j_m-5</v>
      </c>
    </row>
    <row r="17" spans="1:20" ht="20" customHeight="1" x14ac:dyDescent="0.25">
      <c r="A17" s="17" t="str">
        <f>HYPERLINK("#'4.5.1.7-8 Leaching and runoff'!A1", "4.5.1.7-8 Leaching and runoff")</f>
        <v>4.5.1.7-8 Leaching and runoff</v>
      </c>
      <c r="D17" s="55" t="str">
        <v>PF</v>
      </c>
      <c r="E17" s="56" t="str">
        <v>fraction of manure applied to soil within the piggery boundary</v>
      </c>
      <c r="F17" s="93"/>
      <c r="G17" s="57" t="str">
        <v>fraction</v>
      </c>
      <c r="H17" s="128" t="str">
        <v>Input</v>
      </c>
      <c r="I17" s="129" t="str" cm="1">
        <f t="array" aca="1" ref="I17" ca="1">HYPERLINK(Common_InputFunctions.Utility_SourceHyperlink(D79), D79)</f>
        <v>M1_Table_PF</v>
      </c>
    </row>
    <row r="18" spans="1:20" ht="20" customHeight="1" x14ac:dyDescent="0.25">
      <c r="A18" s="143" t="str">
        <f>HYPERLINK("#'4.5.1.9 Manure applied to soils'!A1", "4.5.1.9 Manure applied to soils")</f>
        <v>4.5.1.9 Manure applied to soils</v>
      </c>
    </row>
    <row r="19" spans="1:20" ht="20" customHeight="1" x14ac:dyDescent="0.25">
      <c r="D19" s="113" t="s">
        <v>244</v>
      </c>
      <c r="N19" s="113" t="s">
        <v>300</v>
      </c>
    </row>
    <row r="20" spans="1:20" ht="20" customHeight="1" x14ac:dyDescent="0.25">
      <c r="D20" s="114" t="s">
        <v>245</v>
      </c>
      <c r="N20" s="114" t="s">
        <v>301</v>
      </c>
    </row>
    <row r="21" spans="1:20" ht="20" customHeight="1" x14ac:dyDescent="0.25">
      <c r="A21" s="141" t="s">
        <v>1</v>
      </c>
      <c r="D21" s="49" t="s">
        <v>155</v>
      </c>
      <c r="E21" s="49" t="s">
        <v>163</v>
      </c>
      <c r="F21" s="49" t="s">
        <v>134</v>
      </c>
      <c r="G21" s="49" t="s">
        <v>135</v>
      </c>
      <c r="H21" s="49" t="s">
        <v>136</v>
      </c>
      <c r="I21" s="49" t="s">
        <v>192</v>
      </c>
      <c r="N21" s="49" t="s">
        <v>155</v>
      </c>
      <c r="O21" s="49" t="s">
        <v>163</v>
      </c>
      <c r="P21" s="49" t="s">
        <v>134</v>
      </c>
      <c r="Q21" s="49" t="s">
        <v>135</v>
      </c>
      <c r="R21" s="49" t="s">
        <v>136</v>
      </c>
      <c r="S21" s="49" t="s">
        <v>192</v>
      </c>
    </row>
    <row r="22" spans="1:20" ht="20" customHeight="1" x14ac:dyDescent="0.25">
      <c r="A22" s="17" t="str">
        <f>HYPERLINK("#'Constants - Swine'!A1", "Constants - Swine")</f>
        <v>Constants - Swine</v>
      </c>
      <c r="D22" s="55" t="str">
        <f>INDEX(X_Table_Swine_Stage1MMS_AnaerobicLagoon,2,1)</f>
        <v>Anaerobic lagoon</v>
      </c>
      <c r="E22" s="55" t="str">
        <f>INDEX(X_Table_Swine_Stage2MMS_From_AnaerobicLagoon,2,1)</f>
        <v>Digester / covered lagoons</v>
      </c>
      <c r="F22" s="50">
        <f ca="1">'4.5.1.3-4 Direct N2O'!F217</f>
        <v>18.133199999999995</v>
      </c>
      <c r="G22" s="50">
        <f ca="1">'4.5.1.3-4 Direct N2O'!G217</f>
        <v>24.144750000000002</v>
      </c>
      <c r="H22" s="50">
        <f ca="1">'4.5.1.3-4 Direct N2O'!H217</f>
        <v>22.666499999999992</v>
      </c>
      <c r="I22" s="50">
        <f ca="1">'4.5.1.3-4 Direct N2O'!I217</f>
        <v>15.373799999999996</v>
      </c>
      <c r="J22" s="2" t="str">
        <f>$G$13</f>
        <v>kg N</v>
      </c>
      <c r="N22" s="55" t="str">
        <f>INDEX(X_Table_Swine_Stage1MMS_AnaerobicLagoon,2,1)</f>
        <v>Anaerobic lagoon</v>
      </c>
      <c r="O22" s="55" t="str">
        <f>INDEX(X_Table_Swine_Stage2MMS_From_AnaerobicLagoon,2,1)</f>
        <v>Digester / covered lagoons</v>
      </c>
      <c r="P22" s="50">
        <f ca="1">'4.5.1.3-4 Direct N2O'!P217</f>
        <v>18.133199999999995</v>
      </c>
      <c r="Q22" s="50">
        <f ca="1">'4.5.1.3-4 Direct N2O'!Q217</f>
        <v>24.144750000000002</v>
      </c>
      <c r="R22" s="50">
        <f ca="1">'4.5.1.3-4 Direct N2O'!R217</f>
        <v>22.666499999999992</v>
      </c>
      <c r="S22" s="50">
        <f ca="1">'4.5.1.3-4 Direct N2O'!S217</f>
        <v>15.373799999999996</v>
      </c>
      <c r="T22" s="2" t="str">
        <f>$G$13</f>
        <v>kg N</v>
      </c>
    </row>
    <row r="23" spans="1:20" ht="20" customHeight="1" x14ac:dyDescent="0.25">
      <c r="A23" s="17" t="str">
        <f>HYPERLINK("#'Constants - Common'!A1", "Constants - Common")</f>
        <v>Constants - Common</v>
      </c>
      <c r="D23" s="55"/>
      <c r="E23" s="55" t="str">
        <f>INDEX(X_Table_Swine_Stage2MMS_From_AnaerobicLagoon,3,1)</f>
        <v>Deep litter</v>
      </c>
      <c r="F23" s="50">
        <f ca="1">'4.5.1.3-4 Direct N2O'!F218</f>
        <v>18.133199999999995</v>
      </c>
      <c r="G23" s="50">
        <f ca="1">'4.5.1.3-4 Direct N2O'!G218</f>
        <v>24.144750000000002</v>
      </c>
      <c r="H23" s="50">
        <f ca="1">'4.5.1.3-4 Direct N2O'!H218</f>
        <v>22.666499999999992</v>
      </c>
      <c r="I23" s="50">
        <f ca="1">'4.5.1.3-4 Direct N2O'!I218</f>
        <v>15.373799999999996</v>
      </c>
      <c r="J23" s="2"/>
      <c r="N23" s="55"/>
      <c r="O23" s="55" t="str">
        <f>INDEX(X_Table_Swine_Stage2MMS_From_AnaerobicLagoon,3,1)</f>
        <v>Deep litter</v>
      </c>
      <c r="P23" s="50">
        <f ca="1">'4.5.1.3-4 Direct N2O'!P218</f>
        <v>18.133199999999995</v>
      </c>
      <c r="Q23" s="50">
        <f ca="1">'4.5.1.3-4 Direct N2O'!Q218</f>
        <v>24.144750000000002</v>
      </c>
      <c r="R23" s="50">
        <f ca="1">'4.5.1.3-4 Direct N2O'!R218</f>
        <v>22.666499999999992</v>
      </c>
      <c r="S23" s="50">
        <f ca="1">'4.5.1.3-4 Direct N2O'!S218</f>
        <v>15.373799999999996</v>
      </c>
      <c r="T23" s="2"/>
    </row>
    <row r="24" spans="1:20" ht="20" customHeight="1" x14ac:dyDescent="0.25">
      <c r="A24" s="17" t="str">
        <f>HYPERLINK("#'Constants - Common livestock'!A1", "Constants - Common livestock")</f>
        <v>Constants - Common livestock</v>
      </c>
      <c r="D24" s="55"/>
      <c r="E24" s="55" t="str">
        <f>INDEX(X_Table_Swine_Stage2MMS_From_AnaerobicLagoon,4,1)</f>
        <v>Pit storage</v>
      </c>
      <c r="F24" s="50">
        <f ca="1">'4.5.1.3-4 Direct N2O'!F219</f>
        <v>18.133199999999995</v>
      </c>
      <c r="G24" s="50">
        <f ca="1">'4.5.1.3-4 Direct N2O'!G219</f>
        <v>24.144750000000002</v>
      </c>
      <c r="H24" s="50">
        <f ca="1">'4.5.1.3-4 Direct N2O'!H219</f>
        <v>22.666499999999992</v>
      </c>
      <c r="I24" s="50">
        <f ca="1">'4.5.1.3-4 Direct N2O'!I219</f>
        <v>15.373799999999996</v>
      </c>
      <c r="J24" s="2"/>
      <c r="N24" s="55"/>
      <c r="O24" s="55" t="str">
        <f>INDEX(X_Table_Swine_Stage2MMS_From_AnaerobicLagoon,4,1)</f>
        <v>Pit storage</v>
      </c>
      <c r="P24" s="50">
        <f ca="1">'4.5.1.3-4 Direct N2O'!P219</f>
        <v>18.133199999999995</v>
      </c>
      <c r="Q24" s="50">
        <f ca="1">'4.5.1.3-4 Direct N2O'!Q219</f>
        <v>24.144750000000002</v>
      </c>
      <c r="R24" s="50">
        <f ca="1">'4.5.1.3-4 Direct N2O'!R219</f>
        <v>22.666499999999992</v>
      </c>
      <c r="S24" s="50">
        <f ca="1">'4.5.1.3-4 Direct N2O'!S219</f>
        <v>15.373799999999996</v>
      </c>
      <c r="T24" s="2"/>
    </row>
    <row r="25" spans="1:20" ht="20" customHeight="1" x14ac:dyDescent="0.25">
      <c r="A25" s="17" t="str">
        <f>HYPERLINK("#'Acknowledgements'!A1", "Acknowledgements")</f>
        <v>Acknowledgements</v>
      </c>
      <c r="D25" s="55"/>
      <c r="E25" s="55" t="str">
        <f>INDEX(X_Table_Swine_Stage2MMS_From_AnaerobicLagoon,5,1)</f>
        <v>Direct application</v>
      </c>
      <c r="F25" s="50">
        <f ca="1">'4.5.1.3-4 Direct N2O'!F220</f>
        <v>36.266399999999976</v>
      </c>
      <c r="G25" s="50">
        <f ca="1">'4.5.1.3-4 Direct N2O'!G220</f>
        <v>24.144750000000002</v>
      </c>
      <c r="H25" s="50">
        <f ca="1">'4.5.1.3-4 Direct N2O'!H220</f>
        <v>22.666499999999992</v>
      </c>
      <c r="I25" s="50">
        <f ca="1">'4.5.1.3-4 Direct N2O'!I220</f>
        <v>15.373799999999996</v>
      </c>
      <c r="J25" s="2"/>
      <c r="N25" s="55"/>
      <c r="O25" s="55" t="str">
        <f>INDEX(X_Table_Swine_Stage2MMS_From_AnaerobicLagoon,5,1)</f>
        <v>Direct application</v>
      </c>
      <c r="P25" s="50">
        <f ca="1">'4.5.1.3-4 Direct N2O'!P220</f>
        <v>36.266399999999976</v>
      </c>
      <c r="Q25" s="50">
        <f ca="1">'4.5.1.3-4 Direct N2O'!Q220</f>
        <v>24.144750000000002</v>
      </c>
      <c r="R25" s="50">
        <f ca="1">'4.5.1.3-4 Direct N2O'!R220</f>
        <v>22.666499999999992</v>
      </c>
      <c r="S25" s="50">
        <f ca="1">'4.5.1.3-4 Direct N2O'!S220</f>
        <v>15.373799999999996</v>
      </c>
      <c r="T25" s="2"/>
    </row>
    <row r="26" spans="1:20" ht="20" customHeight="1" x14ac:dyDescent="0.25">
      <c r="A26" s="17" t="str">
        <f>HYPERLINK("#'Tab template'!A1", "Tab template")</f>
        <v>Tab template</v>
      </c>
      <c r="D26" s="55" t="str">
        <f>INDEX(X_Table_Swine_Stage1MMS_Drylot,2,1)</f>
        <v>Drylot (feed pad)</v>
      </c>
      <c r="E26" s="55" t="str">
        <f>INDEX(X_Table_Swine_Stage2MMS_From_Drylot,2,1)</f>
        <v>Anaerobic lagoon</v>
      </c>
      <c r="F26" s="50">
        <f ca="1">'4.5.1.3-4 Direct N2O'!F221</f>
        <v>27.401279999999993</v>
      </c>
      <c r="G26" s="50">
        <f ca="1">'4.5.1.3-4 Direct N2O'!G221</f>
        <v>36.485400000000006</v>
      </c>
      <c r="H26" s="50">
        <f ca="1">'4.5.1.3-4 Direct N2O'!H221</f>
        <v>34.251599999999989</v>
      </c>
      <c r="I26" s="50">
        <f ca="1">'4.5.1.3-4 Direct N2O'!I221</f>
        <v>23.231519999999993</v>
      </c>
      <c r="J26" s="2"/>
      <c r="N26" s="55" t="str">
        <f>INDEX(X_Table_Swine_Stage1MMS_Drylot,2,1)</f>
        <v>Drylot (feed pad)</v>
      </c>
      <c r="O26" s="55" t="str">
        <f>INDEX(X_Table_Swine_Stage2MMS_From_Drylot,2,1)</f>
        <v>Anaerobic lagoon</v>
      </c>
      <c r="P26" s="50">
        <f ca="1">'4.5.1.3-4 Direct N2O'!P221</f>
        <v>27.401279999999993</v>
      </c>
      <c r="Q26" s="50">
        <f ca="1">'4.5.1.3-4 Direct N2O'!Q221</f>
        <v>36.485400000000006</v>
      </c>
      <c r="R26" s="50">
        <f ca="1">'4.5.1.3-4 Direct N2O'!R221</f>
        <v>34.251599999999989</v>
      </c>
      <c r="S26" s="50">
        <f ca="1">'4.5.1.3-4 Direct N2O'!S221</f>
        <v>23.231519999999993</v>
      </c>
      <c r="T26" s="2"/>
    </row>
    <row r="27" spans="1:20" ht="20" customHeight="1" x14ac:dyDescent="0.25">
      <c r="D27" s="55"/>
      <c r="E27" s="55" t="str">
        <f>INDEX(X_Table_Swine_Stage2MMS_From_Drylot,3,1)</f>
        <v>Digester / covered lagoons</v>
      </c>
      <c r="F27" s="50">
        <f ca="1">'4.5.1.3-4 Direct N2O'!F222</f>
        <v>27.401279999999993</v>
      </c>
      <c r="G27" s="50">
        <f ca="1">'4.5.1.3-4 Direct N2O'!G222</f>
        <v>36.485400000000006</v>
      </c>
      <c r="H27" s="50">
        <f ca="1">'4.5.1.3-4 Direct N2O'!H222</f>
        <v>34.251599999999989</v>
      </c>
      <c r="I27" s="50">
        <f ca="1">'4.5.1.3-4 Direct N2O'!I222</f>
        <v>23.231519999999993</v>
      </c>
      <c r="J27" s="2"/>
      <c r="N27" s="55"/>
      <c r="O27" s="55" t="str">
        <f>INDEX(X_Table_Swine_Stage2MMS_From_Drylot,3,1)</f>
        <v>Digester / covered lagoons</v>
      </c>
      <c r="P27" s="50">
        <f ca="1">'4.5.1.3-4 Direct N2O'!P222</f>
        <v>27.401279999999993</v>
      </c>
      <c r="Q27" s="50">
        <f ca="1">'4.5.1.3-4 Direct N2O'!Q222</f>
        <v>36.485400000000006</v>
      </c>
      <c r="R27" s="50">
        <f ca="1">'4.5.1.3-4 Direct N2O'!R222</f>
        <v>34.251599999999989</v>
      </c>
      <c r="S27" s="50">
        <f ca="1">'4.5.1.3-4 Direct N2O'!S222</f>
        <v>23.231519999999993</v>
      </c>
      <c r="T27" s="2"/>
    </row>
    <row r="28" spans="1:20" ht="20" customHeight="1" x14ac:dyDescent="0.25">
      <c r="D28" s="55"/>
      <c r="E28" s="55" t="str">
        <f>INDEX(X_Table_Swine_Stage2MMS_From_Drylot,4,1)</f>
        <v>Deep litter</v>
      </c>
      <c r="F28" s="50">
        <f ca="1">'4.5.1.3-4 Direct N2O'!F223</f>
        <v>27.401279999999993</v>
      </c>
      <c r="G28" s="50">
        <f ca="1">'4.5.1.3-4 Direct N2O'!G223</f>
        <v>36.485400000000006</v>
      </c>
      <c r="H28" s="50">
        <f ca="1">'4.5.1.3-4 Direct N2O'!H223</f>
        <v>34.251599999999989</v>
      </c>
      <c r="I28" s="50">
        <f ca="1">'4.5.1.3-4 Direct N2O'!I223</f>
        <v>23.231519999999993</v>
      </c>
      <c r="J28" s="2"/>
      <c r="N28" s="55"/>
      <c r="O28" s="55" t="str">
        <f>INDEX(X_Table_Swine_Stage2MMS_From_Drylot,4,1)</f>
        <v>Deep litter</v>
      </c>
      <c r="P28" s="50">
        <f ca="1">'4.5.1.3-4 Direct N2O'!P223</f>
        <v>27.401279999999993</v>
      </c>
      <c r="Q28" s="50">
        <f ca="1">'4.5.1.3-4 Direct N2O'!Q223</f>
        <v>36.485400000000006</v>
      </c>
      <c r="R28" s="50">
        <f ca="1">'4.5.1.3-4 Direct N2O'!R223</f>
        <v>34.251599999999989</v>
      </c>
      <c r="S28" s="50">
        <f ca="1">'4.5.1.3-4 Direct N2O'!S223</f>
        <v>23.231519999999993</v>
      </c>
      <c r="T28" s="2"/>
    </row>
    <row r="29" spans="1:20" ht="20" customHeight="1" x14ac:dyDescent="0.25">
      <c r="D29" s="55"/>
      <c r="E29" s="55" t="str">
        <f>INDEX(X_Table_Swine_Stage2MMS_From_Drylot,5,1)</f>
        <v>Pit storage</v>
      </c>
      <c r="F29" s="50">
        <f ca="1">'4.5.1.3-4 Direct N2O'!F224</f>
        <v>27.401279999999993</v>
      </c>
      <c r="G29" s="50">
        <f ca="1">'4.5.1.3-4 Direct N2O'!G224</f>
        <v>36.485400000000006</v>
      </c>
      <c r="H29" s="50">
        <f ca="1">'4.5.1.3-4 Direct N2O'!H224</f>
        <v>34.251599999999989</v>
      </c>
      <c r="I29" s="50">
        <f ca="1">'4.5.1.3-4 Direct N2O'!I224</f>
        <v>23.231519999999993</v>
      </c>
      <c r="J29" s="2"/>
      <c r="N29" s="55"/>
      <c r="O29" s="55" t="str">
        <f>INDEX(X_Table_Swine_Stage2MMS_From_Drylot,5,1)</f>
        <v>Pit storage</v>
      </c>
      <c r="P29" s="50">
        <f ca="1">'4.5.1.3-4 Direct N2O'!P224</f>
        <v>27.401279999999993</v>
      </c>
      <c r="Q29" s="50">
        <f ca="1">'4.5.1.3-4 Direct N2O'!Q224</f>
        <v>36.485400000000006</v>
      </c>
      <c r="R29" s="50">
        <f ca="1">'4.5.1.3-4 Direct N2O'!R224</f>
        <v>34.251599999999989</v>
      </c>
      <c r="S29" s="50">
        <f ca="1">'4.5.1.3-4 Direct N2O'!S224</f>
        <v>23.231519999999993</v>
      </c>
      <c r="T29" s="2"/>
    </row>
    <row r="30" spans="1:20" ht="20" customHeight="1" x14ac:dyDescent="0.25">
      <c r="D30" s="55"/>
      <c r="E30" s="55" t="str">
        <f>INDEX(X_Table_Swine_Stage2MMS_From_Drylot,6,1)</f>
        <v>Direct application</v>
      </c>
      <c r="F30" s="50">
        <f ca="1">'4.5.1.3-4 Direct N2O'!F225</f>
        <v>27.401279999999986</v>
      </c>
      <c r="G30" s="50">
        <f ca="1">'4.5.1.3-4 Direct N2O'!G225</f>
        <v>0</v>
      </c>
      <c r="H30" s="50">
        <f ca="1">'4.5.1.3-4 Direct N2O'!H225</f>
        <v>0</v>
      </c>
      <c r="I30" s="50">
        <f ca="1">'4.5.1.3-4 Direct N2O'!I225</f>
        <v>0</v>
      </c>
      <c r="J30" s="2"/>
      <c r="N30" s="55"/>
      <c r="O30" s="55" t="str">
        <f>INDEX(X_Table_Swine_Stage2MMS_From_Drylot,6,1)</f>
        <v>Direct application</v>
      </c>
      <c r="P30" s="50">
        <f ca="1">'4.5.1.3-4 Direct N2O'!P225</f>
        <v>27.401279999999986</v>
      </c>
      <c r="Q30" s="50">
        <f ca="1">'4.5.1.3-4 Direct N2O'!Q225</f>
        <v>0</v>
      </c>
      <c r="R30" s="50">
        <f ca="1">'4.5.1.3-4 Direct N2O'!R225</f>
        <v>0</v>
      </c>
      <c r="S30" s="50">
        <f ca="1">'4.5.1.3-4 Direct N2O'!S225</f>
        <v>0</v>
      </c>
      <c r="T30" s="2"/>
    </row>
    <row r="31" spans="1:20" ht="20" customHeight="1" x14ac:dyDescent="0.25">
      <c r="D31" s="55" t="str">
        <f>INDEX(X_Table_Swine_Stage1MMS_DigesterCoveredLagoons,2,1)</f>
        <v>Digester / covered lagoons</v>
      </c>
      <c r="E31" s="55" t="str">
        <f>INDEX(X_Table_Swine_Stage2MMS_From_DigesterCoveredLagoons,2,1)</f>
        <v>Anaerobic lagoon</v>
      </c>
      <c r="F31" s="50">
        <f ca="1">'4.5.1.3-4 Direct N2O'!F226</f>
        <v>40.295999999999992</v>
      </c>
      <c r="G31" s="50">
        <f ca="1">'4.5.1.3-4 Direct N2O'!G226</f>
        <v>53.655000000000008</v>
      </c>
      <c r="H31" s="50">
        <f ca="1">'4.5.1.3-4 Direct N2O'!H226</f>
        <v>50.36999999999999</v>
      </c>
      <c r="I31" s="50">
        <f ca="1">'4.5.1.3-4 Direct N2O'!I226</f>
        <v>34.163999999999994</v>
      </c>
      <c r="J31" s="2"/>
      <c r="N31" s="55" t="str">
        <f>INDEX(X_Table_Swine_Stage1MMS_DigesterCoveredLagoons,2,1)</f>
        <v>Digester / covered lagoons</v>
      </c>
      <c r="O31" s="55" t="str">
        <f>INDEX(X_Table_Swine_Stage2MMS_From_DigesterCoveredLagoons,2,1)</f>
        <v>Anaerobic lagoon</v>
      </c>
      <c r="P31" s="50">
        <f ca="1">'4.5.1.3-4 Direct N2O'!P226</f>
        <v>40.295999999999992</v>
      </c>
      <c r="Q31" s="50">
        <f ca="1">'4.5.1.3-4 Direct N2O'!Q226</f>
        <v>53.655000000000008</v>
      </c>
      <c r="R31" s="50">
        <f ca="1">'4.5.1.3-4 Direct N2O'!R226</f>
        <v>50.36999999999999</v>
      </c>
      <c r="S31" s="50">
        <f ca="1">'4.5.1.3-4 Direct N2O'!S226</f>
        <v>34.163999999999994</v>
      </c>
      <c r="T31" s="2"/>
    </row>
    <row r="32" spans="1:20" ht="20" customHeight="1" x14ac:dyDescent="0.25">
      <c r="D32" s="55"/>
      <c r="E32" s="55" t="str">
        <f>INDEX(X_Table_Swine_Stage2MMS_From_DigesterCoveredLagoons,3,1)</f>
        <v>Deep litter</v>
      </c>
      <c r="F32" s="50">
        <f ca="1">'4.5.1.3-4 Direct N2O'!F227</f>
        <v>40.295999999999992</v>
      </c>
      <c r="G32" s="50">
        <f ca="1">'4.5.1.3-4 Direct N2O'!G227</f>
        <v>53.655000000000008</v>
      </c>
      <c r="H32" s="50">
        <f ca="1">'4.5.1.3-4 Direct N2O'!H227</f>
        <v>50.36999999999999</v>
      </c>
      <c r="I32" s="50">
        <f ca="1">'4.5.1.3-4 Direct N2O'!I227</f>
        <v>34.163999999999994</v>
      </c>
      <c r="J32" s="2"/>
      <c r="N32" s="55"/>
      <c r="O32" s="55" t="str">
        <f>INDEX(X_Table_Swine_Stage2MMS_From_DigesterCoveredLagoons,3,1)</f>
        <v>Deep litter</v>
      </c>
      <c r="P32" s="50">
        <f ca="1">'4.5.1.3-4 Direct N2O'!P227</f>
        <v>40.295999999999992</v>
      </c>
      <c r="Q32" s="50">
        <f ca="1">'4.5.1.3-4 Direct N2O'!Q227</f>
        <v>53.655000000000008</v>
      </c>
      <c r="R32" s="50">
        <f ca="1">'4.5.1.3-4 Direct N2O'!R227</f>
        <v>50.36999999999999</v>
      </c>
      <c r="S32" s="50">
        <f ca="1">'4.5.1.3-4 Direct N2O'!S227</f>
        <v>34.163999999999994</v>
      </c>
      <c r="T32" s="2"/>
    </row>
    <row r="33" spans="4:20" ht="20" customHeight="1" x14ac:dyDescent="0.25">
      <c r="D33" s="55"/>
      <c r="E33" s="55" t="str">
        <f>INDEX(X_Table_Swine_Stage2MMS_From_DigesterCoveredLagoons,4,1)</f>
        <v>Pit storage</v>
      </c>
      <c r="F33" s="50">
        <f ca="1">'4.5.1.3-4 Direct N2O'!F228</f>
        <v>40.295999999999992</v>
      </c>
      <c r="G33" s="50">
        <f ca="1">'4.5.1.3-4 Direct N2O'!G228</f>
        <v>53.655000000000008</v>
      </c>
      <c r="H33" s="50">
        <f ca="1">'4.5.1.3-4 Direct N2O'!H228</f>
        <v>50.36999999999999</v>
      </c>
      <c r="I33" s="50">
        <f ca="1">'4.5.1.3-4 Direct N2O'!I228</f>
        <v>34.163999999999994</v>
      </c>
      <c r="J33" s="2"/>
      <c r="N33" s="55"/>
      <c r="O33" s="55" t="str">
        <f>INDEX(X_Table_Swine_Stage2MMS_From_DigesterCoveredLagoons,4,1)</f>
        <v>Pit storage</v>
      </c>
      <c r="P33" s="50">
        <f ca="1">'4.5.1.3-4 Direct N2O'!P228</f>
        <v>40.295999999999992</v>
      </c>
      <c r="Q33" s="50">
        <f ca="1">'4.5.1.3-4 Direct N2O'!Q228</f>
        <v>53.655000000000008</v>
      </c>
      <c r="R33" s="50">
        <f ca="1">'4.5.1.3-4 Direct N2O'!R228</f>
        <v>50.36999999999999</v>
      </c>
      <c r="S33" s="50">
        <f ca="1">'4.5.1.3-4 Direct N2O'!S228</f>
        <v>34.163999999999994</v>
      </c>
      <c r="T33" s="2"/>
    </row>
    <row r="34" spans="4:20" ht="20" customHeight="1" x14ac:dyDescent="0.25">
      <c r="D34" s="55"/>
      <c r="E34" s="55" t="str">
        <f>INDEX(X_Table_Swine_Stage2MMS_From_DigesterCoveredLagoons,5,1)</f>
        <v>Direct application</v>
      </c>
      <c r="F34" s="50">
        <f ca="1">'4.5.1.3-4 Direct N2O'!F229</f>
        <v>80.59199999999997</v>
      </c>
      <c r="G34" s="50">
        <f ca="1">'4.5.1.3-4 Direct N2O'!G229</f>
        <v>53.655000000000008</v>
      </c>
      <c r="H34" s="50">
        <f ca="1">'4.5.1.3-4 Direct N2O'!H229</f>
        <v>50.36999999999999</v>
      </c>
      <c r="I34" s="50">
        <f ca="1">'4.5.1.3-4 Direct N2O'!I229</f>
        <v>34.163999999999994</v>
      </c>
      <c r="J34" s="2"/>
      <c r="N34" s="55"/>
      <c r="O34" s="55" t="str">
        <f>INDEX(X_Table_Swine_Stage2MMS_From_DigesterCoveredLagoons,5,1)</f>
        <v>Direct application</v>
      </c>
      <c r="P34" s="50">
        <f ca="1">'4.5.1.3-4 Direct N2O'!P229</f>
        <v>80.59199999999997</v>
      </c>
      <c r="Q34" s="50">
        <f ca="1">'4.5.1.3-4 Direct N2O'!Q229</f>
        <v>53.655000000000008</v>
      </c>
      <c r="R34" s="50">
        <f ca="1">'4.5.1.3-4 Direct N2O'!R229</f>
        <v>50.36999999999999</v>
      </c>
      <c r="S34" s="50">
        <f ca="1">'4.5.1.3-4 Direct N2O'!S229</f>
        <v>34.163999999999994</v>
      </c>
      <c r="T34" s="2"/>
    </row>
    <row r="35" spans="4:20" ht="20" customHeight="1" x14ac:dyDescent="0.25">
      <c r="D35" s="55" t="str">
        <f>INDEX(X_Table_Swine_Stage1MMS_DeepLitter,2,1)</f>
        <v>Deep litter</v>
      </c>
      <c r="E35" s="55" t="str">
        <f>INDEX(X_Table_Swine_Stage2MMS_From_DeepLitter,2,1)</f>
        <v>Anaerobic lagoon</v>
      </c>
      <c r="F35" s="50">
        <f ca="1">'4.5.1.3-4 Direct N2O'!F230</f>
        <v>34.856039999999993</v>
      </c>
      <c r="G35" s="50">
        <f ca="1">'4.5.1.3-4 Direct N2O'!G230</f>
        <v>46.411575000000006</v>
      </c>
      <c r="H35" s="50">
        <f ca="1">'4.5.1.3-4 Direct N2O'!H230</f>
        <v>43.570049999999988</v>
      </c>
      <c r="I35" s="50">
        <f ca="1">'4.5.1.3-4 Direct N2O'!I230</f>
        <v>29.551859999999994</v>
      </c>
      <c r="J35" s="2"/>
      <c r="N35" s="55" t="str">
        <f>INDEX(X_Table_Swine_Stage1MMS_DeepLitter,2,1)</f>
        <v>Deep litter</v>
      </c>
      <c r="O35" s="55" t="str">
        <f>INDEX(X_Table_Swine_Stage2MMS_From_DeepLitter,2,1)</f>
        <v>Anaerobic lagoon</v>
      </c>
      <c r="P35" s="50">
        <f ca="1">'4.5.1.3-4 Direct N2O'!P230</f>
        <v>34.856039999999993</v>
      </c>
      <c r="Q35" s="50">
        <f ca="1">'4.5.1.3-4 Direct N2O'!Q230</f>
        <v>46.411575000000006</v>
      </c>
      <c r="R35" s="50">
        <f ca="1">'4.5.1.3-4 Direct N2O'!R230</f>
        <v>43.570049999999988</v>
      </c>
      <c r="S35" s="50">
        <f ca="1">'4.5.1.3-4 Direct N2O'!S230</f>
        <v>29.551859999999994</v>
      </c>
      <c r="T35" s="2"/>
    </row>
    <row r="36" spans="4:20" ht="20" customHeight="1" x14ac:dyDescent="0.25">
      <c r="D36" s="55"/>
      <c r="E36" s="55" t="str">
        <f>INDEX(X_Table_Swine_Stage2MMS_From_DeepLitter,3,1)</f>
        <v>Digester / covered lagoons</v>
      </c>
      <c r="F36" s="50">
        <f ca="1">'4.5.1.3-4 Direct N2O'!F231</f>
        <v>34.856039999999993</v>
      </c>
      <c r="G36" s="50">
        <f ca="1">'4.5.1.3-4 Direct N2O'!G231</f>
        <v>46.411575000000006</v>
      </c>
      <c r="H36" s="50">
        <f ca="1">'4.5.1.3-4 Direct N2O'!H231</f>
        <v>43.570049999999988</v>
      </c>
      <c r="I36" s="50">
        <f ca="1">'4.5.1.3-4 Direct N2O'!I231</f>
        <v>29.551859999999994</v>
      </c>
      <c r="J36" s="2"/>
      <c r="N36" s="55"/>
      <c r="O36" s="55" t="str">
        <f>INDEX(X_Table_Swine_Stage2MMS_From_DeepLitter,3,1)</f>
        <v>Digester / covered lagoons</v>
      </c>
      <c r="P36" s="50">
        <f ca="1">'4.5.1.3-4 Direct N2O'!P231</f>
        <v>34.856039999999993</v>
      </c>
      <c r="Q36" s="50">
        <f ca="1">'4.5.1.3-4 Direct N2O'!Q231</f>
        <v>46.411575000000006</v>
      </c>
      <c r="R36" s="50">
        <f ca="1">'4.5.1.3-4 Direct N2O'!R231</f>
        <v>43.570049999999988</v>
      </c>
      <c r="S36" s="50">
        <f ca="1">'4.5.1.3-4 Direct N2O'!S231</f>
        <v>29.551859999999994</v>
      </c>
      <c r="T36" s="2"/>
    </row>
    <row r="37" spans="4:20" ht="20" customHeight="1" x14ac:dyDescent="0.25">
      <c r="D37" s="55"/>
      <c r="E37" s="55" t="str">
        <f>INDEX(X_Table_Swine_Stage2MMS_From_DeepLitter,4,1)</f>
        <v>Pit storage</v>
      </c>
      <c r="F37" s="50">
        <f ca="1">'4.5.1.3-4 Direct N2O'!F232</f>
        <v>34.856039999999993</v>
      </c>
      <c r="G37" s="50">
        <f ca="1">'4.5.1.3-4 Direct N2O'!G232</f>
        <v>46.411575000000006</v>
      </c>
      <c r="H37" s="50">
        <f ca="1">'4.5.1.3-4 Direct N2O'!H232</f>
        <v>43.570049999999988</v>
      </c>
      <c r="I37" s="50">
        <f ca="1">'4.5.1.3-4 Direct N2O'!I232</f>
        <v>29.551859999999994</v>
      </c>
      <c r="J37" s="2"/>
      <c r="N37" s="55"/>
      <c r="O37" s="55" t="str">
        <f>INDEX(X_Table_Swine_Stage2MMS_From_DeepLitter,4,1)</f>
        <v>Pit storage</v>
      </c>
      <c r="P37" s="50">
        <f ca="1">'4.5.1.3-4 Direct N2O'!P232</f>
        <v>34.856039999999993</v>
      </c>
      <c r="Q37" s="50">
        <f ca="1">'4.5.1.3-4 Direct N2O'!Q232</f>
        <v>46.411575000000006</v>
      </c>
      <c r="R37" s="50">
        <f ca="1">'4.5.1.3-4 Direct N2O'!R232</f>
        <v>43.570049999999988</v>
      </c>
      <c r="S37" s="50">
        <f ca="1">'4.5.1.3-4 Direct N2O'!S232</f>
        <v>29.551859999999994</v>
      </c>
      <c r="T37" s="2"/>
    </row>
    <row r="38" spans="4:20" ht="20" customHeight="1" x14ac:dyDescent="0.25">
      <c r="D38" s="55"/>
      <c r="E38" s="55" t="str">
        <f>INDEX(X_Table_Swine_Stage2MMS_From_DeepLitter,5,1)</f>
        <v>Direct application</v>
      </c>
      <c r="F38" s="50">
        <f ca="1">'4.5.1.3-4 Direct N2O'!F233</f>
        <v>69.712079999999972</v>
      </c>
      <c r="G38" s="50">
        <f ca="1">'4.5.1.3-4 Direct N2O'!G233</f>
        <v>46.411575000000006</v>
      </c>
      <c r="H38" s="50">
        <f ca="1">'4.5.1.3-4 Direct N2O'!H233</f>
        <v>43.570049999999988</v>
      </c>
      <c r="I38" s="50">
        <f ca="1">'4.5.1.3-4 Direct N2O'!I233</f>
        <v>29.551859999999994</v>
      </c>
      <c r="J38" s="2"/>
      <c r="N38" s="55"/>
      <c r="O38" s="55" t="str">
        <f>INDEX(X_Table_Swine_Stage2MMS_From_DeepLitter,5,1)</f>
        <v>Direct application</v>
      </c>
      <c r="P38" s="50">
        <f ca="1">'4.5.1.3-4 Direct N2O'!P233</f>
        <v>69.712079999999972</v>
      </c>
      <c r="Q38" s="50">
        <f ca="1">'4.5.1.3-4 Direct N2O'!Q233</f>
        <v>46.411575000000006</v>
      </c>
      <c r="R38" s="50">
        <f ca="1">'4.5.1.3-4 Direct N2O'!R233</f>
        <v>43.570049999999988</v>
      </c>
      <c r="S38" s="50">
        <f ca="1">'4.5.1.3-4 Direct N2O'!S233</f>
        <v>29.551859999999994</v>
      </c>
      <c r="T38" s="2"/>
    </row>
    <row r="39" spans="4:20" ht="20" customHeight="1" x14ac:dyDescent="0.25">
      <c r="D39" s="55" t="str">
        <f>INDEX(X_Table_Swine_Stage1MMS_PitStorage,2,1)</f>
        <v>Pit storage</v>
      </c>
      <c r="E39" s="55" t="str">
        <f>INDEX(X_Table_Swine_Stage2MMS_From_PitStorage,2,1)</f>
        <v>Anaerobic lagoon</v>
      </c>
      <c r="F39" s="50">
        <f ca="1">'4.5.1.3-4 Direct N2O'!F234</f>
        <v>30.141407999999998</v>
      </c>
      <c r="G39" s="50">
        <f ca="1">'4.5.1.3-4 Direct N2O'!G234</f>
        <v>40.133940000000003</v>
      </c>
      <c r="H39" s="50">
        <f ca="1">'4.5.1.3-4 Direct N2O'!H234</f>
        <v>37.676759999999994</v>
      </c>
      <c r="I39" s="50">
        <f ca="1">'4.5.1.3-4 Direct N2O'!I234</f>
        <v>25.554671999999997</v>
      </c>
      <c r="J39" s="2"/>
      <c r="N39" s="55" t="str">
        <f>INDEX(X_Table_Swine_Stage1MMS_PitStorage,2,1)</f>
        <v>Pit storage</v>
      </c>
      <c r="O39" s="55" t="str">
        <f>INDEX(X_Table_Swine_Stage2MMS_From_PitStorage,2,1)</f>
        <v>Anaerobic lagoon</v>
      </c>
      <c r="P39" s="50">
        <f ca="1">'4.5.1.3-4 Direct N2O'!P234</f>
        <v>30.141407999999998</v>
      </c>
      <c r="Q39" s="50">
        <f ca="1">'4.5.1.3-4 Direct N2O'!Q234</f>
        <v>40.133940000000003</v>
      </c>
      <c r="R39" s="50">
        <f ca="1">'4.5.1.3-4 Direct N2O'!R234</f>
        <v>37.676759999999994</v>
      </c>
      <c r="S39" s="50">
        <f ca="1">'4.5.1.3-4 Direct N2O'!S234</f>
        <v>25.554671999999997</v>
      </c>
      <c r="T39" s="2"/>
    </row>
    <row r="40" spans="4:20" ht="20" customHeight="1" x14ac:dyDescent="0.25">
      <c r="D40" s="55"/>
      <c r="E40" s="55" t="str">
        <f>INDEX(X_Table_Swine_Stage2MMS_From_PitStorage,3,1)</f>
        <v>Digester / covered lagoons</v>
      </c>
      <c r="F40" s="50">
        <f ca="1">'4.5.1.3-4 Direct N2O'!F235</f>
        <v>30.141407999999998</v>
      </c>
      <c r="G40" s="50">
        <f ca="1">'4.5.1.3-4 Direct N2O'!G235</f>
        <v>40.133940000000003</v>
      </c>
      <c r="H40" s="50">
        <f ca="1">'4.5.1.3-4 Direct N2O'!H235</f>
        <v>37.676759999999994</v>
      </c>
      <c r="I40" s="50">
        <f ca="1">'4.5.1.3-4 Direct N2O'!I235</f>
        <v>25.554671999999997</v>
      </c>
      <c r="J40" s="2"/>
      <c r="N40" s="55"/>
      <c r="O40" s="55" t="str">
        <f>INDEX(X_Table_Swine_Stage2MMS_From_PitStorage,3,1)</f>
        <v>Digester / covered lagoons</v>
      </c>
      <c r="P40" s="50">
        <f ca="1">'4.5.1.3-4 Direct N2O'!P235</f>
        <v>30.141407999999998</v>
      </c>
      <c r="Q40" s="50">
        <f ca="1">'4.5.1.3-4 Direct N2O'!Q235</f>
        <v>40.133940000000003</v>
      </c>
      <c r="R40" s="50">
        <f ca="1">'4.5.1.3-4 Direct N2O'!R235</f>
        <v>37.676759999999994</v>
      </c>
      <c r="S40" s="50">
        <f ca="1">'4.5.1.3-4 Direct N2O'!S235</f>
        <v>25.554671999999997</v>
      </c>
      <c r="T40" s="2"/>
    </row>
    <row r="41" spans="4:20" ht="20" customHeight="1" x14ac:dyDescent="0.25">
      <c r="D41" s="55"/>
      <c r="E41" s="55" t="str">
        <f>INDEX(X_Table_Swine_Stage2MMS_From_PitStorage,4,1)</f>
        <v>Deep litter</v>
      </c>
      <c r="F41" s="50">
        <f ca="1">'4.5.1.3-4 Direct N2O'!F236</f>
        <v>30.141407999999998</v>
      </c>
      <c r="G41" s="50">
        <f ca="1">'4.5.1.3-4 Direct N2O'!G236</f>
        <v>40.133940000000003</v>
      </c>
      <c r="H41" s="50">
        <f ca="1">'4.5.1.3-4 Direct N2O'!H236</f>
        <v>37.676759999999994</v>
      </c>
      <c r="I41" s="50">
        <f ca="1">'4.5.1.3-4 Direct N2O'!I236</f>
        <v>25.554671999999997</v>
      </c>
      <c r="J41" s="2"/>
      <c r="N41" s="55"/>
      <c r="O41" s="55" t="str">
        <f>INDEX(X_Table_Swine_Stage2MMS_From_PitStorage,4,1)</f>
        <v>Deep litter</v>
      </c>
      <c r="P41" s="50">
        <f ca="1">'4.5.1.3-4 Direct N2O'!P236</f>
        <v>30.141407999999998</v>
      </c>
      <c r="Q41" s="50">
        <f ca="1">'4.5.1.3-4 Direct N2O'!Q236</f>
        <v>40.133940000000003</v>
      </c>
      <c r="R41" s="50">
        <f ca="1">'4.5.1.3-4 Direct N2O'!R236</f>
        <v>37.676759999999994</v>
      </c>
      <c r="S41" s="50">
        <f ca="1">'4.5.1.3-4 Direct N2O'!S236</f>
        <v>25.554671999999997</v>
      </c>
      <c r="T41" s="2"/>
    </row>
    <row r="42" spans="4:20" ht="20" customHeight="1" x14ac:dyDescent="0.25">
      <c r="D42" s="55"/>
      <c r="E42" s="55" t="str">
        <f>INDEX(X_Table_Swine_Stage2MMS_From_PitStorage,5,1)</f>
        <v>Direct application</v>
      </c>
      <c r="F42" s="50">
        <f ca="1">'4.5.1.3-4 Direct N2O'!F237</f>
        <v>60.282815999999976</v>
      </c>
      <c r="G42" s="50">
        <f ca="1">'4.5.1.3-4 Direct N2O'!G237</f>
        <v>40.133940000000003</v>
      </c>
      <c r="H42" s="50">
        <f ca="1">'4.5.1.3-4 Direct N2O'!H237</f>
        <v>37.676759999999994</v>
      </c>
      <c r="I42" s="50">
        <f ca="1">'4.5.1.3-4 Direct N2O'!I237</f>
        <v>25.554671999999997</v>
      </c>
      <c r="J42" s="2"/>
      <c r="N42" s="55"/>
      <c r="O42" s="55" t="str">
        <f>INDEX(X_Table_Swine_Stage2MMS_From_PitStorage,5,1)</f>
        <v>Direct application</v>
      </c>
      <c r="P42" s="50">
        <f ca="1">'4.5.1.3-4 Direct N2O'!P237</f>
        <v>60.282815999999976</v>
      </c>
      <c r="Q42" s="50">
        <f ca="1">'4.5.1.3-4 Direct N2O'!Q237</f>
        <v>40.133940000000003</v>
      </c>
      <c r="R42" s="50">
        <f ca="1">'4.5.1.3-4 Direct N2O'!R237</f>
        <v>37.676759999999994</v>
      </c>
      <c r="S42" s="50">
        <f ca="1">'4.5.1.3-4 Direct N2O'!S237</f>
        <v>25.554671999999997</v>
      </c>
      <c r="T42" s="2"/>
    </row>
    <row r="43" spans="4:20" ht="20" customHeight="1" x14ac:dyDescent="0.25">
      <c r="D43" s="55" t="s">
        <v>343</v>
      </c>
      <c r="E43" s="55" t="str">
        <f>INDEX(X_Table_Swine_Stage2MMS_From_SolidStorage,2,1)</f>
        <v>Anaerobic lagoon</v>
      </c>
      <c r="F43" s="50">
        <f ca="1">'4.5.1.3-4 Direct N2O'!F238</f>
        <v>106.78440000000003</v>
      </c>
      <c r="G43" s="50">
        <f ca="1">'4.5.1.3-4 Direct N2O'!G238</f>
        <v>113.74860000000007</v>
      </c>
      <c r="H43" s="50">
        <f ca="1">'4.5.1.3-4 Direct N2O'!H238</f>
        <v>106.78440000000003</v>
      </c>
      <c r="I43" s="50">
        <f ca="1">'4.5.1.3-4 Direct N2O'!I238</f>
        <v>72.427680000000038</v>
      </c>
      <c r="J43" s="2"/>
      <c r="N43" s="55" t="s">
        <v>343</v>
      </c>
      <c r="O43" s="55" t="str">
        <f>INDEX(X_Table_Swine_Stage2MMS_From_SolidStorage,2,1)</f>
        <v>Anaerobic lagoon</v>
      </c>
      <c r="P43" s="50">
        <f ca="1">'4.5.1.3-4 Direct N2O'!P238</f>
        <v>106.78440000000003</v>
      </c>
      <c r="Q43" s="50">
        <f ca="1">'4.5.1.3-4 Direct N2O'!Q238</f>
        <v>113.74860000000007</v>
      </c>
      <c r="R43" s="50">
        <f ca="1">'4.5.1.3-4 Direct N2O'!R238</f>
        <v>106.78440000000003</v>
      </c>
      <c r="S43" s="50">
        <f ca="1">'4.5.1.3-4 Direct N2O'!S238</f>
        <v>72.427680000000038</v>
      </c>
      <c r="T43" s="2"/>
    </row>
    <row r="44" spans="4:20" ht="20" customHeight="1" x14ac:dyDescent="0.25">
      <c r="D44" s="55"/>
      <c r="E44" s="55" t="str">
        <f>INDEX(X_Table_Swine_Stage2MMS_From_SolidStorage,3,1)</f>
        <v>Digester / covered lagoons</v>
      </c>
      <c r="F44" s="50">
        <f ca="1">'4.5.1.3-4 Direct N2O'!F239</f>
        <v>106.78440000000003</v>
      </c>
      <c r="G44" s="50">
        <f ca="1">'4.5.1.3-4 Direct N2O'!G239</f>
        <v>113.74860000000007</v>
      </c>
      <c r="H44" s="50">
        <f ca="1">'4.5.1.3-4 Direct N2O'!H239</f>
        <v>106.78440000000003</v>
      </c>
      <c r="I44" s="50">
        <f ca="1">'4.5.1.3-4 Direct N2O'!I239</f>
        <v>72.427680000000038</v>
      </c>
      <c r="J44" s="2"/>
      <c r="N44" s="55"/>
      <c r="O44" s="55" t="str">
        <f>INDEX(X_Table_Swine_Stage2MMS_From_SolidStorage,3,1)</f>
        <v>Digester / covered lagoons</v>
      </c>
      <c r="P44" s="50">
        <f ca="1">'4.5.1.3-4 Direct N2O'!P239</f>
        <v>106.78440000000003</v>
      </c>
      <c r="Q44" s="50">
        <f ca="1">'4.5.1.3-4 Direct N2O'!Q239</f>
        <v>113.74860000000007</v>
      </c>
      <c r="R44" s="50">
        <f ca="1">'4.5.1.3-4 Direct N2O'!R239</f>
        <v>106.78440000000003</v>
      </c>
      <c r="S44" s="50">
        <f ca="1">'4.5.1.3-4 Direct N2O'!S239</f>
        <v>72.427680000000038</v>
      </c>
      <c r="T44" s="2"/>
    </row>
    <row r="45" spans="4:20" ht="20" customHeight="1" x14ac:dyDescent="0.25">
      <c r="D45" s="55"/>
      <c r="E45" s="55" t="str">
        <f>INDEX(X_Table_Swine_Stage2MMS_From_SolidStorage,4,1)</f>
        <v>Deep litter</v>
      </c>
      <c r="F45" s="50">
        <f ca="1">'4.5.1.3-4 Direct N2O'!F240</f>
        <v>106.78440000000003</v>
      </c>
      <c r="G45" s="50">
        <f ca="1">'4.5.1.3-4 Direct N2O'!G240</f>
        <v>113.74860000000007</v>
      </c>
      <c r="H45" s="50">
        <f ca="1">'4.5.1.3-4 Direct N2O'!H240</f>
        <v>106.78440000000003</v>
      </c>
      <c r="I45" s="50">
        <f ca="1">'4.5.1.3-4 Direct N2O'!I240</f>
        <v>72.427680000000038</v>
      </c>
      <c r="J45" s="2"/>
      <c r="N45" s="55"/>
      <c r="O45" s="55" t="str">
        <f>INDEX(X_Table_Swine_Stage2MMS_From_SolidStorage,4,1)</f>
        <v>Deep litter</v>
      </c>
      <c r="P45" s="50">
        <f ca="1">'4.5.1.3-4 Direct N2O'!P240</f>
        <v>106.78440000000003</v>
      </c>
      <c r="Q45" s="50">
        <f ca="1">'4.5.1.3-4 Direct N2O'!Q240</f>
        <v>113.74860000000007</v>
      </c>
      <c r="R45" s="50">
        <f ca="1">'4.5.1.3-4 Direct N2O'!R240</f>
        <v>106.78440000000003</v>
      </c>
      <c r="S45" s="50">
        <f ca="1">'4.5.1.3-4 Direct N2O'!S240</f>
        <v>72.427680000000038</v>
      </c>
      <c r="T45" s="2"/>
    </row>
    <row r="46" spans="4:20" ht="20" customHeight="1" x14ac:dyDescent="0.25">
      <c r="D46" s="55"/>
      <c r="E46" s="55" t="str">
        <f>INDEX(X_Table_Swine_Stage2MMS_From_SolidStorage,5,1)</f>
        <v>Pit storage</v>
      </c>
      <c r="F46" s="50">
        <f ca="1">'4.5.1.3-4 Direct N2O'!F241</f>
        <v>53.392200000000017</v>
      </c>
      <c r="G46" s="50">
        <f ca="1">'4.5.1.3-4 Direct N2O'!G241</f>
        <v>56.874300000000034</v>
      </c>
      <c r="H46" s="50">
        <f ca="1">'4.5.1.3-4 Direct N2O'!H241</f>
        <v>53.392200000000017</v>
      </c>
      <c r="I46" s="50">
        <f ca="1">'4.5.1.3-4 Direct N2O'!I241</f>
        <v>36.213840000000019</v>
      </c>
      <c r="J46" s="2"/>
      <c r="N46" s="55"/>
      <c r="O46" s="55" t="str">
        <f>INDEX(X_Table_Swine_Stage2MMS_From_SolidStorage,5,1)</f>
        <v>Pit storage</v>
      </c>
      <c r="P46" s="50">
        <f ca="1">'4.5.1.3-4 Direct N2O'!P241</f>
        <v>53.392200000000017</v>
      </c>
      <c r="Q46" s="50">
        <f ca="1">'4.5.1.3-4 Direct N2O'!Q241</f>
        <v>56.874300000000034</v>
      </c>
      <c r="R46" s="50">
        <f ca="1">'4.5.1.3-4 Direct N2O'!R241</f>
        <v>53.392200000000017</v>
      </c>
      <c r="S46" s="50">
        <f ca="1">'4.5.1.3-4 Direct N2O'!S241</f>
        <v>36.213840000000019</v>
      </c>
      <c r="T46" s="2"/>
    </row>
    <row r="47" spans="4:20" ht="20" customHeight="1" x14ac:dyDescent="0.25">
      <c r="D47" s="55"/>
      <c r="E47" s="55" t="str">
        <f>INDEX(X_Table_Swine_Stage2MMS_From_SolidStorage,6,1)</f>
        <v>Direct application</v>
      </c>
      <c r="F47" s="50">
        <f ca="1">'4.5.1.3-4 Direct N2O'!F242</f>
        <v>160.17660000000001</v>
      </c>
      <c r="G47" s="50">
        <f ca="1">'4.5.1.3-4 Direct N2O'!G242</f>
        <v>170.62290000000004</v>
      </c>
      <c r="H47" s="50">
        <f ca="1">'4.5.1.3-4 Direct N2O'!H242</f>
        <v>160.17660000000001</v>
      </c>
      <c r="I47" s="50">
        <f ca="1">'4.5.1.3-4 Direct N2O'!I242</f>
        <v>108.64152000000003</v>
      </c>
      <c r="J47" s="2"/>
      <c r="N47" s="55"/>
      <c r="O47" s="55" t="str">
        <f>INDEX(X_Table_Swine_Stage2MMS_From_SolidStorage,6,1)</f>
        <v>Direct application</v>
      </c>
      <c r="P47" s="50">
        <f ca="1">'4.5.1.3-4 Direct N2O'!P242</f>
        <v>160.17660000000001</v>
      </c>
      <c r="Q47" s="50">
        <f ca="1">'4.5.1.3-4 Direct N2O'!Q242</f>
        <v>170.62290000000004</v>
      </c>
      <c r="R47" s="50">
        <f ca="1">'4.5.1.3-4 Direct N2O'!R242</f>
        <v>160.17660000000001</v>
      </c>
      <c r="S47" s="50">
        <f ca="1">'4.5.1.3-4 Direct N2O'!S242</f>
        <v>108.64152000000003</v>
      </c>
      <c r="T47" s="2"/>
    </row>
    <row r="48" spans="4:20" ht="20" customHeight="1" x14ac:dyDescent="0.25"/>
    <row r="49" spans="4:20" ht="20" customHeight="1" x14ac:dyDescent="0.25">
      <c r="D49" s="113" t="s">
        <v>269</v>
      </c>
      <c r="N49" s="113" t="s">
        <v>269</v>
      </c>
    </row>
    <row r="50" spans="4:20" ht="20" customHeight="1" x14ac:dyDescent="0.25">
      <c r="D50" s="114" t="s">
        <v>289</v>
      </c>
      <c r="N50" s="114" t="s">
        <v>289</v>
      </c>
    </row>
    <row r="51" spans="4:20" ht="20" customHeight="1" x14ac:dyDescent="0.25">
      <c r="D51" s="49" t="s">
        <v>155</v>
      </c>
      <c r="E51" s="49" t="s">
        <v>163</v>
      </c>
      <c r="F51" s="49" t="s">
        <v>134</v>
      </c>
      <c r="G51" s="49" t="s">
        <v>135</v>
      </c>
      <c r="H51" s="49" t="s">
        <v>136</v>
      </c>
      <c r="I51" s="49" t="s">
        <v>192</v>
      </c>
      <c r="N51" s="49" t="s">
        <v>155</v>
      </c>
      <c r="O51" s="49" t="s">
        <v>163</v>
      </c>
      <c r="P51" s="49" t="s">
        <v>134</v>
      </c>
      <c r="Q51" s="49" t="s">
        <v>135</v>
      </c>
      <c r="R51" s="49" t="s">
        <v>136</v>
      </c>
      <c r="S51" s="49" t="s">
        <v>192</v>
      </c>
    </row>
    <row r="52" spans="4:20" ht="20" customHeight="1" x14ac:dyDescent="0.25">
      <c r="D52" s="55" t="str">
        <f>INDEX(X_Table_Swine_Stage1MMS_AnaerobicLagoon,2,1)</f>
        <v>Anaerobic lagoon</v>
      </c>
      <c r="E52" s="55" t="str">
        <f>INDEX(X_Table_Swine_Stage2MMS_From_AnaerobicLagoon,2,1)</f>
        <v>Digester / covered lagoons</v>
      </c>
      <c r="F52" s="50">
        <v>0</v>
      </c>
      <c r="G52" s="50">
        <v>0</v>
      </c>
      <c r="H52" s="50">
        <v>0</v>
      </c>
      <c r="I52" s="50">
        <v>0</v>
      </c>
      <c r="J52" s="2" t="str">
        <f>$G$16</f>
        <v>kg N</v>
      </c>
      <c r="N52" s="55" t="str">
        <f>INDEX(X_Table_Swine_Stage1MMS_AnaerobicLagoon,2,1)</f>
        <v>Anaerobic lagoon</v>
      </c>
      <c r="O52" s="55" t="str">
        <f>INDEX(X_Table_Swine_Stage2MMS_From_AnaerobicLagoon,2,1)</f>
        <v>Digester / covered lagoons</v>
      </c>
      <c r="P52" s="50">
        <v>0</v>
      </c>
      <c r="Q52" s="50">
        <v>0</v>
      </c>
      <c r="R52" s="50">
        <v>0</v>
      </c>
      <c r="S52" s="50">
        <v>0</v>
      </c>
      <c r="T52" s="2" t="str">
        <f>$G$16</f>
        <v>kg N</v>
      </c>
    </row>
    <row r="53" spans="4:20" ht="20" customHeight="1" x14ac:dyDescent="0.25">
      <c r="D53" s="55"/>
      <c r="E53" s="55" t="str">
        <f>INDEX(X_Table_Swine_Stage2MMS_From_AnaerobicLagoon,3,1)</f>
        <v>Deep litter</v>
      </c>
      <c r="F53" s="50">
        <v>0</v>
      </c>
      <c r="G53" s="50">
        <v>0</v>
      </c>
      <c r="H53" s="50">
        <v>0</v>
      </c>
      <c r="I53" s="50">
        <v>0</v>
      </c>
      <c r="J53" s="2"/>
      <c r="N53" s="55"/>
      <c r="O53" s="55" t="str">
        <f>INDEX(X_Table_Swine_Stage2MMS_From_AnaerobicLagoon,3,1)</f>
        <v>Deep litter</v>
      </c>
      <c r="P53" s="50">
        <v>0</v>
      </c>
      <c r="Q53" s="50">
        <v>0</v>
      </c>
      <c r="R53" s="50">
        <v>0</v>
      </c>
      <c r="S53" s="50">
        <v>0</v>
      </c>
      <c r="T53" s="2"/>
    </row>
    <row r="54" spans="4:20" ht="20" customHeight="1" x14ac:dyDescent="0.25">
      <c r="D54" s="55"/>
      <c r="E54" s="55" t="str">
        <f>INDEX(X_Table_Swine_Stage2MMS_From_AnaerobicLagoon,4,1)</f>
        <v>Pit storage</v>
      </c>
      <c r="F54" s="50">
        <v>0</v>
      </c>
      <c r="G54" s="50">
        <v>0</v>
      </c>
      <c r="H54" s="50">
        <v>0</v>
      </c>
      <c r="I54" s="50">
        <v>0</v>
      </c>
      <c r="J54" s="2"/>
      <c r="N54" s="55"/>
      <c r="O54" s="55" t="str">
        <f>INDEX(X_Table_Swine_Stage2MMS_From_AnaerobicLagoon,4,1)</f>
        <v>Pit storage</v>
      </c>
      <c r="P54" s="50">
        <v>0</v>
      </c>
      <c r="Q54" s="50">
        <v>0</v>
      </c>
      <c r="R54" s="50">
        <v>0</v>
      </c>
      <c r="S54" s="50">
        <v>0</v>
      </c>
      <c r="T54" s="2"/>
    </row>
    <row r="55" spans="4:20" ht="20" customHeight="1" x14ac:dyDescent="0.25">
      <c r="D55" s="55"/>
      <c r="E55" s="55" t="str">
        <f>INDEX(X_Table_Swine_Stage2MMS_From_AnaerobicLagoon,5,1)</f>
        <v>Direct application</v>
      </c>
      <c r="F55" s="50">
        <v>0</v>
      </c>
      <c r="G55" s="50">
        <v>0</v>
      </c>
      <c r="H55" s="50">
        <v>0</v>
      </c>
      <c r="I55" s="50">
        <v>0</v>
      </c>
      <c r="J55" s="2"/>
      <c r="N55" s="55"/>
      <c r="O55" s="55" t="str">
        <f>INDEX(X_Table_Swine_Stage2MMS_From_AnaerobicLagoon,5,1)</f>
        <v>Direct application</v>
      </c>
      <c r="P55" s="50">
        <v>0</v>
      </c>
      <c r="Q55" s="50">
        <v>0</v>
      </c>
      <c r="R55" s="50">
        <v>0</v>
      </c>
      <c r="S55" s="50">
        <v>0</v>
      </c>
      <c r="T55" s="2"/>
    </row>
    <row r="56" spans="4:20" ht="20" customHeight="1" x14ac:dyDescent="0.25">
      <c r="D56" s="55" t="str">
        <f>INDEX(X_Table_Swine_Stage1MMS_Drylot,2,1)</f>
        <v>Drylot (feed pad)</v>
      </c>
      <c r="E56" s="55" t="str">
        <f>INDEX(X_Table_Swine_Stage2MMS_From_Drylot,2,1)</f>
        <v>Anaerobic lagoon</v>
      </c>
      <c r="F56" s="50">
        <f ca="1">INDEX(M1_Table_MN_leach_j_m5_Consumer_1,2,2)</f>
        <v>4.0295999999999994</v>
      </c>
      <c r="G56" s="50">
        <f ca="1">INDEX(M1_Table_MN_leach_j_m5_Consumer_1,2,3)</f>
        <v>4.2924000000000007</v>
      </c>
      <c r="H56" s="50">
        <f ca="1">INDEX(M1_Table_MN_leach_j_m5_Consumer_1,2,4)</f>
        <v>4.0295999999999994</v>
      </c>
      <c r="I56" s="50">
        <f ca="1">INDEX(M1_Table_MN_leach_j_m5_Consumer_1,2,5)</f>
        <v>2.7331199999999995</v>
      </c>
      <c r="J56" s="2"/>
      <c r="N56" s="55" t="str">
        <f>INDEX(X_Table_Swine_Stage1MMS_Drylot,2,1)</f>
        <v>Drylot (feed pad)</v>
      </c>
      <c r="O56" s="55" t="str">
        <f>INDEX(X_Table_Swine_Stage2MMS_From_Drylot,2,1)</f>
        <v>Anaerobic lagoon</v>
      </c>
      <c r="P56" s="50">
        <f ca="1">INDEX(M1_Table_MN_leach_j_m5,2,2)</f>
        <v>4.0295999999999994</v>
      </c>
      <c r="Q56" s="50">
        <f ca="1">INDEX(M1_Table_MN_leach_j_m5,2,3)</f>
        <v>4.2924000000000007</v>
      </c>
      <c r="R56" s="50">
        <f ca="1">INDEX(M1_Table_MN_leach_j_m5,2,4)</f>
        <v>4.0295999999999994</v>
      </c>
      <c r="S56" s="50">
        <f ca="1">INDEX(M1_Table_MN_leach_j_m5,2,5)</f>
        <v>2.7331199999999995</v>
      </c>
      <c r="T56" s="2"/>
    </row>
    <row r="57" spans="4:20" ht="20" customHeight="1" x14ac:dyDescent="0.25">
      <c r="D57" s="55"/>
      <c r="E57" s="55" t="str">
        <f>INDEX(X_Table_Swine_Stage2MMS_From_Drylot,3,1)</f>
        <v>Digester / covered lagoons</v>
      </c>
      <c r="F57" s="50">
        <f ca="1">INDEX(M1_Table_MN_leach_j_m5_Consumer_1,2,2)</f>
        <v>4.0295999999999994</v>
      </c>
      <c r="G57" s="50">
        <f ca="1">INDEX(M1_Table_MN_leach_j_m5_Consumer_1,2,3)</f>
        <v>4.2924000000000007</v>
      </c>
      <c r="H57" s="50">
        <f ca="1">INDEX(M1_Table_MN_leach_j_m5_Consumer_1,2,4)</f>
        <v>4.0295999999999994</v>
      </c>
      <c r="I57" s="50">
        <f ca="1">INDEX(M1_Table_MN_leach_j_m5_Consumer_1,2,5)</f>
        <v>2.7331199999999995</v>
      </c>
      <c r="J57" s="2"/>
      <c r="N57" s="55"/>
      <c r="O57" s="55" t="str">
        <f>INDEX(X_Table_Swine_Stage2MMS_From_Drylot,3,1)</f>
        <v>Digester / covered lagoons</v>
      </c>
      <c r="P57" s="50">
        <f ca="1">INDEX(M1_Table_MN_leach_j_m5,2,2)</f>
        <v>4.0295999999999994</v>
      </c>
      <c r="Q57" s="50">
        <f ca="1">INDEX(M1_Table_MN_leach_j_m5,2,3)</f>
        <v>4.2924000000000007</v>
      </c>
      <c r="R57" s="50">
        <f ca="1">INDEX(M1_Table_MN_leach_j_m5,2,4)</f>
        <v>4.0295999999999994</v>
      </c>
      <c r="S57" s="50">
        <f ca="1">INDEX(M1_Table_MN_leach_j_m5,2,5)</f>
        <v>2.7331199999999995</v>
      </c>
      <c r="T57" s="2"/>
    </row>
    <row r="58" spans="4:20" ht="20" customHeight="1" x14ac:dyDescent="0.25">
      <c r="D58" s="55"/>
      <c r="E58" s="55" t="str">
        <f>INDEX(X_Table_Swine_Stage2MMS_From_Drylot,4,1)</f>
        <v>Deep litter</v>
      </c>
      <c r="F58" s="50">
        <f ca="1">INDEX(M1_Table_MN_leach_j_m5_Consumer_1,2,2)</f>
        <v>4.0295999999999994</v>
      </c>
      <c r="G58" s="50">
        <f ca="1">INDEX(M1_Table_MN_leach_j_m5_Consumer_1,2,3)</f>
        <v>4.2924000000000007</v>
      </c>
      <c r="H58" s="50">
        <f ca="1">INDEX(M1_Table_MN_leach_j_m5_Consumer_1,2,4)</f>
        <v>4.0295999999999994</v>
      </c>
      <c r="I58" s="50">
        <f ca="1">INDEX(M1_Table_MN_leach_j_m5_Consumer_1,2,5)</f>
        <v>2.7331199999999995</v>
      </c>
      <c r="J58" s="2"/>
      <c r="N58" s="55"/>
      <c r="O58" s="55" t="str">
        <f>INDEX(X_Table_Swine_Stage2MMS_From_Drylot,4,1)</f>
        <v>Deep litter</v>
      </c>
      <c r="P58" s="50">
        <f ca="1">INDEX(M1_Table_MN_leach_j_m5,2,2)</f>
        <v>4.0295999999999994</v>
      </c>
      <c r="Q58" s="50">
        <f ca="1">INDEX(M1_Table_MN_leach_j_m5,2,3)</f>
        <v>4.2924000000000007</v>
      </c>
      <c r="R58" s="50">
        <f ca="1">INDEX(M1_Table_MN_leach_j_m5,2,4)</f>
        <v>4.0295999999999994</v>
      </c>
      <c r="S58" s="50">
        <f ca="1">INDEX(M1_Table_MN_leach_j_m5,2,5)</f>
        <v>2.7331199999999995</v>
      </c>
      <c r="T58" s="2"/>
    </row>
    <row r="59" spans="4:20" ht="20" customHeight="1" x14ac:dyDescent="0.25">
      <c r="D59" s="55"/>
      <c r="E59" s="55" t="str">
        <f>INDEX(X_Table_Swine_Stage2MMS_From_Drylot,5,1)</f>
        <v>Pit storage</v>
      </c>
      <c r="F59" s="50">
        <f ca="1">INDEX(M1_Table_MN_leach_j_m5_Consumer_1,2,2)</f>
        <v>4.0295999999999994</v>
      </c>
      <c r="G59" s="50">
        <f ca="1">INDEX(M1_Table_MN_leach_j_m5_Consumer_1,2,3)</f>
        <v>4.2924000000000007</v>
      </c>
      <c r="H59" s="50">
        <f ca="1">INDEX(M1_Table_MN_leach_j_m5_Consumer_1,2,4)</f>
        <v>4.0295999999999994</v>
      </c>
      <c r="I59" s="50">
        <f ca="1">INDEX(M1_Table_MN_leach_j_m5_Consumer_1,2,5)</f>
        <v>2.7331199999999995</v>
      </c>
      <c r="J59" s="2"/>
      <c r="N59" s="55"/>
      <c r="O59" s="55" t="str">
        <f>INDEX(X_Table_Swine_Stage2MMS_From_Drylot,5,1)</f>
        <v>Pit storage</v>
      </c>
      <c r="P59" s="50">
        <f ca="1">INDEX(M1_Table_MN_leach_j_m5,2,2)</f>
        <v>4.0295999999999994</v>
      </c>
      <c r="Q59" s="50">
        <f ca="1">INDEX(M1_Table_MN_leach_j_m5,2,3)</f>
        <v>4.2924000000000007</v>
      </c>
      <c r="R59" s="50">
        <f ca="1">INDEX(M1_Table_MN_leach_j_m5,2,4)</f>
        <v>4.0295999999999994</v>
      </c>
      <c r="S59" s="50">
        <f ca="1">INDEX(M1_Table_MN_leach_j_m5,2,5)</f>
        <v>2.7331199999999995</v>
      </c>
      <c r="T59" s="2"/>
    </row>
    <row r="60" spans="4:20" ht="20" customHeight="1" x14ac:dyDescent="0.25">
      <c r="D60" s="55"/>
      <c r="E60" s="55" t="str">
        <f>INDEX(X_Table_Swine_Stage2MMS_From_Drylot,6,1)</f>
        <v>Direct application</v>
      </c>
      <c r="F60" s="50">
        <v>0</v>
      </c>
      <c r="G60" s="50">
        <v>0</v>
      </c>
      <c r="H60" s="50">
        <v>0</v>
      </c>
      <c r="I60" s="50">
        <v>0</v>
      </c>
      <c r="J60" s="2"/>
      <c r="N60" s="55"/>
      <c r="O60" s="55" t="str">
        <f>INDEX(X_Table_Swine_Stage2MMS_From_Drylot,6,1)</f>
        <v>Direct application</v>
      </c>
      <c r="P60" s="50">
        <v>0</v>
      </c>
      <c r="Q60" s="50">
        <v>0</v>
      </c>
      <c r="R60" s="50">
        <v>0</v>
      </c>
      <c r="S60" s="50">
        <v>0</v>
      </c>
      <c r="T60" s="2"/>
    </row>
    <row r="61" spans="4:20" ht="20" customHeight="1" x14ac:dyDescent="0.25">
      <c r="D61" s="55" t="str">
        <f>INDEX(X_Table_Swine_Stage1MMS_DigesterCoveredLagoons,2,1)</f>
        <v>Digester / covered lagoons</v>
      </c>
      <c r="E61" s="55" t="str">
        <f>INDEX(X_Table_Swine_Stage2MMS_From_DigesterCoveredLagoons,2,1)</f>
        <v>Anaerobic lagoon</v>
      </c>
      <c r="F61" s="50">
        <v>0</v>
      </c>
      <c r="G61" s="50">
        <v>0</v>
      </c>
      <c r="H61" s="50">
        <v>0</v>
      </c>
      <c r="I61" s="50">
        <v>0</v>
      </c>
      <c r="J61" s="2"/>
      <c r="N61" s="55" t="str">
        <f>INDEX(X_Table_Swine_Stage1MMS_DigesterCoveredLagoons,2,1)</f>
        <v>Digester / covered lagoons</v>
      </c>
      <c r="O61" s="55" t="str">
        <f>INDEX(X_Table_Swine_Stage2MMS_From_DigesterCoveredLagoons,2,1)</f>
        <v>Anaerobic lagoon</v>
      </c>
      <c r="P61" s="50">
        <v>0</v>
      </c>
      <c r="Q61" s="50">
        <v>0</v>
      </c>
      <c r="R61" s="50">
        <v>0</v>
      </c>
      <c r="S61" s="50">
        <v>0</v>
      </c>
      <c r="T61" s="2"/>
    </row>
    <row r="62" spans="4:20" ht="20" customHeight="1" x14ac:dyDescent="0.25">
      <c r="D62" s="55"/>
      <c r="E62" s="55" t="str">
        <f>INDEX(X_Table_Swine_Stage2MMS_From_DigesterCoveredLagoons,3,1)</f>
        <v>Deep litter</v>
      </c>
      <c r="F62" s="50">
        <v>0</v>
      </c>
      <c r="G62" s="50">
        <v>0</v>
      </c>
      <c r="H62" s="50">
        <v>0</v>
      </c>
      <c r="I62" s="50">
        <v>0</v>
      </c>
      <c r="J62" s="2"/>
      <c r="N62" s="55"/>
      <c r="O62" s="55" t="str">
        <f>INDEX(X_Table_Swine_Stage2MMS_From_DigesterCoveredLagoons,3,1)</f>
        <v>Deep litter</v>
      </c>
      <c r="P62" s="50">
        <v>0</v>
      </c>
      <c r="Q62" s="50">
        <v>0</v>
      </c>
      <c r="R62" s="50">
        <v>0</v>
      </c>
      <c r="S62" s="50">
        <v>0</v>
      </c>
      <c r="T62" s="2"/>
    </row>
    <row r="63" spans="4:20" ht="20" customHeight="1" x14ac:dyDescent="0.25">
      <c r="D63" s="55"/>
      <c r="E63" s="55" t="str">
        <f>INDEX(X_Table_Swine_Stage2MMS_From_DigesterCoveredLagoons,4,1)</f>
        <v>Pit storage</v>
      </c>
      <c r="F63" s="50">
        <v>0</v>
      </c>
      <c r="G63" s="50">
        <v>0</v>
      </c>
      <c r="H63" s="50">
        <v>0</v>
      </c>
      <c r="I63" s="50">
        <v>0</v>
      </c>
      <c r="J63" s="2"/>
      <c r="N63" s="55"/>
      <c r="O63" s="55" t="str">
        <f>INDEX(X_Table_Swine_Stage2MMS_From_DigesterCoveredLagoons,4,1)</f>
        <v>Pit storage</v>
      </c>
      <c r="P63" s="50">
        <v>0</v>
      </c>
      <c r="Q63" s="50">
        <v>0</v>
      </c>
      <c r="R63" s="50">
        <v>0</v>
      </c>
      <c r="S63" s="50">
        <v>0</v>
      </c>
      <c r="T63" s="2"/>
    </row>
    <row r="64" spans="4:20" ht="20" customHeight="1" x14ac:dyDescent="0.25">
      <c r="D64" s="55"/>
      <c r="E64" s="55" t="str">
        <f>INDEX(X_Table_Swine_Stage2MMS_From_DigesterCoveredLagoons,5,1)</f>
        <v>Direct application</v>
      </c>
      <c r="F64" s="50">
        <v>0</v>
      </c>
      <c r="G64" s="50">
        <v>0</v>
      </c>
      <c r="H64" s="50">
        <v>0</v>
      </c>
      <c r="I64" s="50">
        <v>0</v>
      </c>
      <c r="J64" s="2"/>
      <c r="N64" s="55"/>
      <c r="O64" s="55" t="str">
        <f>INDEX(X_Table_Swine_Stage2MMS_From_DigesterCoveredLagoons,5,1)</f>
        <v>Direct application</v>
      </c>
      <c r="P64" s="50">
        <v>0</v>
      </c>
      <c r="Q64" s="50">
        <v>0</v>
      </c>
      <c r="R64" s="50">
        <v>0</v>
      </c>
      <c r="S64" s="50">
        <v>0</v>
      </c>
      <c r="T64" s="2"/>
    </row>
    <row r="65" spans="4:20" ht="20" customHeight="1" x14ac:dyDescent="0.25">
      <c r="D65" s="55" t="str">
        <f>INDEX(X_Table_Swine_Stage1MMS_DeepLitter,2,1)</f>
        <v>Deep litter</v>
      </c>
      <c r="E65" s="55" t="str">
        <f>INDEX(X_Table_Swine_Stage2MMS_From_DeepLitter,2,1)</f>
        <v>Anaerobic lagoon</v>
      </c>
      <c r="F65" s="50">
        <v>0</v>
      </c>
      <c r="G65" s="50">
        <v>0</v>
      </c>
      <c r="H65" s="50">
        <v>0</v>
      </c>
      <c r="I65" s="50">
        <v>0</v>
      </c>
      <c r="J65" s="2"/>
      <c r="N65" s="55" t="str">
        <f>INDEX(X_Table_Swine_Stage1MMS_DeepLitter,2,1)</f>
        <v>Deep litter</v>
      </c>
      <c r="O65" s="55" t="str">
        <f>INDEX(X_Table_Swine_Stage2MMS_From_DeepLitter,2,1)</f>
        <v>Anaerobic lagoon</v>
      </c>
      <c r="P65" s="50">
        <v>0</v>
      </c>
      <c r="Q65" s="50">
        <v>0</v>
      </c>
      <c r="R65" s="50">
        <v>0</v>
      </c>
      <c r="S65" s="50">
        <v>0</v>
      </c>
      <c r="T65" s="2"/>
    </row>
    <row r="66" spans="4:20" ht="20" customHeight="1" x14ac:dyDescent="0.25">
      <c r="D66" s="55"/>
      <c r="E66" s="55" t="str">
        <f>INDEX(X_Table_Swine_Stage2MMS_From_DeepLitter,3,1)</f>
        <v>Digester / covered lagoons</v>
      </c>
      <c r="F66" s="50">
        <v>0</v>
      </c>
      <c r="G66" s="50">
        <v>0</v>
      </c>
      <c r="H66" s="50">
        <v>0</v>
      </c>
      <c r="I66" s="50">
        <v>0</v>
      </c>
      <c r="J66" s="2"/>
      <c r="N66" s="55"/>
      <c r="O66" s="55" t="str">
        <f>INDEX(X_Table_Swine_Stage2MMS_From_DeepLitter,3,1)</f>
        <v>Digester / covered lagoons</v>
      </c>
      <c r="P66" s="50">
        <v>0</v>
      </c>
      <c r="Q66" s="50">
        <v>0</v>
      </c>
      <c r="R66" s="50">
        <v>0</v>
      </c>
      <c r="S66" s="50">
        <v>0</v>
      </c>
      <c r="T66" s="2"/>
    </row>
    <row r="67" spans="4:20" ht="20" customHeight="1" x14ac:dyDescent="0.25">
      <c r="D67" s="55"/>
      <c r="E67" s="55" t="str">
        <f>INDEX(X_Table_Swine_Stage2MMS_From_DeepLitter,4,1)</f>
        <v>Pit storage</v>
      </c>
      <c r="F67" s="50">
        <v>0</v>
      </c>
      <c r="G67" s="50">
        <v>0</v>
      </c>
      <c r="H67" s="50">
        <v>0</v>
      </c>
      <c r="I67" s="50">
        <v>0</v>
      </c>
      <c r="J67" s="2"/>
      <c r="N67" s="55"/>
      <c r="O67" s="55" t="str">
        <f>INDEX(X_Table_Swine_Stage2MMS_From_DeepLitter,4,1)</f>
        <v>Pit storage</v>
      </c>
      <c r="P67" s="50">
        <v>0</v>
      </c>
      <c r="Q67" s="50">
        <v>0</v>
      </c>
      <c r="R67" s="50">
        <v>0</v>
      </c>
      <c r="S67" s="50">
        <v>0</v>
      </c>
      <c r="T67" s="2"/>
    </row>
    <row r="68" spans="4:20" ht="20" customHeight="1" x14ac:dyDescent="0.25">
      <c r="D68" s="55"/>
      <c r="E68" s="55" t="str">
        <f>INDEX(X_Table_Swine_Stage2MMS_From_DeepLitter,5,1)</f>
        <v>Direct application</v>
      </c>
      <c r="F68" s="50">
        <v>0</v>
      </c>
      <c r="G68" s="50">
        <v>0</v>
      </c>
      <c r="H68" s="50">
        <v>0</v>
      </c>
      <c r="I68" s="50">
        <v>0</v>
      </c>
      <c r="J68" s="2"/>
      <c r="N68" s="55"/>
      <c r="O68" s="55" t="str">
        <f>INDEX(X_Table_Swine_Stage2MMS_From_DeepLitter,5,1)</f>
        <v>Direct application</v>
      </c>
      <c r="P68" s="50">
        <v>0</v>
      </c>
      <c r="Q68" s="50">
        <v>0</v>
      </c>
      <c r="R68" s="50">
        <v>0</v>
      </c>
      <c r="S68" s="50">
        <v>0</v>
      </c>
      <c r="T68" s="2"/>
    </row>
    <row r="69" spans="4:20" ht="20" customHeight="1" x14ac:dyDescent="0.25">
      <c r="D69" s="55" t="str">
        <f>INDEX(X_Table_Swine_Stage1MMS_PitStorage,2,1)</f>
        <v>Pit storage</v>
      </c>
      <c r="E69" s="55" t="str">
        <f>INDEX(X_Table_Swine_Stage2MMS_From_PitStorage,2,1)</f>
        <v>Anaerobic lagoon</v>
      </c>
      <c r="F69" s="50">
        <v>0</v>
      </c>
      <c r="G69" s="50">
        <v>0</v>
      </c>
      <c r="H69" s="50">
        <v>0</v>
      </c>
      <c r="I69" s="50">
        <v>0</v>
      </c>
      <c r="J69" s="2"/>
      <c r="N69" s="55" t="str">
        <f>INDEX(X_Table_Swine_Stage1MMS_PitStorage,2,1)</f>
        <v>Pit storage</v>
      </c>
      <c r="O69" s="55" t="str">
        <f>INDEX(X_Table_Swine_Stage2MMS_From_PitStorage,2,1)</f>
        <v>Anaerobic lagoon</v>
      </c>
      <c r="P69" s="50">
        <v>0</v>
      </c>
      <c r="Q69" s="50">
        <v>0</v>
      </c>
      <c r="R69" s="50">
        <v>0</v>
      </c>
      <c r="S69" s="50">
        <v>0</v>
      </c>
      <c r="T69" s="2"/>
    </row>
    <row r="70" spans="4:20" ht="20" customHeight="1" x14ac:dyDescent="0.25">
      <c r="D70" s="55"/>
      <c r="E70" s="55" t="str">
        <f>INDEX(X_Table_Swine_Stage2MMS_From_PitStorage,3,1)</f>
        <v>Digester / covered lagoons</v>
      </c>
      <c r="F70" s="50">
        <v>0</v>
      </c>
      <c r="G70" s="50">
        <v>0</v>
      </c>
      <c r="H70" s="50">
        <v>0</v>
      </c>
      <c r="I70" s="50">
        <v>0</v>
      </c>
      <c r="J70" s="2"/>
      <c r="N70" s="55"/>
      <c r="O70" s="55" t="str">
        <f>INDEX(X_Table_Swine_Stage2MMS_From_PitStorage,3,1)</f>
        <v>Digester / covered lagoons</v>
      </c>
      <c r="P70" s="50">
        <v>0</v>
      </c>
      <c r="Q70" s="50">
        <v>0</v>
      </c>
      <c r="R70" s="50">
        <v>0</v>
      </c>
      <c r="S70" s="50">
        <v>0</v>
      </c>
      <c r="T70" s="2"/>
    </row>
    <row r="71" spans="4:20" ht="20" customHeight="1" x14ac:dyDescent="0.25">
      <c r="D71" s="55"/>
      <c r="E71" s="55" t="str">
        <f>INDEX(X_Table_Swine_Stage2MMS_From_PitStorage,4,1)</f>
        <v>Deep litter</v>
      </c>
      <c r="F71" s="50">
        <v>0</v>
      </c>
      <c r="G71" s="50">
        <v>0</v>
      </c>
      <c r="H71" s="50">
        <v>0</v>
      </c>
      <c r="I71" s="50">
        <v>0</v>
      </c>
      <c r="J71" s="2"/>
      <c r="N71" s="55"/>
      <c r="O71" s="55" t="str">
        <f>INDEX(X_Table_Swine_Stage2MMS_From_PitStorage,4,1)</f>
        <v>Deep litter</v>
      </c>
      <c r="P71" s="50">
        <v>0</v>
      </c>
      <c r="Q71" s="50">
        <v>0</v>
      </c>
      <c r="R71" s="50">
        <v>0</v>
      </c>
      <c r="S71" s="50">
        <v>0</v>
      </c>
      <c r="T71" s="2"/>
    </row>
    <row r="72" spans="4:20" ht="20" customHeight="1" x14ac:dyDescent="0.25">
      <c r="D72" s="55"/>
      <c r="E72" s="55" t="str">
        <f>INDEX(X_Table_Swine_Stage2MMS_From_PitStorage,5,1)</f>
        <v>Direct application</v>
      </c>
      <c r="F72" s="50">
        <v>0</v>
      </c>
      <c r="G72" s="50">
        <v>0</v>
      </c>
      <c r="H72" s="50">
        <v>0</v>
      </c>
      <c r="I72" s="50">
        <v>0</v>
      </c>
      <c r="J72" s="2"/>
      <c r="N72" s="55"/>
      <c r="O72" s="55" t="str">
        <f>INDEX(X_Table_Swine_Stage2MMS_From_PitStorage,5,1)</f>
        <v>Direct application</v>
      </c>
      <c r="P72" s="50">
        <v>0</v>
      </c>
      <c r="Q72" s="50">
        <v>0</v>
      </c>
      <c r="R72" s="50">
        <v>0</v>
      </c>
      <c r="S72" s="50">
        <v>0</v>
      </c>
      <c r="T72" s="2"/>
    </row>
    <row r="73" spans="4:20" ht="20" customHeight="1" x14ac:dyDescent="0.25">
      <c r="D73" s="55" t="s">
        <v>343</v>
      </c>
      <c r="E73" s="55" t="str">
        <f>INDEX(X_Table_Swine_Stage2MMS_From_SolidStorage,2,1)</f>
        <v>Anaerobic lagoon</v>
      </c>
      <c r="F73" s="50">
        <v>0</v>
      </c>
      <c r="G73" s="50">
        <v>0</v>
      </c>
      <c r="H73" s="50">
        <v>0</v>
      </c>
      <c r="I73" s="50">
        <v>0</v>
      </c>
      <c r="J73" s="2"/>
      <c r="N73" s="55" t="s">
        <v>343</v>
      </c>
      <c r="O73" s="55" t="str">
        <f>INDEX(X_Table_Swine_Stage2MMS_From_SolidStorage,2,1)</f>
        <v>Anaerobic lagoon</v>
      </c>
      <c r="P73" s="50">
        <v>0</v>
      </c>
      <c r="Q73" s="50">
        <v>0</v>
      </c>
      <c r="R73" s="50">
        <v>0</v>
      </c>
      <c r="S73" s="50">
        <v>0</v>
      </c>
      <c r="T73" s="2"/>
    </row>
    <row r="74" spans="4:20" ht="20" customHeight="1" x14ac:dyDescent="0.25">
      <c r="D74" s="55"/>
      <c r="E74" s="55" t="str">
        <f>INDEX(X_Table_Swine_Stage2MMS_From_SolidStorage,3,1)</f>
        <v>Digester / covered lagoons</v>
      </c>
      <c r="F74" s="50">
        <v>0</v>
      </c>
      <c r="G74" s="50">
        <v>0</v>
      </c>
      <c r="H74" s="50">
        <v>0</v>
      </c>
      <c r="I74" s="50">
        <v>0</v>
      </c>
      <c r="J74" s="2"/>
      <c r="N74" s="55"/>
      <c r="O74" s="55" t="str">
        <f>INDEX(X_Table_Swine_Stage2MMS_From_SolidStorage,3,1)</f>
        <v>Digester / covered lagoons</v>
      </c>
      <c r="P74" s="50">
        <v>0</v>
      </c>
      <c r="Q74" s="50">
        <v>0</v>
      </c>
      <c r="R74" s="50">
        <v>0</v>
      </c>
      <c r="S74" s="50">
        <v>0</v>
      </c>
      <c r="T74" s="2"/>
    </row>
    <row r="75" spans="4:20" ht="20" customHeight="1" x14ac:dyDescent="0.25">
      <c r="D75" s="55"/>
      <c r="E75" s="55" t="str">
        <f>INDEX(X_Table_Swine_Stage2MMS_From_SolidStorage,4,1)</f>
        <v>Deep litter</v>
      </c>
      <c r="F75" s="50">
        <v>0</v>
      </c>
      <c r="G75" s="50">
        <v>0</v>
      </c>
      <c r="H75" s="50">
        <v>0</v>
      </c>
      <c r="I75" s="50">
        <v>0</v>
      </c>
      <c r="J75" s="2"/>
      <c r="N75" s="55"/>
      <c r="O75" s="55" t="str">
        <f>INDEX(X_Table_Swine_Stage2MMS_From_SolidStorage,4,1)</f>
        <v>Deep litter</v>
      </c>
      <c r="P75" s="50">
        <v>0</v>
      </c>
      <c r="Q75" s="50">
        <v>0</v>
      </c>
      <c r="R75" s="50">
        <v>0</v>
      </c>
      <c r="S75" s="50">
        <v>0</v>
      </c>
      <c r="T75" s="2"/>
    </row>
    <row r="76" spans="4:20" ht="20" customHeight="1" x14ac:dyDescent="0.25">
      <c r="D76" s="55"/>
      <c r="E76" s="55" t="str">
        <f>INDEX(X_Table_Swine_Stage2MMS_From_SolidStorage,5,1)</f>
        <v>Pit storage</v>
      </c>
      <c r="F76" s="50">
        <v>0</v>
      </c>
      <c r="G76" s="50">
        <v>0</v>
      </c>
      <c r="H76" s="50">
        <v>0</v>
      </c>
      <c r="I76" s="50">
        <v>0</v>
      </c>
      <c r="J76" s="2"/>
      <c r="N76" s="55"/>
      <c r="O76" s="55" t="str">
        <f>INDEX(X_Table_Swine_Stage2MMS_From_SolidStorage,5,1)</f>
        <v>Pit storage</v>
      </c>
      <c r="P76" s="50">
        <v>0</v>
      </c>
      <c r="Q76" s="50">
        <v>0</v>
      </c>
      <c r="R76" s="50">
        <v>0</v>
      </c>
      <c r="S76" s="50">
        <v>0</v>
      </c>
      <c r="T76" s="2"/>
    </row>
    <row r="77" spans="4:20" ht="20" customHeight="1" x14ac:dyDescent="0.25">
      <c r="D77" s="55"/>
      <c r="E77" s="55" t="str">
        <f>INDEX(X_Table_Swine_Stage2MMS_From_SolidStorage,6,1)</f>
        <v>Direct application</v>
      </c>
      <c r="F77" s="50">
        <v>0</v>
      </c>
      <c r="G77" s="50">
        <v>0</v>
      </c>
      <c r="H77" s="50">
        <v>0</v>
      </c>
      <c r="I77" s="50">
        <v>0</v>
      </c>
      <c r="J77" s="2"/>
      <c r="N77" s="55"/>
      <c r="O77" s="55" t="str">
        <f>INDEX(X_Table_Swine_Stage2MMS_From_SolidStorage,6,1)</f>
        <v>Direct application</v>
      </c>
      <c r="P77" s="50">
        <v>0</v>
      </c>
      <c r="Q77" s="50">
        <v>0</v>
      </c>
      <c r="R77" s="50">
        <v>0</v>
      </c>
      <c r="S77" s="50">
        <v>0</v>
      </c>
      <c r="T77" s="2"/>
    </row>
    <row r="78" spans="4:20" ht="20" customHeight="1" x14ac:dyDescent="0.25"/>
    <row r="79" spans="4:20" ht="20" customHeight="1" x14ac:dyDescent="0.25">
      <c r="D79" s="113" t="s">
        <v>290</v>
      </c>
    </row>
    <row r="80" spans="4:20" ht="20" customHeight="1" x14ac:dyDescent="0.25">
      <c r="D80" s="114" t="s">
        <v>291</v>
      </c>
    </row>
    <row r="81" spans="4:7" ht="20" customHeight="1" x14ac:dyDescent="0.25">
      <c r="D81" s="111" t="s">
        <v>155</v>
      </c>
      <c r="E81" s="111" t="s">
        <v>163</v>
      </c>
      <c r="F81" s="111" t="s">
        <v>292</v>
      </c>
    </row>
    <row r="82" spans="4:7" ht="20" customHeight="1" x14ac:dyDescent="0.25">
      <c r="D82" s="55" t="str">
        <f>INDEX(X_Table_Swine_Stage1MMS_AnaerobicLagoon,2,1)</f>
        <v>Anaerobic lagoon</v>
      </c>
      <c r="E82" s="55" t="str">
        <f>INDEX(X_Table_Swine_Stage2MMS_From_AnaerobicLagoon,2,1)</f>
        <v>Digester / covered lagoons</v>
      </c>
      <c r="F82" s="50" cm="1">
        <f t="array" aca="1" ref="F82:F85" ca="1">OFFSET(X_Table_Swine_Stage2MMS_From_AnaerobicLagoon_Destinations, 1,2,4,1)+OFFSET(X_Table_Swine_Stage2MMS_From_AnaerobicLagoon_Destinations, 1,3,4,1)</f>
        <v>0.75</v>
      </c>
      <c r="G82" s="2" t="str">
        <f>G17</f>
        <v>fraction</v>
      </c>
    </row>
    <row r="83" spans="4:7" ht="20" customHeight="1" x14ac:dyDescent="0.25">
      <c r="D83" s="55"/>
      <c r="E83" s="55" t="str">
        <f>INDEX(X_Table_Swine_Stage2MMS_From_AnaerobicLagoon,3,1)</f>
        <v>Deep litter</v>
      </c>
      <c r="F83" s="50">
        <f ca="1"/>
        <v>0.75</v>
      </c>
      <c r="G83" s="2"/>
    </row>
    <row r="84" spans="4:7" ht="20" customHeight="1" x14ac:dyDescent="0.25">
      <c r="D84" s="55"/>
      <c r="E84" s="55" t="str">
        <f>INDEX(X_Table_Swine_Stage2MMS_From_AnaerobicLagoon,4,1)</f>
        <v>Pit storage</v>
      </c>
      <c r="F84" s="50">
        <f ca="1"/>
        <v>0.75</v>
      </c>
      <c r="G84" s="2"/>
    </row>
    <row r="85" spans="4:7" ht="20" customHeight="1" x14ac:dyDescent="0.25">
      <c r="D85" s="55"/>
      <c r="E85" s="55" t="str">
        <f>INDEX(X_Table_Swine_Stage2MMS_From_AnaerobicLagoon,5,1)</f>
        <v>Direct application</v>
      </c>
      <c r="F85" s="50">
        <f ca="1"/>
        <v>1</v>
      </c>
    </row>
    <row r="86" spans="4:7" ht="20" customHeight="1" x14ac:dyDescent="0.25">
      <c r="D86" s="55" t="str">
        <f>INDEX(X_Table_Swine_Stage1MMS_Drylot,2,1)</f>
        <v>Drylot (feed pad)</v>
      </c>
      <c r="E86" s="55" t="str">
        <f>INDEX(X_Table_Swine_Stage2MMS_From_Drylot,2,1)</f>
        <v>Anaerobic lagoon</v>
      </c>
      <c r="F86" s="50" cm="1">
        <f t="array" aca="1" ref="F86:F90" ca="1">OFFSET(X_Table_Swine_Stage2MMS_From_Drylot_Destinations, 1,2,5,1)+OFFSET(X_Table_Swine_Stage2MMS_From_Drylot_Destinations, 1,3,5,1)</f>
        <v>0.75</v>
      </c>
      <c r="G86" s="2"/>
    </row>
    <row r="87" spans="4:7" ht="20" customHeight="1" x14ac:dyDescent="0.25">
      <c r="D87" s="55"/>
      <c r="E87" s="55" t="str">
        <f>INDEX(X_Table_Swine_Stage2MMS_From_Drylot,3,1)</f>
        <v>Digester / covered lagoons</v>
      </c>
      <c r="F87" s="50">
        <f ca="1"/>
        <v>0.75</v>
      </c>
      <c r="G87" s="2"/>
    </row>
    <row r="88" spans="4:7" ht="20" customHeight="1" x14ac:dyDescent="0.25">
      <c r="D88" s="55"/>
      <c r="E88" s="55" t="str">
        <f>INDEX(X_Table_Swine_Stage2MMS_From_Drylot,4,1)</f>
        <v>Deep litter</v>
      </c>
      <c r="F88" s="50">
        <f ca="1"/>
        <v>0.75</v>
      </c>
      <c r="G88" s="2"/>
    </row>
    <row r="89" spans="4:7" ht="20" customHeight="1" x14ac:dyDescent="0.25">
      <c r="D89" s="55"/>
      <c r="E89" s="55" t="str">
        <f>INDEX(X_Table_Swine_Stage2MMS_From_Drylot,5,1)</f>
        <v>Pit storage</v>
      </c>
      <c r="F89" s="50">
        <f ca="1"/>
        <v>0.75</v>
      </c>
      <c r="G89" s="2"/>
    </row>
    <row r="90" spans="4:7" ht="20" customHeight="1" x14ac:dyDescent="0.25">
      <c r="D90" s="55"/>
      <c r="E90" s="55" t="str">
        <f>INDEX(X_Table_Swine_Stage2MMS_From_Drylot,6,1)</f>
        <v>Direct application</v>
      </c>
      <c r="F90" s="50">
        <f ca="1"/>
        <v>1</v>
      </c>
    </row>
    <row r="91" spans="4:7" ht="20" customHeight="1" x14ac:dyDescent="0.25">
      <c r="D91" s="55" t="str">
        <f>INDEX(X_Table_Swine_Stage1MMS_DigesterCoveredLagoons,2,1)</f>
        <v>Digester / covered lagoons</v>
      </c>
      <c r="E91" s="55" t="str">
        <f>INDEX(X_Table_Swine_Stage2MMS_From_DigesterCoveredLagoons,2,1)</f>
        <v>Anaerobic lagoon</v>
      </c>
      <c r="F91" s="50" cm="1">
        <f t="array" aca="1" ref="F91:F94" ca="1">OFFSET(X_Table_Swine_Stage2MMS_From_DigesterCoveredLagoons_Destinations, 1,2,4,1)+OFFSET(X_Table_Swine_Stage2MMS_From_DigesterCoveredLagoons_Destinations, 1,3,4,1)</f>
        <v>0.75</v>
      </c>
      <c r="G91" s="2"/>
    </row>
    <row r="92" spans="4:7" ht="20" customHeight="1" x14ac:dyDescent="0.25">
      <c r="D92" s="55"/>
      <c r="E92" s="55" t="str">
        <f>INDEX(X_Table_Swine_Stage2MMS_From_DigesterCoveredLagoons,3,1)</f>
        <v>Deep litter</v>
      </c>
      <c r="F92" s="50">
        <f ca="1"/>
        <v>0.75</v>
      </c>
      <c r="G92" s="2"/>
    </row>
    <row r="93" spans="4:7" ht="20" customHeight="1" x14ac:dyDescent="0.25">
      <c r="D93" s="55"/>
      <c r="E93" s="55" t="str">
        <f>INDEX(X_Table_Swine_Stage2MMS_From_DigesterCoveredLagoons,4,1)</f>
        <v>Pit storage</v>
      </c>
      <c r="F93" s="50">
        <f ca="1"/>
        <v>0.75</v>
      </c>
      <c r="G93" s="2"/>
    </row>
    <row r="94" spans="4:7" ht="20" customHeight="1" x14ac:dyDescent="0.25">
      <c r="D94" s="55"/>
      <c r="E94" s="55" t="str">
        <f>INDEX(X_Table_Swine_Stage2MMS_From_DigesterCoveredLagoons,5,1)</f>
        <v>Direct application</v>
      </c>
      <c r="F94" s="50">
        <f ca="1"/>
        <v>1</v>
      </c>
    </row>
    <row r="95" spans="4:7" ht="20" customHeight="1" x14ac:dyDescent="0.25">
      <c r="D95" s="55" t="str">
        <f>INDEX(X_Table_Swine_Stage1MMS_DeepLitter,2,1)</f>
        <v>Deep litter</v>
      </c>
      <c r="E95" s="55" t="str">
        <f>INDEX(X_Table_Swine_Stage2MMS_From_DeepLitter,2,1)</f>
        <v>Anaerobic lagoon</v>
      </c>
      <c r="F95" s="50" cm="1">
        <f t="array" aca="1" ref="F95:F98" ca="1">OFFSET(X_Table_Swine_Stage2MMS_From_DeepLitter_Destinations, 1,2,4,1)+OFFSET(X_Table_Swine_Stage2MMS_From_DeepLitter_Destinations, 1,3,4,1)</f>
        <v>0.75</v>
      </c>
      <c r="G95" s="2"/>
    </row>
    <row r="96" spans="4:7" ht="20" customHeight="1" x14ac:dyDescent="0.25">
      <c r="D96" s="55"/>
      <c r="E96" s="55" t="str">
        <f>INDEX(X_Table_Swine_Stage2MMS_From_DeepLitter,3,1)</f>
        <v>Digester / covered lagoons</v>
      </c>
      <c r="F96" s="50">
        <f ca="1"/>
        <v>0.75</v>
      </c>
      <c r="G96" s="2"/>
    </row>
    <row r="97" spans="4:7" ht="20" customHeight="1" x14ac:dyDescent="0.25">
      <c r="D97" s="55"/>
      <c r="E97" s="55" t="str">
        <f>INDEX(X_Table_Swine_Stage2MMS_From_DeepLitter,4,1)</f>
        <v>Pit storage</v>
      </c>
      <c r="F97" s="50">
        <f ca="1"/>
        <v>0.75</v>
      </c>
      <c r="G97" s="2"/>
    </row>
    <row r="98" spans="4:7" ht="20" customHeight="1" x14ac:dyDescent="0.25">
      <c r="D98" s="55"/>
      <c r="E98" s="55" t="str">
        <f>INDEX(X_Table_Swine_Stage2MMS_From_DeepLitter,5,1)</f>
        <v>Direct application</v>
      </c>
      <c r="F98" s="50">
        <f ca="1"/>
        <v>1</v>
      </c>
    </row>
    <row r="99" spans="4:7" ht="20" customHeight="1" x14ac:dyDescent="0.25">
      <c r="D99" s="55" t="str">
        <f>INDEX(X_Table_Swine_Stage1MMS_PitStorage,2,1)</f>
        <v>Pit storage</v>
      </c>
      <c r="E99" s="55" t="str">
        <f>INDEX(X_Table_Swine_Stage2MMS_From_PitStorage,2,1)</f>
        <v>Anaerobic lagoon</v>
      </c>
      <c r="F99" s="50" cm="1">
        <f t="array" aca="1" ref="F99:F102" ca="1">OFFSET(X_Table_Swine_Stage2MMS_From_PitStorage_Destinations, 1,2,4,1)+OFFSET(X_Table_Swine_Stage2MMS_From_PitStorage_Destinations, 1,3,4,1)</f>
        <v>0.75</v>
      </c>
      <c r="G99" s="2"/>
    </row>
    <row r="100" spans="4:7" ht="20" customHeight="1" x14ac:dyDescent="0.25">
      <c r="D100" s="55"/>
      <c r="E100" s="55" t="str">
        <f>INDEX(X_Table_Swine_Stage2MMS_From_PitStorage,3,1)</f>
        <v>Digester / covered lagoons</v>
      </c>
      <c r="F100" s="50">
        <f ca="1"/>
        <v>0.75</v>
      </c>
      <c r="G100" s="2"/>
    </row>
    <row r="101" spans="4:7" ht="20" customHeight="1" x14ac:dyDescent="0.25">
      <c r="D101" s="55"/>
      <c r="E101" s="55" t="str">
        <f>INDEX(X_Table_Swine_Stage2MMS_From_PitStorage,4,1)</f>
        <v>Deep litter</v>
      </c>
      <c r="F101" s="50">
        <f ca="1"/>
        <v>0.75</v>
      </c>
      <c r="G101" s="2"/>
    </row>
    <row r="102" spans="4:7" ht="20" customHeight="1" x14ac:dyDescent="0.25">
      <c r="D102" s="55"/>
      <c r="E102" s="55" t="str">
        <f>INDEX(X_Table_Swine_Stage2MMS_From_PitStorage,5,1)</f>
        <v>Direct application</v>
      </c>
      <c r="F102" s="50">
        <f ca="1"/>
        <v>1</v>
      </c>
    </row>
    <row r="103" spans="4:7" ht="20" customHeight="1" x14ac:dyDescent="0.25">
      <c r="D103" s="55" t="s">
        <v>343</v>
      </c>
      <c r="E103" s="55" t="str">
        <f>INDEX(X_Table_Swine_Stage2MMS_From_SolidStorage,2,1)</f>
        <v>Anaerobic lagoon</v>
      </c>
      <c r="F103" s="50" cm="1">
        <f t="array" aca="1" ref="F103:F107" ca="1">OFFSET(X_Table_Swine_Stage2MMS_From_SolidStorage_Destinations, 1,2,5,1)+OFFSET(X_Table_Swine_Stage2MMS_From_SolidStorage_Destinations, 1,3,5,1)</f>
        <v>0.75</v>
      </c>
      <c r="G103" s="2"/>
    </row>
    <row r="104" spans="4:7" ht="20" customHeight="1" x14ac:dyDescent="0.25">
      <c r="D104" s="55"/>
      <c r="E104" s="55" t="str">
        <f>INDEX(X_Table_Swine_Stage2MMS_From_SolidStorage,3,1)</f>
        <v>Digester / covered lagoons</v>
      </c>
      <c r="F104" s="50">
        <f ca="1"/>
        <v>0.75</v>
      </c>
      <c r="G104" s="2"/>
    </row>
    <row r="105" spans="4:7" ht="20" customHeight="1" x14ac:dyDescent="0.25">
      <c r="D105" s="55"/>
      <c r="E105" s="55" t="str">
        <f>INDEX(X_Table_Swine_Stage2MMS_From_SolidStorage,4,1)</f>
        <v>Deep litter</v>
      </c>
      <c r="F105" s="50">
        <f ca="1"/>
        <v>0.75</v>
      </c>
      <c r="G105" s="2"/>
    </row>
    <row r="106" spans="4:7" ht="20" customHeight="1" x14ac:dyDescent="0.25">
      <c r="D106" s="55"/>
      <c r="E106" s="55" t="str">
        <f>INDEX(X_Table_Swine_Stage2MMS_From_SolidStorage,5,1)</f>
        <v>Pit storage</v>
      </c>
      <c r="F106" s="50">
        <f ca="1"/>
        <v>0.75</v>
      </c>
      <c r="G106" s="2"/>
    </row>
    <row r="107" spans="4:7" ht="20" customHeight="1" x14ac:dyDescent="0.25">
      <c r="D107" s="55"/>
      <c r="E107" s="55" t="str">
        <f>INDEX(X_Table_Swine_Stage2MMS_From_SolidStorage,6,1)</f>
        <v>Direct application</v>
      </c>
      <c r="F107" s="50">
        <f ca="1"/>
        <v>1</v>
      </c>
    </row>
    <row r="108" spans="4:7" ht="20" customHeight="1" x14ac:dyDescent="0.25"/>
    <row r="109" spans="4:7" ht="20" customHeight="1" x14ac:dyDescent="0.25">
      <c r="D109" s="113" t="s">
        <v>293</v>
      </c>
    </row>
    <row r="110" spans="4:7" ht="20" customHeight="1" x14ac:dyDescent="0.25">
      <c r="D110" s="114" t="s">
        <v>294</v>
      </c>
    </row>
    <row r="111" spans="4:7" ht="20" customHeight="1" x14ac:dyDescent="0.25">
      <c r="D111" s="49" t="s">
        <v>155</v>
      </c>
      <c r="E111" s="49" t="s">
        <v>237</v>
      </c>
    </row>
    <row r="112" spans="4:7" ht="20" customHeight="1" x14ac:dyDescent="0.25">
      <c r="D112" s="55" t="str">
        <f>INDEX(X_Table_Swine_Stage1MMS_AnaerobicLagoon,2,1)</f>
        <v>Anaerobic lagoon</v>
      </c>
      <c r="E112" s="50" cm="1">
        <f t="array" ref="E112">Common_InputFunctions.Utility_LookupValueInTableNumber(D112, Table_SourceData_Swine_FracGASM[NIR reference],Table_SourceData_Swine_FracGASM[FracGASMmT])</f>
        <v>0.55000000000000004</v>
      </c>
      <c r="F112" s="2" t="str">
        <f>G15</f>
        <v>(kg NH3-N + NOx-N)/kg N</v>
      </c>
    </row>
    <row r="113" spans="4:6" ht="20" customHeight="1" x14ac:dyDescent="0.25">
      <c r="D113" s="55" t="str">
        <f>INDEX(X_Table_Swine_Stage1MMS_Drylot,2,1)</f>
        <v>Drylot (feed pad)</v>
      </c>
      <c r="E113" s="50" cm="1">
        <f t="array" ref="E113">Common_InputFunctions.Utility_LookupValueInTableNumber(D113, Table_SourceData_Swine_FracGASM[NIR reference],Table_SourceData_Swine_FracGASM[FracGASMmT])</f>
        <v>0.3</v>
      </c>
    </row>
    <row r="114" spans="4:6" ht="20" customHeight="1" x14ac:dyDescent="0.25">
      <c r="D114" s="55" t="str">
        <f>INDEX(X_Table_Swine_Stage1MMS_DigesterCoveredLagoons,2,1)</f>
        <v>Digester / covered lagoons</v>
      </c>
      <c r="E114" s="50" cm="1">
        <f t="array" ref="E114">Common_InputFunctions.Utility_LookupValueInTableNumber(D114, Table_SourceData_Swine_FracGASM[NIR reference],Table_SourceData_Swine_FracGASM[FracGASMmT])</f>
        <v>0</v>
      </c>
    </row>
    <row r="115" spans="4:6" ht="20" customHeight="1" x14ac:dyDescent="0.25">
      <c r="D115" s="55" t="str">
        <f>INDEX(X_Table_Swine_Stage1MMS_DeepLitter,2,1)</f>
        <v>Deep litter</v>
      </c>
      <c r="E115" s="50" cm="1">
        <f t="array" ref="E115">Common_InputFunctions.Utility_LookupValueInTableNumber(D115, Table_SourceData_Swine_FracGASM[NIR reference],Table_SourceData_Swine_FracGASM[FracGASMmT])</f>
        <v>0.125</v>
      </c>
    </row>
    <row r="116" spans="4:6" ht="20" customHeight="1" x14ac:dyDescent="0.25">
      <c r="D116" s="55" t="str">
        <f>INDEX(X_Table_Swine_Stage1MMS_PitStorage,2,1)</f>
        <v>Pit storage</v>
      </c>
      <c r="E116" s="50" cm="1">
        <f t="array" ref="E116">Common_InputFunctions.Utility_LookupValueInTableNumber(D116, Table_SourceData_Swine_FracGASM[NIR reference],Table_SourceData_Swine_FracGASM[FracGASMmT])</f>
        <v>0.25</v>
      </c>
    </row>
    <row r="117" spans="4:6" ht="20" customHeight="1" x14ac:dyDescent="0.25">
      <c r="D117" s="55" t="s">
        <v>343</v>
      </c>
      <c r="E117" s="50" cm="1">
        <f t="array" ref="E117">Common_InputFunctions.Utility_LookupValueInTableNumber(D117, Table_SourceData_Swine_FracGASM[NIR reference],Table_SourceData_Swine_FracGASM[FracGASMmT])</f>
        <v>0.2</v>
      </c>
    </row>
    <row r="118" spans="4:6" ht="20" customHeight="1" x14ac:dyDescent="0.25">
      <c r="D118" s="55" t="str">
        <f>'Constants - Swine'!$D$47</f>
        <v>Direct application</v>
      </c>
      <c r="E118" s="50" cm="1">
        <f t="array" ref="E118">Common_InputFunctions.Utility_LookupValueInTableNumber(D118, Table_SourceData_Swine_FracGASM[NIR reference],Table_SourceData_Swine_FracGASM[FracGASMmT])</f>
        <v>0</v>
      </c>
    </row>
    <row r="119" spans="4:6" ht="20" customHeight="1" x14ac:dyDescent="0.25"/>
    <row r="120" spans="4:6" ht="20" customHeight="1" x14ac:dyDescent="0.25">
      <c r="D120" s="113" t="s">
        <v>295</v>
      </c>
    </row>
    <row r="121" spans="4:6" ht="20" customHeight="1" x14ac:dyDescent="0.25">
      <c r="D121" s="114" t="s">
        <v>296</v>
      </c>
    </row>
    <row r="122" spans="4:6" ht="20" customHeight="1" x14ac:dyDescent="0.25">
      <c r="D122" s="49" t="s">
        <v>64</v>
      </c>
      <c r="E122" s="49" t="s">
        <v>240</v>
      </c>
    </row>
    <row r="123" spans="4:6" ht="20" customHeight="1" x14ac:dyDescent="0.25">
      <c r="D123" s="55" t="str">
        <f>INDEX(X_Table_Swine_Stage1MMS_AnaerobicLagoon,2,1)</f>
        <v>Anaerobic lagoon</v>
      </c>
      <c r="E123" s="50" cm="1">
        <f t="array" ref="E123">Common_InputFunctions.Utility_LookupValueInTableNumber(D123, Table_SourceData_Swine_FracGASM28[NIR reference],Table_SourceData_Swine_FracGASM28[EFmT])</f>
        <v>0</v>
      </c>
      <c r="F123" s="2" t="str">
        <f>G14</f>
        <v>kg N2O-N/kg N</v>
      </c>
    </row>
    <row r="124" spans="4:6" ht="20" customHeight="1" x14ac:dyDescent="0.25">
      <c r="D124" s="55" t="str">
        <f>INDEX(X_Table_Swine_Stage1MMS_Drylot,2,1)</f>
        <v>Drylot (feed pad)</v>
      </c>
      <c r="E124" s="50" cm="1">
        <f t="array" ref="E124">Common_InputFunctions.Utility_LookupValueInTableNumber(D124, Table_SourceData_Swine_FracGASM28[NIR reference],Table_SourceData_Swine_FracGASM28[EFmT])</f>
        <v>0.02</v>
      </c>
    </row>
    <row r="125" spans="4:6" ht="20" customHeight="1" x14ac:dyDescent="0.25">
      <c r="D125" s="55" t="str">
        <f>INDEX(X_Table_Swine_Stage1MMS_DigesterCoveredLagoons,2,1)</f>
        <v>Digester / covered lagoons</v>
      </c>
      <c r="E125" s="50" cm="1">
        <f t="array" ref="E125">Common_InputFunctions.Utility_LookupValueInTableNumber(D125, Table_SourceData_Swine_FracGASM28[NIR reference],Table_SourceData_Swine_FracGASM28[EFmT])</f>
        <v>0</v>
      </c>
    </row>
    <row r="126" spans="4:6" ht="20" customHeight="1" x14ac:dyDescent="0.25">
      <c r="D126" s="55" t="str">
        <f>INDEX(X_Table_Swine_Stage1MMS_DeepLitter,2,1)</f>
        <v>Deep litter</v>
      </c>
      <c r="E126" s="50" cm="1">
        <f t="array" ref="E126">Common_InputFunctions.Utility_LookupValueInTableNumber(D126, Table_SourceData_Swine_FracGASM28[NIR reference],Table_SourceData_Swine_FracGASM28[EFmT])</f>
        <v>0.01</v>
      </c>
    </row>
    <row r="127" spans="4:6" ht="20" customHeight="1" x14ac:dyDescent="0.25">
      <c r="D127" s="55" t="str">
        <f>INDEX(X_Table_Swine_Stage1MMS_PitStorage,2,1)</f>
        <v>Pit storage</v>
      </c>
      <c r="E127" s="50" cm="1">
        <f t="array" ref="E127">Common_InputFunctions.Utility_LookupValueInTableNumber(D127, Table_SourceData_Swine_FracGASM28[NIR reference],Table_SourceData_Swine_FracGASM28[EFmT])</f>
        <v>2E-3</v>
      </c>
    </row>
    <row r="128" spans="4:6" ht="20" customHeight="1" x14ac:dyDescent="0.25">
      <c r="D128" s="55" t="s">
        <v>343</v>
      </c>
      <c r="E128" s="50" cm="1">
        <f t="array" ref="E128">Common_InputFunctions.Utility_LookupValueInTableNumber(D128, Table_SourceData_Swine_FracGASM28[NIR reference],Table_SourceData_Swine_FracGASM28[EFmT])</f>
        <v>5.0000000000000001E-3</v>
      </c>
    </row>
    <row r="129" spans="4:20" ht="20" customHeight="1" x14ac:dyDescent="0.25">
      <c r="D129" s="55" t="str">
        <f>'Constants - Swine'!$D$47</f>
        <v>Direct application</v>
      </c>
      <c r="E129" s="50" cm="1">
        <f t="array" ref="E129">Common_InputFunctions.Utility_LookupValueInTableNumber(D129, Table_SourceData_Swine_FracGASM28[NIR reference],Table_SourceData_Swine_FracGASM28[EFmT])</f>
        <v>0</v>
      </c>
    </row>
    <row r="130" spans="4:20" ht="20" customHeight="1" x14ac:dyDescent="0.25"/>
    <row r="131" spans="4:20" ht="20" customHeight="1" x14ac:dyDescent="0.25">
      <c r="D131" s="113" t="s">
        <v>297</v>
      </c>
      <c r="N131" s="113" t="s">
        <v>297</v>
      </c>
    </row>
    <row r="132" spans="4:20" ht="20" customHeight="1" x14ac:dyDescent="0.25">
      <c r="D132" s="114" t="s">
        <v>298</v>
      </c>
      <c r="N132" s="114" t="s">
        <v>298</v>
      </c>
    </row>
    <row r="133" spans="4:20" ht="20" customHeight="1" x14ac:dyDescent="0.25">
      <c r="D133" s="49" t="s">
        <v>155</v>
      </c>
      <c r="E133" s="49" t="s">
        <v>163</v>
      </c>
      <c r="F133" s="49" t="s">
        <v>134</v>
      </c>
      <c r="G133" s="49" t="s">
        <v>135</v>
      </c>
      <c r="H133" s="49" t="s">
        <v>136</v>
      </c>
      <c r="I133" s="49" t="s">
        <v>192</v>
      </c>
      <c r="N133" s="49" t="s">
        <v>155</v>
      </c>
      <c r="O133" s="49" t="s">
        <v>163</v>
      </c>
      <c r="P133" s="49" t="s">
        <v>134</v>
      </c>
      <c r="Q133" s="49" t="s">
        <v>135</v>
      </c>
      <c r="R133" s="49" t="s">
        <v>136</v>
      </c>
      <c r="S133" s="49" t="s">
        <v>192</v>
      </c>
    </row>
    <row r="134" spans="4:20" ht="20" customHeight="1" x14ac:dyDescent="0.25">
      <c r="D134" s="55" t="str">
        <f>INDEX(X_Table_Swine_Stage1MMS_AnaerobicLagoon,2,1)</f>
        <v>Anaerobic lagoon</v>
      </c>
      <c r="E134" s="55" t="str">
        <f>INDEX(X_Table_Swine_Stage2MMS_From_AnaerobicLagoon,2,1)</f>
        <v>Digester / covered lagoons</v>
      </c>
      <c r="F134" s="50" cm="1">
        <f t="array" aca="1" ref="F134" ca="1">MMS_Swine_ManureAppliedToSoils_Equations.VEERG_4_5_1_9__1_MassOfNitrogenAppliedToSoilsScope1(F22,_xlfn.XLOOKUP($E134,$D$123:$D$129,$E$123:$E$129), _xlfn.XLOOKUP($E134,$D$112:$D$118,$E$112:$E$118),F52,$F82)</f>
        <v>13.599899999999996</v>
      </c>
      <c r="G134" s="50" cm="1">
        <f t="array" aca="1" ref="G134" ca="1">MMS_Swine_ManureAppliedToSoils_Equations.VEERG_4_5_1_9__1_MassOfNitrogenAppliedToSoilsScope1(G22,_xlfn.XLOOKUP($E134,$D$123:$D$129,$E$123:$E$129), _xlfn.XLOOKUP($E134,$D$112:$D$118,$E$112:$E$118),G52,$F82)</f>
        <v>18.108562500000001</v>
      </c>
      <c r="H134" s="50" cm="1">
        <f t="array" aca="1" ref="H134" ca="1">MMS_Swine_ManureAppliedToSoils_Equations.VEERG_4_5_1_9__1_MassOfNitrogenAppliedToSoilsScope1(H22,_xlfn.XLOOKUP($E134,$D$123:$D$129,$E$123:$E$129), _xlfn.XLOOKUP($E134,$D$112:$D$118,$E$112:$E$118),H52,$F82)</f>
        <v>16.999874999999996</v>
      </c>
      <c r="I134" s="50" cm="1">
        <f t="array" aca="1" ref="I134" ca="1">MMS_Swine_ManureAppliedToSoils_Equations.VEERG_4_5_1_9__1_MassOfNitrogenAppliedToSoilsScope1(I22,_xlfn.XLOOKUP($E134,$D$123:$D$129,$E$123:$E$129), _xlfn.XLOOKUP($E134,$D$112:$D$118,$E$112:$E$118),I52,$F82)</f>
        <v>11.530349999999997</v>
      </c>
      <c r="J134" s="2" t="str">
        <f>$E$11</f>
        <v>kg N</v>
      </c>
      <c r="N134" s="55" t="str">
        <f>INDEX(X_Table_Swine_Stage1MMS_AnaerobicLagoon,2,1)</f>
        <v>Anaerobic lagoon</v>
      </c>
      <c r="O134" s="55" t="str">
        <f>INDEX(X_Table_Swine_Stage2MMS_From_AnaerobicLagoon,2,1)</f>
        <v>Digester / covered lagoons</v>
      </c>
      <c r="P134" s="50" cm="1">
        <f t="array" aca="1" ref="P134" ca="1">MMS_Swine_ManureAppliedToSoils_Equations.VEERG_4_5_1_9__1_MassOfNitrogenAppliedToSoilsScope1(P22,_xlfn.XLOOKUP($O134,$D$123:$D$129,$E$123:$E$129), _xlfn.XLOOKUP($O134,$D$112:$D$118,$E$112:$E$118),P52,$F82)</f>
        <v>13.599899999999996</v>
      </c>
      <c r="Q134" s="50" cm="1">
        <f t="array" aca="1" ref="Q134" ca="1">MMS_Swine_ManureAppliedToSoils_Equations.VEERG_4_5_1_9__1_MassOfNitrogenAppliedToSoilsScope1(Q22,_xlfn.XLOOKUP($O134,$D$123:$D$129,$E$123:$E$129), _xlfn.XLOOKUP($O134,$D$112:$D$118,$E$112:$E$118),Q52,$F82)</f>
        <v>18.108562500000001</v>
      </c>
      <c r="R134" s="50" cm="1">
        <f t="array" aca="1" ref="R134" ca="1">MMS_Swine_ManureAppliedToSoils_Equations.VEERG_4_5_1_9__1_MassOfNitrogenAppliedToSoilsScope1(R22,_xlfn.XLOOKUP($O134,$D$123:$D$129,$E$123:$E$129), _xlfn.XLOOKUP($O134,$D$112:$D$118,$E$112:$E$118),R52,$F82)</f>
        <v>16.999874999999996</v>
      </c>
      <c r="S134" s="50" cm="1">
        <f t="array" aca="1" ref="S134" ca="1">MMS_Swine_ManureAppliedToSoils_Equations.VEERG_4_5_1_9__1_MassOfNitrogenAppliedToSoilsScope1(S22,_xlfn.XLOOKUP($O134,$D$123:$D$129,$E$123:$E$129), _xlfn.XLOOKUP($O134,$D$112:$D$118,$E$112:$E$118),S52,$F82)</f>
        <v>11.530349999999997</v>
      </c>
      <c r="T134" s="2" t="str">
        <f t="shared" ref="T134" si="0">$E$11</f>
        <v>kg N</v>
      </c>
    </row>
    <row r="135" spans="4:20" ht="20" customHeight="1" x14ac:dyDescent="0.25">
      <c r="D135" s="55"/>
      <c r="E135" s="55" t="str">
        <f>INDEX(X_Table_Swine_Stage2MMS_From_AnaerobicLagoon,3,1)</f>
        <v>Deep litter</v>
      </c>
      <c r="F135" s="50" cm="1">
        <f t="array" aca="1" ref="F135" ca="1">MMS_Swine_ManureAppliedToSoils_Equations.VEERG_4_5_1_9__1_MassOfNitrogenAppliedToSoilsScope1(F23,_xlfn.XLOOKUP($E135,$D$123:$D$129,$E$123:$E$129), _xlfn.XLOOKUP($E135,$D$112:$D$118,$E$112:$E$118),F53,$F83)</f>
        <v>11.763913499999997</v>
      </c>
      <c r="G135" s="50" cm="1">
        <f t="array" aca="1" ref="G135" ca="1">MMS_Swine_ManureAppliedToSoils_Equations.VEERG_4_5_1_9__1_MassOfNitrogenAppliedToSoilsScope1(G23,_xlfn.XLOOKUP($E135,$D$123:$D$129,$E$123:$E$129), _xlfn.XLOOKUP($E135,$D$112:$D$118,$E$112:$E$118),G53,$F83)</f>
        <v>15.663906562499999</v>
      </c>
      <c r="H135" s="50" cm="1">
        <f t="array" aca="1" ref="H135" ca="1">MMS_Swine_ManureAppliedToSoils_Equations.VEERG_4_5_1_9__1_MassOfNitrogenAppliedToSoilsScope1(H23,_xlfn.XLOOKUP($E135,$D$123:$D$129,$E$123:$E$129), _xlfn.XLOOKUP($E135,$D$112:$D$118,$E$112:$E$118),H53,$F83)</f>
        <v>14.704891874999994</v>
      </c>
      <c r="I135" s="50" cm="1">
        <f t="array" aca="1" ref="I135" ca="1">MMS_Swine_ManureAppliedToSoils_Equations.VEERG_4_5_1_9__1_MassOfNitrogenAppliedToSoilsScope1(I23,_xlfn.XLOOKUP($E135,$D$123:$D$129,$E$123:$E$129), _xlfn.XLOOKUP($E135,$D$112:$D$118,$E$112:$E$118),I53,$F83)</f>
        <v>9.9737527499999974</v>
      </c>
      <c r="J135" s="2"/>
      <c r="N135" s="55"/>
      <c r="O135" s="55" t="str">
        <f>INDEX(X_Table_Swine_Stage2MMS_From_AnaerobicLagoon,3,1)</f>
        <v>Deep litter</v>
      </c>
      <c r="P135" s="50" cm="1">
        <f t="array" aca="1" ref="P135" ca="1">MMS_Swine_ManureAppliedToSoils_Equations.VEERG_4_5_1_9__1_MassOfNitrogenAppliedToSoilsScope1(P23,_xlfn.XLOOKUP($O135,$D$123:$D$129,$E$123:$E$129), _xlfn.XLOOKUP($O135,$D$112:$D$118,$E$112:$E$118),P53,$F83)</f>
        <v>11.763913499999997</v>
      </c>
      <c r="Q135" s="50" cm="1">
        <f t="array" aca="1" ref="Q135" ca="1">MMS_Swine_ManureAppliedToSoils_Equations.VEERG_4_5_1_9__1_MassOfNitrogenAppliedToSoilsScope1(Q23,_xlfn.XLOOKUP($O135,$D$123:$D$129,$E$123:$E$129), _xlfn.XLOOKUP($O135,$D$112:$D$118,$E$112:$E$118),Q53,$F83)</f>
        <v>15.663906562499999</v>
      </c>
      <c r="R135" s="50" cm="1">
        <f t="array" aca="1" ref="R135" ca="1">MMS_Swine_ManureAppliedToSoils_Equations.VEERG_4_5_1_9__1_MassOfNitrogenAppliedToSoilsScope1(R23,_xlfn.XLOOKUP($O135,$D$123:$D$129,$E$123:$E$129), _xlfn.XLOOKUP($O135,$D$112:$D$118,$E$112:$E$118),R53,$F83)</f>
        <v>14.704891874999994</v>
      </c>
      <c r="S135" s="50" cm="1">
        <f t="array" aca="1" ref="S135" ca="1">MMS_Swine_ManureAppliedToSoils_Equations.VEERG_4_5_1_9__1_MassOfNitrogenAppliedToSoilsScope1(S23,_xlfn.XLOOKUP($O135,$D$123:$D$129,$E$123:$E$129), _xlfn.XLOOKUP($O135,$D$112:$D$118,$E$112:$E$118),S53,$F83)</f>
        <v>9.9737527499999974</v>
      </c>
      <c r="T135" s="2"/>
    </row>
    <row r="136" spans="4:20" ht="20" customHeight="1" x14ac:dyDescent="0.25">
      <c r="D136" s="55"/>
      <c r="E136" s="55" t="str">
        <f>INDEX(X_Table_Swine_Stage2MMS_From_AnaerobicLagoon,4,1)</f>
        <v>Pit storage</v>
      </c>
      <c r="F136" s="50" cm="1">
        <f t="array" aca="1" ref="F136" ca="1">MMS_Swine_ManureAppliedToSoils_Equations.VEERG_4_5_1_9__1_MassOfNitrogenAppliedToSoilsScope1(F24,_xlfn.XLOOKUP($E136,$D$123:$D$129,$E$123:$E$129), _xlfn.XLOOKUP($E136,$D$112:$D$118,$E$112:$E$118),F54,$F84)</f>
        <v>10.172725199999997</v>
      </c>
      <c r="G136" s="50" cm="1">
        <f t="array" aca="1" ref="G136" ca="1">MMS_Swine_ManureAppliedToSoils_Equations.VEERG_4_5_1_9__1_MassOfNitrogenAppliedToSoilsScope1(G24,_xlfn.XLOOKUP($E136,$D$123:$D$129,$E$123:$E$129), _xlfn.XLOOKUP($E136,$D$112:$D$118,$E$112:$E$118),G54,$F84)</f>
        <v>13.545204750000002</v>
      </c>
      <c r="H136" s="50" cm="1">
        <f t="array" aca="1" ref="H136" ca="1">MMS_Swine_ManureAppliedToSoils_Equations.VEERG_4_5_1_9__1_MassOfNitrogenAppliedToSoilsScope1(H24,_xlfn.XLOOKUP($E136,$D$123:$D$129,$E$123:$E$129), _xlfn.XLOOKUP($E136,$D$112:$D$118,$E$112:$E$118),H54,$F84)</f>
        <v>12.715906499999996</v>
      </c>
      <c r="I136" s="50" cm="1">
        <f t="array" aca="1" ref="I136" ca="1">MMS_Swine_ManureAppliedToSoils_Equations.VEERG_4_5_1_9__1_MassOfNitrogenAppliedToSoilsScope1(I24,_xlfn.XLOOKUP($E136,$D$123:$D$129,$E$123:$E$129), _xlfn.XLOOKUP($E136,$D$112:$D$118,$E$112:$E$118),I54,$F84)</f>
        <v>8.6247017999999969</v>
      </c>
      <c r="J136" s="2"/>
      <c r="N136" s="55"/>
      <c r="O136" s="55" t="str">
        <f>INDEX(X_Table_Swine_Stage2MMS_From_AnaerobicLagoon,4,1)</f>
        <v>Pit storage</v>
      </c>
      <c r="P136" s="50" cm="1">
        <f t="array" aca="1" ref="P136" ca="1">MMS_Swine_ManureAppliedToSoils_Equations.VEERG_4_5_1_9__1_MassOfNitrogenAppliedToSoilsScope1(P24,_xlfn.XLOOKUP($O136,$D$123:$D$129,$E$123:$E$129), _xlfn.XLOOKUP($O136,$D$112:$D$118,$E$112:$E$118),P54,$F84)</f>
        <v>10.172725199999997</v>
      </c>
      <c r="Q136" s="50" cm="1">
        <f t="array" aca="1" ref="Q136" ca="1">MMS_Swine_ManureAppliedToSoils_Equations.VEERG_4_5_1_9__1_MassOfNitrogenAppliedToSoilsScope1(Q24,_xlfn.XLOOKUP($O136,$D$123:$D$129,$E$123:$E$129), _xlfn.XLOOKUP($O136,$D$112:$D$118,$E$112:$E$118),Q54,$F84)</f>
        <v>13.545204750000002</v>
      </c>
      <c r="R136" s="50" cm="1">
        <f t="array" aca="1" ref="R136" ca="1">MMS_Swine_ManureAppliedToSoils_Equations.VEERG_4_5_1_9__1_MassOfNitrogenAppliedToSoilsScope1(R24,_xlfn.XLOOKUP($O136,$D$123:$D$129,$E$123:$E$129), _xlfn.XLOOKUP($O136,$D$112:$D$118,$E$112:$E$118),R54,$F84)</f>
        <v>12.715906499999996</v>
      </c>
      <c r="S136" s="50" cm="1">
        <f t="array" aca="1" ref="S136" ca="1">MMS_Swine_ManureAppliedToSoils_Equations.VEERG_4_5_1_9__1_MassOfNitrogenAppliedToSoilsScope1(S24,_xlfn.XLOOKUP($O136,$D$123:$D$129,$E$123:$E$129), _xlfn.XLOOKUP($O136,$D$112:$D$118,$E$112:$E$118),S54,$F84)</f>
        <v>8.6247017999999969</v>
      </c>
      <c r="T136" s="2"/>
    </row>
    <row r="137" spans="4:20" ht="20" customHeight="1" x14ac:dyDescent="0.25">
      <c r="D137" s="55"/>
      <c r="E137" s="55" t="str">
        <f>INDEX(X_Table_Swine_Stage2MMS_From_AnaerobicLagoon,5,1)</f>
        <v>Direct application</v>
      </c>
      <c r="F137" s="50" cm="1">
        <f t="array" aca="1" ref="F137" ca="1">MMS_Swine_ManureAppliedToSoils_Equations.VEERG_4_5_1_9__1_MassOfNitrogenAppliedToSoilsScope1(F25,_xlfn.XLOOKUP($E137,$D$123:$D$129,$E$123:$E$129), _xlfn.XLOOKUP($E137,$D$112:$D$118,$E$112:$E$118),F55,$F85)</f>
        <v>36.266399999999976</v>
      </c>
      <c r="G137" s="50" cm="1">
        <f t="array" aca="1" ref="G137" ca="1">MMS_Swine_ManureAppliedToSoils_Equations.VEERG_4_5_1_9__1_MassOfNitrogenAppliedToSoilsScope1(G25,_xlfn.XLOOKUP($E137,$D$123:$D$129,$E$123:$E$129), _xlfn.XLOOKUP($E137,$D$112:$D$118,$E$112:$E$118),G55,$F85)</f>
        <v>24.144750000000002</v>
      </c>
      <c r="H137" s="50" cm="1">
        <f t="array" aca="1" ref="H137" ca="1">MMS_Swine_ManureAppliedToSoils_Equations.VEERG_4_5_1_9__1_MassOfNitrogenAppliedToSoilsScope1(H25,_xlfn.XLOOKUP($E137,$D$123:$D$129,$E$123:$E$129), _xlfn.XLOOKUP($E137,$D$112:$D$118,$E$112:$E$118),H55,$F85)</f>
        <v>22.666499999999992</v>
      </c>
      <c r="I137" s="50" cm="1">
        <f t="array" aca="1" ref="I137" ca="1">MMS_Swine_ManureAppliedToSoils_Equations.VEERG_4_5_1_9__1_MassOfNitrogenAppliedToSoilsScope1(I25,_xlfn.XLOOKUP($E137,$D$123:$D$129,$E$123:$E$129), _xlfn.XLOOKUP($E137,$D$112:$D$118,$E$112:$E$118),I55,$F85)</f>
        <v>15.373799999999996</v>
      </c>
      <c r="J137" s="2"/>
      <c r="N137" s="55"/>
      <c r="O137" s="55" t="str">
        <f>INDEX(X_Table_Swine_Stage2MMS_From_AnaerobicLagoon,5,1)</f>
        <v>Direct application</v>
      </c>
      <c r="P137" s="50" cm="1">
        <f t="array" aca="1" ref="P137" ca="1">MMS_Swine_ManureAppliedToSoils_Equations.VEERG_4_5_1_9__1_MassOfNitrogenAppliedToSoilsScope1(P25,_xlfn.XLOOKUP($O137,$D$123:$D$129,$E$123:$E$129), _xlfn.XLOOKUP($O137,$D$112:$D$118,$E$112:$E$118),P55,$F85)</f>
        <v>36.266399999999976</v>
      </c>
      <c r="Q137" s="50" cm="1">
        <f t="array" aca="1" ref="Q137" ca="1">MMS_Swine_ManureAppliedToSoils_Equations.VEERG_4_5_1_9__1_MassOfNitrogenAppliedToSoilsScope1(Q25,_xlfn.XLOOKUP($O137,$D$123:$D$129,$E$123:$E$129), _xlfn.XLOOKUP($O137,$D$112:$D$118,$E$112:$E$118),Q55,$F85)</f>
        <v>24.144750000000002</v>
      </c>
      <c r="R137" s="50" cm="1">
        <f t="array" aca="1" ref="R137" ca="1">MMS_Swine_ManureAppliedToSoils_Equations.VEERG_4_5_1_9__1_MassOfNitrogenAppliedToSoilsScope1(R25,_xlfn.XLOOKUP($O137,$D$123:$D$129,$E$123:$E$129), _xlfn.XLOOKUP($O137,$D$112:$D$118,$E$112:$E$118),R55,$F85)</f>
        <v>22.666499999999992</v>
      </c>
      <c r="S137" s="50" cm="1">
        <f t="array" aca="1" ref="S137" ca="1">MMS_Swine_ManureAppliedToSoils_Equations.VEERG_4_5_1_9__1_MassOfNitrogenAppliedToSoilsScope1(S25,_xlfn.XLOOKUP($O137,$D$123:$D$129,$E$123:$E$129), _xlfn.XLOOKUP($O137,$D$112:$D$118,$E$112:$E$118),S55,$F85)</f>
        <v>15.373799999999996</v>
      </c>
      <c r="T137" s="2"/>
    </row>
    <row r="138" spans="4:20" ht="20" customHeight="1" x14ac:dyDescent="0.25">
      <c r="D138" s="55" t="str">
        <f>INDEX(X_Table_Swine_Stage1MMS_Drylot,2,1)</f>
        <v>Drylot (feed pad)</v>
      </c>
      <c r="E138" s="55" t="str">
        <f>INDEX(X_Table_Swine_Stage2MMS_From_Drylot,2,1)</f>
        <v>Anaerobic lagoon</v>
      </c>
      <c r="F138" s="50" cm="1">
        <f t="array" aca="1" ref="F138" ca="1">MMS_Swine_ManureAppliedToSoils_Equations.VEERG_4_5_1_9__1_MassOfNitrogenAppliedToSoilsScope1(F26,_xlfn.XLOOKUP($E138,$D$123:$D$129,$E$123:$E$129), _xlfn.XLOOKUP($E138,$D$112:$D$118,$E$112:$E$118),F56,$F86)</f>
        <v>6.2257319999999963</v>
      </c>
      <c r="G138" s="50" cm="1">
        <f t="array" aca="1" ref="G138" ca="1">MMS_Swine_ManureAppliedToSoils_Equations.VEERG_4_5_1_9__1_MassOfNitrogenAppliedToSoilsScope1(G26,_xlfn.XLOOKUP($E138,$D$123:$D$129,$E$123:$E$129), _xlfn.XLOOKUP($E138,$D$112:$D$118,$E$112:$E$118),G56,$F86)</f>
        <v>9.0945225000000001</v>
      </c>
      <c r="H138" s="50" cm="1">
        <f t="array" aca="1" ref="H138" ca="1">MMS_Swine_ManureAppliedToSoils_Equations.VEERG_4_5_1_9__1_MassOfNitrogenAppliedToSoilsScope1(H26,_xlfn.XLOOKUP($E138,$D$123:$D$129,$E$123:$E$129), _xlfn.XLOOKUP($E138,$D$112:$D$118,$E$112:$E$118),H56,$F86)</f>
        <v>8.5377149999999951</v>
      </c>
      <c r="I138" s="50" cm="1">
        <f t="array" aca="1" ref="I138" ca="1">MMS_Swine_ManureAppliedToSoils_Equations.VEERG_4_5_1_9__1_MassOfNitrogenAppliedToSoilsScope1(I26,_xlfn.XLOOKUP($E138,$D$123:$D$129,$E$123:$E$129), _xlfn.XLOOKUP($E138,$D$112:$D$118,$E$112:$E$118),I56,$F86)</f>
        <v>5.790797999999997</v>
      </c>
      <c r="J138" s="2"/>
      <c r="N138" s="55" t="str">
        <f>INDEX(X_Table_Swine_Stage1MMS_Drylot,2,1)</f>
        <v>Drylot (feed pad)</v>
      </c>
      <c r="O138" s="55" t="str">
        <f>INDEX(X_Table_Swine_Stage2MMS_From_Drylot,2,1)</f>
        <v>Anaerobic lagoon</v>
      </c>
      <c r="P138" s="50" cm="1">
        <f t="array" aca="1" ref="P138" ca="1">MMS_Swine_ManureAppliedToSoils_Equations.VEERG_4_5_1_9__1_MassOfNitrogenAppliedToSoilsScope1(P26,_xlfn.XLOOKUP($O138,$D$123:$D$129,$E$123:$E$129), _xlfn.XLOOKUP($O138,$D$112:$D$118,$E$112:$E$118),P56,$F86)</f>
        <v>6.2257319999999963</v>
      </c>
      <c r="Q138" s="50" cm="1">
        <f t="array" aca="1" ref="Q138" ca="1">MMS_Swine_ManureAppliedToSoils_Equations.VEERG_4_5_1_9__1_MassOfNitrogenAppliedToSoilsScope1(Q26,_xlfn.XLOOKUP($O138,$D$123:$D$129,$E$123:$E$129), _xlfn.XLOOKUP($O138,$D$112:$D$118,$E$112:$E$118),Q56,$F86)</f>
        <v>9.0945225000000001</v>
      </c>
      <c r="R138" s="50" cm="1">
        <f t="array" aca="1" ref="R138" ca="1">MMS_Swine_ManureAppliedToSoils_Equations.VEERG_4_5_1_9__1_MassOfNitrogenAppliedToSoilsScope1(R26,_xlfn.XLOOKUP($O138,$D$123:$D$129,$E$123:$E$129), _xlfn.XLOOKUP($O138,$D$112:$D$118,$E$112:$E$118),R56,$F86)</f>
        <v>8.5377149999999951</v>
      </c>
      <c r="S138" s="50" cm="1">
        <f t="array" aca="1" ref="S138" ca="1">MMS_Swine_ManureAppliedToSoils_Equations.VEERG_4_5_1_9__1_MassOfNitrogenAppliedToSoilsScope1(S26,_xlfn.XLOOKUP($O138,$D$123:$D$129,$E$123:$E$129), _xlfn.XLOOKUP($O138,$D$112:$D$118,$E$112:$E$118),S56,$F86)</f>
        <v>5.790797999999997</v>
      </c>
      <c r="T138" s="2"/>
    </row>
    <row r="139" spans="4:20" ht="20" customHeight="1" x14ac:dyDescent="0.25">
      <c r="D139" s="55"/>
      <c r="E139" s="55" t="str">
        <f>INDEX(X_Table_Swine_Stage2MMS_From_Drylot,3,1)</f>
        <v>Digester / covered lagoons</v>
      </c>
      <c r="F139" s="50" cm="1">
        <f t="array" aca="1" ref="F139" ca="1">MMS_Swine_ManureAppliedToSoils_Equations.VEERG_4_5_1_9__1_MassOfNitrogenAppliedToSoilsScope1(F27,_xlfn.XLOOKUP($E139,$D$123:$D$129,$E$123:$E$129), _xlfn.XLOOKUP($E139,$D$112:$D$118,$E$112:$E$118),F57,$F87)</f>
        <v>17.528759999999995</v>
      </c>
      <c r="G139" s="50" cm="1">
        <f t="array" aca="1" ref="G139" ca="1">MMS_Swine_ManureAppliedToSoils_Equations.VEERG_4_5_1_9__1_MassOfNitrogenAppliedToSoilsScope1(G27,_xlfn.XLOOKUP($E139,$D$123:$D$129,$E$123:$E$129), _xlfn.XLOOKUP($E139,$D$112:$D$118,$E$112:$E$118),G57,$F87)</f>
        <v>24.144750000000002</v>
      </c>
      <c r="H139" s="50" cm="1">
        <f t="array" aca="1" ref="H139" ca="1">MMS_Swine_ManureAppliedToSoils_Equations.VEERG_4_5_1_9__1_MassOfNitrogenAppliedToSoilsScope1(H27,_xlfn.XLOOKUP($E139,$D$123:$D$129,$E$123:$E$129), _xlfn.XLOOKUP($E139,$D$112:$D$118,$E$112:$E$118),H57,$F87)</f>
        <v>22.666499999999992</v>
      </c>
      <c r="I139" s="50" cm="1">
        <f t="array" aca="1" ref="I139" ca="1">MMS_Swine_ManureAppliedToSoils_Equations.VEERG_4_5_1_9__1_MassOfNitrogenAppliedToSoilsScope1(I27,_xlfn.XLOOKUP($E139,$D$123:$D$129,$E$123:$E$129), _xlfn.XLOOKUP($E139,$D$112:$D$118,$E$112:$E$118),I57,$F87)</f>
        <v>15.373799999999996</v>
      </c>
      <c r="J139" s="2"/>
      <c r="N139" s="55"/>
      <c r="O139" s="55" t="str">
        <f>INDEX(X_Table_Swine_Stage2MMS_From_Drylot,3,1)</f>
        <v>Digester / covered lagoons</v>
      </c>
      <c r="P139" s="50" cm="1">
        <f t="array" aca="1" ref="P139" ca="1">MMS_Swine_ManureAppliedToSoils_Equations.VEERG_4_5_1_9__1_MassOfNitrogenAppliedToSoilsScope1(P27,_xlfn.XLOOKUP($O139,$D$123:$D$129,$E$123:$E$129), _xlfn.XLOOKUP($O139,$D$112:$D$118,$E$112:$E$118),P57,$F87)</f>
        <v>17.528759999999995</v>
      </c>
      <c r="Q139" s="50" cm="1">
        <f t="array" aca="1" ref="Q139" ca="1">MMS_Swine_ManureAppliedToSoils_Equations.VEERG_4_5_1_9__1_MassOfNitrogenAppliedToSoilsScope1(Q27,_xlfn.XLOOKUP($O139,$D$123:$D$129,$E$123:$E$129), _xlfn.XLOOKUP($O139,$D$112:$D$118,$E$112:$E$118),Q57,$F87)</f>
        <v>24.144750000000002</v>
      </c>
      <c r="R139" s="50" cm="1">
        <f t="array" aca="1" ref="R139" ca="1">MMS_Swine_ManureAppliedToSoils_Equations.VEERG_4_5_1_9__1_MassOfNitrogenAppliedToSoilsScope1(R27,_xlfn.XLOOKUP($O139,$D$123:$D$129,$E$123:$E$129), _xlfn.XLOOKUP($O139,$D$112:$D$118,$E$112:$E$118),R57,$F87)</f>
        <v>22.666499999999992</v>
      </c>
      <c r="S139" s="50" cm="1">
        <f t="array" aca="1" ref="S139" ca="1">MMS_Swine_ManureAppliedToSoils_Equations.VEERG_4_5_1_9__1_MassOfNitrogenAppliedToSoilsScope1(S27,_xlfn.XLOOKUP($O139,$D$123:$D$129,$E$123:$E$129), _xlfn.XLOOKUP($O139,$D$112:$D$118,$E$112:$E$118),S57,$F87)</f>
        <v>15.373799999999996</v>
      </c>
      <c r="T139" s="2"/>
    </row>
    <row r="140" spans="4:20" ht="20" customHeight="1" x14ac:dyDescent="0.25">
      <c r="D140" s="55"/>
      <c r="E140" s="55" t="str">
        <f>INDEX(X_Table_Swine_Stage2MMS_From_Drylot,4,1)</f>
        <v>Deep litter</v>
      </c>
      <c r="F140" s="50" cm="1">
        <f t="array" aca="1" ref="F140" ca="1">MMS_Swine_ManureAppliedToSoils_Equations.VEERG_4_5_1_9__1_MassOfNitrogenAppliedToSoilsScope1(F28,_xlfn.XLOOKUP($E140,$D$123:$D$129,$E$123:$E$129), _xlfn.XLOOKUP($E140,$D$112:$D$118,$E$112:$E$118),F58,$F88)</f>
        <v>14.754380399999995</v>
      </c>
      <c r="G140" s="50" cm="1">
        <f t="array" aca="1" ref="G140" ca="1">MMS_Swine_ManureAppliedToSoils_Equations.VEERG_4_5_1_9__1_MassOfNitrogenAppliedToSoilsScope1(G28,_xlfn.XLOOKUP($E140,$D$123:$D$129,$E$123:$E$129), _xlfn.XLOOKUP($E140,$D$112:$D$118,$E$112:$E$118),G58,$F88)</f>
        <v>20.450603250000004</v>
      </c>
      <c r="H140" s="50" cm="1">
        <f t="array" aca="1" ref="H140" ca="1">MMS_Swine_ManureAppliedToSoils_Equations.VEERG_4_5_1_9__1_MassOfNitrogenAppliedToSoilsScope1(H28,_xlfn.XLOOKUP($E140,$D$123:$D$129,$E$123:$E$129), _xlfn.XLOOKUP($E140,$D$112:$D$118,$E$112:$E$118),H58,$F88)</f>
        <v>19.198525499999995</v>
      </c>
      <c r="I140" s="50" cm="1">
        <f t="array" aca="1" ref="I140" ca="1">MMS_Swine_ManureAppliedToSoils_Equations.VEERG_4_5_1_9__1_MassOfNitrogenAppliedToSoilsScope1(I28,_xlfn.XLOOKUP($E140,$D$123:$D$129,$E$123:$E$129), _xlfn.XLOOKUP($E140,$D$112:$D$118,$E$112:$E$118),I58,$F88)</f>
        <v>13.021608599999993</v>
      </c>
      <c r="J140" s="2"/>
      <c r="N140" s="55"/>
      <c r="O140" s="55" t="str">
        <f>INDEX(X_Table_Swine_Stage2MMS_From_Drylot,4,1)</f>
        <v>Deep litter</v>
      </c>
      <c r="P140" s="50" cm="1">
        <f t="array" aca="1" ref="P140" ca="1">MMS_Swine_ManureAppliedToSoils_Equations.VEERG_4_5_1_9__1_MassOfNitrogenAppliedToSoilsScope1(P28,_xlfn.XLOOKUP($O140,$D$123:$D$129,$E$123:$E$129), _xlfn.XLOOKUP($O140,$D$112:$D$118,$E$112:$E$118),P58,$F88)</f>
        <v>14.754380399999995</v>
      </c>
      <c r="Q140" s="50" cm="1">
        <f t="array" aca="1" ref="Q140" ca="1">MMS_Swine_ManureAppliedToSoils_Equations.VEERG_4_5_1_9__1_MassOfNitrogenAppliedToSoilsScope1(Q28,_xlfn.XLOOKUP($O140,$D$123:$D$129,$E$123:$E$129), _xlfn.XLOOKUP($O140,$D$112:$D$118,$E$112:$E$118),Q58,$F88)</f>
        <v>20.450603250000004</v>
      </c>
      <c r="R140" s="50" cm="1">
        <f t="array" aca="1" ref="R140" ca="1">MMS_Swine_ManureAppliedToSoils_Equations.VEERG_4_5_1_9__1_MassOfNitrogenAppliedToSoilsScope1(R28,_xlfn.XLOOKUP($O140,$D$123:$D$129,$E$123:$E$129), _xlfn.XLOOKUP($O140,$D$112:$D$118,$E$112:$E$118),R58,$F88)</f>
        <v>19.198525499999995</v>
      </c>
      <c r="S140" s="50" cm="1">
        <f t="array" aca="1" ref="S140" ca="1">MMS_Swine_ManureAppliedToSoils_Equations.VEERG_4_5_1_9__1_MassOfNitrogenAppliedToSoilsScope1(S28,_xlfn.XLOOKUP($O140,$D$123:$D$129,$E$123:$E$129), _xlfn.XLOOKUP($O140,$D$112:$D$118,$E$112:$E$118),S58,$F88)</f>
        <v>13.021608599999993</v>
      </c>
      <c r="T140" s="2"/>
    </row>
    <row r="141" spans="4:20" ht="20" customHeight="1" x14ac:dyDescent="0.25">
      <c r="D141" s="55"/>
      <c r="E141" s="55" t="str">
        <f>INDEX(X_Table_Swine_Stage2MMS_From_Drylot,5,1)</f>
        <v>Pit storage</v>
      </c>
      <c r="F141" s="50" cm="1">
        <f t="array" aca="1" ref="F141" ca="1">MMS_Swine_ManureAppliedToSoils_Equations.VEERG_4_5_1_9__1_MassOfNitrogenAppliedToSoilsScope1(F29,_xlfn.XLOOKUP($E141,$D$123:$D$129,$E$123:$E$129), _xlfn.XLOOKUP($E141,$D$112:$D$118,$E$112:$E$118),F59,$F89)</f>
        <v>12.349918079999997</v>
      </c>
      <c r="G141" s="50" cm="1">
        <f t="array" aca="1" ref="G141" ca="1">MMS_Swine_ManureAppliedToSoils_Equations.VEERG_4_5_1_9__1_MassOfNitrogenAppliedToSoilsScope1(G29,_xlfn.XLOOKUP($E141,$D$123:$D$129,$E$123:$E$129), _xlfn.XLOOKUP($E141,$D$112:$D$118,$E$112:$E$118),G59,$F89)</f>
        <v>17.249009400000006</v>
      </c>
      <c r="H141" s="50" cm="1">
        <f t="array" aca="1" ref="H141" ca="1">MMS_Swine_ManureAppliedToSoils_Equations.VEERG_4_5_1_9__1_MassOfNitrogenAppliedToSoilsScope1(H29,_xlfn.XLOOKUP($E141,$D$123:$D$129,$E$123:$E$129), _xlfn.XLOOKUP($E141,$D$112:$D$118,$E$112:$E$118),H59,$F89)</f>
        <v>16.192947599999997</v>
      </c>
      <c r="I141" s="50" cm="1">
        <f t="array" aca="1" ref="I141" ca="1">MMS_Swine_ManureAppliedToSoils_Equations.VEERG_4_5_1_9__1_MassOfNitrogenAppliedToSoilsScope1(I29,_xlfn.XLOOKUP($E141,$D$123:$D$129,$E$123:$E$129), _xlfn.XLOOKUP($E141,$D$112:$D$118,$E$112:$E$118),I59,$F89)</f>
        <v>10.983042719999995</v>
      </c>
      <c r="J141" s="2"/>
      <c r="N141" s="55"/>
      <c r="O141" s="55" t="str">
        <f>INDEX(X_Table_Swine_Stage2MMS_From_Drylot,5,1)</f>
        <v>Pit storage</v>
      </c>
      <c r="P141" s="50" cm="1">
        <f t="array" aca="1" ref="P141" ca="1">MMS_Swine_ManureAppliedToSoils_Equations.VEERG_4_5_1_9__1_MassOfNitrogenAppliedToSoilsScope1(P29,_xlfn.XLOOKUP($O141,$D$123:$D$129,$E$123:$E$129), _xlfn.XLOOKUP($O141,$D$112:$D$118,$E$112:$E$118),P59,$F89)</f>
        <v>12.349918079999997</v>
      </c>
      <c r="Q141" s="50" cm="1">
        <f t="array" aca="1" ref="Q141" ca="1">MMS_Swine_ManureAppliedToSoils_Equations.VEERG_4_5_1_9__1_MassOfNitrogenAppliedToSoilsScope1(Q29,_xlfn.XLOOKUP($O141,$D$123:$D$129,$E$123:$E$129), _xlfn.XLOOKUP($O141,$D$112:$D$118,$E$112:$E$118),Q59,$F89)</f>
        <v>17.249009400000006</v>
      </c>
      <c r="R141" s="50" cm="1">
        <f t="array" aca="1" ref="R141" ca="1">MMS_Swine_ManureAppliedToSoils_Equations.VEERG_4_5_1_9__1_MassOfNitrogenAppliedToSoilsScope1(R29,_xlfn.XLOOKUP($O141,$D$123:$D$129,$E$123:$E$129), _xlfn.XLOOKUP($O141,$D$112:$D$118,$E$112:$E$118),R59,$F89)</f>
        <v>16.192947599999997</v>
      </c>
      <c r="S141" s="50" cm="1">
        <f t="array" aca="1" ref="S141" ca="1">MMS_Swine_ManureAppliedToSoils_Equations.VEERG_4_5_1_9__1_MassOfNitrogenAppliedToSoilsScope1(S29,_xlfn.XLOOKUP($O141,$D$123:$D$129,$E$123:$E$129), _xlfn.XLOOKUP($O141,$D$112:$D$118,$E$112:$E$118),S59,$F89)</f>
        <v>10.983042719999995</v>
      </c>
      <c r="T141" s="2"/>
    </row>
    <row r="142" spans="4:20" ht="20" customHeight="1" x14ac:dyDescent="0.25">
      <c r="D142" s="55"/>
      <c r="E142" s="55" t="str">
        <f>INDEX(X_Table_Swine_Stage2MMS_From_Drylot,6,1)</f>
        <v>Direct application</v>
      </c>
      <c r="F142" s="50" cm="1">
        <f t="array" aca="1" ref="F142" ca="1">MMS_Swine_ManureAppliedToSoils_Equations.VEERG_4_5_1_9__1_MassOfNitrogenAppliedToSoilsScope1(F30,_xlfn.XLOOKUP($E142,$D$123:$D$129,$E$123:$E$129), _xlfn.XLOOKUP($E142,$D$112:$D$118,$E$112:$E$118),F60,$F90)</f>
        <v>27.401279999999986</v>
      </c>
      <c r="G142" s="50" cm="1">
        <f t="array" aca="1" ref="G142" ca="1">MMS_Swine_ManureAppliedToSoils_Equations.VEERG_4_5_1_9__1_MassOfNitrogenAppliedToSoilsScope1(G30,_xlfn.XLOOKUP($E142,$D$123:$D$129,$E$123:$E$129), _xlfn.XLOOKUP($E142,$D$112:$D$118,$E$112:$E$118),G60,$F90)</f>
        <v>0</v>
      </c>
      <c r="H142" s="50" cm="1">
        <f t="array" aca="1" ref="H142" ca="1">MMS_Swine_ManureAppliedToSoils_Equations.VEERG_4_5_1_9__1_MassOfNitrogenAppliedToSoilsScope1(H30,_xlfn.XLOOKUP($E142,$D$123:$D$129,$E$123:$E$129), _xlfn.XLOOKUP($E142,$D$112:$D$118,$E$112:$E$118),H60,$F90)</f>
        <v>0</v>
      </c>
      <c r="I142" s="50" cm="1">
        <f t="array" aca="1" ref="I142" ca="1">MMS_Swine_ManureAppliedToSoils_Equations.VEERG_4_5_1_9__1_MassOfNitrogenAppliedToSoilsScope1(I30,_xlfn.XLOOKUP($E142,$D$123:$D$129,$E$123:$E$129), _xlfn.XLOOKUP($E142,$D$112:$D$118,$E$112:$E$118),I60,$F90)</f>
        <v>0</v>
      </c>
      <c r="J142" s="2"/>
      <c r="N142" s="55"/>
      <c r="O142" s="55" t="str">
        <f>INDEX(X_Table_Swine_Stage2MMS_From_Drylot,6,1)</f>
        <v>Direct application</v>
      </c>
      <c r="P142" s="50" cm="1">
        <f t="array" aca="1" ref="P142" ca="1">MMS_Swine_ManureAppliedToSoils_Equations.VEERG_4_5_1_9__1_MassOfNitrogenAppliedToSoilsScope1(P30,_xlfn.XLOOKUP($O142,$D$123:$D$129,$E$123:$E$129), _xlfn.XLOOKUP($O142,$D$112:$D$118,$E$112:$E$118),P60,$F90)</f>
        <v>27.401279999999986</v>
      </c>
      <c r="Q142" s="50" cm="1">
        <f t="array" aca="1" ref="Q142" ca="1">MMS_Swine_ManureAppliedToSoils_Equations.VEERG_4_5_1_9__1_MassOfNitrogenAppliedToSoilsScope1(Q30,_xlfn.XLOOKUP($O142,$D$123:$D$129,$E$123:$E$129), _xlfn.XLOOKUP($O142,$D$112:$D$118,$E$112:$E$118),Q60,$F90)</f>
        <v>0</v>
      </c>
      <c r="R142" s="50" cm="1">
        <f t="array" aca="1" ref="R142" ca="1">MMS_Swine_ManureAppliedToSoils_Equations.VEERG_4_5_1_9__1_MassOfNitrogenAppliedToSoilsScope1(R30,_xlfn.XLOOKUP($O142,$D$123:$D$129,$E$123:$E$129), _xlfn.XLOOKUP($O142,$D$112:$D$118,$E$112:$E$118),R60,$F90)</f>
        <v>0</v>
      </c>
      <c r="S142" s="50" cm="1">
        <f t="array" aca="1" ref="S142" ca="1">MMS_Swine_ManureAppliedToSoils_Equations.VEERG_4_5_1_9__1_MassOfNitrogenAppliedToSoilsScope1(S30,_xlfn.XLOOKUP($O142,$D$123:$D$129,$E$123:$E$129), _xlfn.XLOOKUP($O142,$D$112:$D$118,$E$112:$E$118),S60,$F90)</f>
        <v>0</v>
      </c>
      <c r="T142" s="2"/>
    </row>
    <row r="143" spans="4:20" ht="20" customHeight="1" x14ac:dyDescent="0.25">
      <c r="D143" s="55" t="str">
        <f>INDEX(X_Table_Swine_Stage1MMS_DigesterCoveredLagoons,2,1)</f>
        <v>Digester / covered lagoons</v>
      </c>
      <c r="E143" s="55" t="str">
        <f>INDEX(X_Table_Swine_Stage2MMS_From_DigesterCoveredLagoons,2,1)</f>
        <v>Anaerobic lagoon</v>
      </c>
      <c r="F143" s="50" cm="1">
        <f t="array" aca="1" ref="F143" ca="1">MMS_Swine_ManureAppliedToSoils_Equations.VEERG_4_5_1_9__1_MassOfNitrogenAppliedToSoilsScope1(F31,_xlfn.XLOOKUP($E143,$D$123:$D$129,$E$123:$E$129), _xlfn.XLOOKUP($E143,$D$112:$D$118,$E$112:$E$118),F61,$F91)</f>
        <v>13.599899999999996</v>
      </c>
      <c r="G143" s="50" cm="1">
        <f t="array" aca="1" ref="G143" ca="1">MMS_Swine_ManureAppliedToSoils_Equations.VEERG_4_5_1_9__1_MassOfNitrogenAppliedToSoilsScope1(G31,_xlfn.XLOOKUP($E143,$D$123:$D$129,$E$123:$E$129), _xlfn.XLOOKUP($E143,$D$112:$D$118,$E$112:$E$118),G61,$F91)</f>
        <v>18.108562500000001</v>
      </c>
      <c r="H143" s="50" cm="1">
        <f t="array" aca="1" ref="H143" ca="1">MMS_Swine_ManureAppliedToSoils_Equations.VEERG_4_5_1_9__1_MassOfNitrogenAppliedToSoilsScope1(H31,_xlfn.XLOOKUP($E143,$D$123:$D$129,$E$123:$E$129), _xlfn.XLOOKUP($E143,$D$112:$D$118,$E$112:$E$118),H61,$F91)</f>
        <v>16.999874999999996</v>
      </c>
      <c r="I143" s="50" cm="1">
        <f t="array" aca="1" ref="I143" ca="1">MMS_Swine_ManureAppliedToSoils_Equations.VEERG_4_5_1_9__1_MassOfNitrogenAppliedToSoilsScope1(I31,_xlfn.XLOOKUP($E143,$D$123:$D$129,$E$123:$E$129), _xlfn.XLOOKUP($E143,$D$112:$D$118,$E$112:$E$118),I61,$F91)</f>
        <v>11.530349999999997</v>
      </c>
      <c r="J143" s="2"/>
      <c r="N143" s="55" t="str">
        <f>INDEX(X_Table_Swine_Stage1MMS_DigesterCoveredLagoons,2,1)</f>
        <v>Digester / covered lagoons</v>
      </c>
      <c r="O143" s="55" t="str">
        <f>INDEX(X_Table_Swine_Stage2MMS_From_DigesterCoveredLagoons,2,1)</f>
        <v>Anaerobic lagoon</v>
      </c>
      <c r="P143" s="50" cm="1">
        <f t="array" aca="1" ref="P143" ca="1">MMS_Swine_ManureAppliedToSoils_Equations.VEERG_4_5_1_9__1_MassOfNitrogenAppliedToSoilsScope1(P31,_xlfn.XLOOKUP($O143,$D$123:$D$129,$E$123:$E$129), _xlfn.XLOOKUP($O143,$D$112:$D$118,$E$112:$E$118),P61,$F91)</f>
        <v>13.599899999999996</v>
      </c>
      <c r="Q143" s="50" cm="1">
        <f t="array" aca="1" ref="Q143" ca="1">MMS_Swine_ManureAppliedToSoils_Equations.VEERG_4_5_1_9__1_MassOfNitrogenAppliedToSoilsScope1(Q31,_xlfn.XLOOKUP($O143,$D$123:$D$129,$E$123:$E$129), _xlfn.XLOOKUP($O143,$D$112:$D$118,$E$112:$E$118),Q61,$F91)</f>
        <v>18.108562500000001</v>
      </c>
      <c r="R143" s="50" cm="1">
        <f t="array" aca="1" ref="R143" ca="1">MMS_Swine_ManureAppliedToSoils_Equations.VEERG_4_5_1_9__1_MassOfNitrogenAppliedToSoilsScope1(R31,_xlfn.XLOOKUP($O143,$D$123:$D$129,$E$123:$E$129), _xlfn.XLOOKUP($O143,$D$112:$D$118,$E$112:$E$118),R61,$F91)</f>
        <v>16.999874999999996</v>
      </c>
      <c r="S143" s="50" cm="1">
        <f t="array" aca="1" ref="S143" ca="1">MMS_Swine_ManureAppliedToSoils_Equations.VEERG_4_5_1_9__1_MassOfNitrogenAppliedToSoilsScope1(S31,_xlfn.XLOOKUP($O143,$D$123:$D$129,$E$123:$E$129), _xlfn.XLOOKUP($O143,$D$112:$D$118,$E$112:$E$118),S61,$F91)</f>
        <v>11.530349999999997</v>
      </c>
      <c r="T143" s="2"/>
    </row>
    <row r="144" spans="4:20" ht="20" customHeight="1" x14ac:dyDescent="0.25">
      <c r="D144" s="55"/>
      <c r="E144" s="55" t="str">
        <f>INDEX(X_Table_Swine_Stage2MMS_From_DigesterCoveredLagoons,3,1)</f>
        <v>Deep litter</v>
      </c>
      <c r="F144" s="50" cm="1">
        <f t="array" aca="1" ref="F144" ca="1">MMS_Swine_ManureAppliedToSoils_Equations.VEERG_4_5_1_9__1_MassOfNitrogenAppliedToSoilsScope1(F32,_xlfn.XLOOKUP($E144,$D$123:$D$129,$E$123:$E$129), _xlfn.XLOOKUP($E144,$D$112:$D$118,$E$112:$E$118),F62,$F92)</f>
        <v>26.142029999999995</v>
      </c>
      <c r="G144" s="50" cm="1">
        <f t="array" aca="1" ref="G144" ca="1">MMS_Swine_ManureAppliedToSoils_Equations.VEERG_4_5_1_9__1_MassOfNitrogenAppliedToSoilsScope1(G32,_xlfn.XLOOKUP($E144,$D$123:$D$129,$E$123:$E$129), _xlfn.XLOOKUP($E144,$D$112:$D$118,$E$112:$E$118),G62,$F92)</f>
        <v>34.808681250000006</v>
      </c>
      <c r="H144" s="50" cm="1">
        <f t="array" aca="1" ref="H144" ca="1">MMS_Swine_ManureAppliedToSoils_Equations.VEERG_4_5_1_9__1_MassOfNitrogenAppliedToSoilsScope1(H32,_xlfn.XLOOKUP($E144,$D$123:$D$129,$E$123:$E$129), _xlfn.XLOOKUP($E144,$D$112:$D$118,$E$112:$E$118),H62,$F92)</f>
        <v>32.677537499999993</v>
      </c>
      <c r="I144" s="50" cm="1">
        <f t="array" aca="1" ref="I144" ca="1">MMS_Swine_ManureAppliedToSoils_Equations.VEERG_4_5_1_9__1_MassOfNitrogenAppliedToSoilsScope1(I32,_xlfn.XLOOKUP($E144,$D$123:$D$129,$E$123:$E$129), _xlfn.XLOOKUP($E144,$D$112:$D$118,$E$112:$E$118),I62,$F92)</f>
        <v>22.163894999999997</v>
      </c>
      <c r="J144" s="2"/>
      <c r="N144" s="55"/>
      <c r="O144" s="55" t="str">
        <f>INDEX(X_Table_Swine_Stage2MMS_From_DigesterCoveredLagoons,3,1)</f>
        <v>Deep litter</v>
      </c>
      <c r="P144" s="50" cm="1">
        <f t="array" aca="1" ref="P144" ca="1">MMS_Swine_ManureAppliedToSoils_Equations.VEERG_4_5_1_9__1_MassOfNitrogenAppliedToSoilsScope1(P32,_xlfn.XLOOKUP($O144,$D$123:$D$129,$E$123:$E$129), _xlfn.XLOOKUP($O144,$D$112:$D$118,$E$112:$E$118),P62,$F92)</f>
        <v>26.142029999999995</v>
      </c>
      <c r="Q144" s="50" cm="1">
        <f t="array" aca="1" ref="Q144" ca="1">MMS_Swine_ManureAppliedToSoils_Equations.VEERG_4_5_1_9__1_MassOfNitrogenAppliedToSoilsScope1(Q32,_xlfn.XLOOKUP($O144,$D$123:$D$129,$E$123:$E$129), _xlfn.XLOOKUP($O144,$D$112:$D$118,$E$112:$E$118),Q62,$F92)</f>
        <v>34.808681250000006</v>
      </c>
      <c r="R144" s="50" cm="1">
        <f t="array" aca="1" ref="R144" ca="1">MMS_Swine_ManureAppliedToSoils_Equations.VEERG_4_5_1_9__1_MassOfNitrogenAppliedToSoilsScope1(R32,_xlfn.XLOOKUP($O144,$D$123:$D$129,$E$123:$E$129), _xlfn.XLOOKUP($O144,$D$112:$D$118,$E$112:$E$118),R62,$F92)</f>
        <v>32.677537499999993</v>
      </c>
      <c r="S144" s="50" cm="1">
        <f t="array" aca="1" ref="S144" ca="1">MMS_Swine_ManureAppliedToSoils_Equations.VEERG_4_5_1_9__1_MassOfNitrogenAppliedToSoilsScope1(S32,_xlfn.XLOOKUP($O144,$D$123:$D$129,$E$123:$E$129), _xlfn.XLOOKUP($O144,$D$112:$D$118,$E$112:$E$118),S62,$F92)</f>
        <v>22.163894999999997</v>
      </c>
      <c r="T144" s="2"/>
    </row>
    <row r="145" spans="4:20" ht="20" customHeight="1" x14ac:dyDescent="0.25">
      <c r="D145" s="55"/>
      <c r="E145" s="55" t="str">
        <f>INDEX(X_Table_Swine_Stage2MMS_From_DigesterCoveredLagoons,4,1)</f>
        <v>Pit storage</v>
      </c>
      <c r="F145" s="50" cm="1">
        <f t="array" aca="1" ref="F145" ca="1">MMS_Swine_ManureAppliedToSoils_Equations.VEERG_4_5_1_9__1_MassOfNitrogenAppliedToSoilsScope1(F33,_xlfn.XLOOKUP($E145,$D$123:$D$129,$E$123:$E$129), _xlfn.XLOOKUP($E145,$D$112:$D$118,$E$112:$E$118),F63,$F93)</f>
        <v>22.606055999999995</v>
      </c>
      <c r="G145" s="50" cm="1">
        <f t="array" aca="1" ref="G145" ca="1">MMS_Swine_ManureAppliedToSoils_Equations.VEERG_4_5_1_9__1_MassOfNitrogenAppliedToSoilsScope1(G33,_xlfn.XLOOKUP($E145,$D$123:$D$129,$E$123:$E$129), _xlfn.XLOOKUP($E145,$D$112:$D$118,$E$112:$E$118),G63,$F93)</f>
        <v>30.100455000000004</v>
      </c>
      <c r="H145" s="50" cm="1">
        <f t="array" aca="1" ref="H145" ca="1">MMS_Swine_ManureAppliedToSoils_Equations.VEERG_4_5_1_9__1_MassOfNitrogenAppliedToSoilsScope1(H33,_xlfn.XLOOKUP($E145,$D$123:$D$129,$E$123:$E$129), _xlfn.XLOOKUP($E145,$D$112:$D$118,$E$112:$E$118),H63,$F93)</f>
        <v>28.257569999999994</v>
      </c>
      <c r="I145" s="50" cm="1">
        <f t="array" aca="1" ref="I145" ca="1">MMS_Swine_ManureAppliedToSoils_Equations.VEERG_4_5_1_9__1_MassOfNitrogenAppliedToSoilsScope1(I33,_xlfn.XLOOKUP($E145,$D$123:$D$129,$E$123:$E$129), _xlfn.XLOOKUP($E145,$D$112:$D$118,$E$112:$E$118),I63,$F93)</f>
        <v>19.166003999999997</v>
      </c>
      <c r="J145" s="2"/>
      <c r="N145" s="55"/>
      <c r="O145" s="55" t="str">
        <f>INDEX(X_Table_Swine_Stage2MMS_From_DigesterCoveredLagoons,4,1)</f>
        <v>Pit storage</v>
      </c>
      <c r="P145" s="50" cm="1">
        <f t="array" aca="1" ref="P145" ca="1">MMS_Swine_ManureAppliedToSoils_Equations.VEERG_4_5_1_9__1_MassOfNitrogenAppliedToSoilsScope1(P33,_xlfn.XLOOKUP($O145,$D$123:$D$129,$E$123:$E$129), _xlfn.XLOOKUP($O145,$D$112:$D$118,$E$112:$E$118),P63,$F93)</f>
        <v>22.606055999999995</v>
      </c>
      <c r="Q145" s="50" cm="1">
        <f t="array" aca="1" ref="Q145" ca="1">MMS_Swine_ManureAppliedToSoils_Equations.VEERG_4_5_1_9__1_MassOfNitrogenAppliedToSoilsScope1(Q33,_xlfn.XLOOKUP($O145,$D$123:$D$129,$E$123:$E$129), _xlfn.XLOOKUP($O145,$D$112:$D$118,$E$112:$E$118),Q63,$F93)</f>
        <v>30.100455000000004</v>
      </c>
      <c r="R145" s="50" cm="1">
        <f t="array" aca="1" ref="R145" ca="1">MMS_Swine_ManureAppliedToSoils_Equations.VEERG_4_5_1_9__1_MassOfNitrogenAppliedToSoilsScope1(R33,_xlfn.XLOOKUP($O145,$D$123:$D$129,$E$123:$E$129), _xlfn.XLOOKUP($O145,$D$112:$D$118,$E$112:$E$118),R63,$F93)</f>
        <v>28.257569999999994</v>
      </c>
      <c r="S145" s="50" cm="1">
        <f t="array" aca="1" ref="S145" ca="1">MMS_Swine_ManureAppliedToSoils_Equations.VEERG_4_5_1_9__1_MassOfNitrogenAppliedToSoilsScope1(S33,_xlfn.XLOOKUP($O145,$D$123:$D$129,$E$123:$E$129), _xlfn.XLOOKUP($O145,$D$112:$D$118,$E$112:$E$118),S63,$F93)</f>
        <v>19.166003999999997</v>
      </c>
      <c r="T145" s="2"/>
    </row>
    <row r="146" spans="4:20" ht="20" customHeight="1" x14ac:dyDescent="0.25">
      <c r="D146" s="55"/>
      <c r="E146" s="55" t="str">
        <f>INDEX(X_Table_Swine_Stage2MMS_From_DigesterCoveredLagoons,5,1)</f>
        <v>Direct application</v>
      </c>
      <c r="F146" s="50" cm="1">
        <f t="array" aca="1" ref="F146" ca="1">MMS_Swine_ManureAppliedToSoils_Equations.VEERG_4_5_1_9__1_MassOfNitrogenAppliedToSoilsScope1(F34,_xlfn.XLOOKUP($E146,$D$123:$D$129,$E$123:$E$129), _xlfn.XLOOKUP($E146,$D$112:$D$118,$E$112:$E$118),F64,$F94)</f>
        <v>80.59199999999997</v>
      </c>
      <c r="G146" s="50" cm="1">
        <f t="array" aca="1" ref="G146" ca="1">MMS_Swine_ManureAppliedToSoils_Equations.VEERG_4_5_1_9__1_MassOfNitrogenAppliedToSoilsScope1(G34,_xlfn.XLOOKUP($E146,$D$123:$D$129,$E$123:$E$129), _xlfn.XLOOKUP($E146,$D$112:$D$118,$E$112:$E$118),G64,$F94)</f>
        <v>53.655000000000008</v>
      </c>
      <c r="H146" s="50" cm="1">
        <f t="array" aca="1" ref="H146" ca="1">MMS_Swine_ManureAppliedToSoils_Equations.VEERG_4_5_1_9__1_MassOfNitrogenAppliedToSoilsScope1(H34,_xlfn.XLOOKUP($E146,$D$123:$D$129,$E$123:$E$129), _xlfn.XLOOKUP($E146,$D$112:$D$118,$E$112:$E$118),H64,$F94)</f>
        <v>50.36999999999999</v>
      </c>
      <c r="I146" s="50" cm="1">
        <f t="array" aca="1" ref="I146" ca="1">MMS_Swine_ManureAppliedToSoils_Equations.VEERG_4_5_1_9__1_MassOfNitrogenAppliedToSoilsScope1(I34,_xlfn.XLOOKUP($E146,$D$123:$D$129,$E$123:$E$129), _xlfn.XLOOKUP($E146,$D$112:$D$118,$E$112:$E$118),I64,$F94)</f>
        <v>34.163999999999994</v>
      </c>
      <c r="J146" s="2"/>
      <c r="N146" s="55"/>
      <c r="O146" s="55" t="str">
        <f>INDEX(X_Table_Swine_Stage2MMS_From_DigesterCoveredLagoons,5,1)</f>
        <v>Direct application</v>
      </c>
      <c r="P146" s="50" cm="1">
        <f t="array" aca="1" ref="P146" ca="1">MMS_Swine_ManureAppliedToSoils_Equations.VEERG_4_5_1_9__1_MassOfNitrogenAppliedToSoilsScope1(P34,_xlfn.XLOOKUP($O146,$D$123:$D$129,$E$123:$E$129), _xlfn.XLOOKUP($O146,$D$112:$D$118,$E$112:$E$118),P64,$F94)</f>
        <v>80.59199999999997</v>
      </c>
      <c r="Q146" s="50" cm="1">
        <f t="array" aca="1" ref="Q146" ca="1">MMS_Swine_ManureAppliedToSoils_Equations.VEERG_4_5_1_9__1_MassOfNitrogenAppliedToSoilsScope1(Q34,_xlfn.XLOOKUP($O146,$D$123:$D$129,$E$123:$E$129), _xlfn.XLOOKUP($O146,$D$112:$D$118,$E$112:$E$118),Q64,$F94)</f>
        <v>53.655000000000008</v>
      </c>
      <c r="R146" s="50" cm="1">
        <f t="array" aca="1" ref="R146" ca="1">MMS_Swine_ManureAppliedToSoils_Equations.VEERG_4_5_1_9__1_MassOfNitrogenAppliedToSoilsScope1(R34,_xlfn.XLOOKUP($O146,$D$123:$D$129,$E$123:$E$129), _xlfn.XLOOKUP($O146,$D$112:$D$118,$E$112:$E$118),R64,$F94)</f>
        <v>50.36999999999999</v>
      </c>
      <c r="S146" s="50" cm="1">
        <f t="array" aca="1" ref="S146" ca="1">MMS_Swine_ManureAppliedToSoils_Equations.VEERG_4_5_1_9__1_MassOfNitrogenAppliedToSoilsScope1(S34,_xlfn.XLOOKUP($O146,$D$123:$D$129,$E$123:$E$129), _xlfn.XLOOKUP($O146,$D$112:$D$118,$E$112:$E$118),S64,$F94)</f>
        <v>34.163999999999994</v>
      </c>
      <c r="T146" s="2"/>
    </row>
    <row r="147" spans="4:20" ht="20" customHeight="1" x14ac:dyDescent="0.25">
      <c r="D147" s="55" t="str">
        <f>INDEX(X_Table_Swine_Stage1MMS_DeepLitter,2,1)</f>
        <v>Deep litter</v>
      </c>
      <c r="E147" s="55" t="str">
        <f>INDEX(X_Table_Swine_Stage2MMS_From_DeepLitter,2,1)</f>
        <v>Anaerobic lagoon</v>
      </c>
      <c r="F147" s="50" cm="1">
        <f t="array" aca="1" ref="F147" ca="1">MMS_Swine_ManureAppliedToSoils_Equations.VEERG_4_5_1_9__1_MassOfNitrogenAppliedToSoilsScope1(F35,_xlfn.XLOOKUP($E147,$D$123:$D$129,$E$123:$E$129), _xlfn.XLOOKUP($E147,$D$112:$D$118,$E$112:$E$118),F65,$F95)</f>
        <v>11.763913499999997</v>
      </c>
      <c r="G147" s="50" cm="1">
        <f t="array" aca="1" ref="G147" ca="1">MMS_Swine_ManureAppliedToSoils_Equations.VEERG_4_5_1_9__1_MassOfNitrogenAppliedToSoilsScope1(G35,_xlfn.XLOOKUP($E147,$D$123:$D$129,$E$123:$E$129), _xlfn.XLOOKUP($E147,$D$112:$D$118,$E$112:$E$118),G65,$F95)</f>
        <v>15.663906562499999</v>
      </c>
      <c r="H147" s="50" cm="1">
        <f t="array" aca="1" ref="H147" ca="1">MMS_Swine_ManureAppliedToSoils_Equations.VEERG_4_5_1_9__1_MassOfNitrogenAppliedToSoilsScope1(H35,_xlfn.XLOOKUP($E147,$D$123:$D$129,$E$123:$E$129), _xlfn.XLOOKUP($E147,$D$112:$D$118,$E$112:$E$118),H65,$F95)</f>
        <v>14.704891874999994</v>
      </c>
      <c r="I147" s="50" cm="1">
        <f t="array" aca="1" ref="I147" ca="1">MMS_Swine_ManureAppliedToSoils_Equations.VEERG_4_5_1_9__1_MassOfNitrogenAppliedToSoilsScope1(I35,_xlfn.XLOOKUP($E147,$D$123:$D$129,$E$123:$E$129), _xlfn.XLOOKUP($E147,$D$112:$D$118,$E$112:$E$118),I65,$F95)</f>
        <v>9.9737527499999974</v>
      </c>
      <c r="J147" s="2"/>
      <c r="N147" s="55" t="str">
        <f>INDEX(X_Table_Swine_Stage1MMS_DeepLitter,2,1)</f>
        <v>Deep litter</v>
      </c>
      <c r="O147" s="55" t="str">
        <f>INDEX(X_Table_Swine_Stage2MMS_From_DeepLitter,2,1)</f>
        <v>Anaerobic lagoon</v>
      </c>
      <c r="P147" s="50" cm="1">
        <f t="array" aca="1" ref="P147" ca="1">MMS_Swine_ManureAppliedToSoils_Equations.VEERG_4_5_1_9__1_MassOfNitrogenAppliedToSoilsScope1(P35,_xlfn.XLOOKUP($O147,$D$123:$D$129,$E$123:$E$129), _xlfn.XLOOKUP($O147,$D$112:$D$118,$E$112:$E$118),P65,$F95)</f>
        <v>11.763913499999997</v>
      </c>
      <c r="Q147" s="50" cm="1">
        <f t="array" aca="1" ref="Q147" ca="1">MMS_Swine_ManureAppliedToSoils_Equations.VEERG_4_5_1_9__1_MassOfNitrogenAppliedToSoilsScope1(Q35,_xlfn.XLOOKUP($O147,$D$123:$D$129,$E$123:$E$129), _xlfn.XLOOKUP($O147,$D$112:$D$118,$E$112:$E$118),Q65,$F95)</f>
        <v>15.663906562499999</v>
      </c>
      <c r="R147" s="50" cm="1">
        <f t="array" aca="1" ref="R147" ca="1">MMS_Swine_ManureAppliedToSoils_Equations.VEERG_4_5_1_9__1_MassOfNitrogenAppliedToSoilsScope1(R35,_xlfn.XLOOKUP($O147,$D$123:$D$129,$E$123:$E$129), _xlfn.XLOOKUP($O147,$D$112:$D$118,$E$112:$E$118),R65,$F95)</f>
        <v>14.704891874999994</v>
      </c>
      <c r="S147" s="50" cm="1">
        <f t="array" aca="1" ref="S147" ca="1">MMS_Swine_ManureAppliedToSoils_Equations.VEERG_4_5_1_9__1_MassOfNitrogenAppliedToSoilsScope1(S35,_xlfn.XLOOKUP($O147,$D$123:$D$129,$E$123:$E$129), _xlfn.XLOOKUP($O147,$D$112:$D$118,$E$112:$E$118),S65,$F95)</f>
        <v>9.9737527499999974</v>
      </c>
      <c r="T147" s="2"/>
    </row>
    <row r="148" spans="4:20" ht="20" customHeight="1" x14ac:dyDescent="0.25">
      <c r="D148" s="55"/>
      <c r="E148" s="55" t="str">
        <f>INDEX(X_Table_Swine_Stage2MMS_From_DeepLitter,3,1)</f>
        <v>Digester / covered lagoons</v>
      </c>
      <c r="F148" s="50" cm="1">
        <f t="array" aca="1" ref="F148" ca="1">MMS_Swine_ManureAppliedToSoils_Equations.VEERG_4_5_1_9__1_MassOfNitrogenAppliedToSoilsScope1(F36,_xlfn.XLOOKUP($E148,$D$123:$D$129,$E$123:$E$129), _xlfn.XLOOKUP($E148,$D$112:$D$118,$E$112:$E$118),F66,$F96)</f>
        <v>26.142029999999995</v>
      </c>
      <c r="G148" s="50" cm="1">
        <f t="array" aca="1" ref="G148" ca="1">MMS_Swine_ManureAppliedToSoils_Equations.VEERG_4_5_1_9__1_MassOfNitrogenAppliedToSoilsScope1(G36,_xlfn.XLOOKUP($E148,$D$123:$D$129,$E$123:$E$129), _xlfn.XLOOKUP($E148,$D$112:$D$118,$E$112:$E$118),G66,$F96)</f>
        <v>34.808681250000006</v>
      </c>
      <c r="H148" s="50" cm="1">
        <f t="array" aca="1" ref="H148" ca="1">MMS_Swine_ManureAppliedToSoils_Equations.VEERG_4_5_1_9__1_MassOfNitrogenAppliedToSoilsScope1(H36,_xlfn.XLOOKUP($E148,$D$123:$D$129,$E$123:$E$129), _xlfn.XLOOKUP($E148,$D$112:$D$118,$E$112:$E$118),H66,$F96)</f>
        <v>32.677537499999993</v>
      </c>
      <c r="I148" s="50" cm="1">
        <f t="array" aca="1" ref="I148" ca="1">MMS_Swine_ManureAppliedToSoils_Equations.VEERG_4_5_1_9__1_MassOfNitrogenAppliedToSoilsScope1(I36,_xlfn.XLOOKUP($E148,$D$123:$D$129,$E$123:$E$129), _xlfn.XLOOKUP($E148,$D$112:$D$118,$E$112:$E$118),I66,$F96)</f>
        <v>22.163894999999997</v>
      </c>
      <c r="J148" s="2"/>
      <c r="N148" s="55"/>
      <c r="O148" s="55" t="str">
        <f>INDEX(X_Table_Swine_Stage2MMS_From_DeepLitter,3,1)</f>
        <v>Digester / covered lagoons</v>
      </c>
      <c r="P148" s="50" cm="1">
        <f t="array" aca="1" ref="P148" ca="1">MMS_Swine_ManureAppliedToSoils_Equations.VEERG_4_5_1_9__1_MassOfNitrogenAppliedToSoilsScope1(P36,_xlfn.XLOOKUP($O148,$D$123:$D$129,$E$123:$E$129), _xlfn.XLOOKUP($O148,$D$112:$D$118,$E$112:$E$118),P66,$F96)</f>
        <v>26.142029999999995</v>
      </c>
      <c r="Q148" s="50" cm="1">
        <f t="array" aca="1" ref="Q148" ca="1">MMS_Swine_ManureAppliedToSoils_Equations.VEERG_4_5_1_9__1_MassOfNitrogenAppliedToSoilsScope1(Q36,_xlfn.XLOOKUP($O148,$D$123:$D$129,$E$123:$E$129), _xlfn.XLOOKUP($O148,$D$112:$D$118,$E$112:$E$118),Q66,$F96)</f>
        <v>34.808681250000006</v>
      </c>
      <c r="R148" s="50" cm="1">
        <f t="array" aca="1" ref="R148" ca="1">MMS_Swine_ManureAppliedToSoils_Equations.VEERG_4_5_1_9__1_MassOfNitrogenAppliedToSoilsScope1(R36,_xlfn.XLOOKUP($O148,$D$123:$D$129,$E$123:$E$129), _xlfn.XLOOKUP($O148,$D$112:$D$118,$E$112:$E$118),R66,$F96)</f>
        <v>32.677537499999993</v>
      </c>
      <c r="S148" s="50" cm="1">
        <f t="array" aca="1" ref="S148" ca="1">MMS_Swine_ManureAppliedToSoils_Equations.VEERG_4_5_1_9__1_MassOfNitrogenAppliedToSoilsScope1(S36,_xlfn.XLOOKUP($O148,$D$123:$D$129,$E$123:$E$129), _xlfn.XLOOKUP($O148,$D$112:$D$118,$E$112:$E$118),S66,$F96)</f>
        <v>22.163894999999997</v>
      </c>
      <c r="T148" s="2"/>
    </row>
    <row r="149" spans="4:20" ht="20" customHeight="1" x14ac:dyDescent="0.25">
      <c r="D149" s="55"/>
      <c r="E149" s="55" t="str">
        <f>INDEX(X_Table_Swine_Stage2MMS_From_DeepLitter,4,1)</f>
        <v>Pit storage</v>
      </c>
      <c r="F149" s="50" cm="1">
        <f t="array" aca="1" ref="F149" ca="1">MMS_Swine_ManureAppliedToSoils_Equations.VEERG_4_5_1_9__1_MassOfNitrogenAppliedToSoilsScope1(F37,_xlfn.XLOOKUP($E149,$D$123:$D$129,$E$123:$E$129), _xlfn.XLOOKUP($E149,$D$112:$D$118,$E$112:$E$118),F67,$F97)</f>
        <v>19.554238439999999</v>
      </c>
      <c r="G149" s="50" cm="1">
        <f t="array" aca="1" ref="G149" ca="1">MMS_Swine_ManureAppliedToSoils_Equations.VEERG_4_5_1_9__1_MassOfNitrogenAppliedToSoilsScope1(G37,_xlfn.XLOOKUP($E149,$D$123:$D$129,$E$123:$E$129), _xlfn.XLOOKUP($E149,$D$112:$D$118,$E$112:$E$118),G67,$F97)</f>
        <v>26.036893575000004</v>
      </c>
      <c r="H149" s="50" cm="1">
        <f t="array" aca="1" ref="H149" ca="1">MMS_Swine_ManureAppliedToSoils_Equations.VEERG_4_5_1_9__1_MassOfNitrogenAppliedToSoilsScope1(H37,_xlfn.XLOOKUP($E149,$D$123:$D$129,$E$123:$E$129), _xlfn.XLOOKUP($E149,$D$112:$D$118,$E$112:$E$118),H67,$F97)</f>
        <v>24.442798049999993</v>
      </c>
      <c r="I149" s="50" cm="1">
        <f t="array" aca="1" ref="I149" ca="1">MMS_Swine_ManureAppliedToSoils_Equations.VEERG_4_5_1_9__1_MassOfNitrogenAppliedToSoilsScope1(I37,_xlfn.XLOOKUP($E149,$D$123:$D$129,$E$123:$E$129), _xlfn.XLOOKUP($E149,$D$112:$D$118,$E$112:$E$118),I67,$F97)</f>
        <v>16.578593459999997</v>
      </c>
      <c r="J149" s="2"/>
      <c r="N149" s="55"/>
      <c r="O149" s="55" t="str">
        <f>INDEX(X_Table_Swine_Stage2MMS_From_DeepLitter,4,1)</f>
        <v>Pit storage</v>
      </c>
      <c r="P149" s="50" cm="1">
        <f t="array" aca="1" ref="P149" ca="1">MMS_Swine_ManureAppliedToSoils_Equations.VEERG_4_5_1_9__1_MassOfNitrogenAppliedToSoilsScope1(P37,_xlfn.XLOOKUP($O149,$D$123:$D$129,$E$123:$E$129), _xlfn.XLOOKUP($O149,$D$112:$D$118,$E$112:$E$118),P67,$F97)</f>
        <v>19.554238439999999</v>
      </c>
      <c r="Q149" s="50" cm="1">
        <f t="array" aca="1" ref="Q149" ca="1">MMS_Swine_ManureAppliedToSoils_Equations.VEERG_4_5_1_9__1_MassOfNitrogenAppliedToSoilsScope1(Q37,_xlfn.XLOOKUP($O149,$D$123:$D$129,$E$123:$E$129), _xlfn.XLOOKUP($O149,$D$112:$D$118,$E$112:$E$118),Q67,$F97)</f>
        <v>26.036893575000004</v>
      </c>
      <c r="R149" s="50" cm="1">
        <f t="array" aca="1" ref="R149" ca="1">MMS_Swine_ManureAppliedToSoils_Equations.VEERG_4_5_1_9__1_MassOfNitrogenAppliedToSoilsScope1(R37,_xlfn.XLOOKUP($O149,$D$123:$D$129,$E$123:$E$129), _xlfn.XLOOKUP($O149,$D$112:$D$118,$E$112:$E$118),R67,$F97)</f>
        <v>24.442798049999993</v>
      </c>
      <c r="S149" s="50" cm="1">
        <f t="array" aca="1" ref="S149" ca="1">MMS_Swine_ManureAppliedToSoils_Equations.VEERG_4_5_1_9__1_MassOfNitrogenAppliedToSoilsScope1(S37,_xlfn.XLOOKUP($O149,$D$123:$D$129,$E$123:$E$129), _xlfn.XLOOKUP($O149,$D$112:$D$118,$E$112:$E$118),S67,$F97)</f>
        <v>16.578593459999997</v>
      </c>
      <c r="T149" s="2"/>
    </row>
    <row r="150" spans="4:20" ht="20" customHeight="1" x14ac:dyDescent="0.25">
      <c r="D150" s="55"/>
      <c r="E150" s="55" t="str">
        <f>INDEX(X_Table_Swine_Stage2MMS_From_DeepLitter,5,1)</f>
        <v>Direct application</v>
      </c>
      <c r="F150" s="50" cm="1">
        <f t="array" aca="1" ref="F150" ca="1">MMS_Swine_ManureAppliedToSoils_Equations.VEERG_4_5_1_9__1_MassOfNitrogenAppliedToSoilsScope1(F38,_xlfn.XLOOKUP($E150,$D$123:$D$129,$E$123:$E$129), _xlfn.XLOOKUP($E150,$D$112:$D$118,$E$112:$E$118),F68,$F98)</f>
        <v>69.712079999999972</v>
      </c>
      <c r="G150" s="50" cm="1">
        <f t="array" aca="1" ref="G150" ca="1">MMS_Swine_ManureAppliedToSoils_Equations.VEERG_4_5_1_9__1_MassOfNitrogenAppliedToSoilsScope1(G38,_xlfn.XLOOKUP($E150,$D$123:$D$129,$E$123:$E$129), _xlfn.XLOOKUP($E150,$D$112:$D$118,$E$112:$E$118),G68,$F98)</f>
        <v>46.411575000000006</v>
      </c>
      <c r="H150" s="50" cm="1">
        <f t="array" aca="1" ref="H150" ca="1">MMS_Swine_ManureAppliedToSoils_Equations.VEERG_4_5_1_9__1_MassOfNitrogenAppliedToSoilsScope1(H38,_xlfn.XLOOKUP($E150,$D$123:$D$129,$E$123:$E$129), _xlfn.XLOOKUP($E150,$D$112:$D$118,$E$112:$E$118),H68,$F98)</f>
        <v>43.570049999999988</v>
      </c>
      <c r="I150" s="50" cm="1">
        <f t="array" aca="1" ref="I150" ca="1">MMS_Swine_ManureAppliedToSoils_Equations.VEERG_4_5_1_9__1_MassOfNitrogenAppliedToSoilsScope1(I38,_xlfn.XLOOKUP($E150,$D$123:$D$129,$E$123:$E$129), _xlfn.XLOOKUP($E150,$D$112:$D$118,$E$112:$E$118),I68,$F98)</f>
        <v>29.551859999999994</v>
      </c>
      <c r="J150" s="2"/>
      <c r="N150" s="55"/>
      <c r="O150" s="55" t="str">
        <f>INDEX(X_Table_Swine_Stage2MMS_From_DeepLitter,5,1)</f>
        <v>Direct application</v>
      </c>
      <c r="P150" s="50" cm="1">
        <f t="array" aca="1" ref="P150" ca="1">MMS_Swine_ManureAppliedToSoils_Equations.VEERG_4_5_1_9__1_MassOfNitrogenAppliedToSoilsScope1(P38,_xlfn.XLOOKUP($O150,$D$123:$D$129,$E$123:$E$129), _xlfn.XLOOKUP($O150,$D$112:$D$118,$E$112:$E$118),P68,$F98)</f>
        <v>69.712079999999972</v>
      </c>
      <c r="Q150" s="50" cm="1">
        <f t="array" aca="1" ref="Q150" ca="1">MMS_Swine_ManureAppliedToSoils_Equations.VEERG_4_5_1_9__1_MassOfNitrogenAppliedToSoilsScope1(Q38,_xlfn.XLOOKUP($O150,$D$123:$D$129,$E$123:$E$129), _xlfn.XLOOKUP($O150,$D$112:$D$118,$E$112:$E$118),Q68,$F98)</f>
        <v>46.411575000000006</v>
      </c>
      <c r="R150" s="50" cm="1">
        <f t="array" aca="1" ref="R150" ca="1">MMS_Swine_ManureAppliedToSoils_Equations.VEERG_4_5_1_9__1_MassOfNitrogenAppliedToSoilsScope1(R38,_xlfn.XLOOKUP($O150,$D$123:$D$129,$E$123:$E$129), _xlfn.XLOOKUP($O150,$D$112:$D$118,$E$112:$E$118),R68,$F98)</f>
        <v>43.570049999999988</v>
      </c>
      <c r="S150" s="50" cm="1">
        <f t="array" aca="1" ref="S150" ca="1">MMS_Swine_ManureAppliedToSoils_Equations.VEERG_4_5_1_9__1_MassOfNitrogenAppliedToSoilsScope1(S38,_xlfn.XLOOKUP($O150,$D$123:$D$129,$E$123:$E$129), _xlfn.XLOOKUP($O150,$D$112:$D$118,$E$112:$E$118),S68,$F98)</f>
        <v>29.551859999999994</v>
      </c>
      <c r="T150" s="2"/>
    </row>
    <row r="151" spans="4:20" ht="20" customHeight="1" x14ac:dyDescent="0.25">
      <c r="D151" s="55" t="str">
        <f>INDEX(X_Table_Swine_Stage1MMS_PitStorage,2,1)</f>
        <v>Pit storage</v>
      </c>
      <c r="E151" s="55" t="str">
        <f>INDEX(X_Table_Swine_Stage2MMS_From_PitStorage,2,1)</f>
        <v>Anaerobic lagoon</v>
      </c>
      <c r="F151" s="50" cm="1">
        <f t="array" aca="1" ref="F151" ca="1">MMS_Swine_ManureAppliedToSoils_Equations.VEERG_4_5_1_9__1_MassOfNitrogenAppliedToSoilsScope1(F39,_xlfn.XLOOKUP($E151,$D$123:$D$129,$E$123:$E$129), _xlfn.XLOOKUP($E151,$D$112:$D$118,$E$112:$E$118),F69,$F99)</f>
        <v>10.172725199999999</v>
      </c>
      <c r="G151" s="50" cm="1">
        <f t="array" aca="1" ref="G151" ca="1">MMS_Swine_ManureAppliedToSoils_Equations.VEERG_4_5_1_9__1_MassOfNitrogenAppliedToSoilsScope1(G39,_xlfn.XLOOKUP($E151,$D$123:$D$129,$E$123:$E$129), _xlfn.XLOOKUP($E151,$D$112:$D$118,$E$112:$E$118),G69,$F99)</f>
        <v>13.54520475</v>
      </c>
      <c r="H151" s="50" cm="1">
        <f t="array" aca="1" ref="H151" ca="1">MMS_Swine_ManureAppliedToSoils_Equations.VEERG_4_5_1_9__1_MassOfNitrogenAppliedToSoilsScope1(H39,_xlfn.XLOOKUP($E151,$D$123:$D$129,$E$123:$E$129), _xlfn.XLOOKUP($E151,$D$112:$D$118,$E$112:$E$118),H69,$F99)</f>
        <v>12.715906499999997</v>
      </c>
      <c r="I151" s="50" cm="1">
        <f t="array" aca="1" ref="I151" ca="1">MMS_Swine_ManureAppliedToSoils_Equations.VEERG_4_5_1_9__1_MassOfNitrogenAppliedToSoilsScope1(I39,_xlfn.XLOOKUP($E151,$D$123:$D$129,$E$123:$E$129), _xlfn.XLOOKUP($E151,$D$112:$D$118,$E$112:$E$118),I69,$F99)</f>
        <v>8.6247017999999969</v>
      </c>
      <c r="J151" s="2"/>
      <c r="N151" s="55" t="str">
        <f>INDEX(X_Table_Swine_Stage1MMS_PitStorage,2,1)</f>
        <v>Pit storage</v>
      </c>
      <c r="O151" s="55" t="str">
        <f>INDEX(X_Table_Swine_Stage2MMS_From_PitStorage,2,1)</f>
        <v>Anaerobic lagoon</v>
      </c>
      <c r="P151" s="50" cm="1">
        <f t="array" aca="1" ref="P151" ca="1">MMS_Swine_ManureAppliedToSoils_Equations.VEERG_4_5_1_9__1_MassOfNitrogenAppliedToSoilsScope1(P39,_xlfn.XLOOKUP($O151,$D$123:$D$129,$E$123:$E$129), _xlfn.XLOOKUP($O151,$D$112:$D$118,$E$112:$E$118),P69,$F99)</f>
        <v>10.172725199999999</v>
      </c>
      <c r="Q151" s="50" cm="1">
        <f t="array" aca="1" ref="Q151" ca="1">MMS_Swine_ManureAppliedToSoils_Equations.VEERG_4_5_1_9__1_MassOfNitrogenAppliedToSoilsScope1(Q39,_xlfn.XLOOKUP($O151,$D$123:$D$129,$E$123:$E$129), _xlfn.XLOOKUP($O151,$D$112:$D$118,$E$112:$E$118),Q69,$F99)</f>
        <v>13.54520475</v>
      </c>
      <c r="R151" s="50" cm="1">
        <f t="array" aca="1" ref="R151" ca="1">MMS_Swine_ManureAppliedToSoils_Equations.VEERG_4_5_1_9__1_MassOfNitrogenAppliedToSoilsScope1(R39,_xlfn.XLOOKUP($O151,$D$123:$D$129,$E$123:$E$129), _xlfn.XLOOKUP($O151,$D$112:$D$118,$E$112:$E$118),R69,$F99)</f>
        <v>12.715906499999997</v>
      </c>
      <c r="S151" s="50" cm="1">
        <f t="array" aca="1" ref="S151" ca="1">MMS_Swine_ManureAppliedToSoils_Equations.VEERG_4_5_1_9__1_MassOfNitrogenAppliedToSoilsScope1(S39,_xlfn.XLOOKUP($O151,$D$123:$D$129,$E$123:$E$129), _xlfn.XLOOKUP($O151,$D$112:$D$118,$E$112:$E$118),S69,$F99)</f>
        <v>8.6247017999999969</v>
      </c>
      <c r="T151" s="2"/>
    </row>
    <row r="152" spans="4:20" ht="20" customHeight="1" x14ac:dyDescent="0.25">
      <c r="D152" s="55"/>
      <c r="E152" s="55" t="str">
        <f>INDEX(X_Table_Swine_Stage2MMS_From_PitStorage,3,1)</f>
        <v>Digester / covered lagoons</v>
      </c>
      <c r="F152" s="50" cm="1">
        <f t="array" aca="1" ref="F152" ca="1">MMS_Swine_ManureAppliedToSoils_Equations.VEERG_4_5_1_9__1_MassOfNitrogenAppliedToSoilsScope1(F40,_xlfn.XLOOKUP($E152,$D$123:$D$129,$E$123:$E$129), _xlfn.XLOOKUP($E152,$D$112:$D$118,$E$112:$E$118),F70,$F100)</f>
        <v>22.606055999999999</v>
      </c>
      <c r="G152" s="50" cm="1">
        <f t="array" aca="1" ref="G152" ca="1">MMS_Swine_ManureAppliedToSoils_Equations.VEERG_4_5_1_9__1_MassOfNitrogenAppliedToSoilsScope1(G40,_xlfn.XLOOKUP($E152,$D$123:$D$129,$E$123:$E$129), _xlfn.XLOOKUP($E152,$D$112:$D$118,$E$112:$E$118),G70,$F100)</f>
        <v>30.100455000000004</v>
      </c>
      <c r="H152" s="50" cm="1">
        <f t="array" aca="1" ref="H152" ca="1">MMS_Swine_ManureAppliedToSoils_Equations.VEERG_4_5_1_9__1_MassOfNitrogenAppliedToSoilsScope1(H40,_xlfn.XLOOKUP($E152,$D$123:$D$129,$E$123:$E$129), _xlfn.XLOOKUP($E152,$D$112:$D$118,$E$112:$E$118),H70,$F100)</f>
        <v>28.257569999999994</v>
      </c>
      <c r="I152" s="50" cm="1">
        <f t="array" aca="1" ref="I152" ca="1">MMS_Swine_ManureAppliedToSoils_Equations.VEERG_4_5_1_9__1_MassOfNitrogenAppliedToSoilsScope1(I40,_xlfn.XLOOKUP($E152,$D$123:$D$129,$E$123:$E$129), _xlfn.XLOOKUP($E152,$D$112:$D$118,$E$112:$E$118),I70,$F100)</f>
        <v>19.166003999999997</v>
      </c>
      <c r="J152" s="2"/>
      <c r="N152" s="55"/>
      <c r="O152" s="55" t="str">
        <f>INDEX(X_Table_Swine_Stage2MMS_From_PitStorage,3,1)</f>
        <v>Digester / covered lagoons</v>
      </c>
      <c r="P152" s="50" cm="1">
        <f t="array" aca="1" ref="P152" ca="1">MMS_Swine_ManureAppliedToSoils_Equations.VEERG_4_5_1_9__1_MassOfNitrogenAppliedToSoilsScope1(P40,_xlfn.XLOOKUP($O152,$D$123:$D$129,$E$123:$E$129), _xlfn.XLOOKUP($O152,$D$112:$D$118,$E$112:$E$118),P70,$F100)</f>
        <v>22.606055999999999</v>
      </c>
      <c r="Q152" s="50" cm="1">
        <f t="array" aca="1" ref="Q152" ca="1">MMS_Swine_ManureAppliedToSoils_Equations.VEERG_4_5_1_9__1_MassOfNitrogenAppliedToSoilsScope1(Q40,_xlfn.XLOOKUP($O152,$D$123:$D$129,$E$123:$E$129), _xlfn.XLOOKUP($O152,$D$112:$D$118,$E$112:$E$118),Q70,$F100)</f>
        <v>30.100455000000004</v>
      </c>
      <c r="R152" s="50" cm="1">
        <f t="array" aca="1" ref="R152" ca="1">MMS_Swine_ManureAppliedToSoils_Equations.VEERG_4_5_1_9__1_MassOfNitrogenAppliedToSoilsScope1(R40,_xlfn.XLOOKUP($O152,$D$123:$D$129,$E$123:$E$129), _xlfn.XLOOKUP($O152,$D$112:$D$118,$E$112:$E$118),R70,$F100)</f>
        <v>28.257569999999994</v>
      </c>
      <c r="S152" s="50" cm="1">
        <f t="array" aca="1" ref="S152" ca="1">MMS_Swine_ManureAppliedToSoils_Equations.VEERG_4_5_1_9__1_MassOfNitrogenAppliedToSoilsScope1(S40,_xlfn.XLOOKUP($O152,$D$123:$D$129,$E$123:$E$129), _xlfn.XLOOKUP($O152,$D$112:$D$118,$E$112:$E$118),S70,$F100)</f>
        <v>19.166003999999997</v>
      </c>
      <c r="T152" s="2"/>
    </row>
    <row r="153" spans="4:20" ht="20" customHeight="1" x14ac:dyDescent="0.25">
      <c r="D153" s="55"/>
      <c r="E153" s="55" t="str">
        <f>INDEX(X_Table_Swine_Stage2MMS_From_PitStorage,4,1)</f>
        <v>Deep litter</v>
      </c>
      <c r="F153" s="50" cm="1">
        <f t="array" aca="1" ref="F153" ca="1">MMS_Swine_ManureAppliedToSoils_Equations.VEERG_4_5_1_9__1_MassOfNitrogenAppliedToSoilsScope1(F41,_xlfn.XLOOKUP($E153,$D$123:$D$129,$E$123:$E$129), _xlfn.XLOOKUP($E153,$D$112:$D$118,$E$112:$E$118),F71,$F101)</f>
        <v>19.554238439999999</v>
      </c>
      <c r="G153" s="50" cm="1">
        <f t="array" aca="1" ref="G153" ca="1">MMS_Swine_ManureAppliedToSoils_Equations.VEERG_4_5_1_9__1_MassOfNitrogenAppliedToSoilsScope1(G41,_xlfn.XLOOKUP($E153,$D$123:$D$129,$E$123:$E$129), _xlfn.XLOOKUP($E153,$D$112:$D$118,$E$112:$E$118),G71,$F101)</f>
        <v>26.036893575000001</v>
      </c>
      <c r="H153" s="50" cm="1">
        <f t="array" aca="1" ref="H153" ca="1">MMS_Swine_ManureAppliedToSoils_Equations.VEERG_4_5_1_9__1_MassOfNitrogenAppliedToSoilsScope1(H41,_xlfn.XLOOKUP($E153,$D$123:$D$129,$E$123:$E$129), _xlfn.XLOOKUP($E153,$D$112:$D$118,$E$112:$E$118),H71,$F101)</f>
        <v>24.442798049999993</v>
      </c>
      <c r="I153" s="50" cm="1">
        <f t="array" aca="1" ref="I153" ca="1">MMS_Swine_ManureAppliedToSoils_Equations.VEERG_4_5_1_9__1_MassOfNitrogenAppliedToSoilsScope1(I41,_xlfn.XLOOKUP($E153,$D$123:$D$129,$E$123:$E$129), _xlfn.XLOOKUP($E153,$D$112:$D$118,$E$112:$E$118),I71,$F101)</f>
        <v>16.578593459999997</v>
      </c>
      <c r="J153" s="2"/>
      <c r="N153" s="55"/>
      <c r="O153" s="55" t="str">
        <f>INDEX(X_Table_Swine_Stage2MMS_From_PitStorage,4,1)</f>
        <v>Deep litter</v>
      </c>
      <c r="P153" s="50" cm="1">
        <f t="array" aca="1" ref="P153" ca="1">MMS_Swine_ManureAppliedToSoils_Equations.VEERG_4_5_1_9__1_MassOfNitrogenAppliedToSoilsScope1(P41,_xlfn.XLOOKUP($O153,$D$123:$D$129,$E$123:$E$129), _xlfn.XLOOKUP($O153,$D$112:$D$118,$E$112:$E$118),P71,$F101)</f>
        <v>19.554238439999999</v>
      </c>
      <c r="Q153" s="50" cm="1">
        <f t="array" aca="1" ref="Q153" ca="1">MMS_Swine_ManureAppliedToSoils_Equations.VEERG_4_5_1_9__1_MassOfNitrogenAppliedToSoilsScope1(Q41,_xlfn.XLOOKUP($O153,$D$123:$D$129,$E$123:$E$129), _xlfn.XLOOKUP($O153,$D$112:$D$118,$E$112:$E$118),Q71,$F101)</f>
        <v>26.036893575000001</v>
      </c>
      <c r="R153" s="50" cm="1">
        <f t="array" aca="1" ref="R153" ca="1">MMS_Swine_ManureAppliedToSoils_Equations.VEERG_4_5_1_9__1_MassOfNitrogenAppliedToSoilsScope1(R41,_xlfn.XLOOKUP($O153,$D$123:$D$129,$E$123:$E$129), _xlfn.XLOOKUP($O153,$D$112:$D$118,$E$112:$E$118),R71,$F101)</f>
        <v>24.442798049999993</v>
      </c>
      <c r="S153" s="50" cm="1">
        <f t="array" aca="1" ref="S153" ca="1">MMS_Swine_ManureAppliedToSoils_Equations.VEERG_4_5_1_9__1_MassOfNitrogenAppliedToSoilsScope1(S41,_xlfn.XLOOKUP($O153,$D$123:$D$129,$E$123:$E$129), _xlfn.XLOOKUP($O153,$D$112:$D$118,$E$112:$E$118),S71,$F101)</f>
        <v>16.578593459999997</v>
      </c>
      <c r="T153" s="2"/>
    </row>
    <row r="154" spans="4:20" ht="20" customHeight="1" x14ac:dyDescent="0.25">
      <c r="D154" s="55"/>
      <c r="E154" s="55" t="str">
        <f>INDEX(X_Table_Swine_Stage2MMS_From_PitStorage,5,1)</f>
        <v>Direct application</v>
      </c>
      <c r="F154" s="50" cm="1">
        <f t="array" aca="1" ref="F154" ca="1">MMS_Swine_ManureAppliedToSoils_Equations.VEERG_4_5_1_9__1_MassOfNitrogenAppliedToSoilsScope1(F42,_xlfn.XLOOKUP($E154,$D$123:$D$129,$E$123:$E$129), _xlfn.XLOOKUP($E154,$D$112:$D$118,$E$112:$E$118),F72,$F102)</f>
        <v>60.282815999999976</v>
      </c>
      <c r="G154" s="50" cm="1">
        <f t="array" aca="1" ref="G154" ca="1">MMS_Swine_ManureAppliedToSoils_Equations.VEERG_4_5_1_9__1_MassOfNitrogenAppliedToSoilsScope1(G42,_xlfn.XLOOKUP($E154,$D$123:$D$129,$E$123:$E$129), _xlfn.XLOOKUP($E154,$D$112:$D$118,$E$112:$E$118),G72,$F102)</f>
        <v>40.133940000000003</v>
      </c>
      <c r="H154" s="50" cm="1">
        <f t="array" aca="1" ref="H154" ca="1">MMS_Swine_ManureAppliedToSoils_Equations.VEERG_4_5_1_9__1_MassOfNitrogenAppliedToSoilsScope1(H42,_xlfn.XLOOKUP($E154,$D$123:$D$129,$E$123:$E$129), _xlfn.XLOOKUP($E154,$D$112:$D$118,$E$112:$E$118),H72,$F102)</f>
        <v>37.676759999999994</v>
      </c>
      <c r="I154" s="50" cm="1">
        <f t="array" aca="1" ref="I154" ca="1">MMS_Swine_ManureAppliedToSoils_Equations.VEERG_4_5_1_9__1_MassOfNitrogenAppliedToSoilsScope1(I42,_xlfn.XLOOKUP($E154,$D$123:$D$129,$E$123:$E$129), _xlfn.XLOOKUP($E154,$D$112:$D$118,$E$112:$E$118),I72,$F102)</f>
        <v>25.554671999999997</v>
      </c>
      <c r="J154" s="2"/>
      <c r="N154" s="55"/>
      <c r="O154" s="55" t="str">
        <f>INDEX(X_Table_Swine_Stage2MMS_From_PitStorage,5,1)</f>
        <v>Direct application</v>
      </c>
      <c r="P154" s="50" cm="1">
        <f t="array" aca="1" ref="P154" ca="1">MMS_Swine_ManureAppliedToSoils_Equations.VEERG_4_5_1_9__1_MassOfNitrogenAppliedToSoilsScope1(P42,_xlfn.XLOOKUP($O154,$D$123:$D$129,$E$123:$E$129), _xlfn.XLOOKUP($O154,$D$112:$D$118,$E$112:$E$118),P72,$F102)</f>
        <v>60.282815999999976</v>
      </c>
      <c r="Q154" s="50" cm="1">
        <f t="array" aca="1" ref="Q154" ca="1">MMS_Swine_ManureAppliedToSoils_Equations.VEERG_4_5_1_9__1_MassOfNitrogenAppliedToSoilsScope1(Q42,_xlfn.XLOOKUP($O154,$D$123:$D$129,$E$123:$E$129), _xlfn.XLOOKUP($O154,$D$112:$D$118,$E$112:$E$118),Q72,$F102)</f>
        <v>40.133940000000003</v>
      </c>
      <c r="R154" s="50" cm="1">
        <f t="array" aca="1" ref="R154" ca="1">MMS_Swine_ManureAppliedToSoils_Equations.VEERG_4_5_1_9__1_MassOfNitrogenAppliedToSoilsScope1(R42,_xlfn.XLOOKUP($O154,$D$123:$D$129,$E$123:$E$129), _xlfn.XLOOKUP($O154,$D$112:$D$118,$E$112:$E$118),R72,$F102)</f>
        <v>37.676759999999994</v>
      </c>
      <c r="S154" s="50" cm="1">
        <f t="array" aca="1" ref="S154" ca="1">MMS_Swine_ManureAppliedToSoils_Equations.VEERG_4_5_1_9__1_MassOfNitrogenAppliedToSoilsScope1(S42,_xlfn.XLOOKUP($O154,$D$123:$D$129,$E$123:$E$129), _xlfn.XLOOKUP($O154,$D$112:$D$118,$E$112:$E$118),S72,$F102)</f>
        <v>25.554671999999997</v>
      </c>
      <c r="T154" s="2"/>
    </row>
    <row r="155" spans="4:20" ht="20" customHeight="1" x14ac:dyDescent="0.25">
      <c r="D155" s="55" t="s">
        <v>343</v>
      </c>
      <c r="E155" s="55" t="str">
        <f>INDEX(X_Table_Swine_Stage2MMS_From_SolidStorage,2,1)</f>
        <v>Anaerobic lagoon</v>
      </c>
      <c r="F155" s="50" cm="1">
        <f t="array" aca="1" ref="F155" ca="1">MMS_Swine_ManureAppliedToSoils_Equations.VEERG_4_5_1_9__1_MassOfNitrogenAppliedToSoilsScope1(F43,_xlfn.XLOOKUP($E155,$D$123:$D$129,$E$123:$E$129), _xlfn.XLOOKUP($E155,$D$112:$D$118,$E$112:$E$118),F73,$F103)</f>
        <v>36.039735000000007</v>
      </c>
      <c r="G155" s="50" cm="1">
        <f t="array" aca="1" ref="G155" ca="1">MMS_Swine_ManureAppliedToSoils_Equations.VEERG_4_5_1_9__1_MassOfNitrogenAppliedToSoilsScope1(G43,_xlfn.XLOOKUP($E155,$D$123:$D$129,$E$123:$E$129), _xlfn.XLOOKUP($E155,$D$112:$D$118,$E$112:$E$118),G73,$F103)</f>
        <v>38.390152500000021</v>
      </c>
      <c r="H155" s="50" cm="1">
        <f t="array" aca="1" ref="H155" ca="1">MMS_Swine_ManureAppliedToSoils_Equations.VEERG_4_5_1_9__1_MassOfNitrogenAppliedToSoilsScope1(H43,_xlfn.XLOOKUP($E155,$D$123:$D$129,$E$123:$E$129), _xlfn.XLOOKUP($E155,$D$112:$D$118,$E$112:$E$118),H73,$F103)</f>
        <v>36.039735000000007</v>
      </c>
      <c r="I155" s="50" cm="1">
        <f t="array" aca="1" ref="I155" ca="1">MMS_Swine_ManureAppliedToSoils_Equations.VEERG_4_5_1_9__1_MassOfNitrogenAppliedToSoilsScope1(I43,_xlfn.XLOOKUP($E155,$D$123:$D$129,$E$123:$E$129), _xlfn.XLOOKUP($E155,$D$112:$D$118,$E$112:$E$118),I73,$F103)</f>
        <v>24.44434200000001</v>
      </c>
      <c r="J155" s="2"/>
      <c r="N155" s="55" t="s">
        <v>343</v>
      </c>
      <c r="O155" s="55" t="str">
        <f>INDEX(X_Table_Swine_Stage2MMS_From_SolidStorage,2,1)</f>
        <v>Anaerobic lagoon</v>
      </c>
      <c r="P155" s="50" cm="1">
        <f t="array" aca="1" ref="P155" ca="1">MMS_Swine_ManureAppliedToSoils_Equations.VEERG_4_5_1_9__1_MassOfNitrogenAppliedToSoilsScope1(P43,_xlfn.XLOOKUP($O155,$D$123:$D$129,$E$123:$E$129), _xlfn.XLOOKUP($O155,$D$112:$D$118,$E$112:$E$118),P73,$F103)</f>
        <v>36.039735000000007</v>
      </c>
      <c r="Q155" s="50" cm="1">
        <f t="array" aca="1" ref="Q155" ca="1">MMS_Swine_ManureAppliedToSoils_Equations.VEERG_4_5_1_9__1_MassOfNitrogenAppliedToSoilsScope1(Q43,_xlfn.XLOOKUP($O155,$D$123:$D$129,$E$123:$E$129), _xlfn.XLOOKUP($O155,$D$112:$D$118,$E$112:$E$118),Q73,$F103)</f>
        <v>38.390152500000021</v>
      </c>
      <c r="R155" s="50" cm="1">
        <f t="array" aca="1" ref="R155" ca="1">MMS_Swine_ManureAppliedToSoils_Equations.VEERG_4_5_1_9__1_MassOfNitrogenAppliedToSoilsScope1(R43,_xlfn.XLOOKUP($O155,$D$123:$D$129,$E$123:$E$129), _xlfn.XLOOKUP($O155,$D$112:$D$118,$E$112:$E$118),R73,$F103)</f>
        <v>36.039735000000007</v>
      </c>
      <c r="S155" s="50" cm="1">
        <f t="array" aca="1" ref="S155" ca="1">MMS_Swine_ManureAppliedToSoils_Equations.VEERG_4_5_1_9__1_MassOfNitrogenAppliedToSoilsScope1(S43,_xlfn.XLOOKUP($O155,$D$123:$D$129,$E$123:$E$129), _xlfn.XLOOKUP($O155,$D$112:$D$118,$E$112:$E$118),S73,$F103)</f>
        <v>24.44434200000001</v>
      </c>
      <c r="T155" s="2"/>
    </row>
    <row r="156" spans="4:20" ht="20" customHeight="1" x14ac:dyDescent="0.25">
      <c r="D156" s="55"/>
      <c r="E156" s="55" t="str">
        <f>INDEX(X_Table_Swine_Stage2MMS_From_SolidStorage,3,1)</f>
        <v>Digester / covered lagoons</v>
      </c>
      <c r="F156" s="50" cm="1">
        <f t="array" aca="1" ref="F156" ca="1">MMS_Swine_ManureAppliedToSoils_Equations.VEERG_4_5_1_9__1_MassOfNitrogenAppliedToSoilsScope1(F44,_xlfn.XLOOKUP($E156,$D$123:$D$129,$E$123:$E$129), _xlfn.XLOOKUP($E156,$D$112:$D$118,$E$112:$E$118),F74,$F104)</f>
        <v>80.088300000000032</v>
      </c>
      <c r="G156" s="50" cm="1">
        <f t="array" aca="1" ref="G156" ca="1">MMS_Swine_ManureAppliedToSoils_Equations.VEERG_4_5_1_9__1_MassOfNitrogenAppliedToSoilsScope1(G44,_xlfn.XLOOKUP($E156,$D$123:$D$129,$E$123:$E$129), _xlfn.XLOOKUP($E156,$D$112:$D$118,$E$112:$E$118),G74,$F104)</f>
        <v>85.31145000000005</v>
      </c>
      <c r="H156" s="50" cm="1">
        <f t="array" aca="1" ref="H156" ca="1">MMS_Swine_ManureAppliedToSoils_Equations.VEERG_4_5_1_9__1_MassOfNitrogenAppliedToSoilsScope1(H44,_xlfn.XLOOKUP($E156,$D$123:$D$129,$E$123:$E$129), _xlfn.XLOOKUP($E156,$D$112:$D$118,$E$112:$E$118),H74,$F104)</f>
        <v>80.088300000000032</v>
      </c>
      <c r="I156" s="50" cm="1">
        <f t="array" aca="1" ref="I156" ca="1">MMS_Swine_ManureAppliedToSoils_Equations.VEERG_4_5_1_9__1_MassOfNitrogenAppliedToSoilsScope1(I44,_xlfn.XLOOKUP($E156,$D$123:$D$129,$E$123:$E$129), _xlfn.XLOOKUP($E156,$D$112:$D$118,$E$112:$E$118),I74,$F104)</f>
        <v>54.320760000000028</v>
      </c>
      <c r="J156" s="2"/>
      <c r="N156" s="55"/>
      <c r="O156" s="55" t="str">
        <f>INDEX(X_Table_Swine_Stage2MMS_From_SolidStorage,3,1)</f>
        <v>Digester / covered lagoons</v>
      </c>
      <c r="P156" s="50" cm="1">
        <f t="array" aca="1" ref="P156" ca="1">MMS_Swine_ManureAppliedToSoils_Equations.VEERG_4_5_1_9__1_MassOfNitrogenAppliedToSoilsScope1(P44,_xlfn.XLOOKUP($O156,$D$123:$D$129,$E$123:$E$129), _xlfn.XLOOKUP($O156,$D$112:$D$118,$E$112:$E$118),P74,$F104)</f>
        <v>80.088300000000032</v>
      </c>
      <c r="Q156" s="50" cm="1">
        <f t="array" aca="1" ref="Q156" ca="1">MMS_Swine_ManureAppliedToSoils_Equations.VEERG_4_5_1_9__1_MassOfNitrogenAppliedToSoilsScope1(Q44,_xlfn.XLOOKUP($O156,$D$123:$D$129,$E$123:$E$129), _xlfn.XLOOKUP($O156,$D$112:$D$118,$E$112:$E$118),Q74,$F104)</f>
        <v>85.31145000000005</v>
      </c>
      <c r="R156" s="50" cm="1">
        <f t="array" aca="1" ref="R156" ca="1">MMS_Swine_ManureAppliedToSoils_Equations.VEERG_4_5_1_9__1_MassOfNitrogenAppliedToSoilsScope1(R44,_xlfn.XLOOKUP($O156,$D$123:$D$129,$E$123:$E$129), _xlfn.XLOOKUP($O156,$D$112:$D$118,$E$112:$E$118),R74,$F104)</f>
        <v>80.088300000000032</v>
      </c>
      <c r="S156" s="50" cm="1">
        <f t="array" aca="1" ref="S156" ca="1">MMS_Swine_ManureAppliedToSoils_Equations.VEERG_4_5_1_9__1_MassOfNitrogenAppliedToSoilsScope1(S44,_xlfn.XLOOKUP($O156,$D$123:$D$129,$E$123:$E$129), _xlfn.XLOOKUP($O156,$D$112:$D$118,$E$112:$E$118),S74,$F104)</f>
        <v>54.320760000000028</v>
      </c>
      <c r="T156" s="2"/>
    </row>
    <row r="157" spans="4:20" ht="20" customHeight="1" x14ac:dyDescent="0.25">
      <c r="D157" s="55"/>
      <c r="E157" s="55" t="str">
        <f>INDEX(X_Table_Swine_Stage2MMS_From_SolidStorage,4,1)</f>
        <v>Deep litter</v>
      </c>
      <c r="F157" s="50" cm="1">
        <f t="array" aca="1" ref="F157" ca="1">MMS_Swine_ManureAppliedToSoils_Equations.VEERG_4_5_1_9__1_MassOfNitrogenAppliedToSoilsScope1(F45,_xlfn.XLOOKUP($E157,$D$123:$D$129,$E$123:$E$129), _xlfn.XLOOKUP($E157,$D$112:$D$118,$E$112:$E$118),F75,$F105)</f>
        <v>69.276379500000019</v>
      </c>
      <c r="G157" s="50" cm="1">
        <f t="array" aca="1" ref="G157" ca="1">MMS_Swine_ManureAppliedToSoils_Equations.VEERG_4_5_1_9__1_MassOfNitrogenAppliedToSoilsScope1(G45,_xlfn.XLOOKUP($E157,$D$123:$D$129,$E$123:$E$129), _xlfn.XLOOKUP($E157,$D$112:$D$118,$E$112:$E$118),G75,$F105)</f>
        <v>73.794404250000042</v>
      </c>
      <c r="H157" s="50" cm="1">
        <f t="array" aca="1" ref="H157" ca="1">MMS_Swine_ManureAppliedToSoils_Equations.VEERG_4_5_1_9__1_MassOfNitrogenAppliedToSoilsScope1(H45,_xlfn.XLOOKUP($E157,$D$123:$D$129,$E$123:$E$129), _xlfn.XLOOKUP($E157,$D$112:$D$118,$E$112:$E$118),H75,$F105)</f>
        <v>69.276379500000019</v>
      </c>
      <c r="I157" s="50" cm="1">
        <f t="array" aca="1" ref="I157" ca="1">MMS_Swine_ManureAppliedToSoils_Equations.VEERG_4_5_1_9__1_MassOfNitrogenAppliedToSoilsScope1(I45,_xlfn.XLOOKUP($E157,$D$123:$D$129,$E$123:$E$129), _xlfn.XLOOKUP($E157,$D$112:$D$118,$E$112:$E$118),I75,$F105)</f>
        <v>46.987457400000025</v>
      </c>
      <c r="J157" s="2"/>
      <c r="N157" s="55"/>
      <c r="O157" s="55" t="str">
        <f>INDEX(X_Table_Swine_Stage2MMS_From_SolidStorage,4,1)</f>
        <v>Deep litter</v>
      </c>
      <c r="P157" s="50" cm="1">
        <f t="array" aca="1" ref="P157" ca="1">MMS_Swine_ManureAppliedToSoils_Equations.VEERG_4_5_1_9__1_MassOfNitrogenAppliedToSoilsScope1(P45,_xlfn.XLOOKUP($O157,$D$123:$D$129,$E$123:$E$129), _xlfn.XLOOKUP($O157,$D$112:$D$118,$E$112:$E$118),P75,$F105)</f>
        <v>69.276379500000019</v>
      </c>
      <c r="Q157" s="50" cm="1">
        <f t="array" aca="1" ref="Q157" ca="1">MMS_Swine_ManureAppliedToSoils_Equations.VEERG_4_5_1_9__1_MassOfNitrogenAppliedToSoilsScope1(Q45,_xlfn.XLOOKUP($O157,$D$123:$D$129,$E$123:$E$129), _xlfn.XLOOKUP($O157,$D$112:$D$118,$E$112:$E$118),Q75,$F105)</f>
        <v>73.794404250000042</v>
      </c>
      <c r="R157" s="50" cm="1">
        <f t="array" aca="1" ref="R157" ca="1">MMS_Swine_ManureAppliedToSoils_Equations.VEERG_4_5_1_9__1_MassOfNitrogenAppliedToSoilsScope1(R45,_xlfn.XLOOKUP($O157,$D$123:$D$129,$E$123:$E$129), _xlfn.XLOOKUP($O157,$D$112:$D$118,$E$112:$E$118),R75,$F105)</f>
        <v>69.276379500000019</v>
      </c>
      <c r="S157" s="50" cm="1">
        <f t="array" aca="1" ref="S157" ca="1">MMS_Swine_ManureAppliedToSoils_Equations.VEERG_4_5_1_9__1_MassOfNitrogenAppliedToSoilsScope1(S45,_xlfn.XLOOKUP($O157,$D$123:$D$129,$E$123:$E$129), _xlfn.XLOOKUP($O157,$D$112:$D$118,$E$112:$E$118),S75,$F105)</f>
        <v>46.987457400000025</v>
      </c>
      <c r="T157" s="2"/>
    </row>
    <row r="158" spans="4:20" ht="20" customHeight="1" x14ac:dyDescent="0.25">
      <c r="D158" s="55"/>
      <c r="E158" s="55" t="str">
        <f>INDEX(X_Table_Swine_Stage2MMS_From_SolidStorage,5,1)</f>
        <v>Pit storage</v>
      </c>
      <c r="F158" s="50" cm="1">
        <f t="array" aca="1" ref="F158" ca="1">MMS_Swine_ManureAppliedToSoils_Equations.VEERG_4_5_1_9__1_MassOfNitrogenAppliedToSoilsScope1(F46,_xlfn.XLOOKUP($E158,$D$123:$D$129,$E$123:$E$129), _xlfn.XLOOKUP($E158,$D$112:$D$118,$E$112:$E$118),F76,$F106)</f>
        <v>29.953024200000009</v>
      </c>
      <c r="G158" s="50" cm="1">
        <f t="array" aca="1" ref="G158" ca="1">MMS_Swine_ManureAppliedToSoils_Equations.VEERG_4_5_1_9__1_MassOfNitrogenAppliedToSoilsScope1(G46,_xlfn.XLOOKUP($E158,$D$123:$D$129,$E$123:$E$129), _xlfn.XLOOKUP($E158,$D$112:$D$118,$E$112:$E$118),G76,$F106)</f>
        <v>31.906482300000018</v>
      </c>
      <c r="H158" s="50" cm="1">
        <f t="array" aca="1" ref="H158" ca="1">MMS_Swine_ManureAppliedToSoils_Equations.VEERG_4_5_1_9__1_MassOfNitrogenAppliedToSoilsScope1(H46,_xlfn.XLOOKUP($E158,$D$123:$D$129,$E$123:$E$129), _xlfn.XLOOKUP($E158,$D$112:$D$118,$E$112:$E$118),H76,$F106)</f>
        <v>29.953024200000009</v>
      </c>
      <c r="I158" s="50" cm="1">
        <f t="array" aca="1" ref="I158" ca="1">MMS_Swine_ManureAppliedToSoils_Equations.VEERG_4_5_1_9__1_MassOfNitrogenAppliedToSoilsScope1(I46,_xlfn.XLOOKUP($E158,$D$123:$D$129,$E$123:$E$129), _xlfn.XLOOKUP($E158,$D$112:$D$118,$E$112:$E$118),I76,$F106)</f>
        <v>20.31596424000001</v>
      </c>
      <c r="J158" s="2"/>
      <c r="N158" s="55"/>
      <c r="O158" s="55" t="str">
        <f>INDEX(X_Table_Swine_Stage2MMS_From_SolidStorage,5,1)</f>
        <v>Pit storage</v>
      </c>
      <c r="P158" s="50" cm="1">
        <f t="array" aca="1" ref="P158" ca="1">MMS_Swine_ManureAppliedToSoils_Equations.VEERG_4_5_1_9__1_MassOfNitrogenAppliedToSoilsScope1(P46,_xlfn.XLOOKUP($O158,$D$123:$D$129,$E$123:$E$129), _xlfn.XLOOKUP($O158,$D$112:$D$118,$E$112:$E$118),P76,$F106)</f>
        <v>29.953024200000009</v>
      </c>
      <c r="Q158" s="50" cm="1">
        <f t="array" aca="1" ref="Q158" ca="1">MMS_Swine_ManureAppliedToSoils_Equations.VEERG_4_5_1_9__1_MassOfNitrogenAppliedToSoilsScope1(Q46,_xlfn.XLOOKUP($O158,$D$123:$D$129,$E$123:$E$129), _xlfn.XLOOKUP($O158,$D$112:$D$118,$E$112:$E$118),Q76,$F106)</f>
        <v>31.906482300000018</v>
      </c>
      <c r="R158" s="50" cm="1">
        <f t="array" aca="1" ref="R158" ca="1">MMS_Swine_ManureAppliedToSoils_Equations.VEERG_4_5_1_9__1_MassOfNitrogenAppliedToSoilsScope1(R46,_xlfn.XLOOKUP($O158,$D$123:$D$129,$E$123:$E$129), _xlfn.XLOOKUP($O158,$D$112:$D$118,$E$112:$E$118),R76,$F106)</f>
        <v>29.953024200000009</v>
      </c>
      <c r="S158" s="50" cm="1">
        <f t="array" aca="1" ref="S158" ca="1">MMS_Swine_ManureAppliedToSoils_Equations.VEERG_4_5_1_9__1_MassOfNitrogenAppliedToSoilsScope1(S46,_xlfn.XLOOKUP($O158,$D$123:$D$129,$E$123:$E$129), _xlfn.XLOOKUP($O158,$D$112:$D$118,$E$112:$E$118),S76,$F106)</f>
        <v>20.31596424000001</v>
      </c>
      <c r="T158" s="2"/>
    </row>
    <row r="159" spans="4:20" ht="20" customHeight="1" x14ac:dyDescent="0.25">
      <c r="D159" s="55"/>
      <c r="E159" s="55" t="str">
        <f>INDEX(X_Table_Swine_Stage2MMS_From_SolidStorage,6,1)</f>
        <v>Direct application</v>
      </c>
      <c r="F159" s="50" cm="1">
        <f t="array" aca="1" ref="F159" ca="1">MMS_Swine_ManureAppliedToSoils_Equations.VEERG_4_5_1_9__1_MassOfNitrogenAppliedToSoilsScope1(F47,_xlfn.XLOOKUP($E159,$D$123:$D$129,$E$123:$E$129), _xlfn.XLOOKUP($E159,$D$112:$D$118,$E$112:$E$118),F77,$F107)</f>
        <v>160.17660000000001</v>
      </c>
      <c r="G159" s="50" cm="1">
        <f t="array" aca="1" ref="G159" ca="1">MMS_Swine_ManureAppliedToSoils_Equations.VEERG_4_5_1_9__1_MassOfNitrogenAppliedToSoilsScope1(G47,_xlfn.XLOOKUP($E159,$D$123:$D$129,$E$123:$E$129), _xlfn.XLOOKUP($E159,$D$112:$D$118,$E$112:$E$118),G77,$F107)</f>
        <v>170.62290000000004</v>
      </c>
      <c r="H159" s="50" cm="1">
        <f t="array" aca="1" ref="H159" ca="1">MMS_Swine_ManureAppliedToSoils_Equations.VEERG_4_5_1_9__1_MassOfNitrogenAppliedToSoilsScope1(H47,_xlfn.XLOOKUP($E159,$D$123:$D$129,$E$123:$E$129), _xlfn.XLOOKUP($E159,$D$112:$D$118,$E$112:$E$118),H77,$F107)</f>
        <v>160.17660000000001</v>
      </c>
      <c r="I159" s="50" cm="1">
        <f t="array" aca="1" ref="I159" ca="1">MMS_Swine_ManureAppliedToSoils_Equations.VEERG_4_5_1_9__1_MassOfNitrogenAppliedToSoilsScope1(I47,_xlfn.XLOOKUP($E159,$D$123:$D$129,$E$123:$E$129), _xlfn.XLOOKUP($E159,$D$112:$D$118,$E$112:$E$118),I77,$F107)</f>
        <v>108.64152000000003</v>
      </c>
      <c r="J159" s="2"/>
      <c r="N159" s="55"/>
      <c r="O159" s="55" t="str">
        <f>INDEX(X_Table_Swine_Stage2MMS_From_SolidStorage,6,1)</f>
        <v>Direct application</v>
      </c>
      <c r="P159" s="50" cm="1">
        <f t="array" aca="1" ref="P159" ca="1">MMS_Swine_ManureAppliedToSoils_Equations.VEERG_4_5_1_9__1_MassOfNitrogenAppliedToSoilsScope1(P47,_xlfn.XLOOKUP($O159,$D$123:$D$129,$E$123:$E$129), _xlfn.XLOOKUP($O159,$D$112:$D$118,$E$112:$E$118),P77,$F107)</f>
        <v>160.17660000000001</v>
      </c>
      <c r="Q159" s="50" cm="1">
        <f t="array" aca="1" ref="Q159" ca="1">MMS_Swine_ManureAppliedToSoils_Equations.VEERG_4_5_1_9__1_MassOfNitrogenAppliedToSoilsScope1(Q47,_xlfn.XLOOKUP($O159,$D$123:$D$129,$E$123:$E$129), _xlfn.XLOOKUP($O159,$D$112:$D$118,$E$112:$E$118),Q77,$F107)</f>
        <v>170.62290000000004</v>
      </c>
      <c r="R159" s="50" cm="1">
        <f t="array" aca="1" ref="R159" ca="1">MMS_Swine_ManureAppliedToSoils_Equations.VEERG_4_5_1_9__1_MassOfNitrogenAppliedToSoilsScope1(R47,_xlfn.XLOOKUP($O159,$D$123:$D$129,$E$123:$E$129), _xlfn.XLOOKUP($O159,$D$112:$D$118,$E$112:$E$118),R77,$F107)</f>
        <v>160.17660000000001</v>
      </c>
      <c r="S159" s="50" cm="1">
        <f t="array" aca="1" ref="S159" ca="1">MMS_Swine_ManureAppliedToSoils_Equations.VEERG_4_5_1_9__1_MassOfNitrogenAppliedToSoilsScope1(S47,_xlfn.XLOOKUP($O159,$D$123:$D$129,$E$123:$E$129), _xlfn.XLOOKUP($O159,$D$112:$D$118,$E$112:$E$118),S77,$F107)</f>
        <v>108.64152000000003</v>
      </c>
      <c r="T159" s="2"/>
    </row>
    <row r="160" spans="4:20" ht="20" customHeight="1" x14ac:dyDescent="0.25"/>
    <row r="161" spans="1:21" ht="20" customHeight="1" x14ac:dyDescent="0.25">
      <c r="D161" s="94" t="s">
        <v>299</v>
      </c>
      <c r="E161" s="95">
        <f ca="1">SUM(F134:I159)</f>
        <v>3256.7704915650011</v>
      </c>
      <c r="F161" s="96" t="str">
        <f>$E$11</f>
        <v>kg N</v>
      </c>
      <c r="N161" s="94" t="s">
        <v>299</v>
      </c>
      <c r="O161" s="95">
        <f ca="1">SUM(P134:S159)</f>
        <v>3256.7704915650011</v>
      </c>
      <c r="P161" s="96" t="str">
        <f>$E$11</f>
        <v>kg N</v>
      </c>
    </row>
    <row r="162" spans="1:21" ht="20" customHeight="1" x14ac:dyDescent="0.25"/>
    <row r="163" spans="1:21" ht="20" customHeight="1" x14ac:dyDescent="0.25">
      <c r="A163" s="137" t="str">
        <f>HYPERLINK("#A1", "▲ Back to top")</f>
        <v>▲ Back to top</v>
      </c>
    </row>
    <row r="164" spans="1:21" ht="20" customHeight="1" x14ac:dyDescent="0.25">
      <c r="C164" s="43"/>
      <c r="D164" s="43"/>
      <c r="E164" s="43"/>
      <c r="F164" s="43"/>
      <c r="G164" s="43"/>
      <c r="H164" s="43"/>
      <c r="I164" s="43"/>
      <c r="J164" s="43"/>
      <c r="K164" s="43"/>
      <c r="M164" s="43"/>
      <c r="N164" s="43"/>
      <c r="O164" s="43"/>
      <c r="P164" s="43"/>
      <c r="Q164" s="43"/>
      <c r="R164" s="43"/>
      <c r="S164" s="43"/>
      <c r="T164" s="43"/>
      <c r="U164" s="43"/>
    </row>
    <row r="165" spans="1:21" ht="20" customHeight="1" x14ac:dyDescent="0.25">
      <c r="D165" s="6" t="str" cm="1">
        <f t="array" ref="D165">MMS_Swine_ManureAppliedToSoils_Equations.VEERG_4_5_1_9__2_MassOfNitrogenAppliedToSoilsScope3_Title()</f>
        <v>Mass of nitrogen applied to soils for scope 3 emissions</v>
      </c>
    </row>
    <row r="166" spans="1:21" ht="20" customHeight="1" x14ac:dyDescent="0.25">
      <c r="D166" s="5" t="str" cm="1">
        <f t="array" ref="D166">MMS_Swine_ManureAppliedToSoils_Equations.VEERG_4_5_1_9__2_MassOfNitrogenAppliedToSoilsScope3_Source()</f>
        <v>VEERG 2026: 4.5.1.9, Equation (2)</v>
      </c>
    </row>
    <row r="167" spans="1:21" ht="20" customHeight="1" x14ac:dyDescent="0.25">
      <c r="D167" s="13" t="s">
        <v>23</v>
      </c>
      <c r="E167" s="13" t="str" cm="1">
        <f t="array" aca="1" ref="E167" ca="1">Common_InputFunctions.Utility_DisplayFunctionName(F182)</f>
        <v>=MMS_Swine_ManureAppliedToSoils_Equations.VEERG_4_5_1_9__2_MassOfNitrogenAppliedToSoilsScope3</v>
      </c>
    </row>
    <row r="168" spans="1:21" ht="20" customHeight="1" x14ac:dyDescent="0.25"/>
    <row r="169" spans="1:21" ht="20" customHeight="1" x14ac:dyDescent="0.25"/>
    <row r="170" spans="1:21" ht="20" customHeight="1" x14ac:dyDescent="0.25">
      <c r="D170" s="51" t="s">
        <v>26</v>
      </c>
      <c r="E170" s="1" t="str" cm="1">
        <f t="array" ref="E170">MMS_Swine_ManureAppliedToSoils_Equations.VEERG_4_5_1_9__2_MassOfNitrogenAppliedToSoilsScope3_Variable()</f>
        <v>MNSoil_scope3</v>
      </c>
    </row>
    <row r="171" spans="1:21" ht="20" customHeight="1" x14ac:dyDescent="0.25">
      <c r="D171" s="51" t="s">
        <v>16</v>
      </c>
      <c r="E171" s="52" t="str" cm="1">
        <f t="array" ref="E171">MMS_Swine_ManureAppliedToSoils_Equations.VEERG_4_5_1_9__2_MassOfNitrogenAppliedToSoilsScope3_Unit()</f>
        <v>kg N</v>
      </c>
    </row>
    <row r="172" spans="1:21" ht="20" customHeight="1" x14ac:dyDescent="0.25"/>
    <row r="173" spans="1:21" ht="20" customHeight="1" x14ac:dyDescent="0.25">
      <c r="D173" s="132" t="str" cm="1">
        <f t="array" ref="D173:E177">Common_InputFunctions.Utility_DisplayArguments_1_2(MMS_Swine_ManureAppliedToSoils_Equations.VEERG_4_5_1_9__2_MassOfNitrogenAppliedToSoilsScope3_Arguments())</f>
        <v>MN_jmT2</v>
      </c>
      <c r="E173" s="134" t="str">
        <v>mass of N in MMS at treatment stage 2</v>
      </c>
      <c r="F173" s="133"/>
      <c r="G173" s="132" t="str" cm="1">
        <f t="array" ref="G173:H177">Common_InputFunctions.Utility_DisplayArguments_3_4(MMS_Swine_ManureAppliedToSoils_Equations.VEERG_4_5_1_9__2_MassOfNitrogenAppliedToSoilsScope3_Arguments())</f>
        <v>kg N</v>
      </c>
      <c r="H173" s="127" t="str">
        <v>Calculated from 4.5.1.3 (6)</v>
      </c>
      <c r="I173" s="131" t="str" cm="1">
        <f t="array" aca="1" ref="I173" ca="1">HYPERLINK(Common_InputFunctions.Utility_SourceHyperlink(D19), D19)</f>
        <v>M1_Table_MN_j_m_T-2</v>
      </c>
    </row>
    <row r="174" spans="1:21" ht="20" customHeight="1" x14ac:dyDescent="0.25">
      <c r="D174" s="132" t="str">
        <v>EF_mT2</v>
      </c>
      <c r="E174" s="134" t="str">
        <v>nitrous oxide emission factor for each MMS at treatment stage 2</v>
      </c>
      <c r="F174" s="133"/>
      <c r="G174" s="132" t="str">
        <v>kg N2O-N/kg N</v>
      </c>
      <c r="H174" s="127" t="str">
        <v>Constant</v>
      </c>
      <c r="I174" s="131" t="str" cm="1">
        <f t="array" aca="1" ref="I174" ca="1">HYPERLINK(Common_InputFunctions.Utility_SourceHyperlink(D120), D120)</f>
        <v>Table_EF_m_T</v>
      </c>
    </row>
    <row r="175" spans="1:21" ht="20" customHeight="1" x14ac:dyDescent="0.25">
      <c r="D175" s="132" t="str">
        <v>FracGASM_mT2</v>
      </c>
      <c r="E175" s="134" t="str">
        <v>fraction of animal waste N volatilised in each MMS at treatment stage 2</v>
      </c>
      <c r="F175" s="133"/>
      <c r="G175" s="132" t="str">
        <v>(kg NH3-N + NOx-N)/kg N</v>
      </c>
      <c r="H175" s="127" t="str">
        <v>Constant</v>
      </c>
      <c r="I175" s="131" t="str" cm="1">
        <f t="array" aca="1" ref="I175" ca="1">HYPERLINK(Common_InputFunctions.Utility_SourceHyperlink(D109), D109)</f>
        <v>Table_FracGASM_m_t</v>
      </c>
    </row>
    <row r="176" spans="1:21" ht="20" customHeight="1" x14ac:dyDescent="0.25">
      <c r="D176" s="132" t="str">
        <v>MNLeach_jm5</v>
      </c>
      <c r="E176" s="134" t="str">
        <v>mass of N lost to leaching and runoff from drylot MMS</v>
      </c>
      <c r="F176" s="133"/>
      <c r="G176" s="132" t="str">
        <v>kg N</v>
      </c>
      <c r="H176" s="127" t="str">
        <v>Calculated from 4.5.1.7 (2)</v>
      </c>
      <c r="I176" s="131" t="str" cm="1">
        <f t="array" aca="1" ref="I176" ca="1">HYPERLINK(Common_InputFunctions.Utility_SourceHyperlink(D49), D49)</f>
        <v>M1_Table_MN_leach_j_m-5</v>
      </c>
    </row>
    <row r="177" spans="4:20" ht="20" customHeight="1" x14ac:dyDescent="0.25">
      <c r="D177" s="132" t="str">
        <v>PF</v>
      </c>
      <c r="E177" s="134" t="str">
        <v>fraction of manure applied to soil within the piggery boundary</v>
      </c>
      <c r="F177" s="133"/>
      <c r="G177" s="132" t="str">
        <v>fraction</v>
      </c>
      <c r="H177" s="128" t="str">
        <v>Input</v>
      </c>
      <c r="I177" s="131" t="str" cm="1">
        <f t="array" aca="1" ref="I177" ca="1">HYPERLINK(Common_InputFunctions.Utility_SourceHyperlink(D79), D79)</f>
        <v>M1_Table_PF</v>
      </c>
    </row>
    <row r="178" spans="4:20" ht="20" customHeight="1" x14ac:dyDescent="0.25"/>
    <row r="179" spans="4:20" ht="20" customHeight="1" x14ac:dyDescent="0.25">
      <c r="D179" s="113" t="s">
        <v>302</v>
      </c>
      <c r="N179" s="113" t="s">
        <v>302</v>
      </c>
    </row>
    <row r="180" spans="4:20" ht="20" customHeight="1" x14ac:dyDescent="0.25">
      <c r="D180" s="114" t="s">
        <v>303</v>
      </c>
      <c r="N180" s="114" t="s">
        <v>303</v>
      </c>
    </row>
    <row r="181" spans="4:20" ht="20" customHeight="1" x14ac:dyDescent="0.25">
      <c r="D181" s="49" t="s">
        <v>155</v>
      </c>
      <c r="E181" s="49" t="s">
        <v>163</v>
      </c>
      <c r="F181" s="49" t="s">
        <v>134</v>
      </c>
      <c r="G181" s="49" t="s">
        <v>135</v>
      </c>
      <c r="H181" s="49" t="s">
        <v>136</v>
      </c>
      <c r="I181" s="49" t="s">
        <v>192</v>
      </c>
      <c r="N181" s="49" t="s">
        <v>155</v>
      </c>
      <c r="O181" s="49" t="s">
        <v>163</v>
      </c>
      <c r="P181" s="49" t="s">
        <v>134</v>
      </c>
      <c r="Q181" s="49" t="s">
        <v>135</v>
      </c>
      <c r="R181" s="49" t="s">
        <v>136</v>
      </c>
      <c r="S181" s="49" t="s">
        <v>192</v>
      </c>
    </row>
    <row r="182" spans="4:20" ht="20" customHeight="1" x14ac:dyDescent="0.25">
      <c r="D182" s="55" t="str">
        <f>INDEX(X_Table_Swine_Stage1MMS_AnaerobicLagoon,2,1)</f>
        <v>Anaerobic lagoon</v>
      </c>
      <c r="E182" s="55" t="str">
        <f>INDEX(X_Table_Swine_Stage2MMS_From_AnaerobicLagoon,2,1)</f>
        <v>Digester / covered lagoons</v>
      </c>
      <c r="F182" s="50" cm="1">
        <f t="array" aca="1" ref="F182" ca="1">MMS_Swine_ManureAppliedToSoils_Equations.VEERG_4_5_1_9__2_MassOfNitrogenAppliedToSoilsScope3(F22,_xlfn.XLOOKUP($E182,$D$123:$D$129,$E$123:$E$129), _xlfn.XLOOKUP($E182,$D$112:$D$118,$E$112:$E$118),F52,$F82)</f>
        <v>4.5332999999999988</v>
      </c>
      <c r="G182" s="50" cm="1">
        <f t="array" aca="1" ref="G182" ca="1">MMS_Swine_ManureAppliedToSoils_Equations.VEERG_4_5_1_9__2_MassOfNitrogenAppliedToSoilsScope3(G22,_xlfn.XLOOKUP($E182,$D$123:$D$129,$E$123:$E$129), _xlfn.XLOOKUP($E182,$D$112:$D$118,$E$112:$E$118),G52,$F82)</f>
        <v>6.0361875000000005</v>
      </c>
      <c r="H182" s="50" cm="1">
        <f t="array" aca="1" ref="H182" ca="1">MMS_Swine_ManureAppliedToSoils_Equations.VEERG_4_5_1_9__2_MassOfNitrogenAppliedToSoilsScope3(H22,_xlfn.XLOOKUP($E182,$D$123:$D$129,$E$123:$E$129), _xlfn.XLOOKUP($E182,$D$112:$D$118,$E$112:$E$118),H52,$F82)</f>
        <v>5.666624999999998</v>
      </c>
      <c r="I182" s="50" cm="1">
        <f t="array" aca="1" ref="I182" ca="1">MMS_Swine_ManureAppliedToSoils_Equations.VEERG_4_5_1_9__2_MassOfNitrogenAppliedToSoilsScope3(I22,_xlfn.XLOOKUP($E182,$D$123:$D$129,$E$123:$E$129), _xlfn.XLOOKUP($E182,$D$112:$D$118,$E$112:$E$118),I52,$F82)</f>
        <v>3.8434499999999989</v>
      </c>
      <c r="J182" s="2" t="str">
        <f>$E$171</f>
        <v>kg N</v>
      </c>
      <c r="N182" s="55" t="str">
        <f>INDEX(X_Table_Swine_Stage1MMS_AnaerobicLagoon,2,1)</f>
        <v>Anaerobic lagoon</v>
      </c>
      <c r="O182" s="55" t="str">
        <f>INDEX(X_Table_Swine_Stage2MMS_From_AnaerobicLagoon,2,1)</f>
        <v>Digester / covered lagoons</v>
      </c>
      <c r="P182" s="50" cm="1">
        <f t="array" aca="1" ref="P182" ca="1">MMS_Swine_ManureAppliedToSoils_Equations.VEERG_4_5_1_9__2_MassOfNitrogenAppliedToSoilsScope3(P22,_xlfn.XLOOKUP($O182,$D$123:$D$129,$E$123:$E$129), _xlfn.XLOOKUP($O182,$D$112:$D$118,$E$112:$E$118),P52,$F82)</f>
        <v>4.5332999999999988</v>
      </c>
      <c r="Q182" s="50" cm="1">
        <f t="array" aca="1" ref="Q182" ca="1">MMS_Swine_ManureAppliedToSoils_Equations.VEERG_4_5_1_9__2_MassOfNitrogenAppliedToSoilsScope3(Q22,_xlfn.XLOOKUP($O182,$D$123:$D$129,$E$123:$E$129), _xlfn.XLOOKUP($O182,$D$112:$D$118,$E$112:$E$118),Q52,$F82)</f>
        <v>6.0361875000000005</v>
      </c>
      <c r="R182" s="50" cm="1">
        <f t="array" aca="1" ref="R182" ca="1">MMS_Swine_ManureAppliedToSoils_Equations.VEERG_4_5_1_9__2_MassOfNitrogenAppliedToSoilsScope3(R22,_xlfn.XLOOKUP($O182,$D$123:$D$129,$E$123:$E$129), _xlfn.XLOOKUP($O182,$D$112:$D$118,$E$112:$E$118),R52,$F82)</f>
        <v>5.666624999999998</v>
      </c>
      <c r="S182" s="50" cm="1">
        <f t="array" aca="1" ref="S182" ca="1">MMS_Swine_ManureAppliedToSoils_Equations.VEERG_4_5_1_9__2_MassOfNitrogenAppliedToSoilsScope3(S22,_xlfn.XLOOKUP($O182,$D$123:$D$129,$E$123:$E$129), _xlfn.XLOOKUP($O182,$D$112:$D$118,$E$112:$E$118),S52,$F82)</f>
        <v>3.8434499999999989</v>
      </c>
      <c r="T182" s="2" t="str">
        <f>$E$171</f>
        <v>kg N</v>
      </c>
    </row>
    <row r="183" spans="4:20" ht="20" customHeight="1" x14ac:dyDescent="0.25">
      <c r="D183" s="55"/>
      <c r="E183" s="55" t="str">
        <f>INDEX(X_Table_Swine_Stage2MMS_From_AnaerobicLagoon,3,1)</f>
        <v>Deep litter</v>
      </c>
      <c r="F183" s="50" cm="1">
        <f t="array" aca="1" ref="F183" ca="1">MMS_Swine_ManureAppliedToSoils_Equations.VEERG_4_5_1_9__2_MassOfNitrogenAppliedToSoilsScope3(F23,_xlfn.XLOOKUP($E183,$D$123:$D$129,$E$123:$E$129), _xlfn.XLOOKUP($E183,$D$112:$D$118,$E$112:$E$118),F53,$F83)</f>
        <v>3.9213044999999989</v>
      </c>
      <c r="G183" s="50" cm="1">
        <f t="array" aca="1" ref="G183" ca="1">MMS_Swine_ManureAppliedToSoils_Equations.VEERG_4_5_1_9__2_MassOfNitrogenAppliedToSoilsScope3(G23,_xlfn.XLOOKUP($E183,$D$123:$D$129,$E$123:$E$129), _xlfn.XLOOKUP($E183,$D$112:$D$118,$E$112:$E$118),G53,$F83)</f>
        <v>5.2213021875000001</v>
      </c>
      <c r="H183" s="50" cm="1">
        <f t="array" aca="1" ref="H183" ca="1">MMS_Swine_ManureAppliedToSoils_Equations.VEERG_4_5_1_9__2_MassOfNitrogenAppliedToSoilsScope3(H23,_xlfn.XLOOKUP($E183,$D$123:$D$129,$E$123:$E$129), _xlfn.XLOOKUP($E183,$D$112:$D$118,$E$112:$E$118),H53,$F83)</f>
        <v>4.9016306249999984</v>
      </c>
      <c r="I183" s="50" cm="1">
        <f t="array" aca="1" ref="I183" ca="1">MMS_Swine_ManureAppliedToSoils_Equations.VEERG_4_5_1_9__2_MassOfNitrogenAppliedToSoilsScope3(I23,_xlfn.XLOOKUP($E183,$D$123:$D$129,$E$123:$E$129), _xlfn.XLOOKUP($E183,$D$112:$D$118,$E$112:$E$118),I53,$F83)</f>
        <v>3.3245842499999991</v>
      </c>
      <c r="J183" s="2"/>
      <c r="N183" s="55"/>
      <c r="O183" s="55" t="str">
        <f>INDEX(X_Table_Swine_Stage2MMS_From_AnaerobicLagoon,3,1)</f>
        <v>Deep litter</v>
      </c>
      <c r="P183" s="50" cm="1">
        <f t="array" aca="1" ref="P183" ca="1">MMS_Swine_ManureAppliedToSoils_Equations.VEERG_4_5_1_9__2_MassOfNitrogenAppliedToSoilsScope3(P23,_xlfn.XLOOKUP($O183,$D$123:$D$129,$E$123:$E$129), _xlfn.XLOOKUP($O183,$D$112:$D$118,$E$112:$E$118),P53,$F83)</f>
        <v>3.9213044999999989</v>
      </c>
      <c r="Q183" s="50" cm="1">
        <f t="array" aca="1" ref="Q183" ca="1">MMS_Swine_ManureAppliedToSoils_Equations.VEERG_4_5_1_9__2_MassOfNitrogenAppliedToSoilsScope3(Q23,_xlfn.XLOOKUP($O183,$D$123:$D$129,$E$123:$E$129), _xlfn.XLOOKUP($O183,$D$112:$D$118,$E$112:$E$118),Q53,$F83)</f>
        <v>5.2213021875000001</v>
      </c>
      <c r="R183" s="50" cm="1">
        <f t="array" aca="1" ref="R183" ca="1">MMS_Swine_ManureAppliedToSoils_Equations.VEERG_4_5_1_9__2_MassOfNitrogenAppliedToSoilsScope3(R23,_xlfn.XLOOKUP($O183,$D$123:$D$129,$E$123:$E$129), _xlfn.XLOOKUP($O183,$D$112:$D$118,$E$112:$E$118),R53,$F83)</f>
        <v>4.9016306249999984</v>
      </c>
      <c r="S183" s="50" cm="1">
        <f t="array" aca="1" ref="S183" ca="1">MMS_Swine_ManureAppliedToSoils_Equations.VEERG_4_5_1_9__2_MassOfNitrogenAppliedToSoilsScope3(S23,_xlfn.XLOOKUP($O183,$D$123:$D$129,$E$123:$E$129), _xlfn.XLOOKUP($O183,$D$112:$D$118,$E$112:$E$118),S53,$F83)</f>
        <v>3.3245842499999991</v>
      </c>
      <c r="T183" s="2"/>
    </row>
    <row r="184" spans="4:20" ht="20" customHeight="1" x14ac:dyDescent="0.25">
      <c r="D184" s="55"/>
      <c r="E184" s="55" t="str">
        <f>INDEX(X_Table_Swine_Stage2MMS_From_AnaerobicLagoon,4,1)</f>
        <v>Pit storage</v>
      </c>
      <c r="F184" s="50" cm="1">
        <f t="array" aca="1" ref="F184" ca="1">MMS_Swine_ManureAppliedToSoils_Equations.VEERG_4_5_1_9__2_MassOfNitrogenAppliedToSoilsScope3(F24,_xlfn.XLOOKUP($E184,$D$123:$D$129,$E$123:$E$129), _xlfn.XLOOKUP($E184,$D$112:$D$118,$E$112:$E$118),F54,$F84)</f>
        <v>3.3909083999999989</v>
      </c>
      <c r="G184" s="50" cm="1">
        <f t="array" aca="1" ref="G184" ca="1">MMS_Swine_ManureAppliedToSoils_Equations.VEERG_4_5_1_9__2_MassOfNitrogenAppliedToSoilsScope3(G24,_xlfn.XLOOKUP($E184,$D$123:$D$129,$E$123:$E$129), _xlfn.XLOOKUP($E184,$D$112:$D$118,$E$112:$E$118),G54,$F84)</f>
        <v>4.5150682500000006</v>
      </c>
      <c r="H184" s="50" cm="1">
        <f t="array" aca="1" ref="H184" ca="1">MMS_Swine_ManureAppliedToSoils_Equations.VEERG_4_5_1_9__2_MassOfNitrogenAppliedToSoilsScope3(H24,_xlfn.XLOOKUP($E184,$D$123:$D$129,$E$123:$E$129), _xlfn.XLOOKUP($E184,$D$112:$D$118,$E$112:$E$118),H54,$F84)</f>
        <v>4.2386354999999982</v>
      </c>
      <c r="I184" s="50" cm="1">
        <f t="array" aca="1" ref="I184" ca="1">MMS_Swine_ManureAppliedToSoils_Equations.VEERG_4_5_1_9__2_MassOfNitrogenAppliedToSoilsScope3(I24,_xlfn.XLOOKUP($E184,$D$123:$D$129,$E$123:$E$129), _xlfn.XLOOKUP($E184,$D$112:$D$118,$E$112:$E$118),I54,$F84)</f>
        <v>2.8749005999999993</v>
      </c>
      <c r="J184" s="2"/>
      <c r="N184" s="55"/>
      <c r="O184" s="55" t="str">
        <f>INDEX(X_Table_Swine_Stage2MMS_From_AnaerobicLagoon,4,1)</f>
        <v>Pit storage</v>
      </c>
      <c r="P184" s="50" cm="1">
        <f t="array" aca="1" ref="P184" ca="1">MMS_Swine_ManureAppliedToSoils_Equations.VEERG_4_5_1_9__2_MassOfNitrogenAppliedToSoilsScope3(P24,_xlfn.XLOOKUP($O184,$D$123:$D$129,$E$123:$E$129), _xlfn.XLOOKUP($O184,$D$112:$D$118,$E$112:$E$118),P54,$F84)</f>
        <v>3.3909083999999989</v>
      </c>
      <c r="Q184" s="50" cm="1">
        <f t="array" aca="1" ref="Q184" ca="1">MMS_Swine_ManureAppliedToSoils_Equations.VEERG_4_5_1_9__2_MassOfNitrogenAppliedToSoilsScope3(Q24,_xlfn.XLOOKUP($O184,$D$123:$D$129,$E$123:$E$129), _xlfn.XLOOKUP($O184,$D$112:$D$118,$E$112:$E$118),Q54,$F84)</f>
        <v>4.5150682500000006</v>
      </c>
      <c r="R184" s="50" cm="1">
        <f t="array" aca="1" ref="R184" ca="1">MMS_Swine_ManureAppliedToSoils_Equations.VEERG_4_5_1_9__2_MassOfNitrogenAppliedToSoilsScope3(R24,_xlfn.XLOOKUP($O184,$D$123:$D$129,$E$123:$E$129), _xlfn.XLOOKUP($O184,$D$112:$D$118,$E$112:$E$118),R54,$F84)</f>
        <v>4.2386354999999982</v>
      </c>
      <c r="S184" s="50" cm="1">
        <f t="array" aca="1" ref="S184" ca="1">MMS_Swine_ManureAppliedToSoils_Equations.VEERG_4_5_1_9__2_MassOfNitrogenAppliedToSoilsScope3(S24,_xlfn.XLOOKUP($O184,$D$123:$D$129,$E$123:$E$129), _xlfn.XLOOKUP($O184,$D$112:$D$118,$E$112:$E$118),S54,$F84)</f>
        <v>2.8749005999999993</v>
      </c>
      <c r="T184" s="2"/>
    </row>
    <row r="185" spans="4:20" ht="20" customHeight="1" x14ac:dyDescent="0.25">
      <c r="D185" s="55"/>
      <c r="E185" s="55" t="str">
        <f>INDEX(X_Table_Swine_Stage2MMS_From_AnaerobicLagoon,5,1)</f>
        <v>Direct application</v>
      </c>
      <c r="F185" s="50" cm="1">
        <f t="array" aca="1" ref="F185" ca="1">MMS_Swine_ManureAppliedToSoils_Equations.VEERG_4_5_1_9__2_MassOfNitrogenAppliedToSoilsScope3(F25,_xlfn.XLOOKUP($E185,$D$123:$D$129,$E$123:$E$129), _xlfn.XLOOKUP($E185,$D$112:$D$118,$E$112:$E$118),F55,$F85)</f>
        <v>0</v>
      </c>
      <c r="G185" s="50" cm="1">
        <f t="array" aca="1" ref="G185" ca="1">MMS_Swine_ManureAppliedToSoils_Equations.VEERG_4_5_1_9__2_MassOfNitrogenAppliedToSoilsScope3(G25,_xlfn.XLOOKUP($E185,$D$123:$D$129,$E$123:$E$129), _xlfn.XLOOKUP($E185,$D$112:$D$118,$E$112:$E$118),G55,$F85)</f>
        <v>0</v>
      </c>
      <c r="H185" s="50" cm="1">
        <f t="array" aca="1" ref="H185" ca="1">MMS_Swine_ManureAppliedToSoils_Equations.VEERG_4_5_1_9__2_MassOfNitrogenAppliedToSoilsScope3(H25,_xlfn.XLOOKUP($E185,$D$123:$D$129,$E$123:$E$129), _xlfn.XLOOKUP($E185,$D$112:$D$118,$E$112:$E$118),H55,$F85)</f>
        <v>0</v>
      </c>
      <c r="I185" s="50" cm="1">
        <f t="array" aca="1" ref="I185" ca="1">MMS_Swine_ManureAppliedToSoils_Equations.VEERG_4_5_1_9__2_MassOfNitrogenAppliedToSoilsScope3(I25,_xlfn.XLOOKUP($E185,$D$123:$D$129,$E$123:$E$129), _xlfn.XLOOKUP($E185,$D$112:$D$118,$E$112:$E$118),I55,$F85)</f>
        <v>0</v>
      </c>
      <c r="J185" s="2"/>
      <c r="N185" s="55"/>
      <c r="O185" s="55" t="str">
        <f>INDEX(X_Table_Swine_Stage2MMS_From_AnaerobicLagoon,5,1)</f>
        <v>Direct application</v>
      </c>
      <c r="P185" s="50" cm="1">
        <f t="array" aca="1" ref="P185" ca="1">MMS_Swine_ManureAppliedToSoils_Equations.VEERG_4_5_1_9__2_MassOfNitrogenAppliedToSoilsScope3(P25,_xlfn.XLOOKUP($O185,$D$123:$D$129,$E$123:$E$129), _xlfn.XLOOKUP($O185,$D$112:$D$118,$E$112:$E$118),P55,$F85)</f>
        <v>0</v>
      </c>
      <c r="Q185" s="50" cm="1">
        <f t="array" aca="1" ref="Q185" ca="1">MMS_Swine_ManureAppliedToSoils_Equations.VEERG_4_5_1_9__2_MassOfNitrogenAppliedToSoilsScope3(Q25,_xlfn.XLOOKUP($O185,$D$123:$D$129,$E$123:$E$129), _xlfn.XLOOKUP($O185,$D$112:$D$118,$E$112:$E$118),Q55,$F85)</f>
        <v>0</v>
      </c>
      <c r="R185" s="50" cm="1">
        <f t="array" aca="1" ref="R185" ca="1">MMS_Swine_ManureAppliedToSoils_Equations.VEERG_4_5_1_9__2_MassOfNitrogenAppliedToSoilsScope3(R25,_xlfn.XLOOKUP($O185,$D$123:$D$129,$E$123:$E$129), _xlfn.XLOOKUP($O185,$D$112:$D$118,$E$112:$E$118),R55,$F85)</f>
        <v>0</v>
      </c>
      <c r="S185" s="50" cm="1">
        <f t="array" aca="1" ref="S185" ca="1">MMS_Swine_ManureAppliedToSoils_Equations.VEERG_4_5_1_9__2_MassOfNitrogenAppliedToSoilsScope3(S25,_xlfn.XLOOKUP($O185,$D$123:$D$129,$E$123:$E$129), _xlfn.XLOOKUP($O185,$D$112:$D$118,$E$112:$E$118),S55,$F85)</f>
        <v>0</v>
      </c>
      <c r="T185" s="2"/>
    </row>
    <row r="186" spans="4:20" ht="20" customHeight="1" x14ac:dyDescent="0.25">
      <c r="D186" s="55" t="str">
        <f>INDEX(X_Table_Swine_Stage1MMS_Drylot,2,1)</f>
        <v>Drylot (feed pad)</v>
      </c>
      <c r="E186" s="55" t="str">
        <f>INDEX(X_Table_Swine_Stage2MMS_From_Drylot,2,1)</f>
        <v>Anaerobic lagoon</v>
      </c>
      <c r="F186" s="50" cm="1">
        <f t="array" aca="1" ref="F186" ca="1">MMS_Swine_ManureAppliedToSoils_Equations.VEERG_4_5_1_9__2_MassOfNitrogenAppliedToSoilsScope3(F26,_xlfn.XLOOKUP($E186,$D$123:$D$129,$E$123:$E$129), _xlfn.XLOOKUP($E186,$D$112:$D$118,$E$112:$E$118),F56,$F86)</f>
        <v>2.0752439999999988</v>
      </c>
      <c r="G186" s="50" cm="1">
        <f t="array" aca="1" ref="G186" ca="1">MMS_Swine_ManureAppliedToSoils_Equations.VEERG_4_5_1_9__2_MassOfNitrogenAppliedToSoilsScope3(G26,_xlfn.XLOOKUP($E186,$D$123:$D$129,$E$123:$E$129), _xlfn.XLOOKUP($E186,$D$112:$D$118,$E$112:$E$118),G56,$F86)</f>
        <v>3.0315075</v>
      </c>
      <c r="H186" s="50" cm="1">
        <f t="array" aca="1" ref="H186" ca="1">MMS_Swine_ManureAppliedToSoils_Equations.VEERG_4_5_1_9__2_MassOfNitrogenAppliedToSoilsScope3(H26,_xlfn.XLOOKUP($E186,$D$123:$D$129,$E$123:$E$129), _xlfn.XLOOKUP($E186,$D$112:$D$118,$E$112:$E$118),H56,$F86)</f>
        <v>2.8459049999999984</v>
      </c>
      <c r="I186" s="50" cm="1">
        <f t="array" aca="1" ref="I186" ca="1">MMS_Swine_ManureAppliedToSoils_Equations.VEERG_4_5_1_9__2_MassOfNitrogenAppliedToSoilsScope3(I26,_xlfn.XLOOKUP($E186,$D$123:$D$129,$E$123:$E$129), _xlfn.XLOOKUP($E186,$D$112:$D$118,$E$112:$E$118),I56,$F86)</f>
        <v>1.9302659999999991</v>
      </c>
      <c r="J186" s="2"/>
      <c r="N186" s="55" t="str">
        <f>INDEX(X_Table_Swine_Stage1MMS_Drylot,2,1)</f>
        <v>Drylot (feed pad)</v>
      </c>
      <c r="O186" s="55" t="str">
        <f>INDEX(X_Table_Swine_Stage2MMS_From_Drylot,2,1)</f>
        <v>Anaerobic lagoon</v>
      </c>
      <c r="P186" s="50" cm="1">
        <f t="array" aca="1" ref="P186" ca="1">MMS_Swine_ManureAppliedToSoils_Equations.VEERG_4_5_1_9__2_MassOfNitrogenAppliedToSoilsScope3(P26,_xlfn.XLOOKUP($O186,$D$123:$D$129,$E$123:$E$129), _xlfn.XLOOKUP($O186,$D$112:$D$118,$E$112:$E$118),P56,$F86)</f>
        <v>2.0752439999999988</v>
      </c>
      <c r="Q186" s="50" cm="1">
        <f t="array" aca="1" ref="Q186" ca="1">MMS_Swine_ManureAppliedToSoils_Equations.VEERG_4_5_1_9__2_MassOfNitrogenAppliedToSoilsScope3(Q26,_xlfn.XLOOKUP($O186,$D$123:$D$129,$E$123:$E$129), _xlfn.XLOOKUP($O186,$D$112:$D$118,$E$112:$E$118),Q56,$F86)</f>
        <v>3.0315075</v>
      </c>
      <c r="R186" s="50" cm="1">
        <f t="array" aca="1" ref="R186" ca="1">MMS_Swine_ManureAppliedToSoils_Equations.VEERG_4_5_1_9__2_MassOfNitrogenAppliedToSoilsScope3(R26,_xlfn.XLOOKUP($O186,$D$123:$D$129,$E$123:$E$129), _xlfn.XLOOKUP($O186,$D$112:$D$118,$E$112:$E$118),R56,$F86)</f>
        <v>2.8459049999999984</v>
      </c>
      <c r="S186" s="50" cm="1">
        <f t="array" aca="1" ref="S186" ca="1">MMS_Swine_ManureAppliedToSoils_Equations.VEERG_4_5_1_9__2_MassOfNitrogenAppliedToSoilsScope3(S26,_xlfn.XLOOKUP($O186,$D$123:$D$129,$E$123:$E$129), _xlfn.XLOOKUP($O186,$D$112:$D$118,$E$112:$E$118),S56,$F86)</f>
        <v>1.9302659999999991</v>
      </c>
      <c r="T186" s="2"/>
    </row>
    <row r="187" spans="4:20" ht="20" customHeight="1" x14ac:dyDescent="0.25">
      <c r="D187" s="55"/>
      <c r="E187" s="55" t="str">
        <f>INDEX(X_Table_Swine_Stage2MMS_From_Drylot,3,1)</f>
        <v>Digester / covered lagoons</v>
      </c>
      <c r="F187" s="50" cm="1">
        <f t="array" aca="1" ref="F187" ca="1">MMS_Swine_ManureAppliedToSoils_Equations.VEERG_4_5_1_9__2_MassOfNitrogenAppliedToSoilsScope3(F27,_xlfn.XLOOKUP($E187,$D$123:$D$129,$E$123:$E$129), _xlfn.XLOOKUP($E187,$D$112:$D$118,$E$112:$E$118),F57,$F87)</f>
        <v>5.8429199999999986</v>
      </c>
      <c r="G187" s="50" cm="1">
        <f t="array" aca="1" ref="G187" ca="1">MMS_Swine_ManureAppliedToSoils_Equations.VEERG_4_5_1_9__2_MassOfNitrogenAppliedToSoilsScope3(G27,_xlfn.XLOOKUP($E187,$D$123:$D$129,$E$123:$E$129), _xlfn.XLOOKUP($E187,$D$112:$D$118,$E$112:$E$118),G57,$F87)</f>
        <v>8.0482500000000012</v>
      </c>
      <c r="H187" s="50" cm="1">
        <f t="array" aca="1" ref="H187" ca="1">MMS_Swine_ManureAppliedToSoils_Equations.VEERG_4_5_1_9__2_MassOfNitrogenAppliedToSoilsScope3(H27,_xlfn.XLOOKUP($E187,$D$123:$D$129,$E$123:$E$129), _xlfn.XLOOKUP($E187,$D$112:$D$118,$E$112:$E$118),H57,$F87)</f>
        <v>7.5554999999999977</v>
      </c>
      <c r="I187" s="50" cm="1">
        <f t="array" aca="1" ref="I187" ca="1">MMS_Swine_ManureAppliedToSoils_Equations.VEERG_4_5_1_9__2_MassOfNitrogenAppliedToSoilsScope3(I27,_xlfn.XLOOKUP($E187,$D$123:$D$129,$E$123:$E$129), _xlfn.XLOOKUP($E187,$D$112:$D$118,$E$112:$E$118),I57,$F87)</f>
        <v>5.1245999999999983</v>
      </c>
      <c r="J187" s="2"/>
      <c r="N187" s="55"/>
      <c r="O187" s="55" t="str">
        <f>INDEX(X_Table_Swine_Stage2MMS_From_Drylot,3,1)</f>
        <v>Digester / covered lagoons</v>
      </c>
      <c r="P187" s="50" cm="1">
        <f t="array" aca="1" ref="P187" ca="1">MMS_Swine_ManureAppliedToSoils_Equations.VEERG_4_5_1_9__2_MassOfNitrogenAppliedToSoilsScope3(P27,_xlfn.XLOOKUP($O187,$D$123:$D$129,$E$123:$E$129), _xlfn.XLOOKUP($O187,$D$112:$D$118,$E$112:$E$118),P57,$F87)</f>
        <v>5.8429199999999986</v>
      </c>
      <c r="Q187" s="50" cm="1">
        <f t="array" aca="1" ref="Q187" ca="1">MMS_Swine_ManureAppliedToSoils_Equations.VEERG_4_5_1_9__2_MassOfNitrogenAppliedToSoilsScope3(Q27,_xlfn.XLOOKUP($O187,$D$123:$D$129,$E$123:$E$129), _xlfn.XLOOKUP($O187,$D$112:$D$118,$E$112:$E$118),Q57,$F87)</f>
        <v>8.0482500000000012</v>
      </c>
      <c r="R187" s="50" cm="1">
        <f t="array" aca="1" ref="R187" ca="1">MMS_Swine_ManureAppliedToSoils_Equations.VEERG_4_5_1_9__2_MassOfNitrogenAppliedToSoilsScope3(R27,_xlfn.XLOOKUP($O187,$D$123:$D$129,$E$123:$E$129), _xlfn.XLOOKUP($O187,$D$112:$D$118,$E$112:$E$118),R57,$F87)</f>
        <v>7.5554999999999977</v>
      </c>
      <c r="S187" s="50" cm="1">
        <f t="array" aca="1" ref="S187" ca="1">MMS_Swine_ManureAppliedToSoils_Equations.VEERG_4_5_1_9__2_MassOfNitrogenAppliedToSoilsScope3(S27,_xlfn.XLOOKUP($O187,$D$123:$D$129,$E$123:$E$129), _xlfn.XLOOKUP($O187,$D$112:$D$118,$E$112:$E$118),S57,$F87)</f>
        <v>5.1245999999999983</v>
      </c>
      <c r="T187" s="2"/>
    </row>
    <row r="188" spans="4:20" ht="20" customHeight="1" x14ac:dyDescent="0.25">
      <c r="D188" s="55"/>
      <c r="E188" s="55" t="str">
        <f>INDEX(X_Table_Swine_Stage2MMS_From_Drylot,4,1)</f>
        <v>Deep litter</v>
      </c>
      <c r="F188" s="50" cm="1">
        <f t="array" aca="1" ref="F188" ca="1">MMS_Swine_ManureAppliedToSoils_Equations.VEERG_4_5_1_9__2_MassOfNitrogenAppliedToSoilsScope3(F28,_xlfn.XLOOKUP($E188,$D$123:$D$129,$E$123:$E$129), _xlfn.XLOOKUP($E188,$D$112:$D$118,$E$112:$E$118),F58,$F88)</f>
        <v>4.9181267999999987</v>
      </c>
      <c r="G188" s="50" cm="1">
        <f t="array" aca="1" ref="G188" ca="1">MMS_Swine_ManureAppliedToSoils_Equations.VEERG_4_5_1_9__2_MassOfNitrogenAppliedToSoilsScope3(G28,_xlfn.XLOOKUP($E188,$D$123:$D$129,$E$123:$E$129), _xlfn.XLOOKUP($E188,$D$112:$D$118,$E$112:$E$118),G58,$F88)</f>
        <v>6.816867750000001</v>
      </c>
      <c r="H188" s="50" cm="1">
        <f t="array" aca="1" ref="H188" ca="1">MMS_Swine_ManureAppliedToSoils_Equations.VEERG_4_5_1_9__2_MassOfNitrogenAppliedToSoilsScope3(H28,_xlfn.XLOOKUP($E188,$D$123:$D$129,$E$123:$E$129), _xlfn.XLOOKUP($E188,$D$112:$D$118,$E$112:$E$118),H58,$F88)</f>
        <v>6.3995084999999978</v>
      </c>
      <c r="I188" s="50" cm="1">
        <f t="array" aca="1" ref="I188" ca="1">MMS_Swine_ManureAppliedToSoils_Equations.VEERG_4_5_1_9__2_MassOfNitrogenAppliedToSoilsScope3(I28,_xlfn.XLOOKUP($E188,$D$123:$D$129,$E$123:$E$129), _xlfn.XLOOKUP($E188,$D$112:$D$118,$E$112:$E$118),I58,$F88)</f>
        <v>4.3405361999999981</v>
      </c>
      <c r="J188" s="2"/>
      <c r="N188" s="55"/>
      <c r="O188" s="55" t="str">
        <f>INDEX(X_Table_Swine_Stage2MMS_From_Drylot,4,1)</f>
        <v>Deep litter</v>
      </c>
      <c r="P188" s="50" cm="1">
        <f t="array" aca="1" ref="P188" ca="1">MMS_Swine_ManureAppliedToSoils_Equations.VEERG_4_5_1_9__2_MassOfNitrogenAppliedToSoilsScope3(P28,_xlfn.XLOOKUP($O188,$D$123:$D$129,$E$123:$E$129), _xlfn.XLOOKUP($O188,$D$112:$D$118,$E$112:$E$118),P58,$F88)</f>
        <v>4.9181267999999987</v>
      </c>
      <c r="Q188" s="50" cm="1">
        <f t="array" aca="1" ref="Q188" ca="1">MMS_Swine_ManureAppliedToSoils_Equations.VEERG_4_5_1_9__2_MassOfNitrogenAppliedToSoilsScope3(Q28,_xlfn.XLOOKUP($O188,$D$123:$D$129,$E$123:$E$129), _xlfn.XLOOKUP($O188,$D$112:$D$118,$E$112:$E$118),Q58,$F88)</f>
        <v>6.816867750000001</v>
      </c>
      <c r="R188" s="50" cm="1">
        <f t="array" aca="1" ref="R188" ca="1">MMS_Swine_ManureAppliedToSoils_Equations.VEERG_4_5_1_9__2_MassOfNitrogenAppliedToSoilsScope3(R28,_xlfn.XLOOKUP($O188,$D$123:$D$129,$E$123:$E$129), _xlfn.XLOOKUP($O188,$D$112:$D$118,$E$112:$E$118),R58,$F88)</f>
        <v>6.3995084999999978</v>
      </c>
      <c r="S188" s="50" cm="1">
        <f t="array" aca="1" ref="S188" ca="1">MMS_Swine_ManureAppliedToSoils_Equations.VEERG_4_5_1_9__2_MassOfNitrogenAppliedToSoilsScope3(S28,_xlfn.XLOOKUP($O188,$D$123:$D$129,$E$123:$E$129), _xlfn.XLOOKUP($O188,$D$112:$D$118,$E$112:$E$118),S58,$F88)</f>
        <v>4.3405361999999981</v>
      </c>
      <c r="T188" s="2"/>
    </row>
    <row r="189" spans="4:20" ht="20" customHeight="1" x14ac:dyDescent="0.25">
      <c r="D189" s="55"/>
      <c r="E189" s="55" t="str">
        <f>INDEX(X_Table_Swine_Stage2MMS_From_Drylot,5,1)</f>
        <v>Pit storage</v>
      </c>
      <c r="F189" s="50" cm="1">
        <f t="array" aca="1" ref="F189" ca="1">MMS_Swine_ManureAppliedToSoils_Equations.VEERG_4_5_1_9__2_MassOfNitrogenAppliedToSoilsScope3(F29,_xlfn.XLOOKUP($E189,$D$123:$D$129,$E$123:$E$129), _xlfn.XLOOKUP($E189,$D$112:$D$118,$E$112:$E$118),F59,$F89)</f>
        <v>4.1166393599999989</v>
      </c>
      <c r="G189" s="50" cm="1">
        <f t="array" aca="1" ref="G189" ca="1">MMS_Swine_ManureAppliedToSoils_Equations.VEERG_4_5_1_9__2_MassOfNitrogenAppliedToSoilsScope3(G29,_xlfn.XLOOKUP($E189,$D$123:$D$129,$E$123:$E$129), _xlfn.XLOOKUP($E189,$D$112:$D$118,$E$112:$E$118),G59,$F89)</f>
        <v>5.7496698000000013</v>
      </c>
      <c r="H189" s="50" cm="1">
        <f t="array" aca="1" ref="H189" ca="1">MMS_Swine_ManureAppliedToSoils_Equations.VEERG_4_5_1_9__2_MassOfNitrogenAppliedToSoilsScope3(H29,_xlfn.XLOOKUP($E189,$D$123:$D$129,$E$123:$E$129), _xlfn.XLOOKUP($E189,$D$112:$D$118,$E$112:$E$118),H59,$F89)</f>
        <v>5.3976491999999983</v>
      </c>
      <c r="I189" s="50" cm="1">
        <f t="array" aca="1" ref="I189" ca="1">MMS_Swine_ManureAppliedToSoils_Equations.VEERG_4_5_1_9__2_MassOfNitrogenAppliedToSoilsScope3(I29,_xlfn.XLOOKUP($E189,$D$123:$D$129,$E$123:$E$129), _xlfn.XLOOKUP($E189,$D$112:$D$118,$E$112:$E$118),I59,$F89)</f>
        <v>3.6610142399999983</v>
      </c>
      <c r="J189" s="2"/>
      <c r="N189" s="55"/>
      <c r="O189" s="55" t="str">
        <f>INDEX(X_Table_Swine_Stage2MMS_From_Drylot,5,1)</f>
        <v>Pit storage</v>
      </c>
      <c r="P189" s="50" cm="1">
        <f t="array" aca="1" ref="P189" ca="1">MMS_Swine_ManureAppliedToSoils_Equations.VEERG_4_5_1_9__2_MassOfNitrogenAppliedToSoilsScope3(P29,_xlfn.XLOOKUP($O189,$D$123:$D$129,$E$123:$E$129), _xlfn.XLOOKUP($O189,$D$112:$D$118,$E$112:$E$118),P59,$F89)</f>
        <v>4.1166393599999989</v>
      </c>
      <c r="Q189" s="50" cm="1">
        <f t="array" aca="1" ref="Q189" ca="1">MMS_Swine_ManureAppliedToSoils_Equations.VEERG_4_5_1_9__2_MassOfNitrogenAppliedToSoilsScope3(Q29,_xlfn.XLOOKUP($O189,$D$123:$D$129,$E$123:$E$129), _xlfn.XLOOKUP($O189,$D$112:$D$118,$E$112:$E$118),Q59,$F89)</f>
        <v>5.7496698000000013</v>
      </c>
      <c r="R189" s="50" cm="1">
        <f t="array" aca="1" ref="R189" ca="1">MMS_Swine_ManureAppliedToSoils_Equations.VEERG_4_5_1_9__2_MassOfNitrogenAppliedToSoilsScope3(R29,_xlfn.XLOOKUP($O189,$D$123:$D$129,$E$123:$E$129), _xlfn.XLOOKUP($O189,$D$112:$D$118,$E$112:$E$118),R59,$F89)</f>
        <v>5.3976491999999983</v>
      </c>
      <c r="S189" s="50" cm="1">
        <f t="array" aca="1" ref="S189" ca="1">MMS_Swine_ManureAppliedToSoils_Equations.VEERG_4_5_1_9__2_MassOfNitrogenAppliedToSoilsScope3(S29,_xlfn.XLOOKUP($O189,$D$123:$D$129,$E$123:$E$129), _xlfn.XLOOKUP($O189,$D$112:$D$118,$E$112:$E$118),S59,$F89)</f>
        <v>3.6610142399999983</v>
      </c>
      <c r="T189" s="2"/>
    </row>
    <row r="190" spans="4:20" ht="20" customHeight="1" x14ac:dyDescent="0.25">
      <c r="D190" s="55"/>
      <c r="E190" s="55" t="str">
        <f>INDEX(X_Table_Swine_Stage2MMS_From_Drylot,6,1)</f>
        <v>Direct application</v>
      </c>
      <c r="F190" s="50" cm="1">
        <f t="array" aca="1" ref="F190" ca="1">MMS_Swine_ManureAppliedToSoils_Equations.VEERG_4_5_1_9__2_MassOfNitrogenAppliedToSoilsScope3(F30,_xlfn.XLOOKUP($E190,$D$123:$D$129,$E$123:$E$129), _xlfn.XLOOKUP($E190,$D$112:$D$118,$E$112:$E$118),F60,$F90)</f>
        <v>0</v>
      </c>
      <c r="G190" s="50" cm="1">
        <f t="array" aca="1" ref="G190" ca="1">MMS_Swine_ManureAppliedToSoils_Equations.VEERG_4_5_1_9__2_MassOfNitrogenAppliedToSoilsScope3(G30,_xlfn.XLOOKUP($E190,$D$123:$D$129,$E$123:$E$129), _xlfn.XLOOKUP($E190,$D$112:$D$118,$E$112:$E$118),G60,$F90)</f>
        <v>0</v>
      </c>
      <c r="H190" s="50" cm="1">
        <f t="array" aca="1" ref="H190" ca="1">MMS_Swine_ManureAppliedToSoils_Equations.VEERG_4_5_1_9__2_MassOfNitrogenAppliedToSoilsScope3(H30,_xlfn.XLOOKUP($E190,$D$123:$D$129,$E$123:$E$129), _xlfn.XLOOKUP($E190,$D$112:$D$118,$E$112:$E$118),H60,$F90)</f>
        <v>0</v>
      </c>
      <c r="I190" s="50" cm="1">
        <f t="array" aca="1" ref="I190" ca="1">MMS_Swine_ManureAppliedToSoils_Equations.VEERG_4_5_1_9__2_MassOfNitrogenAppliedToSoilsScope3(I30,_xlfn.XLOOKUP($E190,$D$123:$D$129,$E$123:$E$129), _xlfn.XLOOKUP($E190,$D$112:$D$118,$E$112:$E$118),I60,$F90)</f>
        <v>0</v>
      </c>
      <c r="J190" s="2"/>
      <c r="N190" s="55"/>
      <c r="O190" s="55" t="str">
        <f>INDEX(X_Table_Swine_Stage2MMS_From_Drylot,6,1)</f>
        <v>Direct application</v>
      </c>
      <c r="P190" s="50" cm="1">
        <f t="array" aca="1" ref="P190" ca="1">MMS_Swine_ManureAppliedToSoils_Equations.VEERG_4_5_1_9__2_MassOfNitrogenAppliedToSoilsScope3(P30,_xlfn.XLOOKUP($O190,$D$123:$D$129,$E$123:$E$129), _xlfn.XLOOKUP($O190,$D$112:$D$118,$E$112:$E$118),P60,$F90)</f>
        <v>0</v>
      </c>
      <c r="Q190" s="50" cm="1">
        <f t="array" aca="1" ref="Q190" ca="1">MMS_Swine_ManureAppliedToSoils_Equations.VEERG_4_5_1_9__2_MassOfNitrogenAppliedToSoilsScope3(Q30,_xlfn.XLOOKUP($O190,$D$123:$D$129,$E$123:$E$129), _xlfn.XLOOKUP($O190,$D$112:$D$118,$E$112:$E$118),Q60,$F90)</f>
        <v>0</v>
      </c>
      <c r="R190" s="50" cm="1">
        <f t="array" aca="1" ref="R190" ca="1">MMS_Swine_ManureAppliedToSoils_Equations.VEERG_4_5_1_9__2_MassOfNitrogenAppliedToSoilsScope3(R30,_xlfn.XLOOKUP($O190,$D$123:$D$129,$E$123:$E$129), _xlfn.XLOOKUP($O190,$D$112:$D$118,$E$112:$E$118),R60,$F90)</f>
        <v>0</v>
      </c>
      <c r="S190" s="50" cm="1">
        <f t="array" aca="1" ref="S190" ca="1">MMS_Swine_ManureAppliedToSoils_Equations.VEERG_4_5_1_9__2_MassOfNitrogenAppliedToSoilsScope3(S30,_xlfn.XLOOKUP($O190,$D$123:$D$129,$E$123:$E$129), _xlfn.XLOOKUP($O190,$D$112:$D$118,$E$112:$E$118),S60,$F90)</f>
        <v>0</v>
      </c>
      <c r="T190" s="2"/>
    </row>
    <row r="191" spans="4:20" ht="20" customHeight="1" x14ac:dyDescent="0.25">
      <c r="D191" s="55" t="str">
        <f>INDEX(X_Table_Swine_Stage1MMS_DigesterCoveredLagoons,2,1)</f>
        <v>Digester / covered lagoons</v>
      </c>
      <c r="E191" s="55" t="str">
        <f>INDEX(X_Table_Swine_Stage2MMS_From_DigesterCoveredLagoons,2,1)</f>
        <v>Anaerobic lagoon</v>
      </c>
      <c r="F191" s="50" cm="1">
        <f t="array" aca="1" ref="F191" ca="1">MMS_Swine_ManureAppliedToSoils_Equations.VEERG_4_5_1_9__2_MassOfNitrogenAppliedToSoilsScope3(F31,_xlfn.XLOOKUP($E191,$D$123:$D$129,$E$123:$E$129), _xlfn.XLOOKUP($E191,$D$112:$D$118,$E$112:$E$118),F61,$F91)</f>
        <v>4.5332999999999988</v>
      </c>
      <c r="G191" s="50" cm="1">
        <f t="array" aca="1" ref="G191" ca="1">MMS_Swine_ManureAppliedToSoils_Equations.VEERG_4_5_1_9__2_MassOfNitrogenAppliedToSoilsScope3(G31,_xlfn.XLOOKUP($E191,$D$123:$D$129,$E$123:$E$129), _xlfn.XLOOKUP($E191,$D$112:$D$118,$E$112:$E$118),G61,$F91)</f>
        <v>6.0361875000000005</v>
      </c>
      <c r="H191" s="50" cm="1">
        <f t="array" aca="1" ref="H191" ca="1">MMS_Swine_ManureAppliedToSoils_Equations.VEERG_4_5_1_9__2_MassOfNitrogenAppliedToSoilsScope3(H31,_xlfn.XLOOKUP($E191,$D$123:$D$129,$E$123:$E$129), _xlfn.XLOOKUP($E191,$D$112:$D$118,$E$112:$E$118),H61,$F91)</f>
        <v>5.666624999999998</v>
      </c>
      <c r="I191" s="50" cm="1">
        <f t="array" aca="1" ref="I191" ca="1">MMS_Swine_ManureAppliedToSoils_Equations.VEERG_4_5_1_9__2_MassOfNitrogenAppliedToSoilsScope3(I31,_xlfn.XLOOKUP($E191,$D$123:$D$129,$E$123:$E$129), _xlfn.XLOOKUP($E191,$D$112:$D$118,$E$112:$E$118),I61,$F91)</f>
        <v>3.8434499999999989</v>
      </c>
      <c r="J191" s="2"/>
      <c r="N191" s="55" t="str">
        <f>INDEX(X_Table_Swine_Stage1MMS_DigesterCoveredLagoons,2,1)</f>
        <v>Digester / covered lagoons</v>
      </c>
      <c r="O191" s="55" t="str">
        <f>INDEX(X_Table_Swine_Stage2MMS_From_DigesterCoveredLagoons,2,1)</f>
        <v>Anaerobic lagoon</v>
      </c>
      <c r="P191" s="50" cm="1">
        <f t="array" aca="1" ref="P191" ca="1">MMS_Swine_ManureAppliedToSoils_Equations.VEERG_4_5_1_9__2_MassOfNitrogenAppliedToSoilsScope3(P31,_xlfn.XLOOKUP($O191,$D$123:$D$129,$E$123:$E$129), _xlfn.XLOOKUP($O191,$D$112:$D$118,$E$112:$E$118),P61,$F91)</f>
        <v>4.5332999999999988</v>
      </c>
      <c r="Q191" s="50" cm="1">
        <f t="array" aca="1" ref="Q191" ca="1">MMS_Swine_ManureAppliedToSoils_Equations.VEERG_4_5_1_9__2_MassOfNitrogenAppliedToSoilsScope3(Q31,_xlfn.XLOOKUP($O191,$D$123:$D$129,$E$123:$E$129), _xlfn.XLOOKUP($O191,$D$112:$D$118,$E$112:$E$118),Q61,$F91)</f>
        <v>6.0361875000000005</v>
      </c>
      <c r="R191" s="50" cm="1">
        <f t="array" aca="1" ref="R191" ca="1">MMS_Swine_ManureAppliedToSoils_Equations.VEERG_4_5_1_9__2_MassOfNitrogenAppliedToSoilsScope3(R31,_xlfn.XLOOKUP($O191,$D$123:$D$129,$E$123:$E$129), _xlfn.XLOOKUP($O191,$D$112:$D$118,$E$112:$E$118),R61,$F91)</f>
        <v>5.666624999999998</v>
      </c>
      <c r="S191" s="50" cm="1">
        <f t="array" aca="1" ref="S191" ca="1">MMS_Swine_ManureAppliedToSoils_Equations.VEERG_4_5_1_9__2_MassOfNitrogenAppliedToSoilsScope3(S31,_xlfn.XLOOKUP($O191,$D$123:$D$129,$E$123:$E$129), _xlfn.XLOOKUP($O191,$D$112:$D$118,$E$112:$E$118),S61,$F91)</f>
        <v>3.8434499999999989</v>
      </c>
      <c r="T191" s="2"/>
    </row>
    <row r="192" spans="4:20" ht="20" customHeight="1" x14ac:dyDescent="0.25">
      <c r="D192" s="55"/>
      <c r="E192" s="55" t="str">
        <f>INDEX(X_Table_Swine_Stage2MMS_From_DigesterCoveredLagoons,3,1)</f>
        <v>Deep litter</v>
      </c>
      <c r="F192" s="50" cm="1">
        <f t="array" aca="1" ref="F192" ca="1">MMS_Swine_ManureAppliedToSoils_Equations.VEERG_4_5_1_9__2_MassOfNitrogenAppliedToSoilsScope3(F32,_xlfn.XLOOKUP($E192,$D$123:$D$129,$E$123:$E$129), _xlfn.XLOOKUP($E192,$D$112:$D$118,$E$112:$E$118),F62,$F92)</f>
        <v>8.7140099999999983</v>
      </c>
      <c r="G192" s="50" cm="1">
        <f t="array" aca="1" ref="G192" ca="1">MMS_Swine_ManureAppliedToSoils_Equations.VEERG_4_5_1_9__2_MassOfNitrogenAppliedToSoilsScope3(G32,_xlfn.XLOOKUP($E192,$D$123:$D$129,$E$123:$E$129), _xlfn.XLOOKUP($E192,$D$112:$D$118,$E$112:$E$118),G62,$F92)</f>
        <v>11.602893750000002</v>
      </c>
      <c r="H192" s="50" cm="1">
        <f t="array" aca="1" ref="H192" ca="1">MMS_Swine_ManureAppliedToSoils_Equations.VEERG_4_5_1_9__2_MassOfNitrogenAppliedToSoilsScope3(H32,_xlfn.XLOOKUP($E192,$D$123:$D$129,$E$123:$E$129), _xlfn.XLOOKUP($E192,$D$112:$D$118,$E$112:$E$118),H62,$F92)</f>
        <v>10.892512499999997</v>
      </c>
      <c r="I192" s="50" cm="1">
        <f t="array" aca="1" ref="I192" ca="1">MMS_Swine_ManureAppliedToSoils_Equations.VEERG_4_5_1_9__2_MassOfNitrogenAppliedToSoilsScope3(I32,_xlfn.XLOOKUP($E192,$D$123:$D$129,$E$123:$E$129), _xlfn.XLOOKUP($E192,$D$112:$D$118,$E$112:$E$118),I62,$F92)</f>
        <v>7.3879649999999986</v>
      </c>
      <c r="J192" s="2"/>
      <c r="N192" s="55"/>
      <c r="O192" s="55" t="str">
        <f>INDEX(X_Table_Swine_Stage2MMS_From_DigesterCoveredLagoons,3,1)</f>
        <v>Deep litter</v>
      </c>
      <c r="P192" s="50" cm="1">
        <f t="array" aca="1" ref="P192" ca="1">MMS_Swine_ManureAppliedToSoils_Equations.VEERG_4_5_1_9__2_MassOfNitrogenAppliedToSoilsScope3(P32,_xlfn.XLOOKUP($O192,$D$123:$D$129,$E$123:$E$129), _xlfn.XLOOKUP($O192,$D$112:$D$118,$E$112:$E$118),P62,$F92)</f>
        <v>8.7140099999999983</v>
      </c>
      <c r="Q192" s="50" cm="1">
        <f t="array" aca="1" ref="Q192" ca="1">MMS_Swine_ManureAppliedToSoils_Equations.VEERG_4_5_1_9__2_MassOfNitrogenAppliedToSoilsScope3(Q32,_xlfn.XLOOKUP($O192,$D$123:$D$129,$E$123:$E$129), _xlfn.XLOOKUP($O192,$D$112:$D$118,$E$112:$E$118),Q62,$F92)</f>
        <v>11.602893750000002</v>
      </c>
      <c r="R192" s="50" cm="1">
        <f t="array" aca="1" ref="R192" ca="1">MMS_Swine_ManureAppliedToSoils_Equations.VEERG_4_5_1_9__2_MassOfNitrogenAppliedToSoilsScope3(R32,_xlfn.XLOOKUP($O192,$D$123:$D$129,$E$123:$E$129), _xlfn.XLOOKUP($O192,$D$112:$D$118,$E$112:$E$118),R62,$F92)</f>
        <v>10.892512499999997</v>
      </c>
      <c r="S192" s="50" cm="1">
        <f t="array" aca="1" ref="S192" ca="1">MMS_Swine_ManureAppliedToSoils_Equations.VEERG_4_5_1_9__2_MassOfNitrogenAppliedToSoilsScope3(S32,_xlfn.XLOOKUP($O192,$D$123:$D$129,$E$123:$E$129), _xlfn.XLOOKUP($O192,$D$112:$D$118,$E$112:$E$118),S62,$F92)</f>
        <v>7.3879649999999986</v>
      </c>
      <c r="T192" s="2"/>
    </row>
    <row r="193" spans="4:20" ht="20" customHeight="1" x14ac:dyDescent="0.25">
      <c r="D193" s="55"/>
      <c r="E193" s="55" t="str">
        <f>INDEX(X_Table_Swine_Stage2MMS_From_DigesterCoveredLagoons,4,1)</f>
        <v>Pit storage</v>
      </c>
      <c r="F193" s="50" cm="1">
        <f t="array" aca="1" ref="F193" ca="1">MMS_Swine_ManureAppliedToSoils_Equations.VEERG_4_5_1_9__2_MassOfNitrogenAppliedToSoilsScope3(F33,_xlfn.XLOOKUP($E193,$D$123:$D$129,$E$123:$E$129), _xlfn.XLOOKUP($E193,$D$112:$D$118,$E$112:$E$118),F63,$F93)</f>
        <v>7.5353519999999987</v>
      </c>
      <c r="G193" s="50" cm="1">
        <f t="array" aca="1" ref="G193" ca="1">MMS_Swine_ManureAppliedToSoils_Equations.VEERG_4_5_1_9__2_MassOfNitrogenAppliedToSoilsScope3(G33,_xlfn.XLOOKUP($E193,$D$123:$D$129,$E$123:$E$129), _xlfn.XLOOKUP($E193,$D$112:$D$118,$E$112:$E$118),G63,$F93)</f>
        <v>10.033485000000001</v>
      </c>
      <c r="H193" s="50" cm="1">
        <f t="array" aca="1" ref="H193" ca="1">MMS_Swine_ManureAppliedToSoils_Equations.VEERG_4_5_1_9__2_MassOfNitrogenAppliedToSoilsScope3(H33,_xlfn.XLOOKUP($E193,$D$123:$D$129,$E$123:$E$129), _xlfn.XLOOKUP($E193,$D$112:$D$118,$E$112:$E$118),H63,$F93)</f>
        <v>9.4191899999999986</v>
      </c>
      <c r="I193" s="50" cm="1">
        <f t="array" aca="1" ref="I193" ca="1">MMS_Swine_ManureAppliedToSoils_Equations.VEERG_4_5_1_9__2_MassOfNitrogenAppliedToSoilsScope3(I33,_xlfn.XLOOKUP($E193,$D$123:$D$129,$E$123:$E$129), _xlfn.XLOOKUP($E193,$D$112:$D$118,$E$112:$E$118),I63,$F93)</f>
        <v>6.3886679999999991</v>
      </c>
      <c r="J193" s="2"/>
      <c r="N193" s="55"/>
      <c r="O193" s="55" t="str">
        <f>INDEX(X_Table_Swine_Stage2MMS_From_DigesterCoveredLagoons,4,1)</f>
        <v>Pit storage</v>
      </c>
      <c r="P193" s="50" cm="1">
        <f t="array" aca="1" ref="P193" ca="1">MMS_Swine_ManureAppliedToSoils_Equations.VEERG_4_5_1_9__2_MassOfNitrogenAppliedToSoilsScope3(P33,_xlfn.XLOOKUP($O193,$D$123:$D$129,$E$123:$E$129), _xlfn.XLOOKUP($O193,$D$112:$D$118,$E$112:$E$118),P63,$F93)</f>
        <v>7.5353519999999987</v>
      </c>
      <c r="Q193" s="50" cm="1">
        <f t="array" aca="1" ref="Q193" ca="1">MMS_Swine_ManureAppliedToSoils_Equations.VEERG_4_5_1_9__2_MassOfNitrogenAppliedToSoilsScope3(Q33,_xlfn.XLOOKUP($O193,$D$123:$D$129,$E$123:$E$129), _xlfn.XLOOKUP($O193,$D$112:$D$118,$E$112:$E$118),Q63,$F93)</f>
        <v>10.033485000000001</v>
      </c>
      <c r="R193" s="50" cm="1">
        <f t="array" aca="1" ref="R193" ca="1">MMS_Swine_ManureAppliedToSoils_Equations.VEERG_4_5_1_9__2_MassOfNitrogenAppliedToSoilsScope3(R33,_xlfn.XLOOKUP($O193,$D$123:$D$129,$E$123:$E$129), _xlfn.XLOOKUP($O193,$D$112:$D$118,$E$112:$E$118),R63,$F93)</f>
        <v>9.4191899999999986</v>
      </c>
      <c r="S193" s="50" cm="1">
        <f t="array" aca="1" ref="S193" ca="1">MMS_Swine_ManureAppliedToSoils_Equations.VEERG_4_5_1_9__2_MassOfNitrogenAppliedToSoilsScope3(S33,_xlfn.XLOOKUP($O193,$D$123:$D$129,$E$123:$E$129), _xlfn.XLOOKUP($O193,$D$112:$D$118,$E$112:$E$118),S63,$F93)</f>
        <v>6.3886679999999991</v>
      </c>
      <c r="T193" s="2"/>
    </row>
    <row r="194" spans="4:20" ht="20" customHeight="1" x14ac:dyDescent="0.25">
      <c r="D194" s="55"/>
      <c r="E194" s="55" t="str">
        <f>INDEX(X_Table_Swine_Stage2MMS_From_DigesterCoveredLagoons,5,1)</f>
        <v>Direct application</v>
      </c>
      <c r="F194" s="50" cm="1">
        <f t="array" aca="1" ref="F194" ca="1">MMS_Swine_ManureAppliedToSoils_Equations.VEERG_4_5_1_9__2_MassOfNitrogenAppliedToSoilsScope3(F34,_xlfn.XLOOKUP($E194,$D$123:$D$129,$E$123:$E$129), _xlfn.XLOOKUP($E194,$D$112:$D$118,$E$112:$E$118),F64,$F94)</f>
        <v>0</v>
      </c>
      <c r="G194" s="50" cm="1">
        <f t="array" aca="1" ref="G194" ca="1">MMS_Swine_ManureAppliedToSoils_Equations.VEERG_4_5_1_9__2_MassOfNitrogenAppliedToSoilsScope3(G34,_xlfn.XLOOKUP($E194,$D$123:$D$129,$E$123:$E$129), _xlfn.XLOOKUP($E194,$D$112:$D$118,$E$112:$E$118),G64,$F94)</f>
        <v>0</v>
      </c>
      <c r="H194" s="50" cm="1">
        <f t="array" aca="1" ref="H194" ca="1">MMS_Swine_ManureAppliedToSoils_Equations.VEERG_4_5_1_9__2_MassOfNitrogenAppliedToSoilsScope3(H34,_xlfn.XLOOKUP($E194,$D$123:$D$129,$E$123:$E$129), _xlfn.XLOOKUP($E194,$D$112:$D$118,$E$112:$E$118),H64,$F94)</f>
        <v>0</v>
      </c>
      <c r="I194" s="50" cm="1">
        <f t="array" aca="1" ref="I194" ca="1">MMS_Swine_ManureAppliedToSoils_Equations.VEERG_4_5_1_9__2_MassOfNitrogenAppliedToSoilsScope3(I34,_xlfn.XLOOKUP($E194,$D$123:$D$129,$E$123:$E$129), _xlfn.XLOOKUP($E194,$D$112:$D$118,$E$112:$E$118),I64,$F94)</f>
        <v>0</v>
      </c>
      <c r="J194" s="2"/>
      <c r="N194" s="55"/>
      <c r="O194" s="55" t="str">
        <f>INDEX(X_Table_Swine_Stage2MMS_From_DigesterCoveredLagoons,5,1)</f>
        <v>Direct application</v>
      </c>
      <c r="P194" s="50" cm="1">
        <f t="array" aca="1" ref="P194" ca="1">MMS_Swine_ManureAppliedToSoils_Equations.VEERG_4_5_1_9__2_MassOfNitrogenAppliedToSoilsScope3(P34,_xlfn.XLOOKUP($O194,$D$123:$D$129,$E$123:$E$129), _xlfn.XLOOKUP($O194,$D$112:$D$118,$E$112:$E$118),P64,$F94)</f>
        <v>0</v>
      </c>
      <c r="Q194" s="50" cm="1">
        <f t="array" aca="1" ref="Q194" ca="1">MMS_Swine_ManureAppliedToSoils_Equations.VEERG_4_5_1_9__2_MassOfNitrogenAppliedToSoilsScope3(Q34,_xlfn.XLOOKUP($O194,$D$123:$D$129,$E$123:$E$129), _xlfn.XLOOKUP($O194,$D$112:$D$118,$E$112:$E$118),Q64,$F94)</f>
        <v>0</v>
      </c>
      <c r="R194" s="50" cm="1">
        <f t="array" aca="1" ref="R194" ca="1">MMS_Swine_ManureAppliedToSoils_Equations.VEERG_4_5_1_9__2_MassOfNitrogenAppliedToSoilsScope3(R34,_xlfn.XLOOKUP($O194,$D$123:$D$129,$E$123:$E$129), _xlfn.XLOOKUP($O194,$D$112:$D$118,$E$112:$E$118),R64,$F94)</f>
        <v>0</v>
      </c>
      <c r="S194" s="50" cm="1">
        <f t="array" aca="1" ref="S194" ca="1">MMS_Swine_ManureAppliedToSoils_Equations.VEERG_4_5_1_9__2_MassOfNitrogenAppliedToSoilsScope3(S34,_xlfn.XLOOKUP($O194,$D$123:$D$129,$E$123:$E$129), _xlfn.XLOOKUP($O194,$D$112:$D$118,$E$112:$E$118),S64,$F94)</f>
        <v>0</v>
      </c>
      <c r="T194" s="2"/>
    </row>
    <row r="195" spans="4:20" ht="20" customHeight="1" x14ac:dyDescent="0.25">
      <c r="D195" s="55" t="str">
        <f>INDEX(X_Table_Swine_Stage1MMS_DeepLitter,2,1)</f>
        <v>Deep litter</v>
      </c>
      <c r="E195" s="55" t="str">
        <f>INDEX(X_Table_Swine_Stage2MMS_From_DeepLitter,2,1)</f>
        <v>Anaerobic lagoon</v>
      </c>
      <c r="F195" s="50" cm="1">
        <f t="array" aca="1" ref="F195" ca="1">MMS_Swine_ManureAppliedToSoils_Equations.VEERG_4_5_1_9__2_MassOfNitrogenAppliedToSoilsScope3(F35,_xlfn.XLOOKUP($E195,$D$123:$D$129,$E$123:$E$129), _xlfn.XLOOKUP($E195,$D$112:$D$118,$E$112:$E$118),F65,$F95)</f>
        <v>3.9213044999999989</v>
      </c>
      <c r="G195" s="50" cm="1">
        <f t="array" aca="1" ref="G195" ca="1">MMS_Swine_ManureAppliedToSoils_Equations.VEERG_4_5_1_9__2_MassOfNitrogenAppliedToSoilsScope3(G35,_xlfn.XLOOKUP($E195,$D$123:$D$129,$E$123:$E$129), _xlfn.XLOOKUP($E195,$D$112:$D$118,$E$112:$E$118),G65,$F95)</f>
        <v>5.2213021875000001</v>
      </c>
      <c r="H195" s="50" cm="1">
        <f t="array" aca="1" ref="H195" ca="1">MMS_Swine_ManureAppliedToSoils_Equations.VEERG_4_5_1_9__2_MassOfNitrogenAppliedToSoilsScope3(H35,_xlfn.XLOOKUP($E195,$D$123:$D$129,$E$123:$E$129), _xlfn.XLOOKUP($E195,$D$112:$D$118,$E$112:$E$118),H65,$F95)</f>
        <v>4.9016306249999984</v>
      </c>
      <c r="I195" s="50" cm="1">
        <f t="array" aca="1" ref="I195" ca="1">MMS_Swine_ManureAppliedToSoils_Equations.VEERG_4_5_1_9__2_MassOfNitrogenAppliedToSoilsScope3(I35,_xlfn.XLOOKUP($E195,$D$123:$D$129,$E$123:$E$129), _xlfn.XLOOKUP($E195,$D$112:$D$118,$E$112:$E$118),I65,$F95)</f>
        <v>3.3245842499999991</v>
      </c>
      <c r="J195" s="2"/>
      <c r="N195" s="55" t="str">
        <f>INDEX(X_Table_Swine_Stage1MMS_DeepLitter,2,1)</f>
        <v>Deep litter</v>
      </c>
      <c r="O195" s="55" t="str">
        <f>INDEX(X_Table_Swine_Stage2MMS_From_DeepLitter,2,1)</f>
        <v>Anaerobic lagoon</v>
      </c>
      <c r="P195" s="50" cm="1">
        <f t="array" aca="1" ref="P195" ca="1">MMS_Swine_ManureAppliedToSoils_Equations.VEERG_4_5_1_9__2_MassOfNitrogenAppliedToSoilsScope3(P35,_xlfn.XLOOKUP($O195,$D$123:$D$129,$E$123:$E$129), _xlfn.XLOOKUP($O195,$D$112:$D$118,$E$112:$E$118),P65,$F95)</f>
        <v>3.9213044999999989</v>
      </c>
      <c r="Q195" s="50" cm="1">
        <f t="array" aca="1" ref="Q195" ca="1">MMS_Swine_ManureAppliedToSoils_Equations.VEERG_4_5_1_9__2_MassOfNitrogenAppliedToSoilsScope3(Q35,_xlfn.XLOOKUP($O195,$D$123:$D$129,$E$123:$E$129), _xlfn.XLOOKUP($O195,$D$112:$D$118,$E$112:$E$118),Q65,$F95)</f>
        <v>5.2213021875000001</v>
      </c>
      <c r="R195" s="50" cm="1">
        <f t="array" aca="1" ref="R195" ca="1">MMS_Swine_ManureAppliedToSoils_Equations.VEERG_4_5_1_9__2_MassOfNitrogenAppliedToSoilsScope3(R35,_xlfn.XLOOKUP($O195,$D$123:$D$129,$E$123:$E$129), _xlfn.XLOOKUP($O195,$D$112:$D$118,$E$112:$E$118),R65,$F95)</f>
        <v>4.9016306249999984</v>
      </c>
      <c r="S195" s="50" cm="1">
        <f t="array" aca="1" ref="S195" ca="1">MMS_Swine_ManureAppliedToSoils_Equations.VEERG_4_5_1_9__2_MassOfNitrogenAppliedToSoilsScope3(S35,_xlfn.XLOOKUP($O195,$D$123:$D$129,$E$123:$E$129), _xlfn.XLOOKUP($O195,$D$112:$D$118,$E$112:$E$118),S65,$F95)</f>
        <v>3.3245842499999991</v>
      </c>
      <c r="T195" s="2"/>
    </row>
    <row r="196" spans="4:20" ht="20" customHeight="1" x14ac:dyDescent="0.25">
      <c r="D196" s="55"/>
      <c r="E196" s="55" t="str">
        <f>INDEX(X_Table_Swine_Stage2MMS_From_DeepLitter,3,1)</f>
        <v>Digester / covered lagoons</v>
      </c>
      <c r="F196" s="50" cm="1">
        <f t="array" aca="1" ref="F196" ca="1">MMS_Swine_ManureAppliedToSoils_Equations.VEERG_4_5_1_9__2_MassOfNitrogenAppliedToSoilsScope3(F36,_xlfn.XLOOKUP($E196,$D$123:$D$129,$E$123:$E$129), _xlfn.XLOOKUP($E196,$D$112:$D$118,$E$112:$E$118),F66,$F96)</f>
        <v>8.7140099999999983</v>
      </c>
      <c r="G196" s="50" cm="1">
        <f t="array" aca="1" ref="G196" ca="1">MMS_Swine_ManureAppliedToSoils_Equations.VEERG_4_5_1_9__2_MassOfNitrogenAppliedToSoilsScope3(G36,_xlfn.XLOOKUP($E196,$D$123:$D$129,$E$123:$E$129), _xlfn.XLOOKUP($E196,$D$112:$D$118,$E$112:$E$118),G66,$F96)</f>
        <v>11.602893750000002</v>
      </c>
      <c r="H196" s="50" cm="1">
        <f t="array" aca="1" ref="H196" ca="1">MMS_Swine_ManureAppliedToSoils_Equations.VEERG_4_5_1_9__2_MassOfNitrogenAppliedToSoilsScope3(H36,_xlfn.XLOOKUP($E196,$D$123:$D$129,$E$123:$E$129), _xlfn.XLOOKUP($E196,$D$112:$D$118,$E$112:$E$118),H66,$F96)</f>
        <v>10.892512499999997</v>
      </c>
      <c r="I196" s="50" cm="1">
        <f t="array" aca="1" ref="I196" ca="1">MMS_Swine_ManureAppliedToSoils_Equations.VEERG_4_5_1_9__2_MassOfNitrogenAppliedToSoilsScope3(I36,_xlfn.XLOOKUP($E196,$D$123:$D$129,$E$123:$E$129), _xlfn.XLOOKUP($E196,$D$112:$D$118,$E$112:$E$118),I66,$F96)</f>
        <v>7.3879649999999986</v>
      </c>
      <c r="J196" s="2"/>
      <c r="N196" s="55"/>
      <c r="O196" s="55" t="str">
        <f>INDEX(X_Table_Swine_Stage2MMS_From_DeepLitter,3,1)</f>
        <v>Digester / covered lagoons</v>
      </c>
      <c r="P196" s="50" cm="1">
        <f t="array" aca="1" ref="P196" ca="1">MMS_Swine_ManureAppliedToSoils_Equations.VEERG_4_5_1_9__2_MassOfNitrogenAppliedToSoilsScope3(P36,_xlfn.XLOOKUP($O196,$D$123:$D$129,$E$123:$E$129), _xlfn.XLOOKUP($O196,$D$112:$D$118,$E$112:$E$118),P66,$F96)</f>
        <v>8.7140099999999983</v>
      </c>
      <c r="Q196" s="50" cm="1">
        <f t="array" aca="1" ref="Q196" ca="1">MMS_Swine_ManureAppliedToSoils_Equations.VEERG_4_5_1_9__2_MassOfNitrogenAppliedToSoilsScope3(Q36,_xlfn.XLOOKUP($O196,$D$123:$D$129,$E$123:$E$129), _xlfn.XLOOKUP($O196,$D$112:$D$118,$E$112:$E$118),Q66,$F96)</f>
        <v>11.602893750000002</v>
      </c>
      <c r="R196" s="50" cm="1">
        <f t="array" aca="1" ref="R196" ca="1">MMS_Swine_ManureAppliedToSoils_Equations.VEERG_4_5_1_9__2_MassOfNitrogenAppliedToSoilsScope3(R36,_xlfn.XLOOKUP($O196,$D$123:$D$129,$E$123:$E$129), _xlfn.XLOOKUP($O196,$D$112:$D$118,$E$112:$E$118),R66,$F96)</f>
        <v>10.892512499999997</v>
      </c>
      <c r="S196" s="50" cm="1">
        <f t="array" aca="1" ref="S196" ca="1">MMS_Swine_ManureAppliedToSoils_Equations.VEERG_4_5_1_9__2_MassOfNitrogenAppliedToSoilsScope3(S36,_xlfn.XLOOKUP($O196,$D$123:$D$129,$E$123:$E$129), _xlfn.XLOOKUP($O196,$D$112:$D$118,$E$112:$E$118),S66,$F96)</f>
        <v>7.3879649999999986</v>
      </c>
      <c r="T196" s="2"/>
    </row>
    <row r="197" spans="4:20" ht="20" customHeight="1" x14ac:dyDescent="0.25">
      <c r="D197" s="55"/>
      <c r="E197" s="55" t="str">
        <f>INDEX(X_Table_Swine_Stage2MMS_From_DeepLitter,4,1)</f>
        <v>Pit storage</v>
      </c>
      <c r="F197" s="50" cm="1">
        <f t="array" aca="1" ref="F197" ca="1">MMS_Swine_ManureAppliedToSoils_Equations.VEERG_4_5_1_9__2_MassOfNitrogenAppliedToSoilsScope3(F37,_xlfn.XLOOKUP($E197,$D$123:$D$129,$E$123:$E$129), _xlfn.XLOOKUP($E197,$D$112:$D$118,$E$112:$E$118),F67,$F97)</f>
        <v>6.518079479999999</v>
      </c>
      <c r="G197" s="50" cm="1">
        <f t="array" aca="1" ref="G197" ca="1">MMS_Swine_ManureAppliedToSoils_Equations.VEERG_4_5_1_9__2_MassOfNitrogenAppliedToSoilsScope3(G37,_xlfn.XLOOKUP($E197,$D$123:$D$129,$E$123:$E$129), _xlfn.XLOOKUP($E197,$D$112:$D$118,$E$112:$E$118),G67,$F97)</f>
        <v>8.6789645250000014</v>
      </c>
      <c r="H197" s="50" cm="1">
        <f t="array" aca="1" ref="H197" ca="1">MMS_Swine_ManureAppliedToSoils_Equations.VEERG_4_5_1_9__2_MassOfNitrogenAppliedToSoilsScope3(H37,_xlfn.XLOOKUP($E197,$D$123:$D$129,$E$123:$E$129), _xlfn.XLOOKUP($E197,$D$112:$D$118,$E$112:$E$118),H67,$F97)</f>
        <v>8.1475993499999984</v>
      </c>
      <c r="I197" s="50" cm="1">
        <f t="array" aca="1" ref="I197" ca="1">MMS_Swine_ManureAppliedToSoils_Equations.VEERG_4_5_1_9__2_MassOfNitrogenAppliedToSoilsScope3(I37,_xlfn.XLOOKUP($E197,$D$123:$D$129,$E$123:$E$129), _xlfn.XLOOKUP($E197,$D$112:$D$118,$E$112:$E$118),I67,$F97)</f>
        <v>5.5261978199999993</v>
      </c>
      <c r="J197" s="2"/>
      <c r="N197" s="55"/>
      <c r="O197" s="55" t="str">
        <f>INDEX(X_Table_Swine_Stage2MMS_From_DeepLitter,4,1)</f>
        <v>Pit storage</v>
      </c>
      <c r="P197" s="50" cm="1">
        <f t="array" aca="1" ref="P197" ca="1">MMS_Swine_ManureAppliedToSoils_Equations.VEERG_4_5_1_9__2_MassOfNitrogenAppliedToSoilsScope3(P37,_xlfn.XLOOKUP($O197,$D$123:$D$129,$E$123:$E$129), _xlfn.XLOOKUP($O197,$D$112:$D$118,$E$112:$E$118),P67,$F97)</f>
        <v>6.518079479999999</v>
      </c>
      <c r="Q197" s="50" cm="1">
        <f t="array" aca="1" ref="Q197" ca="1">MMS_Swine_ManureAppliedToSoils_Equations.VEERG_4_5_1_9__2_MassOfNitrogenAppliedToSoilsScope3(Q37,_xlfn.XLOOKUP($O197,$D$123:$D$129,$E$123:$E$129), _xlfn.XLOOKUP($O197,$D$112:$D$118,$E$112:$E$118),Q67,$F97)</f>
        <v>8.6789645250000014</v>
      </c>
      <c r="R197" s="50" cm="1">
        <f t="array" aca="1" ref="R197" ca="1">MMS_Swine_ManureAppliedToSoils_Equations.VEERG_4_5_1_9__2_MassOfNitrogenAppliedToSoilsScope3(R37,_xlfn.XLOOKUP($O197,$D$123:$D$129,$E$123:$E$129), _xlfn.XLOOKUP($O197,$D$112:$D$118,$E$112:$E$118),R67,$F97)</f>
        <v>8.1475993499999984</v>
      </c>
      <c r="S197" s="50" cm="1">
        <f t="array" aca="1" ref="S197" ca="1">MMS_Swine_ManureAppliedToSoils_Equations.VEERG_4_5_1_9__2_MassOfNitrogenAppliedToSoilsScope3(S37,_xlfn.XLOOKUP($O197,$D$123:$D$129,$E$123:$E$129), _xlfn.XLOOKUP($O197,$D$112:$D$118,$E$112:$E$118),S67,$F97)</f>
        <v>5.5261978199999993</v>
      </c>
      <c r="T197" s="2"/>
    </row>
    <row r="198" spans="4:20" ht="20" customHeight="1" x14ac:dyDescent="0.25">
      <c r="D198" s="55"/>
      <c r="E198" s="55" t="str">
        <f>INDEX(X_Table_Swine_Stage2MMS_From_DeepLitter,5,1)</f>
        <v>Direct application</v>
      </c>
      <c r="F198" s="50" cm="1">
        <f t="array" aca="1" ref="F198" ca="1">MMS_Swine_ManureAppliedToSoils_Equations.VEERG_4_5_1_9__2_MassOfNitrogenAppliedToSoilsScope3(F38,_xlfn.XLOOKUP($E198,$D$123:$D$129,$E$123:$E$129), _xlfn.XLOOKUP($E198,$D$112:$D$118,$E$112:$E$118),F68,$F98)</f>
        <v>0</v>
      </c>
      <c r="G198" s="50" cm="1">
        <f t="array" aca="1" ref="G198" ca="1">MMS_Swine_ManureAppliedToSoils_Equations.VEERG_4_5_1_9__2_MassOfNitrogenAppliedToSoilsScope3(G38,_xlfn.XLOOKUP($E198,$D$123:$D$129,$E$123:$E$129), _xlfn.XLOOKUP($E198,$D$112:$D$118,$E$112:$E$118),G68,$F98)</f>
        <v>0</v>
      </c>
      <c r="H198" s="50" cm="1">
        <f t="array" aca="1" ref="H198" ca="1">MMS_Swine_ManureAppliedToSoils_Equations.VEERG_4_5_1_9__2_MassOfNitrogenAppliedToSoilsScope3(H38,_xlfn.XLOOKUP($E198,$D$123:$D$129,$E$123:$E$129), _xlfn.XLOOKUP($E198,$D$112:$D$118,$E$112:$E$118),H68,$F98)</f>
        <v>0</v>
      </c>
      <c r="I198" s="50" cm="1">
        <f t="array" aca="1" ref="I198" ca="1">MMS_Swine_ManureAppliedToSoils_Equations.VEERG_4_5_1_9__2_MassOfNitrogenAppliedToSoilsScope3(I38,_xlfn.XLOOKUP($E198,$D$123:$D$129,$E$123:$E$129), _xlfn.XLOOKUP($E198,$D$112:$D$118,$E$112:$E$118),I68,$F98)</f>
        <v>0</v>
      </c>
      <c r="J198" s="2"/>
      <c r="N198" s="55"/>
      <c r="O198" s="55" t="str">
        <f>INDEX(X_Table_Swine_Stage2MMS_From_DeepLitter,5,1)</f>
        <v>Direct application</v>
      </c>
      <c r="P198" s="50" cm="1">
        <f t="array" aca="1" ref="P198" ca="1">MMS_Swine_ManureAppliedToSoils_Equations.VEERG_4_5_1_9__2_MassOfNitrogenAppliedToSoilsScope3(P38,_xlfn.XLOOKUP($O198,$D$123:$D$129,$E$123:$E$129), _xlfn.XLOOKUP($O198,$D$112:$D$118,$E$112:$E$118),P68,$F98)</f>
        <v>0</v>
      </c>
      <c r="Q198" s="50" cm="1">
        <f t="array" aca="1" ref="Q198" ca="1">MMS_Swine_ManureAppliedToSoils_Equations.VEERG_4_5_1_9__2_MassOfNitrogenAppliedToSoilsScope3(Q38,_xlfn.XLOOKUP($O198,$D$123:$D$129,$E$123:$E$129), _xlfn.XLOOKUP($O198,$D$112:$D$118,$E$112:$E$118),Q68,$F98)</f>
        <v>0</v>
      </c>
      <c r="R198" s="50" cm="1">
        <f t="array" aca="1" ref="R198" ca="1">MMS_Swine_ManureAppliedToSoils_Equations.VEERG_4_5_1_9__2_MassOfNitrogenAppliedToSoilsScope3(R38,_xlfn.XLOOKUP($O198,$D$123:$D$129,$E$123:$E$129), _xlfn.XLOOKUP($O198,$D$112:$D$118,$E$112:$E$118),R68,$F98)</f>
        <v>0</v>
      </c>
      <c r="S198" s="50" cm="1">
        <f t="array" aca="1" ref="S198" ca="1">MMS_Swine_ManureAppliedToSoils_Equations.VEERG_4_5_1_9__2_MassOfNitrogenAppliedToSoilsScope3(S38,_xlfn.XLOOKUP($O198,$D$123:$D$129,$E$123:$E$129), _xlfn.XLOOKUP($O198,$D$112:$D$118,$E$112:$E$118),S68,$F98)</f>
        <v>0</v>
      </c>
      <c r="T198" s="2"/>
    </row>
    <row r="199" spans="4:20" ht="20" customHeight="1" x14ac:dyDescent="0.25">
      <c r="D199" s="55" t="str">
        <f>INDEX(X_Table_Swine_Stage1MMS_PitStorage,2,1)</f>
        <v>Pit storage</v>
      </c>
      <c r="E199" s="55" t="str">
        <f>INDEX(X_Table_Swine_Stage2MMS_From_PitStorage,2,1)</f>
        <v>Anaerobic lagoon</v>
      </c>
      <c r="F199" s="50" cm="1">
        <f t="array" aca="1" ref="F199" ca="1">MMS_Swine_ManureAppliedToSoils_Equations.VEERG_4_5_1_9__2_MassOfNitrogenAppliedToSoilsScope3(F39,_xlfn.XLOOKUP($E199,$D$123:$D$129,$E$123:$E$129), _xlfn.XLOOKUP($E199,$D$112:$D$118,$E$112:$E$118),F69,$F99)</f>
        <v>3.3909083999999994</v>
      </c>
      <c r="G199" s="50" cm="1">
        <f t="array" aca="1" ref="G199" ca="1">MMS_Swine_ManureAppliedToSoils_Equations.VEERG_4_5_1_9__2_MassOfNitrogenAppliedToSoilsScope3(G39,_xlfn.XLOOKUP($E199,$D$123:$D$129,$E$123:$E$129), _xlfn.XLOOKUP($E199,$D$112:$D$118,$E$112:$E$118),G69,$F99)</f>
        <v>4.5150682499999997</v>
      </c>
      <c r="H199" s="50" cm="1">
        <f t="array" aca="1" ref="H199" ca="1">MMS_Swine_ManureAppliedToSoils_Equations.VEERG_4_5_1_9__2_MassOfNitrogenAppliedToSoilsScope3(H39,_xlfn.XLOOKUP($E199,$D$123:$D$129,$E$123:$E$129), _xlfn.XLOOKUP($E199,$D$112:$D$118,$E$112:$E$118),H69,$F99)</f>
        <v>4.2386354999999991</v>
      </c>
      <c r="I199" s="50" cm="1">
        <f t="array" aca="1" ref="I199" ca="1">MMS_Swine_ManureAppliedToSoils_Equations.VEERG_4_5_1_9__2_MassOfNitrogenAppliedToSoilsScope3(I39,_xlfn.XLOOKUP($E199,$D$123:$D$129,$E$123:$E$129), _xlfn.XLOOKUP($E199,$D$112:$D$118,$E$112:$E$118),I69,$F99)</f>
        <v>2.8749005999999993</v>
      </c>
      <c r="J199" s="2"/>
      <c r="N199" s="55" t="str">
        <f>INDEX(X_Table_Swine_Stage1MMS_PitStorage,2,1)</f>
        <v>Pit storage</v>
      </c>
      <c r="O199" s="55" t="str">
        <f>INDEX(X_Table_Swine_Stage2MMS_From_PitStorage,2,1)</f>
        <v>Anaerobic lagoon</v>
      </c>
      <c r="P199" s="50" cm="1">
        <f t="array" aca="1" ref="P199" ca="1">MMS_Swine_ManureAppliedToSoils_Equations.VEERG_4_5_1_9__2_MassOfNitrogenAppliedToSoilsScope3(P39,_xlfn.XLOOKUP($O199,$D$123:$D$129,$E$123:$E$129), _xlfn.XLOOKUP($O199,$D$112:$D$118,$E$112:$E$118),P69,$F99)</f>
        <v>3.3909083999999994</v>
      </c>
      <c r="Q199" s="50" cm="1">
        <f t="array" aca="1" ref="Q199" ca="1">MMS_Swine_ManureAppliedToSoils_Equations.VEERG_4_5_1_9__2_MassOfNitrogenAppliedToSoilsScope3(Q39,_xlfn.XLOOKUP($O199,$D$123:$D$129,$E$123:$E$129), _xlfn.XLOOKUP($O199,$D$112:$D$118,$E$112:$E$118),Q69,$F99)</f>
        <v>4.5150682499999997</v>
      </c>
      <c r="R199" s="50" cm="1">
        <f t="array" aca="1" ref="R199" ca="1">MMS_Swine_ManureAppliedToSoils_Equations.VEERG_4_5_1_9__2_MassOfNitrogenAppliedToSoilsScope3(R39,_xlfn.XLOOKUP($O199,$D$123:$D$129,$E$123:$E$129), _xlfn.XLOOKUP($O199,$D$112:$D$118,$E$112:$E$118),R69,$F99)</f>
        <v>4.2386354999999991</v>
      </c>
      <c r="S199" s="50" cm="1">
        <f t="array" aca="1" ref="S199" ca="1">MMS_Swine_ManureAppliedToSoils_Equations.VEERG_4_5_1_9__2_MassOfNitrogenAppliedToSoilsScope3(S39,_xlfn.XLOOKUP($O199,$D$123:$D$129,$E$123:$E$129), _xlfn.XLOOKUP($O199,$D$112:$D$118,$E$112:$E$118),S69,$F99)</f>
        <v>2.8749005999999993</v>
      </c>
      <c r="T199" s="2"/>
    </row>
    <row r="200" spans="4:20" ht="20" customHeight="1" x14ac:dyDescent="0.25">
      <c r="D200" s="55"/>
      <c r="E200" s="55" t="str">
        <f>INDEX(X_Table_Swine_Stage2MMS_From_PitStorage,3,1)</f>
        <v>Digester / covered lagoons</v>
      </c>
      <c r="F200" s="50" cm="1">
        <f t="array" aca="1" ref="F200" ca="1">MMS_Swine_ManureAppliedToSoils_Equations.VEERG_4_5_1_9__2_MassOfNitrogenAppliedToSoilsScope3(F40,_xlfn.XLOOKUP($E200,$D$123:$D$129,$E$123:$E$129), _xlfn.XLOOKUP($E200,$D$112:$D$118,$E$112:$E$118),F70,$F100)</f>
        <v>7.5353519999999996</v>
      </c>
      <c r="G200" s="50" cm="1">
        <f t="array" aca="1" ref="G200" ca="1">MMS_Swine_ManureAppliedToSoils_Equations.VEERG_4_5_1_9__2_MassOfNitrogenAppliedToSoilsScope3(G40,_xlfn.XLOOKUP($E200,$D$123:$D$129,$E$123:$E$129), _xlfn.XLOOKUP($E200,$D$112:$D$118,$E$112:$E$118),G70,$F100)</f>
        <v>10.033485000000001</v>
      </c>
      <c r="H200" s="50" cm="1">
        <f t="array" aca="1" ref="H200" ca="1">MMS_Swine_ManureAppliedToSoils_Equations.VEERG_4_5_1_9__2_MassOfNitrogenAppliedToSoilsScope3(H40,_xlfn.XLOOKUP($E200,$D$123:$D$129,$E$123:$E$129), _xlfn.XLOOKUP($E200,$D$112:$D$118,$E$112:$E$118),H70,$F100)</f>
        <v>9.4191899999999986</v>
      </c>
      <c r="I200" s="50" cm="1">
        <f t="array" aca="1" ref="I200" ca="1">MMS_Swine_ManureAppliedToSoils_Equations.VEERG_4_5_1_9__2_MassOfNitrogenAppliedToSoilsScope3(I40,_xlfn.XLOOKUP($E200,$D$123:$D$129,$E$123:$E$129), _xlfn.XLOOKUP($E200,$D$112:$D$118,$E$112:$E$118),I70,$F100)</f>
        <v>6.3886679999999991</v>
      </c>
      <c r="J200" s="2"/>
      <c r="N200" s="55"/>
      <c r="O200" s="55" t="str">
        <f>INDEX(X_Table_Swine_Stage2MMS_From_PitStorage,3,1)</f>
        <v>Digester / covered lagoons</v>
      </c>
      <c r="P200" s="50" cm="1">
        <f t="array" aca="1" ref="P200" ca="1">MMS_Swine_ManureAppliedToSoils_Equations.VEERG_4_5_1_9__2_MassOfNitrogenAppliedToSoilsScope3(P40,_xlfn.XLOOKUP($O200,$D$123:$D$129,$E$123:$E$129), _xlfn.XLOOKUP($O200,$D$112:$D$118,$E$112:$E$118),P70,$F100)</f>
        <v>7.5353519999999996</v>
      </c>
      <c r="Q200" s="50" cm="1">
        <f t="array" aca="1" ref="Q200" ca="1">MMS_Swine_ManureAppliedToSoils_Equations.VEERG_4_5_1_9__2_MassOfNitrogenAppliedToSoilsScope3(Q40,_xlfn.XLOOKUP($O200,$D$123:$D$129,$E$123:$E$129), _xlfn.XLOOKUP($O200,$D$112:$D$118,$E$112:$E$118),Q70,$F100)</f>
        <v>10.033485000000001</v>
      </c>
      <c r="R200" s="50" cm="1">
        <f t="array" aca="1" ref="R200" ca="1">MMS_Swine_ManureAppliedToSoils_Equations.VEERG_4_5_1_9__2_MassOfNitrogenAppliedToSoilsScope3(R40,_xlfn.XLOOKUP($O200,$D$123:$D$129,$E$123:$E$129), _xlfn.XLOOKUP($O200,$D$112:$D$118,$E$112:$E$118),R70,$F100)</f>
        <v>9.4191899999999986</v>
      </c>
      <c r="S200" s="50" cm="1">
        <f t="array" aca="1" ref="S200" ca="1">MMS_Swine_ManureAppliedToSoils_Equations.VEERG_4_5_1_9__2_MassOfNitrogenAppliedToSoilsScope3(S40,_xlfn.XLOOKUP($O200,$D$123:$D$129,$E$123:$E$129), _xlfn.XLOOKUP($O200,$D$112:$D$118,$E$112:$E$118),S70,$F100)</f>
        <v>6.3886679999999991</v>
      </c>
      <c r="T200" s="2"/>
    </row>
    <row r="201" spans="4:20" ht="20" customHeight="1" x14ac:dyDescent="0.25">
      <c r="D201" s="55"/>
      <c r="E201" s="55" t="str">
        <f>INDEX(X_Table_Swine_Stage2MMS_From_PitStorage,4,1)</f>
        <v>Deep litter</v>
      </c>
      <c r="F201" s="50" cm="1">
        <f t="array" aca="1" ref="F201" ca="1">MMS_Swine_ManureAppliedToSoils_Equations.VEERG_4_5_1_9__2_MassOfNitrogenAppliedToSoilsScope3(F41,_xlfn.XLOOKUP($E201,$D$123:$D$129,$E$123:$E$129), _xlfn.XLOOKUP($E201,$D$112:$D$118,$E$112:$E$118),F71,$F101)</f>
        <v>6.5180794799999999</v>
      </c>
      <c r="G201" s="50" cm="1">
        <f t="array" aca="1" ref="G201" ca="1">MMS_Swine_ManureAppliedToSoils_Equations.VEERG_4_5_1_9__2_MassOfNitrogenAppliedToSoilsScope3(G41,_xlfn.XLOOKUP($E201,$D$123:$D$129,$E$123:$E$129), _xlfn.XLOOKUP($E201,$D$112:$D$118,$E$112:$E$118),G71,$F101)</f>
        <v>8.6789645249999996</v>
      </c>
      <c r="H201" s="50" cm="1">
        <f t="array" aca="1" ref="H201" ca="1">MMS_Swine_ManureAppliedToSoils_Equations.VEERG_4_5_1_9__2_MassOfNitrogenAppliedToSoilsScope3(H41,_xlfn.XLOOKUP($E201,$D$123:$D$129,$E$123:$E$129), _xlfn.XLOOKUP($E201,$D$112:$D$118,$E$112:$E$118),H71,$F101)</f>
        <v>8.1475993499999984</v>
      </c>
      <c r="I201" s="50" cm="1">
        <f t="array" aca="1" ref="I201" ca="1">MMS_Swine_ManureAppliedToSoils_Equations.VEERG_4_5_1_9__2_MassOfNitrogenAppliedToSoilsScope3(I41,_xlfn.XLOOKUP($E201,$D$123:$D$129,$E$123:$E$129), _xlfn.XLOOKUP($E201,$D$112:$D$118,$E$112:$E$118),I71,$F101)</f>
        <v>5.5261978199999993</v>
      </c>
      <c r="J201" s="2"/>
      <c r="N201" s="55"/>
      <c r="O201" s="55" t="str">
        <f>INDEX(X_Table_Swine_Stage2MMS_From_PitStorage,4,1)</f>
        <v>Deep litter</v>
      </c>
      <c r="P201" s="50" cm="1">
        <f t="array" aca="1" ref="P201" ca="1">MMS_Swine_ManureAppliedToSoils_Equations.VEERG_4_5_1_9__2_MassOfNitrogenAppliedToSoilsScope3(P41,_xlfn.XLOOKUP($O201,$D$123:$D$129,$E$123:$E$129), _xlfn.XLOOKUP($O201,$D$112:$D$118,$E$112:$E$118),P71,$F101)</f>
        <v>6.5180794799999999</v>
      </c>
      <c r="Q201" s="50" cm="1">
        <f t="array" aca="1" ref="Q201" ca="1">MMS_Swine_ManureAppliedToSoils_Equations.VEERG_4_5_1_9__2_MassOfNitrogenAppliedToSoilsScope3(Q41,_xlfn.XLOOKUP($O201,$D$123:$D$129,$E$123:$E$129), _xlfn.XLOOKUP($O201,$D$112:$D$118,$E$112:$E$118),Q71,$F101)</f>
        <v>8.6789645249999996</v>
      </c>
      <c r="R201" s="50" cm="1">
        <f t="array" aca="1" ref="R201" ca="1">MMS_Swine_ManureAppliedToSoils_Equations.VEERG_4_5_1_9__2_MassOfNitrogenAppliedToSoilsScope3(R41,_xlfn.XLOOKUP($O201,$D$123:$D$129,$E$123:$E$129), _xlfn.XLOOKUP($O201,$D$112:$D$118,$E$112:$E$118),R71,$F101)</f>
        <v>8.1475993499999984</v>
      </c>
      <c r="S201" s="50" cm="1">
        <f t="array" aca="1" ref="S201" ca="1">MMS_Swine_ManureAppliedToSoils_Equations.VEERG_4_5_1_9__2_MassOfNitrogenAppliedToSoilsScope3(S41,_xlfn.XLOOKUP($O201,$D$123:$D$129,$E$123:$E$129), _xlfn.XLOOKUP($O201,$D$112:$D$118,$E$112:$E$118),S71,$F101)</f>
        <v>5.5261978199999993</v>
      </c>
      <c r="T201" s="2"/>
    </row>
    <row r="202" spans="4:20" ht="20" customHeight="1" x14ac:dyDescent="0.25">
      <c r="D202" s="55"/>
      <c r="E202" s="55" t="str">
        <f>INDEX(X_Table_Swine_Stage2MMS_From_PitStorage,5,1)</f>
        <v>Direct application</v>
      </c>
      <c r="F202" s="50" cm="1">
        <f t="array" aca="1" ref="F202" ca="1">MMS_Swine_ManureAppliedToSoils_Equations.VEERG_4_5_1_9__2_MassOfNitrogenAppliedToSoilsScope3(F42,_xlfn.XLOOKUP($E202,$D$123:$D$129,$E$123:$E$129), _xlfn.XLOOKUP($E202,$D$112:$D$118,$E$112:$E$118),F72,$F102)</f>
        <v>0</v>
      </c>
      <c r="G202" s="50" cm="1">
        <f t="array" aca="1" ref="G202" ca="1">MMS_Swine_ManureAppliedToSoils_Equations.VEERG_4_5_1_9__2_MassOfNitrogenAppliedToSoilsScope3(G42,_xlfn.XLOOKUP($E202,$D$123:$D$129,$E$123:$E$129), _xlfn.XLOOKUP($E202,$D$112:$D$118,$E$112:$E$118),G72,$F102)</f>
        <v>0</v>
      </c>
      <c r="H202" s="50" cm="1">
        <f t="array" aca="1" ref="H202" ca="1">MMS_Swine_ManureAppliedToSoils_Equations.VEERG_4_5_1_9__2_MassOfNitrogenAppliedToSoilsScope3(H42,_xlfn.XLOOKUP($E202,$D$123:$D$129,$E$123:$E$129), _xlfn.XLOOKUP($E202,$D$112:$D$118,$E$112:$E$118),H72,$F102)</f>
        <v>0</v>
      </c>
      <c r="I202" s="50" cm="1">
        <f t="array" aca="1" ref="I202" ca="1">MMS_Swine_ManureAppliedToSoils_Equations.VEERG_4_5_1_9__2_MassOfNitrogenAppliedToSoilsScope3(I42,_xlfn.XLOOKUP($E202,$D$123:$D$129,$E$123:$E$129), _xlfn.XLOOKUP($E202,$D$112:$D$118,$E$112:$E$118),I72,$F102)</f>
        <v>0</v>
      </c>
      <c r="J202" s="2"/>
      <c r="N202" s="55"/>
      <c r="O202" s="55" t="str">
        <f>INDEX(X_Table_Swine_Stage2MMS_From_PitStorage,5,1)</f>
        <v>Direct application</v>
      </c>
      <c r="P202" s="50" cm="1">
        <f t="array" aca="1" ref="P202" ca="1">MMS_Swine_ManureAppliedToSoils_Equations.VEERG_4_5_1_9__2_MassOfNitrogenAppliedToSoilsScope3(P42,_xlfn.XLOOKUP($O202,$D$123:$D$129,$E$123:$E$129), _xlfn.XLOOKUP($O202,$D$112:$D$118,$E$112:$E$118),P72,$F102)</f>
        <v>0</v>
      </c>
      <c r="Q202" s="50" cm="1">
        <f t="array" aca="1" ref="Q202" ca="1">MMS_Swine_ManureAppliedToSoils_Equations.VEERG_4_5_1_9__2_MassOfNitrogenAppliedToSoilsScope3(Q42,_xlfn.XLOOKUP($O202,$D$123:$D$129,$E$123:$E$129), _xlfn.XLOOKUP($O202,$D$112:$D$118,$E$112:$E$118),Q72,$F102)</f>
        <v>0</v>
      </c>
      <c r="R202" s="50" cm="1">
        <f t="array" aca="1" ref="R202" ca="1">MMS_Swine_ManureAppliedToSoils_Equations.VEERG_4_5_1_9__2_MassOfNitrogenAppliedToSoilsScope3(R42,_xlfn.XLOOKUP($O202,$D$123:$D$129,$E$123:$E$129), _xlfn.XLOOKUP($O202,$D$112:$D$118,$E$112:$E$118),R72,$F102)</f>
        <v>0</v>
      </c>
      <c r="S202" s="50" cm="1">
        <f t="array" aca="1" ref="S202" ca="1">MMS_Swine_ManureAppliedToSoils_Equations.VEERG_4_5_1_9__2_MassOfNitrogenAppliedToSoilsScope3(S42,_xlfn.XLOOKUP($O202,$D$123:$D$129,$E$123:$E$129), _xlfn.XLOOKUP($O202,$D$112:$D$118,$E$112:$E$118),S72,$F102)</f>
        <v>0</v>
      </c>
      <c r="T202" s="2"/>
    </row>
    <row r="203" spans="4:20" ht="20" customHeight="1" x14ac:dyDescent="0.25">
      <c r="D203" s="55" t="s">
        <v>343</v>
      </c>
      <c r="E203" s="55" t="str">
        <f>INDEX(X_Table_Swine_Stage2MMS_From_SolidStorage,2,1)</f>
        <v>Anaerobic lagoon</v>
      </c>
      <c r="F203" s="50" cm="1">
        <f t="array" aca="1" ref="F203" ca="1">MMS_Swine_ManureAppliedToSoils_Equations.VEERG_4_5_1_9__2_MassOfNitrogenAppliedToSoilsScope3(F43,_xlfn.XLOOKUP($E203,$D$123:$D$129,$E$123:$E$129), _xlfn.XLOOKUP($E203,$D$112:$D$118,$E$112:$E$118),F73,$F103)</f>
        <v>12.013245000000003</v>
      </c>
      <c r="G203" s="50" cm="1">
        <f t="array" aca="1" ref="G203" ca="1">MMS_Swine_ManureAppliedToSoils_Equations.VEERG_4_5_1_9__2_MassOfNitrogenAppliedToSoilsScope3(G43,_xlfn.XLOOKUP($E203,$D$123:$D$129,$E$123:$E$129), _xlfn.XLOOKUP($E203,$D$112:$D$118,$E$112:$E$118),G73,$F103)</f>
        <v>12.796717500000007</v>
      </c>
      <c r="H203" s="50" cm="1">
        <f t="array" aca="1" ref="H203" ca="1">MMS_Swine_ManureAppliedToSoils_Equations.VEERG_4_5_1_9__2_MassOfNitrogenAppliedToSoilsScope3(H43,_xlfn.XLOOKUP($E203,$D$123:$D$129,$E$123:$E$129), _xlfn.XLOOKUP($E203,$D$112:$D$118,$E$112:$E$118),H73,$F103)</f>
        <v>12.013245000000003</v>
      </c>
      <c r="I203" s="50" cm="1">
        <f t="array" aca="1" ref="I203" ca="1">MMS_Swine_ManureAppliedToSoils_Equations.VEERG_4_5_1_9__2_MassOfNitrogenAppliedToSoilsScope3(I43,_xlfn.XLOOKUP($E203,$D$123:$D$129,$E$123:$E$129), _xlfn.XLOOKUP($E203,$D$112:$D$118,$E$112:$E$118),I73,$F103)</f>
        <v>8.1481140000000032</v>
      </c>
      <c r="J203" s="2"/>
      <c r="N203" s="55" t="s">
        <v>343</v>
      </c>
      <c r="O203" s="55" t="str">
        <f>INDEX(X_Table_Swine_Stage2MMS_From_SolidStorage,2,1)</f>
        <v>Anaerobic lagoon</v>
      </c>
      <c r="P203" s="50" cm="1">
        <f t="array" aca="1" ref="P203" ca="1">MMS_Swine_ManureAppliedToSoils_Equations.VEERG_4_5_1_9__2_MassOfNitrogenAppliedToSoilsScope3(P43,_xlfn.XLOOKUP($O203,$D$123:$D$129,$E$123:$E$129), _xlfn.XLOOKUP($O203,$D$112:$D$118,$E$112:$E$118),P73,$F103)</f>
        <v>12.013245000000003</v>
      </c>
      <c r="Q203" s="50" cm="1">
        <f t="array" aca="1" ref="Q203" ca="1">MMS_Swine_ManureAppliedToSoils_Equations.VEERG_4_5_1_9__2_MassOfNitrogenAppliedToSoilsScope3(Q43,_xlfn.XLOOKUP($O203,$D$123:$D$129,$E$123:$E$129), _xlfn.XLOOKUP($O203,$D$112:$D$118,$E$112:$E$118),Q73,$F103)</f>
        <v>12.796717500000007</v>
      </c>
      <c r="R203" s="50" cm="1">
        <f t="array" aca="1" ref="R203" ca="1">MMS_Swine_ManureAppliedToSoils_Equations.VEERG_4_5_1_9__2_MassOfNitrogenAppliedToSoilsScope3(R43,_xlfn.XLOOKUP($O203,$D$123:$D$129,$E$123:$E$129), _xlfn.XLOOKUP($O203,$D$112:$D$118,$E$112:$E$118),R73,$F103)</f>
        <v>12.013245000000003</v>
      </c>
      <c r="S203" s="50" cm="1">
        <f t="array" aca="1" ref="S203" ca="1">MMS_Swine_ManureAppliedToSoils_Equations.VEERG_4_5_1_9__2_MassOfNitrogenAppliedToSoilsScope3(S43,_xlfn.XLOOKUP($O203,$D$123:$D$129,$E$123:$E$129), _xlfn.XLOOKUP($O203,$D$112:$D$118,$E$112:$E$118),S73,$F103)</f>
        <v>8.1481140000000032</v>
      </c>
      <c r="T203" s="2"/>
    </row>
    <row r="204" spans="4:20" ht="20" customHeight="1" x14ac:dyDescent="0.25">
      <c r="D204" s="55"/>
      <c r="E204" s="55" t="str">
        <f>INDEX(X_Table_Swine_Stage2MMS_From_SolidStorage,3,1)</f>
        <v>Digester / covered lagoons</v>
      </c>
      <c r="F204" s="50" cm="1">
        <f t="array" aca="1" ref="F204" ca="1">MMS_Swine_ManureAppliedToSoils_Equations.VEERG_4_5_1_9__2_MassOfNitrogenAppliedToSoilsScope3(F44,_xlfn.XLOOKUP($E204,$D$123:$D$129,$E$123:$E$129), _xlfn.XLOOKUP($E204,$D$112:$D$118,$E$112:$E$118),F74,$F104)</f>
        <v>26.696100000000008</v>
      </c>
      <c r="G204" s="50" cm="1">
        <f t="array" aca="1" ref="G204" ca="1">MMS_Swine_ManureAppliedToSoils_Equations.VEERG_4_5_1_9__2_MassOfNitrogenAppliedToSoilsScope3(G44,_xlfn.XLOOKUP($E204,$D$123:$D$129,$E$123:$E$129), _xlfn.XLOOKUP($E204,$D$112:$D$118,$E$112:$E$118),G74,$F104)</f>
        <v>28.437150000000017</v>
      </c>
      <c r="H204" s="50" cm="1">
        <f t="array" aca="1" ref="H204" ca="1">MMS_Swine_ManureAppliedToSoils_Equations.VEERG_4_5_1_9__2_MassOfNitrogenAppliedToSoilsScope3(H44,_xlfn.XLOOKUP($E204,$D$123:$D$129,$E$123:$E$129), _xlfn.XLOOKUP($E204,$D$112:$D$118,$E$112:$E$118),H74,$F104)</f>
        <v>26.696100000000008</v>
      </c>
      <c r="I204" s="50" cm="1">
        <f t="array" aca="1" ref="I204" ca="1">MMS_Swine_ManureAppliedToSoils_Equations.VEERG_4_5_1_9__2_MassOfNitrogenAppliedToSoilsScope3(I44,_xlfn.XLOOKUP($E204,$D$123:$D$129,$E$123:$E$129), _xlfn.XLOOKUP($E204,$D$112:$D$118,$E$112:$E$118),I74,$F104)</f>
        <v>18.106920000000009</v>
      </c>
      <c r="J204" s="2"/>
      <c r="N204" s="55"/>
      <c r="O204" s="55" t="str">
        <f>INDEX(X_Table_Swine_Stage2MMS_From_SolidStorage,3,1)</f>
        <v>Digester / covered lagoons</v>
      </c>
      <c r="P204" s="50" cm="1">
        <f t="array" aca="1" ref="P204" ca="1">MMS_Swine_ManureAppliedToSoils_Equations.VEERG_4_5_1_9__2_MassOfNitrogenAppliedToSoilsScope3(P44,_xlfn.XLOOKUP($O204,$D$123:$D$129,$E$123:$E$129), _xlfn.XLOOKUP($O204,$D$112:$D$118,$E$112:$E$118),P74,$F104)</f>
        <v>26.696100000000008</v>
      </c>
      <c r="Q204" s="50" cm="1">
        <f t="array" aca="1" ref="Q204" ca="1">MMS_Swine_ManureAppliedToSoils_Equations.VEERG_4_5_1_9__2_MassOfNitrogenAppliedToSoilsScope3(Q44,_xlfn.XLOOKUP($O204,$D$123:$D$129,$E$123:$E$129), _xlfn.XLOOKUP($O204,$D$112:$D$118,$E$112:$E$118),Q74,$F104)</f>
        <v>28.437150000000017</v>
      </c>
      <c r="R204" s="50" cm="1">
        <f t="array" aca="1" ref="R204" ca="1">MMS_Swine_ManureAppliedToSoils_Equations.VEERG_4_5_1_9__2_MassOfNitrogenAppliedToSoilsScope3(R44,_xlfn.XLOOKUP($O204,$D$123:$D$129,$E$123:$E$129), _xlfn.XLOOKUP($O204,$D$112:$D$118,$E$112:$E$118),R74,$F104)</f>
        <v>26.696100000000008</v>
      </c>
      <c r="S204" s="50" cm="1">
        <f t="array" aca="1" ref="S204" ca="1">MMS_Swine_ManureAppliedToSoils_Equations.VEERG_4_5_1_9__2_MassOfNitrogenAppliedToSoilsScope3(S44,_xlfn.XLOOKUP($O204,$D$123:$D$129,$E$123:$E$129), _xlfn.XLOOKUP($O204,$D$112:$D$118,$E$112:$E$118),S74,$F104)</f>
        <v>18.106920000000009</v>
      </c>
      <c r="T204" s="2"/>
    </row>
    <row r="205" spans="4:20" ht="20" customHeight="1" x14ac:dyDescent="0.25">
      <c r="D205" s="55"/>
      <c r="E205" s="55" t="str">
        <f>INDEX(X_Table_Swine_Stage2MMS_From_SolidStorage,4,1)</f>
        <v>Deep litter</v>
      </c>
      <c r="F205" s="50" cm="1">
        <f t="array" aca="1" ref="F205" ca="1">MMS_Swine_ManureAppliedToSoils_Equations.VEERG_4_5_1_9__2_MassOfNitrogenAppliedToSoilsScope3(F45,_xlfn.XLOOKUP($E205,$D$123:$D$129,$E$123:$E$129), _xlfn.XLOOKUP($E205,$D$112:$D$118,$E$112:$E$118),F75,$F105)</f>
        <v>23.092126500000006</v>
      </c>
      <c r="G205" s="50" cm="1">
        <f t="array" aca="1" ref="G205" ca="1">MMS_Swine_ManureAppliedToSoils_Equations.VEERG_4_5_1_9__2_MassOfNitrogenAppliedToSoilsScope3(G45,_xlfn.XLOOKUP($E205,$D$123:$D$129,$E$123:$E$129), _xlfn.XLOOKUP($E205,$D$112:$D$118,$E$112:$E$118),G75,$F105)</f>
        <v>24.598134750000014</v>
      </c>
      <c r="H205" s="50" cm="1">
        <f t="array" aca="1" ref="H205" ca="1">MMS_Swine_ManureAppliedToSoils_Equations.VEERG_4_5_1_9__2_MassOfNitrogenAppliedToSoilsScope3(H45,_xlfn.XLOOKUP($E205,$D$123:$D$129,$E$123:$E$129), _xlfn.XLOOKUP($E205,$D$112:$D$118,$E$112:$E$118),H75,$F105)</f>
        <v>23.092126500000006</v>
      </c>
      <c r="I205" s="50" cm="1">
        <f t="array" aca="1" ref="I205" ca="1">MMS_Swine_ManureAppliedToSoils_Equations.VEERG_4_5_1_9__2_MassOfNitrogenAppliedToSoilsScope3(I45,_xlfn.XLOOKUP($E205,$D$123:$D$129,$E$123:$E$129), _xlfn.XLOOKUP($E205,$D$112:$D$118,$E$112:$E$118),I75,$F105)</f>
        <v>15.662485800000008</v>
      </c>
      <c r="J205" s="2"/>
      <c r="N205" s="55"/>
      <c r="O205" s="55" t="str">
        <f>INDEX(X_Table_Swine_Stage2MMS_From_SolidStorage,4,1)</f>
        <v>Deep litter</v>
      </c>
      <c r="P205" s="50" cm="1">
        <f t="array" aca="1" ref="P205" ca="1">MMS_Swine_ManureAppliedToSoils_Equations.VEERG_4_5_1_9__2_MassOfNitrogenAppliedToSoilsScope3(P45,_xlfn.XLOOKUP($O205,$D$123:$D$129,$E$123:$E$129), _xlfn.XLOOKUP($O205,$D$112:$D$118,$E$112:$E$118),P75,$F105)</f>
        <v>23.092126500000006</v>
      </c>
      <c r="Q205" s="50" cm="1">
        <f t="array" aca="1" ref="Q205" ca="1">MMS_Swine_ManureAppliedToSoils_Equations.VEERG_4_5_1_9__2_MassOfNitrogenAppliedToSoilsScope3(Q45,_xlfn.XLOOKUP($O205,$D$123:$D$129,$E$123:$E$129), _xlfn.XLOOKUP($O205,$D$112:$D$118,$E$112:$E$118),Q75,$F105)</f>
        <v>24.598134750000014</v>
      </c>
      <c r="R205" s="50" cm="1">
        <f t="array" aca="1" ref="R205" ca="1">MMS_Swine_ManureAppliedToSoils_Equations.VEERG_4_5_1_9__2_MassOfNitrogenAppliedToSoilsScope3(R45,_xlfn.XLOOKUP($O205,$D$123:$D$129,$E$123:$E$129), _xlfn.XLOOKUP($O205,$D$112:$D$118,$E$112:$E$118),R75,$F105)</f>
        <v>23.092126500000006</v>
      </c>
      <c r="S205" s="50" cm="1">
        <f t="array" aca="1" ref="S205" ca="1">MMS_Swine_ManureAppliedToSoils_Equations.VEERG_4_5_1_9__2_MassOfNitrogenAppliedToSoilsScope3(S45,_xlfn.XLOOKUP($O205,$D$123:$D$129,$E$123:$E$129), _xlfn.XLOOKUP($O205,$D$112:$D$118,$E$112:$E$118),S75,$F105)</f>
        <v>15.662485800000008</v>
      </c>
      <c r="T205" s="2"/>
    </row>
    <row r="206" spans="4:20" ht="20" customHeight="1" x14ac:dyDescent="0.25">
      <c r="D206" s="55"/>
      <c r="E206" s="55" t="str">
        <f>INDEX(X_Table_Swine_Stage2MMS_From_SolidStorage,5,1)</f>
        <v>Pit storage</v>
      </c>
      <c r="F206" s="50" cm="1">
        <f t="array" aca="1" ref="F206" ca="1">MMS_Swine_ManureAppliedToSoils_Equations.VEERG_4_5_1_9__2_MassOfNitrogenAppliedToSoilsScope3(F46,_xlfn.XLOOKUP($E206,$D$123:$D$129,$E$123:$E$129), _xlfn.XLOOKUP($E206,$D$112:$D$118,$E$112:$E$118),F76,$F106)</f>
        <v>9.9843414000000035</v>
      </c>
      <c r="G206" s="50" cm="1">
        <f t="array" aca="1" ref="G206" ca="1">MMS_Swine_ManureAppliedToSoils_Equations.VEERG_4_5_1_9__2_MassOfNitrogenAppliedToSoilsScope3(G46,_xlfn.XLOOKUP($E206,$D$123:$D$129,$E$123:$E$129), _xlfn.XLOOKUP($E206,$D$112:$D$118,$E$112:$E$118),G76,$F106)</f>
        <v>10.635494100000006</v>
      </c>
      <c r="H206" s="50" cm="1">
        <f t="array" aca="1" ref="H206" ca="1">MMS_Swine_ManureAppliedToSoils_Equations.VEERG_4_5_1_9__2_MassOfNitrogenAppliedToSoilsScope3(H46,_xlfn.XLOOKUP($E206,$D$123:$D$129,$E$123:$E$129), _xlfn.XLOOKUP($E206,$D$112:$D$118,$E$112:$E$118),H76,$F106)</f>
        <v>9.9843414000000035</v>
      </c>
      <c r="I206" s="50" cm="1">
        <f t="array" aca="1" ref="I206" ca="1">MMS_Swine_ManureAppliedToSoils_Equations.VEERG_4_5_1_9__2_MassOfNitrogenAppliedToSoilsScope3(I46,_xlfn.XLOOKUP($E206,$D$123:$D$129,$E$123:$E$129), _xlfn.XLOOKUP($E206,$D$112:$D$118,$E$112:$E$118),I76,$F106)</f>
        <v>6.7719880800000034</v>
      </c>
      <c r="J206" s="2"/>
      <c r="N206" s="55"/>
      <c r="O206" s="55" t="str">
        <f>INDEX(X_Table_Swine_Stage2MMS_From_SolidStorage,5,1)</f>
        <v>Pit storage</v>
      </c>
      <c r="P206" s="50" cm="1">
        <f t="array" aca="1" ref="P206" ca="1">MMS_Swine_ManureAppliedToSoils_Equations.VEERG_4_5_1_9__2_MassOfNitrogenAppliedToSoilsScope3(P46,_xlfn.XLOOKUP($O206,$D$123:$D$129,$E$123:$E$129), _xlfn.XLOOKUP($O206,$D$112:$D$118,$E$112:$E$118),P76,$F106)</f>
        <v>9.9843414000000035</v>
      </c>
      <c r="Q206" s="50" cm="1">
        <f t="array" aca="1" ref="Q206" ca="1">MMS_Swine_ManureAppliedToSoils_Equations.VEERG_4_5_1_9__2_MassOfNitrogenAppliedToSoilsScope3(Q46,_xlfn.XLOOKUP($O206,$D$123:$D$129,$E$123:$E$129), _xlfn.XLOOKUP($O206,$D$112:$D$118,$E$112:$E$118),Q76,$F106)</f>
        <v>10.635494100000006</v>
      </c>
      <c r="R206" s="50" cm="1">
        <f t="array" aca="1" ref="R206" ca="1">MMS_Swine_ManureAppliedToSoils_Equations.VEERG_4_5_1_9__2_MassOfNitrogenAppliedToSoilsScope3(R46,_xlfn.XLOOKUP($O206,$D$123:$D$129,$E$123:$E$129), _xlfn.XLOOKUP($O206,$D$112:$D$118,$E$112:$E$118),R76,$F106)</f>
        <v>9.9843414000000035</v>
      </c>
      <c r="S206" s="50" cm="1">
        <f t="array" aca="1" ref="S206" ca="1">MMS_Swine_ManureAppliedToSoils_Equations.VEERG_4_5_1_9__2_MassOfNitrogenAppliedToSoilsScope3(S46,_xlfn.XLOOKUP($O206,$D$123:$D$129,$E$123:$E$129), _xlfn.XLOOKUP($O206,$D$112:$D$118,$E$112:$E$118),S76,$F106)</f>
        <v>6.7719880800000034</v>
      </c>
      <c r="T206" s="2"/>
    </row>
    <row r="207" spans="4:20" ht="20" customHeight="1" x14ac:dyDescent="0.25">
      <c r="D207" s="55"/>
      <c r="E207" s="55" t="str">
        <f>INDEX(X_Table_Swine_Stage2MMS_From_SolidStorage,6,1)</f>
        <v>Direct application</v>
      </c>
      <c r="F207" s="50" cm="1">
        <f t="array" aca="1" ref="F207" ca="1">MMS_Swine_ManureAppliedToSoils_Equations.VEERG_4_5_1_9__2_MassOfNitrogenAppliedToSoilsScope3(F47,_xlfn.XLOOKUP($E207,$D$123:$D$129,$E$123:$E$129), _xlfn.XLOOKUP($E207,$D$112:$D$118,$E$112:$E$118),F77,$F107)</f>
        <v>0</v>
      </c>
      <c r="G207" s="50" cm="1">
        <f t="array" aca="1" ref="G207" ca="1">MMS_Swine_ManureAppliedToSoils_Equations.VEERG_4_5_1_9__2_MassOfNitrogenAppliedToSoilsScope3(G47,_xlfn.XLOOKUP($E207,$D$123:$D$129,$E$123:$E$129), _xlfn.XLOOKUP($E207,$D$112:$D$118,$E$112:$E$118),G77,$F107)</f>
        <v>0</v>
      </c>
      <c r="H207" s="50" cm="1">
        <f t="array" aca="1" ref="H207" ca="1">MMS_Swine_ManureAppliedToSoils_Equations.VEERG_4_5_1_9__2_MassOfNitrogenAppliedToSoilsScope3(H47,_xlfn.XLOOKUP($E207,$D$123:$D$129,$E$123:$E$129), _xlfn.XLOOKUP($E207,$D$112:$D$118,$E$112:$E$118),H77,$F107)</f>
        <v>0</v>
      </c>
      <c r="I207" s="50" cm="1">
        <f t="array" aca="1" ref="I207" ca="1">MMS_Swine_ManureAppliedToSoils_Equations.VEERG_4_5_1_9__2_MassOfNitrogenAppliedToSoilsScope3(I47,_xlfn.XLOOKUP($E207,$D$123:$D$129,$E$123:$E$129), _xlfn.XLOOKUP($E207,$D$112:$D$118,$E$112:$E$118),I77,$F107)</f>
        <v>0</v>
      </c>
      <c r="J207" s="2"/>
      <c r="N207" s="55"/>
      <c r="O207" s="55" t="str">
        <f>INDEX(X_Table_Swine_Stage2MMS_From_SolidStorage,6,1)</f>
        <v>Direct application</v>
      </c>
      <c r="P207" s="50" cm="1">
        <f t="array" aca="1" ref="P207" ca="1">MMS_Swine_ManureAppliedToSoils_Equations.VEERG_4_5_1_9__2_MassOfNitrogenAppliedToSoilsScope3(P47,_xlfn.XLOOKUP($O207,$D$123:$D$129,$E$123:$E$129), _xlfn.XLOOKUP($O207,$D$112:$D$118,$E$112:$E$118),P77,$F107)</f>
        <v>0</v>
      </c>
      <c r="Q207" s="50" cm="1">
        <f t="array" aca="1" ref="Q207" ca="1">MMS_Swine_ManureAppliedToSoils_Equations.VEERG_4_5_1_9__2_MassOfNitrogenAppliedToSoilsScope3(Q47,_xlfn.XLOOKUP($O207,$D$123:$D$129,$E$123:$E$129), _xlfn.XLOOKUP($O207,$D$112:$D$118,$E$112:$E$118),Q77,$F107)</f>
        <v>0</v>
      </c>
      <c r="R207" s="50" cm="1">
        <f t="array" aca="1" ref="R207" ca="1">MMS_Swine_ManureAppliedToSoils_Equations.VEERG_4_5_1_9__2_MassOfNitrogenAppliedToSoilsScope3(R47,_xlfn.XLOOKUP($O207,$D$123:$D$129,$E$123:$E$129), _xlfn.XLOOKUP($O207,$D$112:$D$118,$E$112:$E$118),R77,$F107)</f>
        <v>0</v>
      </c>
      <c r="S207" s="50" cm="1">
        <f t="array" aca="1" ref="S207" ca="1">MMS_Swine_ManureAppliedToSoils_Equations.VEERG_4_5_1_9__2_MassOfNitrogenAppliedToSoilsScope3(S47,_xlfn.XLOOKUP($O207,$D$123:$D$129,$E$123:$E$129), _xlfn.XLOOKUP($O207,$D$112:$D$118,$E$112:$E$118),S77,$F107)</f>
        <v>0</v>
      </c>
      <c r="T207" s="2"/>
    </row>
    <row r="208" spans="4:20" ht="20" customHeight="1" x14ac:dyDescent="0.25"/>
    <row r="209" spans="1:21" ht="20" customHeight="1" x14ac:dyDescent="0.25">
      <c r="D209" s="94" t="s">
        <v>304</v>
      </c>
      <c r="E209" s="95">
        <f ca="1">SUM(F182:I207)</f>
        <v>653.20846285499988</v>
      </c>
      <c r="F209" s="96" t="str">
        <f>$E$11</f>
        <v>kg N</v>
      </c>
      <c r="N209" s="94" t="s">
        <v>304</v>
      </c>
      <c r="O209" s="95">
        <f ca="1">SUM(P182:S207)</f>
        <v>653.20846285499988</v>
      </c>
      <c r="P209" s="96" t="str">
        <f>$E$11</f>
        <v>kg N</v>
      </c>
    </row>
    <row r="210" spans="1:21" ht="20" customHeight="1" x14ac:dyDescent="0.25"/>
    <row r="211" spans="1:21" ht="20" customHeight="1" x14ac:dyDescent="0.25">
      <c r="A211" s="137" t="str">
        <f>HYPERLINK("#A1", "▲ Back to top")</f>
        <v>▲ Back to top</v>
      </c>
    </row>
    <row r="212" spans="1:21" ht="20" customHeight="1" x14ac:dyDescent="0.25">
      <c r="C212" s="43"/>
      <c r="D212" s="43"/>
      <c r="E212" s="43"/>
      <c r="F212" s="43"/>
      <c r="G212" s="43"/>
      <c r="H212" s="43"/>
      <c r="I212" s="43"/>
      <c r="J212" s="43"/>
      <c r="K212" s="43"/>
      <c r="M212" s="43"/>
      <c r="N212" s="43"/>
      <c r="O212" s="43"/>
      <c r="P212" s="43"/>
      <c r="Q212" s="43"/>
      <c r="R212" s="43"/>
      <c r="S212" s="43"/>
      <c r="T212" s="43"/>
      <c r="U212" s="43"/>
    </row>
    <row r="213" spans="1:21" ht="20" customHeight="1" x14ac:dyDescent="0.25">
      <c r="D213" s="124" t="str">
        <f>"Below are applications of " &amp; D110 &amp; " that are applied to the following contexts:"</f>
        <v>Below are applications of Fraction of N volatilised from MMS that are applied to the following contexts:</v>
      </c>
      <c r="E213" s="84"/>
      <c r="F213" s="84"/>
      <c r="G213" s="84"/>
      <c r="H213" s="80"/>
    </row>
    <row r="214" spans="1:21" ht="20" customHeight="1" x14ac:dyDescent="0.25">
      <c r="D214" s="86" t="s">
        <v>305</v>
      </c>
      <c r="E214" s="83"/>
      <c r="F214" s="83"/>
      <c r="G214" s="83"/>
      <c r="H214" s="81"/>
    </row>
    <row r="215" spans="1:21" ht="20" customHeight="1" x14ac:dyDescent="0.25"/>
    <row r="216" spans="1:21" ht="20" customHeight="1" x14ac:dyDescent="0.25">
      <c r="D216" s="6" t="s">
        <v>306</v>
      </c>
    </row>
    <row r="217" spans="1:21" ht="20" customHeight="1" x14ac:dyDescent="0.25"/>
    <row r="218" spans="1:21" ht="20" customHeight="1" x14ac:dyDescent="0.25">
      <c r="D218" s="113" t="s">
        <v>307</v>
      </c>
    </row>
    <row r="219" spans="1:21" ht="20" customHeight="1" x14ac:dyDescent="0.25">
      <c r="D219" s="114" t="s">
        <v>308</v>
      </c>
    </row>
    <row r="220" spans="1:21" ht="20" customHeight="1" x14ac:dyDescent="0.25">
      <c r="D220" s="49" t="s">
        <v>155</v>
      </c>
      <c r="E220" s="49" t="s">
        <v>163</v>
      </c>
      <c r="F220" s="49" t="s">
        <v>309</v>
      </c>
    </row>
    <row r="221" spans="1:21" ht="20" customHeight="1" x14ac:dyDescent="0.25">
      <c r="D221" s="55" t="str">
        <f>INDEX(X_Table_Swine_Stage1MMS_AnaerobicLagoon,2,1)</f>
        <v>Anaerobic lagoon</v>
      </c>
      <c r="E221" s="55" t="str">
        <f>INDEX(X_Table_Swine_Stage2MMS_From_AnaerobicLagoon,2,1)</f>
        <v>Digester / covered lagoons</v>
      </c>
      <c r="F221" s="50">
        <f>INDEX(X_Table_Swine_Stage2MMS_From_AnaerobicLagoon_Destinations,2,3)</f>
        <v>0.25</v>
      </c>
      <c r="G221" s="2" t="s">
        <v>114</v>
      </c>
    </row>
    <row r="222" spans="1:21" ht="20" customHeight="1" x14ac:dyDescent="0.25">
      <c r="D222" s="55"/>
      <c r="E222" s="55" t="str">
        <f>INDEX(X_Table_Swine_Stage2MMS_From_AnaerobicLagoon,3,1)</f>
        <v>Deep litter</v>
      </c>
      <c r="F222" s="50">
        <f>INDEX(X_Table_Swine_Stage2MMS_From_AnaerobicLagoon_Destinations,3,3)</f>
        <v>0.25</v>
      </c>
      <c r="G222" s="2"/>
    </row>
    <row r="223" spans="1:21" ht="20" customHeight="1" x14ac:dyDescent="0.25">
      <c r="D223" s="55"/>
      <c r="E223" s="55" t="str">
        <f>INDEX(X_Table_Swine_Stage2MMS_From_AnaerobicLagoon,4,1)</f>
        <v>Pit storage</v>
      </c>
      <c r="F223" s="50">
        <f>INDEX(X_Table_Swine_Stage2MMS_From_AnaerobicLagoon_Destinations,4,3)</f>
        <v>0.25</v>
      </c>
      <c r="G223" s="2"/>
    </row>
    <row r="224" spans="1:21" ht="20" customHeight="1" x14ac:dyDescent="0.25">
      <c r="D224" s="55"/>
      <c r="E224" s="55" t="str">
        <f>INDEX(X_Table_Swine_Stage2MMS_From_AnaerobicLagoon,5,1)</f>
        <v>Direct application</v>
      </c>
      <c r="F224" s="50">
        <f>INDEX(X_Table_Swine_Stage2MMS_From_AnaerobicLagoon_Destinations,5,3)</f>
        <v>0</v>
      </c>
      <c r="G224" s="2"/>
    </row>
    <row r="225" spans="4:7" ht="20" customHeight="1" x14ac:dyDescent="0.25">
      <c r="D225" s="55" t="str">
        <f>INDEX(X_Table_Swine_Stage1MMS_Drylot,2,1)</f>
        <v>Drylot (feed pad)</v>
      </c>
      <c r="E225" s="55" t="str">
        <f>INDEX(X_Table_Swine_Stage2MMS_From_Drylot,2,1)</f>
        <v>Anaerobic lagoon</v>
      </c>
      <c r="F225" s="50">
        <f>INDEX(X_Table_Swine_Stage2MMS_From_Drylot_Destinations,2,3)</f>
        <v>0.25</v>
      </c>
      <c r="G225" s="2"/>
    </row>
    <row r="226" spans="4:7" ht="20" customHeight="1" x14ac:dyDescent="0.25">
      <c r="D226" s="55"/>
      <c r="E226" s="55" t="str">
        <f>INDEX(X_Table_Swine_Stage2MMS_From_Drylot,3,1)</f>
        <v>Digester / covered lagoons</v>
      </c>
      <c r="F226" s="50">
        <f>INDEX(X_Table_Swine_Stage2MMS_From_Drylot_Destinations,3,3)</f>
        <v>0.25</v>
      </c>
      <c r="G226" s="2"/>
    </row>
    <row r="227" spans="4:7" ht="20" customHeight="1" x14ac:dyDescent="0.25">
      <c r="D227" s="55"/>
      <c r="E227" s="55" t="str">
        <f>INDEX(X_Table_Swine_Stage2MMS_From_Drylot,4,1)</f>
        <v>Deep litter</v>
      </c>
      <c r="F227" s="50">
        <f>INDEX(X_Table_Swine_Stage2MMS_From_Drylot_Destinations,4,3)</f>
        <v>0.25</v>
      </c>
      <c r="G227" s="2"/>
    </row>
    <row r="228" spans="4:7" ht="20" customHeight="1" x14ac:dyDescent="0.25">
      <c r="D228" s="55"/>
      <c r="E228" s="55" t="str">
        <f>INDEX(X_Table_Swine_Stage2MMS_From_Drylot,5,1)</f>
        <v>Pit storage</v>
      </c>
      <c r="F228" s="50">
        <f>INDEX(X_Table_Swine_Stage2MMS_From_Drylot_Destinations,5,3)</f>
        <v>0.25</v>
      </c>
      <c r="G228" s="2"/>
    </row>
    <row r="229" spans="4:7" ht="20" customHeight="1" x14ac:dyDescent="0.25">
      <c r="D229" s="55"/>
      <c r="E229" s="55" t="str">
        <f>INDEX(X_Table_Swine_Stage2MMS_From_Drylot,6,1)</f>
        <v>Direct application</v>
      </c>
      <c r="F229" s="50">
        <f>INDEX(X_Table_Swine_Stage2MMS_From_Drylot_Destinations,6,3)</f>
        <v>0</v>
      </c>
      <c r="G229" s="2"/>
    </row>
    <row r="230" spans="4:7" ht="20" customHeight="1" x14ac:dyDescent="0.25">
      <c r="D230" s="55" t="str">
        <f>INDEX(X_Table_Swine_Stage1MMS_DigesterCoveredLagoons,2,1)</f>
        <v>Digester / covered lagoons</v>
      </c>
      <c r="E230" s="55" t="str">
        <f>INDEX(X_Table_Swine_Stage2MMS_From_DigesterCoveredLagoons,2,1)</f>
        <v>Anaerobic lagoon</v>
      </c>
      <c r="F230" s="50">
        <f>INDEX(X_Table_Swine_Stage2MMS_From_DigesterCoveredLagoons_Destinations,2,3)</f>
        <v>0.25</v>
      </c>
      <c r="G230" s="2"/>
    </row>
    <row r="231" spans="4:7" ht="20" customHeight="1" x14ac:dyDescent="0.25">
      <c r="D231" s="55"/>
      <c r="E231" s="55" t="str">
        <f>INDEX(X_Table_Swine_Stage2MMS_From_DigesterCoveredLagoons,3,1)</f>
        <v>Deep litter</v>
      </c>
      <c r="F231" s="50">
        <f>INDEX(X_Table_Swine_Stage2MMS_From_DigesterCoveredLagoons_Destinations,3,3)</f>
        <v>0.25</v>
      </c>
      <c r="G231" s="2"/>
    </row>
    <row r="232" spans="4:7" ht="20" customHeight="1" x14ac:dyDescent="0.25">
      <c r="D232" s="55"/>
      <c r="E232" s="55" t="str">
        <f>INDEX(X_Table_Swine_Stage2MMS_From_DigesterCoveredLagoons,4,1)</f>
        <v>Pit storage</v>
      </c>
      <c r="F232" s="50">
        <f>INDEX(X_Table_Swine_Stage2MMS_From_DigesterCoveredLagoons_Destinations,4,3)</f>
        <v>0.25</v>
      </c>
      <c r="G232" s="2"/>
    </row>
    <row r="233" spans="4:7" ht="20" customHeight="1" x14ac:dyDescent="0.25">
      <c r="D233" s="55"/>
      <c r="E233" s="55" t="str">
        <f>INDEX(X_Table_Swine_Stage2MMS_From_DigesterCoveredLagoons,5,1)</f>
        <v>Direct application</v>
      </c>
      <c r="F233" s="50">
        <f>INDEX(X_Table_Swine_Stage2MMS_From_DigesterCoveredLagoons_Destinations,5,3)</f>
        <v>0</v>
      </c>
      <c r="G233" s="2"/>
    </row>
    <row r="234" spans="4:7" ht="20" customHeight="1" x14ac:dyDescent="0.25">
      <c r="D234" s="55" t="str">
        <f>INDEX(X_Table_Swine_Stage1MMS_DeepLitter,2,1)</f>
        <v>Deep litter</v>
      </c>
      <c r="E234" s="55" t="str">
        <f>INDEX(X_Table_Swine_Stage2MMS_From_DeepLitter,2,1)</f>
        <v>Anaerobic lagoon</v>
      </c>
      <c r="F234" s="50">
        <f>INDEX(X_Table_Swine_Stage2MMS_From_DeepLitter_Destinations,2,3)</f>
        <v>0.25</v>
      </c>
      <c r="G234" s="2"/>
    </row>
    <row r="235" spans="4:7" ht="20" customHeight="1" x14ac:dyDescent="0.25">
      <c r="D235" s="55"/>
      <c r="E235" s="55" t="str">
        <f>INDEX(X_Table_Swine_Stage2MMS_From_DeepLitter,3,1)</f>
        <v>Digester / covered lagoons</v>
      </c>
      <c r="F235" s="50">
        <f>INDEX(X_Table_Swine_Stage2MMS_From_DeepLitter_Destinations,3,3)</f>
        <v>0.25</v>
      </c>
      <c r="G235" s="2"/>
    </row>
    <row r="236" spans="4:7" ht="20" customHeight="1" x14ac:dyDescent="0.25">
      <c r="D236" s="55"/>
      <c r="E236" s="55" t="str">
        <f>INDEX(X_Table_Swine_Stage2MMS_From_DeepLitter,4,1)</f>
        <v>Pit storage</v>
      </c>
      <c r="F236" s="50">
        <f>INDEX(X_Table_Swine_Stage2MMS_From_DeepLitter_Destinations,4,3)</f>
        <v>0.25</v>
      </c>
      <c r="G236" s="2"/>
    </row>
    <row r="237" spans="4:7" ht="20" customHeight="1" x14ac:dyDescent="0.25">
      <c r="D237" s="55"/>
      <c r="E237" s="55" t="str">
        <f>INDEX(X_Table_Swine_Stage2MMS_From_DeepLitter,5,1)</f>
        <v>Direct application</v>
      </c>
      <c r="F237" s="50">
        <f>INDEX(X_Table_Swine_Stage2MMS_From_DeepLitter_Destinations,5,3)</f>
        <v>0</v>
      </c>
      <c r="G237" s="2"/>
    </row>
    <row r="238" spans="4:7" ht="20" customHeight="1" x14ac:dyDescent="0.25">
      <c r="D238" s="55" t="str">
        <f>INDEX(X_Table_Swine_Stage1MMS_PitStorage,2,1)</f>
        <v>Pit storage</v>
      </c>
      <c r="E238" s="55" t="str">
        <f>INDEX(X_Table_Swine_Stage2MMS_From_PitStorage,2,1)</f>
        <v>Anaerobic lagoon</v>
      </c>
      <c r="F238" s="50">
        <f>INDEX(X_Table_Swine_Stage2MMS_From_PitStorage_Destinations,2,3)</f>
        <v>0.25</v>
      </c>
      <c r="G238" s="2"/>
    </row>
    <row r="239" spans="4:7" ht="20" customHeight="1" x14ac:dyDescent="0.25">
      <c r="D239" s="55"/>
      <c r="E239" s="55" t="str">
        <f>INDEX(X_Table_Swine_Stage2MMS_From_PitStorage,3,1)</f>
        <v>Digester / covered lagoons</v>
      </c>
      <c r="F239" s="50">
        <f>INDEX(X_Table_Swine_Stage2MMS_From_PitStorage_Destinations,3,3)</f>
        <v>0.25</v>
      </c>
      <c r="G239" s="2"/>
    </row>
    <row r="240" spans="4:7" ht="20" customHeight="1" x14ac:dyDescent="0.25">
      <c r="D240" s="55"/>
      <c r="E240" s="55" t="str">
        <f>INDEX(X_Table_Swine_Stage2MMS_From_PitStorage,4,1)</f>
        <v>Deep litter</v>
      </c>
      <c r="F240" s="50">
        <f>INDEX(X_Table_Swine_Stage2MMS_From_PitStorage_Destinations,4,3)</f>
        <v>0.25</v>
      </c>
      <c r="G240" s="2"/>
    </row>
    <row r="241" spans="1:20" ht="20" customHeight="1" x14ac:dyDescent="0.25">
      <c r="D241" s="55"/>
      <c r="E241" s="55" t="str">
        <f>INDEX(X_Table_Swine_Stage2MMS_From_PitStorage,5,1)</f>
        <v>Direct application</v>
      </c>
      <c r="F241" s="50">
        <f>INDEX(X_Table_Swine_Stage2MMS_From_PitStorage_Destinations,5,3)</f>
        <v>0</v>
      </c>
      <c r="G241" s="2"/>
    </row>
    <row r="242" spans="1:20" ht="20" customHeight="1" x14ac:dyDescent="0.25">
      <c r="D242" s="55" t="s">
        <v>343</v>
      </c>
      <c r="E242" s="55" t="str">
        <f>INDEX(X_Table_Swine_Stage2MMS_From_SolidStorage,2,1)</f>
        <v>Anaerobic lagoon</v>
      </c>
      <c r="F242" s="50">
        <f>INDEX(X_Table_Swine_Stage2MMS_From_SolidStorage_Destinations,2,3)</f>
        <v>0.25</v>
      </c>
      <c r="G242" s="2"/>
    </row>
    <row r="243" spans="1:20" ht="20" customHeight="1" x14ac:dyDescent="0.25">
      <c r="D243" s="55"/>
      <c r="E243" s="55" t="str">
        <f>INDEX(X_Table_Swine_Stage2MMS_From_SolidStorage,3,1)</f>
        <v>Digester / covered lagoons</v>
      </c>
      <c r="F243" s="50">
        <f>INDEX(X_Table_Swine_Stage2MMS_From_SolidStorage_Destinations,3,3)</f>
        <v>0.25</v>
      </c>
      <c r="G243" s="2"/>
    </row>
    <row r="244" spans="1:20" ht="20" customHeight="1" x14ac:dyDescent="0.25">
      <c r="D244" s="55"/>
      <c r="E244" s="55" t="str">
        <f>INDEX(X_Table_Swine_Stage2MMS_From_SolidStorage,4,1)</f>
        <v>Deep litter</v>
      </c>
      <c r="F244" s="50">
        <f>INDEX(X_Table_Swine_Stage2MMS_From_SolidStorage_Destinations,4,3)</f>
        <v>0.25</v>
      </c>
      <c r="G244" s="2"/>
    </row>
    <row r="245" spans="1:20" ht="20" customHeight="1" x14ac:dyDescent="0.25">
      <c r="D245" s="55"/>
      <c r="E245" s="55" t="str">
        <f>INDEX(X_Table_Swine_Stage2MMS_From_SolidStorage,5,1)</f>
        <v>Pit storage</v>
      </c>
      <c r="F245" s="50">
        <f>INDEX(X_Table_Swine_Stage2MMS_From_SolidStorage_Destinations,5,3)</f>
        <v>0.25</v>
      </c>
      <c r="G245" s="2"/>
    </row>
    <row r="246" spans="1:20" ht="20" customHeight="1" x14ac:dyDescent="0.25">
      <c r="D246" s="55"/>
      <c r="E246" s="55" t="str">
        <f>INDEX(X_Table_Swine_Stage2MMS_From_SolidStorage,6,1)</f>
        <v>Direct application</v>
      </c>
      <c r="F246" s="50">
        <f>INDEX(X_Table_Swine_Stage2MMS_From_SolidStorage_Destinations,6,3)</f>
        <v>0</v>
      </c>
      <c r="G246" s="2"/>
    </row>
    <row r="247" spans="1:20" ht="20" customHeight="1" x14ac:dyDescent="0.25">
      <c r="A247" s="137" t="str">
        <f>HYPERLINK("#A1", "▲ Back to top")</f>
        <v>▲ Back to top</v>
      </c>
    </row>
    <row r="248" spans="1:20" ht="20" customHeight="1" x14ac:dyDescent="0.25">
      <c r="D248" s="113" t="s">
        <v>310</v>
      </c>
      <c r="N248" s="113" t="s">
        <v>312</v>
      </c>
    </row>
    <row r="249" spans="1:20" ht="20" customHeight="1" x14ac:dyDescent="0.25">
      <c r="D249" s="114" t="s">
        <v>313</v>
      </c>
      <c r="N249" s="114" t="s">
        <v>314</v>
      </c>
    </row>
    <row r="250" spans="1:20" ht="20" customHeight="1" x14ac:dyDescent="0.25">
      <c r="D250" s="49" t="s">
        <v>155</v>
      </c>
      <c r="E250" s="49" t="s">
        <v>163</v>
      </c>
      <c r="F250" s="49" t="s">
        <v>134</v>
      </c>
      <c r="G250" s="49" t="s">
        <v>135</v>
      </c>
      <c r="H250" s="49" t="s">
        <v>136</v>
      </c>
      <c r="I250" s="49" t="s">
        <v>192</v>
      </c>
      <c r="N250" s="49" t="s">
        <v>155</v>
      </c>
      <c r="O250" s="49" t="s">
        <v>163</v>
      </c>
      <c r="P250" s="49" t="s">
        <v>134</v>
      </c>
      <c r="Q250" s="49" t="s">
        <v>135</v>
      </c>
      <c r="R250" s="49" t="s">
        <v>136</v>
      </c>
      <c r="S250" s="49" t="s">
        <v>192</v>
      </c>
    </row>
    <row r="251" spans="1:20" ht="20" customHeight="1" x14ac:dyDescent="0.25">
      <c r="D251" s="55" t="str">
        <f>INDEX(X_Table_Swine_Stage1MMS_AnaerobicLagoon,2,1)</f>
        <v>Anaerobic lagoon</v>
      </c>
      <c r="E251" s="55" t="str">
        <f>INDEX(X_Table_Swine_Stage2MMS_From_AnaerobicLagoon,2,1)</f>
        <v>Digester / covered lagoons</v>
      </c>
      <c r="F251" s="50" cm="1">
        <f t="array" aca="1" ref="F251" ca="1">MMS_Swine_ManureAppliedToSoils_Equations.VEERG_4_5_1_9__1_MassOfNitrogenAppliedToSoilsScope1(F22,_xlfn.XLOOKUP($E251,$D$123:$D$129,$E$123:$E$129), _xlfn.XLOOKUP($E251,$D$112:$D$118,$E$112:$E$118),F52,$F221)</f>
        <v>4.5332999999999988</v>
      </c>
      <c r="G251" s="50" cm="1">
        <f t="array" aca="1" ref="G251" ca="1">MMS_Swine_ManureAppliedToSoils_Equations.VEERG_4_5_1_9__1_MassOfNitrogenAppliedToSoilsScope1(G22,_xlfn.XLOOKUP($E251,$D$123:$D$129,$E$123:$E$129), _xlfn.XLOOKUP($E251,$D$112:$D$118,$E$112:$E$118),G52,$F221)</f>
        <v>6.0361875000000005</v>
      </c>
      <c r="H251" s="50" cm="1">
        <f t="array" aca="1" ref="H251" ca="1">MMS_Swine_ManureAppliedToSoils_Equations.VEERG_4_5_1_9__1_MassOfNitrogenAppliedToSoilsScope1(H22,_xlfn.XLOOKUP($E251,$D$123:$D$129,$E$123:$E$129), _xlfn.XLOOKUP($E251,$D$112:$D$118,$E$112:$E$118),H52,$F221)</f>
        <v>5.666624999999998</v>
      </c>
      <c r="I251" s="50" cm="1">
        <f t="array" aca="1" ref="I251" ca="1">MMS_Swine_ManureAppliedToSoils_Equations.VEERG_4_5_1_9__1_MassOfNitrogenAppliedToSoilsScope1(I22,_xlfn.XLOOKUP($E251,$D$123:$D$129,$E$123:$E$129), _xlfn.XLOOKUP($E251,$D$112:$D$118,$E$112:$E$118),I52,$F221)</f>
        <v>3.8434499999999989</v>
      </c>
      <c r="J251" s="2" t="str">
        <f t="shared" ref="J251" si="1">$E$11</f>
        <v>kg N</v>
      </c>
      <c r="N251" s="55" t="str">
        <f>INDEX(X_Table_Swine_Stage1MMS_AnaerobicLagoon,2,1)</f>
        <v>Anaerobic lagoon</v>
      </c>
      <c r="O251" s="55" t="str">
        <f>INDEX(X_Table_Swine_Stage2MMS_From_AnaerobicLagoon,2,1)</f>
        <v>Digester / covered lagoons</v>
      </c>
      <c r="P251" s="50" cm="1">
        <f t="array" aca="1" ref="P251" ca="1">MMS_Swine_ManureAppliedToSoils_Equations.VEERG_4_5_1_9__1_MassOfNitrogenAppliedToSoilsScope1(P22,_xlfn.XLOOKUP($E251,$D$123:$D$129,$E$123:$E$129), _xlfn.XLOOKUP($E251,$D$112:$D$118,$E$112:$E$118),P52,$F221)</f>
        <v>4.5332999999999988</v>
      </c>
      <c r="Q251" s="50" cm="1">
        <f t="array" aca="1" ref="Q251" ca="1">MMS_Swine_ManureAppliedToSoils_Equations.VEERG_4_5_1_9__1_MassOfNitrogenAppliedToSoilsScope1(Q22,_xlfn.XLOOKUP($E251,$D$123:$D$129,$E$123:$E$129), _xlfn.XLOOKUP($E251,$D$112:$D$118,$E$112:$E$118),Q52,$F221)</f>
        <v>6.0361875000000005</v>
      </c>
      <c r="R251" s="50" cm="1">
        <f t="array" aca="1" ref="R251" ca="1">MMS_Swine_ManureAppliedToSoils_Equations.VEERG_4_5_1_9__1_MassOfNitrogenAppliedToSoilsScope1(R22,_xlfn.XLOOKUP($E251,$D$123:$D$129,$E$123:$E$129), _xlfn.XLOOKUP($E251,$D$112:$D$118,$E$112:$E$118),R52,$F221)</f>
        <v>5.666624999999998</v>
      </c>
      <c r="S251" s="50" cm="1">
        <f t="array" aca="1" ref="S251" ca="1">MMS_Swine_ManureAppliedToSoils_Equations.VEERG_4_5_1_9__1_MassOfNitrogenAppliedToSoilsScope1(S22,_xlfn.XLOOKUP($E251,$D$123:$D$129,$E$123:$E$129), _xlfn.XLOOKUP($E251,$D$112:$D$118,$E$112:$E$118),S52,$F221)</f>
        <v>3.8434499999999989</v>
      </c>
      <c r="T251" s="2" t="str">
        <f>$E$11</f>
        <v>kg N</v>
      </c>
    </row>
    <row r="252" spans="1:20" ht="20" customHeight="1" x14ac:dyDescent="0.25">
      <c r="D252" s="55"/>
      <c r="E252" s="55" t="str">
        <f>INDEX(X_Table_Swine_Stage2MMS_From_AnaerobicLagoon,3,1)</f>
        <v>Deep litter</v>
      </c>
      <c r="F252" s="50" cm="1">
        <f t="array" aca="1" ref="F252" ca="1">MMS_Swine_ManureAppliedToSoils_Equations.VEERG_4_5_1_9__1_MassOfNitrogenAppliedToSoilsScope1(F23,_xlfn.XLOOKUP($E252,$D$123:$D$129,$E$123:$E$129), _xlfn.XLOOKUP($E252,$D$112:$D$118,$E$112:$E$118),F53,$F222)</f>
        <v>3.9213044999999989</v>
      </c>
      <c r="G252" s="50" cm="1">
        <f t="array" aca="1" ref="G252" ca="1">MMS_Swine_ManureAppliedToSoils_Equations.VEERG_4_5_1_9__1_MassOfNitrogenAppliedToSoilsScope1(G23,_xlfn.XLOOKUP($E252,$D$123:$D$129,$E$123:$E$129), _xlfn.XLOOKUP($E252,$D$112:$D$118,$E$112:$E$118),G53,$F222)</f>
        <v>5.2213021875000001</v>
      </c>
      <c r="H252" s="50" cm="1">
        <f t="array" aca="1" ref="H252" ca="1">MMS_Swine_ManureAppliedToSoils_Equations.VEERG_4_5_1_9__1_MassOfNitrogenAppliedToSoilsScope1(H23,_xlfn.XLOOKUP($E252,$D$123:$D$129,$E$123:$E$129), _xlfn.XLOOKUP($E252,$D$112:$D$118,$E$112:$E$118),H53,$F222)</f>
        <v>4.9016306249999984</v>
      </c>
      <c r="I252" s="50" cm="1">
        <f t="array" aca="1" ref="I252" ca="1">MMS_Swine_ManureAppliedToSoils_Equations.VEERG_4_5_1_9__1_MassOfNitrogenAppliedToSoilsScope1(I23,_xlfn.XLOOKUP($E252,$D$123:$D$129,$E$123:$E$129), _xlfn.XLOOKUP($E252,$D$112:$D$118,$E$112:$E$118),I53,$F222)</f>
        <v>3.3245842499999991</v>
      </c>
      <c r="J252" s="2"/>
      <c r="N252" s="55"/>
      <c r="O252" s="55" t="str">
        <f>INDEX(X_Table_Swine_Stage2MMS_From_AnaerobicLagoon,3,1)</f>
        <v>Deep litter</v>
      </c>
      <c r="P252" s="50" cm="1">
        <f t="array" aca="1" ref="P252" ca="1">MMS_Swine_ManureAppliedToSoils_Equations.VEERG_4_5_1_9__1_MassOfNitrogenAppliedToSoilsScope1(P23,_xlfn.XLOOKUP($E252,$D$123:$D$129,$E$123:$E$129), _xlfn.XLOOKUP($E252,$D$112:$D$118,$E$112:$E$118),P53,$F222)</f>
        <v>3.9213044999999989</v>
      </c>
      <c r="Q252" s="50" cm="1">
        <f t="array" aca="1" ref="Q252" ca="1">MMS_Swine_ManureAppliedToSoils_Equations.VEERG_4_5_1_9__1_MassOfNitrogenAppliedToSoilsScope1(Q23,_xlfn.XLOOKUP($E252,$D$123:$D$129,$E$123:$E$129), _xlfn.XLOOKUP($E252,$D$112:$D$118,$E$112:$E$118),Q53,$F222)</f>
        <v>5.2213021875000001</v>
      </c>
      <c r="R252" s="50" cm="1">
        <f t="array" aca="1" ref="R252" ca="1">MMS_Swine_ManureAppliedToSoils_Equations.VEERG_4_5_1_9__1_MassOfNitrogenAppliedToSoilsScope1(R23,_xlfn.XLOOKUP($E252,$D$123:$D$129,$E$123:$E$129), _xlfn.XLOOKUP($E252,$D$112:$D$118,$E$112:$E$118),R53,$F222)</f>
        <v>4.9016306249999984</v>
      </c>
      <c r="S252" s="50" cm="1">
        <f t="array" aca="1" ref="S252" ca="1">MMS_Swine_ManureAppliedToSoils_Equations.VEERG_4_5_1_9__1_MassOfNitrogenAppliedToSoilsScope1(S23,_xlfn.XLOOKUP($E252,$D$123:$D$129,$E$123:$E$129), _xlfn.XLOOKUP($E252,$D$112:$D$118,$E$112:$E$118),S53,$F222)</f>
        <v>3.3245842499999991</v>
      </c>
      <c r="T252" s="2"/>
    </row>
    <row r="253" spans="1:20" ht="20" customHeight="1" x14ac:dyDescent="0.25">
      <c r="D253" s="55"/>
      <c r="E253" s="55" t="str">
        <f>INDEX(X_Table_Swine_Stage2MMS_From_AnaerobicLagoon,4,1)</f>
        <v>Pit storage</v>
      </c>
      <c r="F253" s="50" cm="1">
        <f t="array" aca="1" ref="F253" ca="1">MMS_Swine_ManureAppliedToSoils_Equations.VEERG_4_5_1_9__1_MassOfNitrogenAppliedToSoilsScope1(F24,_xlfn.XLOOKUP($E253,$D$123:$D$129,$E$123:$E$129), _xlfn.XLOOKUP($E253,$D$112:$D$118,$E$112:$E$118),F54,$F223)</f>
        <v>3.3909083999999989</v>
      </c>
      <c r="G253" s="50" cm="1">
        <f t="array" aca="1" ref="G253" ca="1">MMS_Swine_ManureAppliedToSoils_Equations.VEERG_4_5_1_9__1_MassOfNitrogenAppliedToSoilsScope1(G24,_xlfn.XLOOKUP($E253,$D$123:$D$129,$E$123:$E$129), _xlfn.XLOOKUP($E253,$D$112:$D$118,$E$112:$E$118),G54,$F223)</f>
        <v>4.5150682500000006</v>
      </c>
      <c r="H253" s="50" cm="1">
        <f t="array" aca="1" ref="H253" ca="1">MMS_Swine_ManureAppliedToSoils_Equations.VEERG_4_5_1_9__1_MassOfNitrogenAppliedToSoilsScope1(H24,_xlfn.XLOOKUP($E253,$D$123:$D$129,$E$123:$E$129), _xlfn.XLOOKUP($E253,$D$112:$D$118,$E$112:$E$118),H54,$F223)</f>
        <v>4.2386354999999982</v>
      </c>
      <c r="I253" s="50" cm="1">
        <f t="array" aca="1" ref="I253" ca="1">MMS_Swine_ManureAppliedToSoils_Equations.VEERG_4_5_1_9__1_MassOfNitrogenAppliedToSoilsScope1(I24,_xlfn.XLOOKUP($E253,$D$123:$D$129,$E$123:$E$129), _xlfn.XLOOKUP($E253,$D$112:$D$118,$E$112:$E$118),I54,$F223)</f>
        <v>2.8749005999999993</v>
      </c>
      <c r="J253" s="2"/>
      <c r="N253" s="55"/>
      <c r="O253" s="55" t="str">
        <f>INDEX(X_Table_Swine_Stage2MMS_From_AnaerobicLagoon,4,1)</f>
        <v>Pit storage</v>
      </c>
      <c r="P253" s="50" cm="1">
        <f t="array" aca="1" ref="P253" ca="1">MMS_Swine_ManureAppliedToSoils_Equations.VEERG_4_5_1_9__1_MassOfNitrogenAppliedToSoilsScope1(P24,_xlfn.XLOOKUP($E253,$D$123:$D$129,$E$123:$E$129), _xlfn.XLOOKUP($E253,$D$112:$D$118,$E$112:$E$118),P54,$F223)</f>
        <v>3.3909083999999989</v>
      </c>
      <c r="Q253" s="50" cm="1">
        <f t="array" aca="1" ref="Q253" ca="1">MMS_Swine_ManureAppliedToSoils_Equations.VEERG_4_5_1_9__1_MassOfNitrogenAppliedToSoilsScope1(Q24,_xlfn.XLOOKUP($E253,$D$123:$D$129,$E$123:$E$129), _xlfn.XLOOKUP($E253,$D$112:$D$118,$E$112:$E$118),Q54,$F223)</f>
        <v>4.5150682500000006</v>
      </c>
      <c r="R253" s="50" cm="1">
        <f t="array" aca="1" ref="R253" ca="1">MMS_Swine_ManureAppliedToSoils_Equations.VEERG_4_5_1_9__1_MassOfNitrogenAppliedToSoilsScope1(R24,_xlfn.XLOOKUP($E253,$D$123:$D$129,$E$123:$E$129), _xlfn.XLOOKUP($E253,$D$112:$D$118,$E$112:$E$118),R54,$F223)</f>
        <v>4.2386354999999982</v>
      </c>
      <c r="S253" s="50" cm="1">
        <f t="array" aca="1" ref="S253" ca="1">MMS_Swine_ManureAppliedToSoils_Equations.VEERG_4_5_1_9__1_MassOfNitrogenAppliedToSoilsScope1(S24,_xlfn.XLOOKUP($E253,$D$123:$D$129,$E$123:$E$129), _xlfn.XLOOKUP($E253,$D$112:$D$118,$E$112:$E$118),S54,$F223)</f>
        <v>2.8749005999999993</v>
      </c>
      <c r="T253" s="2"/>
    </row>
    <row r="254" spans="1:20" ht="20" customHeight="1" x14ac:dyDescent="0.25">
      <c r="D254" s="55"/>
      <c r="E254" s="55" t="str">
        <f>INDEX(X_Table_Swine_Stage2MMS_From_AnaerobicLagoon,5,1)</f>
        <v>Direct application</v>
      </c>
      <c r="F254" s="50" cm="1">
        <f t="array" aca="1" ref="F254" ca="1">MMS_Swine_ManureAppliedToSoils_Equations.VEERG_4_5_1_9__1_MassOfNitrogenAppliedToSoilsScope1(F25,_xlfn.XLOOKUP($E254,$D$123:$D$129,$E$123:$E$129), _xlfn.XLOOKUP($E254,$D$112:$D$118,$E$112:$E$118),F55,$F224)</f>
        <v>0</v>
      </c>
      <c r="G254" s="50" cm="1">
        <f t="array" aca="1" ref="G254" ca="1">MMS_Swine_ManureAppliedToSoils_Equations.VEERG_4_5_1_9__1_MassOfNitrogenAppliedToSoilsScope1(G25,_xlfn.XLOOKUP($E254,$D$123:$D$129,$E$123:$E$129), _xlfn.XLOOKUP($E254,$D$112:$D$118,$E$112:$E$118),G55,$F224)</f>
        <v>0</v>
      </c>
      <c r="H254" s="50" cm="1">
        <f t="array" aca="1" ref="H254" ca="1">MMS_Swine_ManureAppliedToSoils_Equations.VEERG_4_5_1_9__1_MassOfNitrogenAppliedToSoilsScope1(H25,_xlfn.XLOOKUP($E254,$D$123:$D$129,$E$123:$E$129), _xlfn.XLOOKUP($E254,$D$112:$D$118,$E$112:$E$118),H55,$F224)</f>
        <v>0</v>
      </c>
      <c r="I254" s="50" cm="1">
        <f t="array" aca="1" ref="I254" ca="1">MMS_Swine_ManureAppliedToSoils_Equations.VEERG_4_5_1_9__1_MassOfNitrogenAppliedToSoilsScope1(I25,_xlfn.XLOOKUP($E254,$D$123:$D$129,$E$123:$E$129), _xlfn.XLOOKUP($E254,$D$112:$D$118,$E$112:$E$118),I55,$F224)</f>
        <v>0</v>
      </c>
      <c r="J254" s="2"/>
      <c r="N254" s="55"/>
      <c r="O254" s="55" t="str">
        <f>INDEX(X_Table_Swine_Stage2MMS_From_AnaerobicLagoon,5,1)</f>
        <v>Direct application</v>
      </c>
      <c r="P254" s="50" cm="1">
        <f t="array" aca="1" ref="P254" ca="1">MMS_Swine_ManureAppliedToSoils_Equations.VEERG_4_5_1_9__1_MassOfNitrogenAppliedToSoilsScope1(P25,_xlfn.XLOOKUP($E254,$D$123:$D$129,$E$123:$E$129), _xlfn.XLOOKUP($E254,$D$112:$D$118,$E$112:$E$118),P55,$F224)</f>
        <v>0</v>
      </c>
      <c r="Q254" s="50" cm="1">
        <f t="array" aca="1" ref="Q254" ca="1">MMS_Swine_ManureAppliedToSoils_Equations.VEERG_4_5_1_9__1_MassOfNitrogenAppliedToSoilsScope1(Q25,_xlfn.XLOOKUP($E254,$D$123:$D$129,$E$123:$E$129), _xlfn.XLOOKUP($E254,$D$112:$D$118,$E$112:$E$118),Q55,$F224)</f>
        <v>0</v>
      </c>
      <c r="R254" s="50" cm="1">
        <f t="array" aca="1" ref="R254" ca="1">MMS_Swine_ManureAppliedToSoils_Equations.VEERG_4_5_1_9__1_MassOfNitrogenAppliedToSoilsScope1(R25,_xlfn.XLOOKUP($E254,$D$123:$D$129,$E$123:$E$129), _xlfn.XLOOKUP($E254,$D$112:$D$118,$E$112:$E$118),R55,$F224)</f>
        <v>0</v>
      </c>
      <c r="S254" s="50" cm="1">
        <f t="array" aca="1" ref="S254" ca="1">MMS_Swine_ManureAppliedToSoils_Equations.VEERG_4_5_1_9__1_MassOfNitrogenAppliedToSoilsScope1(S25,_xlfn.XLOOKUP($E254,$D$123:$D$129,$E$123:$E$129), _xlfn.XLOOKUP($E254,$D$112:$D$118,$E$112:$E$118),S55,$F224)</f>
        <v>0</v>
      </c>
      <c r="T254" s="2"/>
    </row>
    <row r="255" spans="1:20" ht="20" customHeight="1" x14ac:dyDescent="0.25">
      <c r="D255" s="55" t="str">
        <f>INDEX(X_Table_Swine_Stage1MMS_Drylot,2,1)</f>
        <v>Drylot (feed pad)</v>
      </c>
      <c r="E255" s="55" t="str">
        <f>INDEX(X_Table_Swine_Stage2MMS_From_Drylot,2,1)</f>
        <v>Anaerobic lagoon</v>
      </c>
      <c r="F255" s="50" cm="1">
        <f t="array" aca="1" ref="F255" ca="1">MMS_Swine_ManureAppliedToSoils_Equations.VEERG_4_5_1_9__1_MassOfNitrogenAppliedToSoilsScope1(F26,_xlfn.XLOOKUP($E255,$D$123:$D$129,$E$123:$E$129), _xlfn.XLOOKUP($E255,$D$112:$D$118,$E$112:$E$118),F56,$F225)</f>
        <v>2.0752439999999988</v>
      </c>
      <c r="G255" s="50" cm="1">
        <f t="array" aca="1" ref="G255" ca="1">MMS_Swine_ManureAppliedToSoils_Equations.VEERG_4_5_1_9__1_MassOfNitrogenAppliedToSoilsScope1(G26,_xlfn.XLOOKUP($E255,$D$123:$D$129,$E$123:$E$129), _xlfn.XLOOKUP($E255,$D$112:$D$118,$E$112:$E$118),G56,$F225)</f>
        <v>3.0315075</v>
      </c>
      <c r="H255" s="50" cm="1">
        <f t="array" aca="1" ref="H255" ca="1">MMS_Swine_ManureAppliedToSoils_Equations.VEERG_4_5_1_9__1_MassOfNitrogenAppliedToSoilsScope1(H26,_xlfn.XLOOKUP($E255,$D$123:$D$129,$E$123:$E$129), _xlfn.XLOOKUP($E255,$D$112:$D$118,$E$112:$E$118),H56,$F225)</f>
        <v>2.8459049999999984</v>
      </c>
      <c r="I255" s="50" cm="1">
        <f t="array" aca="1" ref="I255" ca="1">MMS_Swine_ManureAppliedToSoils_Equations.VEERG_4_5_1_9__1_MassOfNitrogenAppliedToSoilsScope1(I26,_xlfn.XLOOKUP($E255,$D$123:$D$129,$E$123:$E$129), _xlfn.XLOOKUP($E255,$D$112:$D$118,$E$112:$E$118),I56,$F225)</f>
        <v>1.9302659999999991</v>
      </c>
      <c r="J255" s="2"/>
      <c r="N255" s="55" t="str">
        <f>INDEX(X_Table_Swine_Stage1MMS_Drylot,2,1)</f>
        <v>Drylot (feed pad)</v>
      </c>
      <c r="O255" s="55" t="str">
        <f>INDEX(X_Table_Swine_Stage2MMS_From_Drylot,2,1)</f>
        <v>Anaerobic lagoon</v>
      </c>
      <c r="P255" s="50" cm="1">
        <f t="array" aca="1" ref="P255" ca="1">MMS_Swine_ManureAppliedToSoils_Equations.VEERG_4_5_1_9__1_MassOfNitrogenAppliedToSoilsScope1(P26,_xlfn.XLOOKUP($E255,$D$123:$D$129,$E$123:$E$129), _xlfn.XLOOKUP($E255,$D$112:$D$118,$E$112:$E$118),P56,$F225)</f>
        <v>2.0752439999999988</v>
      </c>
      <c r="Q255" s="50" cm="1">
        <f t="array" aca="1" ref="Q255" ca="1">MMS_Swine_ManureAppliedToSoils_Equations.VEERG_4_5_1_9__1_MassOfNitrogenAppliedToSoilsScope1(Q26,_xlfn.XLOOKUP($E255,$D$123:$D$129,$E$123:$E$129), _xlfn.XLOOKUP($E255,$D$112:$D$118,$E$112:$E$118),Q56,$F225)</f>
        <v>3.0315075</v>
      </c>
      <c r="R255" s="50" cm="1">
        <f t="array" aca="1" ref="R255" ca="1">MMS_Swine_ManureAppliedToSoils_Equations.VEERG_4_5_1_9__1_MassOfNitrogenAppliedToSoilsScope1(R26,_xlfn.XLOOKUP($E255,$D$123:$D$129,$E$123:$E$129), _xlfn.XLOOKUP($E255,$D$112:$D$118,$E$112:$E$118),R56,$F225)</f>
        <v>2.8459049999999984</v>
      </c>
      <c r="S255" s="50" cm="1">
        <f t="array" aca="1" ref="S255" ca="1">MMS_Swine_ManureAppliedToSoils_Equations.VEERG_4_5_1_9__1_MassOfNitrogenAppliedToSoilsScope1(S26,_xlfn.XLOOKUP($E255,$D$123:$D$129,$E$123:$E$129), _xlfn.XLOOKUP($E255,$D$112:$D$118,$E$112:$E$118),S56,$F225)</f>
        <v>1.9302659999999991</v>
      </c>
      <c r="T255" s="2"/>
    </row>
    <row r="256" spans="1:20" ht="20" customHeight="1" x14ac:dyDescent="0.25">
      <c r="D256" s="55"/>
      <c r="E256" s="55" t="str">
        <f>INDEX(X_Table_Swine_Stage2MMS_From_Drylot,3,1)</f>
        <v>Digester / covered lagoons</v>
      </c>
      <c r="F256" s="50" cm="1">
        <f t="array" aca="1" ref="F256" ca="1">MMS_Swine_ManureAppliedToSoils_Equations.VEERG_4_5_1_9__1_MassOfNitrogenAppliedToSoilsScope1(F27,_xlfn.XLOOKUP($E256,$D$123:$D$129,$E$123:$E$129), _xlfn.XLOOKUP($E256,$D$112:$D$118,$E$112:$E$118),F57,$F226)</f>
        <v>5.8429199999999986</v>
      </c>
      <c r="G256" s="50" cm="1">
        <f t="array" aca="1" ref="G256" ca="1">MMS_Swine_ManureAppliedToSoils_Equations.VEERG_4_5_1_9__1_MassOfNitrogenAppliedToSoilsScope1(G27,_xlfn.XLOOKUP($E256,$D$123:$D$129,$E$123:$E$129), _xlfn.XLOOKUP($E256,$D$112:$D$118,$E$112:$E$118),G57,$F226)</f>
        <v>8.0482500000000012</v>
      </c>
      <c r="H256" s="50" cm="1">
        <f t="array" aca="1" ref="H256" ca="1">MMS_Swine_ManureAppliedToSoils_Equations.VEERG_4_5_1_9__1_MassOfNitrogenAppliedToSoilsScope1(H27,_xlfn.XLOOKUP($E256,$D$123:$D$129,$E$123:$E$129), _xlfn.XLOOKUP($E256,$D$112:$D$118,$E$112:$E$118),H57,$F226)</f>
        <v>7.5554999999999977</v>
      </c>
      <c r="I256" s="50" cm="1">
        <f t="array" aca="1" ref="I256" ca="1">MMS_Swine_ManureAppliedToSoils_Equations.VEERG_4_5_1_9__1_MassOfNitrogenAppliedToSoilsScope1(I27,_xlfn.XLOOKUP($E256,$D$123:$D$129,$E$123:$E$129), _xlfn.XLOOKUP($E256,$D$112:$D$118,$E$112:$E$118),I57,$F226)</f>
        <v>5.1245999999999983</v>
      </c>
      <c r="J256" s="2"/>
      <c r="N256" s="55"/>
      <c r="O256" s="55" t="str">
        <f>INDEX(X_Table_Swine_Stage2MMS_From_Drylot,3,1)</f>
        <v>Digester / covered lagoons</v>
      </c>
      <c r="P256" s="50" cm="1">
        <f t="array" aca="1" ref="P256" ca="1">MMS_Swine_ManureAppliedToSoils_Equations.VEERG_4_5_1_9__1_MassOfNitrogenAppliedToSoilsScope1(P27,_xlfn.XLOOKUP($E256,$D$123:$D$129,$E$123:$E$129), _xlfn.XLOOKUP($E256,$D$112:$D$118,$E$112:$E$118),P57,$F226)</f>
        <v>5.8429199999999986</v>
      </c>
      <c r="Q256" s="50" cm="1">
        <f t="array" aca="1" ref="Q256" ca="1">MMS_Swine_ManureAppliedToSoils_Equations.VEERG_4_5_1_9__1_MassOfNitrogenAppliedToSoilsScope1(Q27,_xlfn.XLOOKUP($E256,$D$123:$D$129,$E$123:$E$129), _xlfn.XLOOKUP($E256,$D$112:$D$118,$E$112:$E$118),Q57,$F226)</f>
        <v>8.0482500000000012</v>
      </c>
      <c r="R256" s="50" cm="1">
        <f t="array" aca="1" ref="R256" ca="1">MMS_Swine_ManureAppliedToSoils_Equations.VEERG_4_5_1_9__1_MassOfNitrogenAppliedToSoilsScope1(R27,_xlfn.XLOOKUP($E256,$D$123:$D$129,$E$123:$E$129), _xlfn.XLOOKUP($E256,$D$112:$D$118,$E$112:$E$118),R57,$F226)</f>
        <v>7.5554999999999977</v>
      </c>
      <c r="S256" s="50" cm="1">
        <f t="array" aca="1" ref="S256" ca="1">MMS_Swine_ManureAppliedToSoils_Equations.VEERG_4_5_1_9__1_MassOfNitrogenAppliedToSoilsScope1(S27,_xlfn.XLOOKUP($E256,$D$123:$D$129,$E$123:$E$129), _xlfn.XLOOKUP($E256,$D$112:$D$118,$E$112:$E$118),S57,$F226)</f>
        <v>5.1245999999999983</v>
      </c>
      <c r="T256" s="2"/>
    </row>
    <row r="257" spans="4:20" ht="20" customHeight="1" x14ac:dyDescent="0.25">
      <c r="D257" s="55"/>
      <c r="E257" s="55" t="str">
        <f>INDEX(X_Table_Swine_Stage2MMS_From_Drylot,4,1)</f>
        <v>Deep litter</v>
      </c>
      <c r="F257" s="50" cm="1">
        <f t="array" aca="1" ref="F257" ca="1">MMS_Swine_ManureAppliedToSoils_Equations.VEERG_4_5_1_9__1_MassOfNitrogenAppliedToSoilsScope1(F28,_xlfn.XLOOKUP($E257,$D$123:$D$129,$E$123:$E$129), _xlfn.XLOOKUP($E257,$D$112:$D$118,$E$112:$E$118),F58,$F227)</f>
        <v>4.9181267999999987</v>
      </c>
      <c r="G257" s="50" cm="1">
        <f t="array" aca="1" ref="G257" ca="1">MMS_Swine_ManureAppliedToSoils_Equations.VEERG_4_5_1_9__1_MassOfNitrogenAppliedToSoilsScope1(G28,_xlfn.XLOOKUP($E257,$D$123:$D$129,$E$123:$E$129), _xlfn.XLOOKUP($E257,$D$112:$D$118,$E$112:$E$118),G58,$F227)</f>
        <v>6.816867750000001</v>
      </c>
      <c r="H257" s="50" cm="1">
        <f t="array" aca="1" ref="H257" ca="1">MMS_Swine_ManureAppliedToSoils_Equations.VEERG_4_5_1_9__1_MassOfNitrogenAppliedToSoilsScope1(H28,_xlfn.XLOOKUP($E257,$D$123:$D$129,$E$123:$E$129), _xlfn.XLOOKUP($E257,$D$112:$D$118,$E$112:$E$118),H58,$F227)</f>
        <v>6.3995084999999978</v>
      </c>
      <c r="I257" s="50" cm="1">
        <f t="array" aca="1" ref="I257" ca="1">MMS_Swine_ManureAppliedToSoils_Equations.VEERG_4_5_1_9__1_MassOfNitrogenAppliedToSoilsScope1(I28,_xlfn.XLOOKUP($E257,$D$123:$D$129,$E$123:$E$129), _xlfn.XLOOKUP($E257,$D$112:$D$118,$E$112:$E$118),I58,$F227)</f>
        <v>4.3405361999999981</v>
      </c>
      <c r="J257" s="2"/>
      <c r="N257" s="55"/>
      <c r="O257" s="55" t="str">
        <f>INDEX(X_Table_Swine_Stage2MMS_From_Drylot,4,1)</f>
        <v>Deep litter</v>
      </c>
      <c r="P257" s="50" cm="1">
        <f t="array" aca="1" ref="P257" ca="1">MMS_Swine_ManureAppliedToSoils_Equations.VEERG_4_5_1_9__1_MassOfNitrogenAppliedToSoilsScope1(P28,_xlfn.XLOOKUP($E257,$D$123:$D$129,$E$123:$E$129), _xlfn.XLOOKUP($E257,$D$112:$D$118,$E$112:$E$118),P58,$F227)</f>
        <v>4.9181267999999987</v>
      </c>
      <c r="Q257" s="50" cm="1">
        <f t="array" aca="1" ref="Q257" ca="1">MMS_Swine_ManureAppliedToSoils_Equations.VEERG_4_5_1_9__1_MassOfNitrogenAppliedToSoilsScope1(Q28,_xlfn.XLOOKUP($E257,$D$123:$D$129,$E$123:$E$129), _xlfn.XLOOKUP($E257,$D$112:$D$118,$E$112:$E$118),Q58,$F227)</f>
        <v>6.816867750000001</v>
      </c>
      <c r="R257" s="50" cm="1">
        <f t="array" aca="1" ref="R257" ca="1">MMS_Swine_ManureAppliedToSoils_Equations.VEERG_4_5_1_9__1_MassOfNitrogenAppliedToSoilsScope1(R28,_xlfn.XLOOKUP($E257,$D$123:$D$129,$E$123:$E$129), _xlfn.XLOOKUP($E257,$D$112:$D$118,$E$112:$E$118),R58,$F227)</f>
        <v>6.3995084999999978</v>
      </c>
      <c r="S257" s="50" cm="1">
        <f t="array" aca="1" ref="S257" ca="1">MMS_Swine_ManureAppliedToSoils_Equations.VEERG_4_5_1_9__1_MassOfNitrogenAppliedToSoilsScope1(S28,_xlfn.XLOOKUP($E257,$D$123:$D$129,$E$123:$E$129), _xlfn.XLOOKUP($E257,$D$112:$D$118,$E$112:$E$118),S58,$F227)</f>
        <v>4.3405361999999981</v>
      </c>
      <c r="T257" s="2"/>
    </row>
    <row r="258" spans="4:20" ht="20" customHeight="1" x14ac:dyDescent="0.25">
      <c r="D258" s="55"/>
      <c r="E258" s="55" t="str">
        <f>INDEX(X_Table_Swine_Stage2MMS_From_Drylot,5,1)</f>
        <v>Pit storage</v>
      </c>
      <c r="F258" s="50" cm="1">
        <f t="array" aca="1" ref="F258" ca="1">MMS_Swine_ManureAppliedToSoils_Equations.VEERG_4_5_1_9__1_MassOfNitrogenAppliedToSoilsScope1(F29,_xlfn.XLOOKUP($E258,$D$123:$D$129,$E$123:$E$129), _xlfn.XLOOKUP($E258,$D$112:$D$118,$E$112:$E$118),F59,$F228)</f>
        <v>4.1166393599999989</v>
      </c>
      <c r="G258" s="50" cm="1">
        <f t="array" aca="1" ref="G258" ca="1">MMS_Swine_ManureAppliedToSoils_Equations.VEERG_4_5_1_9__1_MassOfNitrogenAppliedToSoilsScope1(G29,_xlfn.XLOOKUP($E258,$D$123:$D$129,$E$123:$E$129), _xlfn.XLOOKUP($E258,$D$112:$D$118,$E$112:$E$118),G59,$F228)</f>
        <v>5.7496698000000013</v>
      </c>
      <c r="H258" s="50" cm="1">
        <f t="array" aca="1" ref="H258" ca="1">MMS_Swine_ManureAppliedToSoils_Equations.VEERG_4_5_1_9__1_MassOfNitrogenAppliedToSoilsScope1(H29,_xlfn.XLOOKUP($E258,$D$123:$D$129,$E$123:$E$129), _xlfn.XLOOKUP($E258,$D$112:$D$118,$E$112:$E$118),H59,$F228)</f>
        <v>5.3976491999999983</v>
      </c>
      <c r="I258" s="50" cm="1">
        <f t="array" aca="1" ref="I258" ca="1">MMS_Swine_ManureAppliedToSoils_Equations.VEERG_4_5_1_9__1_MassOfNitrogenAppliedToSoilsScope1(I29,_xlfn.XLOOKUP($E258,$D$123:$D$129,$E$123:$E$129), _xlfn.XLOOKUP($E258,$D$112:$D$118,$E$112:$E$118),I59,$F228)</f>
        <v>3.6610142399999983</v>
      </c>
      <c r="J258" s="2"/>
      <c r="N258" s="55"/>
      <c r="O258" s="55" t="str">
        <f>INDEX(X_Table_Swine_Stage2MMS_From_Drylot,5,1)</f>
        <v>Pit storage</v>
      </c>
      <c r="P258" s="50" cm="1">
        <f t="array" aca="1" ref="P258" ca="1">MMS_Swine_ManureAppliedToSoils_Equations.VEERG_4_5_1_9__1_MassOfNitrogenAppliedToSoilsScope1(P29,_xlfn.XLOOKUP($E258,$D$123:$D$129,$E$123:$E$129), _xlfn.XLOOKUP($E258,$D$112:$D$118,$E$112:$E$118),P59,$F228)</f>
        <v>4.1166393599999989</v>
      </c>
      <c r="Q258" s="50" cm="1">
        <f t="array" aca="1" ref="Q258" ca="1">MMS_Swine_ManureAppliedToSoils_Equations.VEERG_4_5_1_9__1_MassOfNitrogenAppliedToSoilsScope1(Q29,_xlfn.XLOOKUP($E258,$D$123:$D$129,$E$123:$E$129), _xlfn.XLOOKUP($E258,$D$112:$D$118,$E$112:$E$118),Q59,$F228)</f>
        <v>5.7496698000000013</v>
      </c>
      <c r="R258" s="50" cm="1">
        <f t="array" aca="1" ref="R258" ca="1">MMS_Swine_ManureAppliedToSoils_Equations.VEERG_4_5_1_9__1_MassOfNitrogenAppliedToSoilsScope1(R29,_xlfn.XLOOKUP($E258,$D$123:$D$129,$E$123:$E$129), _xlfn.XLOOKUP($E258,$D$112:$D$118,$E$112:$E$118),R59,$F228)</f>
        <v>5.3976491999999983</v>
      </c>
      <c r="S258" s="50" cm="1">
        <f t="array" aca="1" ref="S258" ca="1">MMS_Swine_ManureAppliedToSoils_Equations.VEERG_4_5_1_9__1_MassOfNitrogenAppliedToSoilsScope1(S29,_xlfn.XLOOKUP($E258,$D$123:$D$129,$E$123:$E$129), _xlfn.XLOOKUP($E258,$D$112:$D$118,$E$112:$E$118),S59,$F228)</f>
        <v>3.6610142399999983</v>
      </c>
      <c r="T258" s="2"/>
    </row>
    <row r="259" spans="4:20" ht="20" customHeight="1" x14ac:dyDescent="0.25">
      <c r="D259" s="55"/>
      <c r="E259" s="55" t="str">
        <f>INDEX(X_Table_Swine_Stage2MMS_From_Drylot,6,1)</f>
        <v>Direct application</v>
      </c>
      <c r="F259" s="50" cm="1">
        <f t="array" aca="1" ref="F259" ca="1">MMS_Swine_ManureAppliedToSoils_Equations.VEERG_4_5_1_9__1_MassOfNitrogenAppliedToSoilsScope1(F30,_xlfn.XLOOKUP($E259,$D$123:$D$129,$E$123:$E$129), _xlfn.XLOOKUP($E259,$D$112:$D$118,$E$112:$E$118),F60,$F229)</f>
        <v>0</v>
      </c>
      <c r="G259" s="50" cm="1">
        <f t="array" aca="1" ref="G259" ca="1">MMS_Swine_ManureAppliedToSoils_Equations.VEERG_4_5_1_9__1_MassOfNitrogenAppliedToSoilsScope1(G30,_xlfn.XLOOKUP($E259,$D$123:$D$129,$E$123:$E$129), _xlfn.XLOOKUP($E259,$D$112:$D$118,$E$112:$E$118),G60,$F229)</f>
        <v>0</v>
      </c>
      <c r="H259" s="50" cm="1">
        <f t="array" aca="1" ref="H259" ca="1">MMS_Swine_ManureAppliedToSoils_Equations.VEERG_4_5_1_9__1_MassOfNitrogenAppliedToSoilsScope1(H30,_xlfn.XLOOKUP($E259,$D$123:$D$129,$E$123:$E$129), _xlfn.XLOOKUP($E259,$D$112:$D$118,$E$112:$E$118),H60,$F229)</f>
        <v>0</v>
      </c>
      <c r="I259" s="50" cm="1">
        <f t="array" aca="1" ref="I259" ca="1">MMS_Swine_ManureAppliedToSoils_Equations.VEERG_4_5_1_9__1_MassOfNitrogenAppliedToSoilsScope1(I30,_xlfn.XLOOKUP($E259,$D$123:$D$129,$E$123:$E$129), _xlfn.XLOOKUP($E259,$D$112:$D$118,$E$112:$E$118),I60,$F229)</f>
        <v>0</v>
      </c>
      <c r="J259" s="2"/>
      <c r="N259" s="55"/>
      <c r="O259" s="55" t="str">
        <f>INDEX(X_Table_Swine_Stage2MMS_From_Drylot,6,1)</f>
        <v>Direct application</v>
      </c>
      <c r="P259" s="50" cm="1">
        <f t="array" aca="1" ref="P259" ca="1">MMS_Swine_ManureAppliedToSoils_Equations.VEERG_4_5_1_9__1_MassOfNitrogenAppliedToSoilsScope1(P30,_xlfn.XLOOKUP($E259,$D$123:$D$129,$E$123:$E$129), _xlfn.XLOOKUP($E259,$D$112:$D$118,$E$112:$E$118),P60,$F229)</f>
        <v>0</v>
      </c>
      <c r="Q259" s="50" cm="1">
        <f t="array" aca="1" ref="Q259" ca="1">MMS_Swine_ManureAppliedToSoils_Equations.VEERG_4_5_1_9__1_MassOfNitrogenAppliedToSoilsScope1(Q30,_xlfn.XLOOKUP($E259,$D$123:$D$129,$E$123:$E$129), _xlfn.XLOOKUP($E259,$D$112:$D$118,$E$112:$E$118),Q60,$F229)</f>
        <v>0</v>
      </c>
      <c r="R259" s="50" cm="1">
        <f t="array" aca="1" ref="R259" ca="1">MMS_Swine_ManureAppliedToSoils_Equations.VEERG_4_5_1_9__1_MassOfNitrogenAppliedToSoilsScope1(R30,_xlfn.XLOOKUP($E259,$D$123:$D$129,$E$123:$E$129), _xlfn.XLOOKUP($E259,$D$112:$D$118,$E$112:$E$118),R60,$F229)</f>
        <v>0</v>
      </c>
      <c r="S259" s="50" cm="1">
        <f t="array" aca="1" ref="S259" ca="1">MMS_Swine_ManureAppliedToSoils_Equations.VEERG_4_5_1_9__1_MassOfNitrogenAppliedToSoilsScope1(S30,_xlfn.XLOOKUP($E259,$D$123:$D$129,$E$123:$E$129), _xlfn.XLOOKUP($E259,$D$112:$D$118,$E$112:$E$118),S60,$F229)</f>
        <v>0</v>
      </c>
      <c r="T259" s="2"/>
    </row>
    <row r="260" spans="4:20" ht="20" customHeight="1" x14ac:dyDescent="0.25">
      <c r="D260" s="55" t="str">
        <f>INDEX(X_Table_Swine_Stage1MMS_DigesterCoveredLagoons,2,1)</f>
        <v>Digester / covered lagoons</v>
      </c>
      <c r="E260" s="55" t="str">
        <f>INDEX(X_Table_Swine_Stage2MMS_From_DigesterCoveredLagoons,2,1)</f>
        <v>Anaerobic lagoon</v>
      </c>
      <c r="F260" s="50" cm="1">
        <f t="array" aca="1" ref="F260" ca="1">MMS_Swine_ManureAppliedToSoils_Equations.VEERG_4_5_1_9__1_MassOfNitrogenAppliedToSoilsScope1(F31,_xlfn.XLOOKUP($E260,$D$123:$D$129,$E$123:$E$129), _xlfn.XLOOKUP($E260,$D$112:$D$118,$E$112:$E$118),F61,$F230)</f>
        <v>4.5332999999999988</v>
      </c>
      <c r="G260" s="50" cm="1">
        <f t="array" aca="1" ref="G260" ca="1">MMS_Swine_ManureAppliedToSoils_Equations.VEERG_4_5_1_9__1_MassOfNitrogenAppliedToSoilsScope1(G31,_xlfn.XLOOKUP($E260,$D$123:$D$129,$E$123:$E$129), _xlfn.XLOOKUP($E260,$D$112:$D$118,$E$112:$E$118),G61,$F230)</f>
        <v>6.0361875000000005</v>
      </c>
      <c r="H260" s="50" cm="1">
        <f t="array" aca="1" ref="H260" ca="1">MMS_Swine_ManureAppliedToSoils_Equations.VEERG_4_5_1_9__1_MassOfNitrogenAppliedToSoilsScope1(H31,_xlfn.XLOOKUP($E260,$D$123:$D$129,$E$123:$E$129), _xlfn.XLOOKUP($E260,$D$112:$D$118,$E$112:$E$118),H61,$F230)</f>
        <v>5.666624999999998</v>
      </c>
      <c r="I260" s="50" cm="1">
        <f t="array" aca="1" ref="I260" ca="1">MMS_Swine_ManureAppliedToSoils_Equations.VEERG_4_5_1_9__1_MassOfNitrogenAppliedToSoilsScope1(I31,_xlfn.XLOOKUP($E260,$D$123:$D$129,$E$123:$E$129), _xlfn.XLOOKUP($E260,$D$112:$D$118,$E$112:$E$118),I61,$F230)</f>
        <v>3.8434499999999989</v>
      </c>
      <c r="J260" s="2"/>
      <c r="N260" s="55" t="str">
        <f>INDEX(X_Table_Swine_Stage1MMS_DigesterCoveredLagoons,2,1)</f>
        <v>Digester / covered lagoons</v>
      </c>
      <c r="O260" s="55" t="str">
        <f>INDEX(X_Table_Swine_Stage2MMS_From_DigesterCoveredLagoons,2,1)</f>
        <v>Anaerobic lagoon</v>
      </c>
      <c r="P260" s="50" cm="1">
        <f t="array" aca="1" ref="P260" ca="1">MMS_Swine_ManureAppliedToSoils_Equations.VEERG_4_5_1_9__1_MassOfNitrogenAppliedToSoilsScope1(P31,_xlfn.XLOOKUP($E260,$D$123:$D$129,$E$123:$E$129), _xlfn.XLOOKUP($E260,$D$112:$D$118,$E$112:$E$118),P61,$F230)</f>
        <v>4.5332999999999988</v>
      </c>
      <c r="Q260" s="50" cm="1">
        <f t="array" aca="1" ref="Q260" ca="1">MMS_Swine_ManureAppliedToSoils_Equations.VEERG_4_5_1_9__1_MassOfNitrogenAppliedToSoilsScope1(Q31,_xlfn.XLOOKUP($E260,$D$123:$D$129,$E$123:$E$129), _xlfn.XLOOKUP($E260,$D$112:$D$118,$E$112:$E$118),Q61,$F230)</f>
        <v>6.0361875000000005</v>
      </c>
      <c r="R260" s="50" cm="1">
        <f t="array" aca="1" ref="R260" ca="1">MMS_Swine_ManureAppliedToSoils_Equations.VEERG_4_5_1_9__1_MassOfNitrogenAppliedToSoilsScope1(R31,_xlfn.XLOOKUP($E260,$D$123:$D$129,$E$123:$E$129), _xlfn.XLOOKUP($E260,$D$112:$D$118,$E$112:$E$118),R61,$F230)</f>
        <v>5.666624999999998</v>
      </c>
      <c r="S260" s="50" cm="1">
        <f t="array" aca="1" ref="S260" ca="1">MMS_Swine_ManureAppliedToSoils_Equations.VEERG_4_5_1_9__1_MassOfNitrogenAppliedToSoilsScope1(S31,_xlfn.XLOOKUP($E260,$D$123:$D$129,$E$123:$E$129), _xlfn.XLOOKUP($E260,$D$112:$D$118,$E$112:$E$118),S61,$F230)</f>
        <v>3.8434499999999989</v>
      </c>
      <c r="T260" s="2"/>
    </row>
    <row r="261" spans="4:20" ht="20" customHeight="1" x14ac:dyDescent="0.25">
      <c r="D261" s="55"/>
      <c r="E261" s="55" t="str">
        <f>INDEX(X_Table_Swine_Stage2MMS_From_DigesterCoveredLagoons,3,1)</f>
        <v>Deep litter</v>
      </c>
      <c r="F261" s="50" cm="1">
        <f t="array" aca="1" ref="F261" ca="1">MMS_Swine_ManureAppliedToSoils_Equations.VEERG_4_5_1_9__1_MassOfNitrogenAppliedToSoilsScope1(F32,_xlfn.XLOOKUP($E261,$D$123:$D$129,$E$123:$E$129), _xlfn.XLOOKUP($E261,$D$112:$D$118,$E$112:$E$118),F62,$F231)</f>
        <v>8.7140099999999983</v>
      </c>
      <c r="G261" s="50" cm="1">
        <f t="array" aca="1" ref="G261" ca="1">MMS_Swine_ManureAppliedToSoils_Equations.VEERG_4_5_1_9__1_MassOfNitrogenAppliedToSoilsScope1(G32,_xlfn.XLOOKUP($E261,$D$123:$D$129,$E$123:$E$129), _xlfn.XLOOKUP($E261,$D$112:$D$118,$E$112:$E$118),G62,$F231)</f>
        <v>11.602893750000002</v>
      </c>
      <c r="H261" s="50" cm="1">
        <f t="array" aca="1" ref="H261" ca="1">MMS_Swine_ManureAppliedToSoils_Equations.VEERG_4_5_1_9__1_MassOfNitrogenAppliedToSoilsScope1(H32,_xlfn.XLOOKUP($E261,$D$123:$D$129,$E$123:$E$129), _xlfn.XLOOKUP($E261,$D$112:$D$118,$E$112:$E$118),H62,$F231)</f>
        <v>10.892512499999997</v>
      </c>
      <c r="I261" s="50" cm="1">
        <f t="array" aca="1" ref="I261" ca="1">MMS_Swine_ManureAppliedToSoils_Equations.VEERG_4_5_1_9__1_MassOfNitrogenAppliedToSoilsScope1(I32,_xlfn.XLOOKUP($E261,$D$123:$D$129,$E$123:$E$129), _xlfn.XLOOKUP($E261,$D$112:$D$118,$E$112:$E$118),I62,$F231)</f>
        <v>7.3879649999999986</v>
      </c>
      <c r="J261" s="2"/>
      <c r="N261" s="55"/>
      <c r="O261" s="55" t="str">
        <f>INDEX(X_Table_Swine_Stage2MMS_From_DigesterCoveredLagoons,3,1)</f>
        <v>Deep litter</v>
      </c>
      <c r="P261" s="50" cm="1">
        <f t="array" aca="1" ref="P261" ca="1">MMS_Swine_ManureAppliedToSoils_Equations.VEERG_4_5_1_9__1_MassOfNitrogenAppliedToSoilsScope1(P32,_xlfn.XLOOKUP($E261,$D$123:$D$129,$E$123:$E$129), _xlfn.XLOOKUP($E261,$D$112:$D$118,$E$112:$E$118),P62,$F231)</f>
        <v>8.7140099999999983</v>
      </c>
      <c r="Q261" s="50" cm="1">
        <f t="array" aca="1" ref="Q261" ca="1">MMS_Swine_ManureAppliedToSoils_Equations.VEERG_4_5_1_9__1_MassOfNitrogenAppliedToSoilsScope1(Q32,_xlfn.XLOOKUP($E261,$D$123:$D$129,$E$123:$E$129), _xlfn.XLOOKUP($E261,$D$112:$D$118,$E$112:$E$118),Q62,$F231)</f>
        <v>11.602893750000002</v>
      </c>
      <c r="R261" s="50" cm="1">
        <f t="array" aca="1" ref="R261" ca="1">MMS_Swine_ManureAppliedToSoils_Equations.VEERG_4_5_1_9__1_MassOfNitrogenAppliedToSoilsScope1(R32,_xlfn.XLOOKUP($E261,$D$123:$D$129,$E$123:$E$129), _xlfn.XLOOKUP($E261,$D$112:$D$118,$E$112:$E$118),R62,$F231)</f>
        <v>10.892512499999997</v>
      </c>
      <c r="S261" s="50" cm="1">
        <f t="array" aca="1" ref="S261" ca="1">MMS_Swine_ManureAppliedToSoils_Equations.VEERG_4_5_1_9__1_MassOfNitrogenAppliedToSoilsScope1(S32,_xlfn.XLOOKUP($E261,$D$123:$D$129,$E$123:$E$129), _xlfn.XLOOKUP($E261,$D$112:$D$118,$E$112:$E$118),S62,$F231)</f>
        <v>7.3879649999999986</v>
      </c>
      <c r="T261" s="2"/>
    </row>
    <row r="262" spans="4:20" ht="20" customHeight="1" x14ac:dyDescent="0.25">
      <c r="D262" s="55"/>
      <c r="E262" s="55" t="str">
        <f>INDEX(X_Table_Swine_Stage2MMS_From_DigesterCoveredLagoons,4,1)</f>
        <v>Pit storage</v>
      </c>
      <c r="F262" s="50" cm="1">
        <f t="array" aca="1" ref="F262" ca="1">MMS_Swine_ManureAppliedToSoils_Equations.VEERG_4_5_1_9__1_MassOfNitrogenAppliedToSoilsScope1(F33,_xlfn.XLOOKUP($E262,$D$123:$D$129,$E$123:$E$129), _xlfn.XLOOKUP($E262,$D$112:$D$118,$E$112:$E$118),F63,$F232)</f>
        <v>7.5353519999999987</v>
      </c>
      <c r="G262" s="50" cm="1">
        <f t="array" aca="1" ref="G262" ca="1">MMS_Swine_ManureAppliedToSoils_Equations.VEERG_4_5_1_9__1_MassOfNitrogenAppliedToSoilsScope1(G33,_xlfn.XLOOKUP($E262,$D$123:$D$129,$E$123:$E$129), _xlfn.XLOOKUP($E262,$D$112:$D$118,$E$112:$E$118),G63,$F232)</f>
        <v>10.033485000000001</v>
      </c>
      <c r="H262" s="50" cm="1">
        <f t="array" aca="1" ref="H262" ca="1">MMS_Swine_ManureAppliedToSoils_Equations.VEERG_4_5_1_9__1_MassOfNitrogenAppliedToSoilsScope1(H33,_xlfn.XLOOKUP($E262,$D$123:$D$129,$E$123:$E$129), _xlfn.XLOOKUP($E262,$D$112:$D$118,$E$112:$E$118),H63,$F232)</f>
        <v>9.4191899999999986</v>
      </c>
      <c r="I262" s="50" cm="1">
        <f t="array" aca="1" ref="I262" ca="1">MMS_Swine_ManureAppliedToSoils_Equations.VEERG_4_5_1_9__1_MassOfNitrogenAppliedToSoilsScope1(I33,_xlfn.XLOOKUP($E262,$D$123:$D$129,$E$123:$E$129), _xlfn.XLOOKUP($E262,$D$112:$D$118,$E$112:$E$118),I63,$F232)</f>
        <v>6.3886679999999991</v>
      </c>
      <c r="J262" s="2"/>
      <c r="N262" s="55"/>
      <c r="O262" s="55" t="str">
        <f>INDEX(X_Table_Swine_Stage2MMS_From_DigesterCoveredLagoons,4,1)</f>
        <v>Pit storage</v>
      </c>
      <c r="P262" s="50" cm="1">
        <f t="array" aca="1" ref="P262" ca="1">MMS_Swine_ManureAppliedToSoils_Equations.VEERG_4_5_1_9__1_MassOfNitrogenAppliedToSoilsScope1(P33,_xlfn.XLOOKUP($E262,$D$123:$D$129,$E$123:$E$129), _xlfn.XLOOKUP($E262,$D$112:$D$118,$E$112:$E$118),P63,$F232)</f>
        <v>7.5353519999999987</v>
      </c>
      <c r="Q262" s="50" cm="1">
        <f t="array" aca="1" ref="Q262" ca="1">MMS_Swine_ManureAppliedToSoils_Equations.VEERG_4_5_1_9__1_MassOfNitrogenAppliedToSoilsScope1(Q33,_xlfn.XLOOKUP($E262,$D$123:$D$129,$E$123:$E$129), _xlfn.XLOOKUP($E262,$D$112:$D$118,$E$112:$E$118),Q63,$F232)</f>
        <v>10.033485000000001</v>
      </c>
      <c r="R262" s="50" cm="1">
        <f t="array" aca="1" ref="R262" ca="1">MMS_Swine_ManureAppliedToSoils_Equations.VEERG_4_5_1_9__1_MassOfNitrogenAppliedToSoilsScope1(R33,_xlfn.XLOOKUP($E262,$D$123:$D$129,$E$123:$E$129), _xlfn.XLOOKUP($E262,$D$112:$D$118,$E$112:$E$118),R63,$F232)</f>
        <v>9.4191899999999986</v>
      </c>
      <c r="S262" s="50" cm="1">
        <f t="array" aca="1" ref="S262" ca="1">MMS_Swine_ManureAppliedToSoils_Equations.VEERG_4_5_1_9__1_MassOfNitrogenAppliedToSoilsScope1(S33,_xlfn.XLOOKUP($E262,$D$123:$D$129,$E$123:$E$129), _xlfn.XLOOKUP($E262,$D$112:$D$118,$E$112:$E$118),S63,$F232)</f>
        <v>6.3886679999999991</v>
      </c>
      <c r="T262" s="2"/>
    </row>
    <row r="263" spans="4:20" ht="20" customHeight="1" x14ac:dyDescent="0.25">
      <c r="D263" s="55"/>
      <c r="E263" s="55" t="str">
        <f>INDEX(X_Table_Swine_Stage2MMS_From_DigesterCoveredLagoons,5,1)</f>
        <v>Direct application</v>
      </c>
      <c r="F263" s="50" cm="1">
        <f t="array" aca="1" ref="F263" ca="1">MMS_Swine_ManureAppliedToSoils_Equations.VEERG_4_5_1_9__1_MassOfNitrogenAppliedToSoilsScope1(F34,_xlfn.XLOOKUP($E263,$D$123:$D$129,$E$123:$E$129), _xlfn.XLOOKUP($E263,$D$112:$D$118,$E$112:$E$118),F64,$F233)</f>
        <v>0</v>
      </c>
      <c r="G263" s="50" cm="1">
        <f t="array" aca="1" ref="G263" ca="1">MMS_Swine_ManureAppliedToSoils_Equations.VEERG_4_5_1_9__1_MassOfNitrogenAppliedToSoilsScope1(G34,_xlfn.XLOOKUP($E263,$D$123:$D$129,$E$123:$E$129), _xlfn.XLOOKUP($E263,$D$112:$D$118,$E$112:$E$118),G64,$F233)</f>
        <v>0</v>
      </c>
      <c r="H263" s="50" cm="1">
        <f t="array" aca="1" ref="H263" ca="1">MMS_Swine_ManureAppliedToSoils_Equations.VEERG_4_5_1_9__1_MassOfNitrogenAppliedToSoilsScope1(H34,_xlfn.XLOOKUP($E263,$D$123:$D$129,$E$123:$E$129), _xlfn.XLOOKUP($E263,$D$112:$D$118,$E$112:$E$118),H64,$F233)</f>
        <v>0</v>
      </c>
      <c r="I263" s="50" cm="1">
        <f t="array" aca="1" ref="I263" ca="1">MMS_Swine_ManureAppliedToSoils_Equations.VEERG_4_5_1_9__1_MassOfNitrogenAppliedToSoilsScope1(I34,_xlfn.XLOOKUP($E263,$D$123:$D$129,$E$123:$E$129), _xlfn.XLOOKUP($E263,$D$112:$D$118,$E$112:$E$118),I64,$F233)</f>
        <v>0</v>
      </c>
      <c r="J263" s="2"/>
      <c r="N263" s="55"/>
      <c r="O263" s="55" t="str">
        <f>INDEX(X_Table_Swine_Stage2MMS_From_DigesterCoveredLagoons,5,1)</f>
        <v>Direct application</v>
      </c>
      <c r="P263" s="50" cm="1">
        <f t="array" aca="1" ref="P263" ca="1">MMS_Swine_ManureAppliedToSoils_Equations.VEERG_4_5_1_9__1_MassOfNitrogenAppliedToSoilsScope1(P34,_xlfn.XLOOKUP($E263,$D$123:$D$129,$E$123:$E$129), _xlfn.XLOOKUP($E263,$D$112:$D$118,$E$112:$E$118),P64,$F233)</f>
        <v>0</v>
      </c>
      <c r="Q263" s="50" cm="1">
        <f t="array" aca="1" ref="Q263" ca="1">MMS_Swine_ManureAppliedToSoils_Equations.VEERG_4_5_1_9__1_MassOfNitrogenAppliedToSoilsScope1(Q34,_xlfn.XLOOKUP($E263,$D$123:$D$129,$E$123:$E$129), _xlfn.XLOOKUP($E263,$D$112:$D$118,$E$112:$E$118),Q64,$F233)</f>
        <v>0</v>
      </c>
      <c r="R263" s="50" cm="1">
        <f t="array" aca="1" ref="R263" ca="1">MMS_Swine_ManureAppliedToSoils_Equations.VEERG_4_5_1_9__1_MassOfNitrogenAppliedToSoilsScope1(R34,_xlfn.XLOOKUP($E263,$D$123:$D$129,$E$123:$E$129), _xlfn.XLOOKUP($E263,$D$112:$D$118,$E$112:$E$118),R64,$F233)</f>
        <v>0</v>
      </c>
      <c r="S263" s="50" cm="1">
        <f t="array" aca="1" ref="S263" ca="1">MMS_Swine_ManureAppliedToSoils_Equations.VEERG_4_5_1_9__1_MassOfNitrogenAppliedToSoilsScope1(S34,_xlfn.XLOOKUP($E263,$D$123:$D$129,$E$123:$E$129), _xlfn.XLOOKUP($E263,$D$112:$D$118,$E$112:$E$118),S64,$F233)</f>
        <v>0</v>
      </c>
      <c r="T263" s="2"/>
    </row>
    <row r="264" spans="4:20" ht="20" customHeight="1" x14ac:dyDescent="0.25">
      <c r="D264" s="55" t="str">
        <f>INDEX(X_Table_Swine_Stage1MMS_DeepLitter,2,1)</f>
        <v>Deep litter</v>
      </c>
      <c r="E264" s="55" t="str">
        <f>INDEX(X_Table_Swine_Stage2MMS_From_DeepLitter,2,1)</f>
        <v>Anaerobic lagoon</v>
      </c>
      <c r="F264" s="50" cm="1">
        <f t="array" aca="1" ref="F264" ca="1">MMS_Swine_ManureAppliedToSoils_Equations.VEERG_4_5_1_9__1_MassOfNitrogenAppliedToSoilsScope1(F35,_xlfn.XLOOKUP($E264,$D$123:$D$129,$E$123:$E$129), _xlfn.XLOOKUP($E264,$D$112:$D$118,$E$112:$E$118),F65,$F234)</f>
        <v>3.9213044999999989</v>
      </c>
      <c r="G264" s="50" cm="1">
        <f t="array" aca="1" ref="G264" ca="1">MMS_Swine_ManureAppliedToSoils_Equations.VEERG_4_5_1_9__1_MassOfNitrogenAppliedToSoilsScope1(G35,_xlfn.XLOOKUP($E264,$D$123:$D$129,$E$123:$E$129), _xlfn.XLOOKUP($E264,$D$112:$D$118,$E$112:$E$118),G65,$F234)</f>
        <v>5.2213021875000001</v>
      </c>
      <c r="H264" s="50" cm="1">
        <f t="array" aca="1" ref="H264" ca="1">MMS_Swine_ManureAppliedToSoils_Equations.VEERG_4_5_1_9__1_MassOfNitrogenAppliedToSoilsScope1(H35,_xlfn.XLOOKUP($E264,$D$123:$D$129,$E$123:$E$129), _xlfn.XLOOKUP($E264,$D$112:$D$118,$E$112:$E$118),H65,$F234)</f>
        <v>4.9016306249999984</v>
      </c>
      <c r="I264" s="50" cm="1">
        <f t="array" aca="1" ref="I264" ca="1">MMS_Swine_ManureAppliedToSoils_Equations.VEERG_4_5_1_9__1_MassOfNitrogenAppliedToSoilsScope1(I35,_xlfn.XLOOKUP($E264,$D$123:$D$129,$E$123:$E$129), _xlfn.XLOOKUP($E264,$D$112:$D$118,$E$112:$E$118),I65,$F234)</f>
        <v>3.3245842499999991</v>
      </c>
      <c r="J264" s="2"/>
      <c r="N264" s="55" t="str">
        <f>INDEX(X_Table_Swine_Stage1MMS_DeepLitter,2,1)</f>
        <v>Deep litter</v>
      </c>
      <c r="O264" s="55" t="str">
        <f>INDEX(X_Table_Swine_Stage2MMS_From_DeepLitter,2,1)</f>
        <v>Anaerobic lagoon</v>
      </c>
      <c r="P264" s="50" cm="1">
        <f t="array" aca="1" ref="P264" ca="1">MMS_Swine_ManureAppliedToSoils_Equations.VEERG_4_5_1_9__1_MassOfNitrogenAppliedToSoilsScope1(P35,_xlfn.XLOOKUP($E264,$D$123:$D$129,$E$123:$E$129), _xlfn.XLOOKUP($E264,$D$112:$D$118,$E$112:$E$118),P65,$F234)</f>
        <v>3.9213044999999989</v>
      </c>
      <c r="Q264" s="50" cm="1">
        <f t="array" aca="1" ref="Q264" ca="1">MMS_Swine_ManureAppliedToSoils_Equations.VEERG_4_5_1_9__1_MassOfNitrogenAppliedToSoilsScope1(Q35,_xlfn.XLOOKUP($E264,$D$123:$D$129,$E$123:$E$129), _xlfn.XLOOKUP($E264,$D$112:$D$118,$E$112:$E$118),Q65,$F234)</f>
        <v>5.2213021875000001</v>
      </c>
      <c r="R264" s="50" cm="1">
        <f t="array" aca="1" ref="R264" ca="1">MMS_Swine_ManureAppliedToSoils_Equations.VEERG_4_5_1_9__1_MassOfNitrogenAppliedToSoilsScope1(R35,_xlfn.XLOOKUP($E264,$D$123:$D$129,$E$123:$E$129), _xlfn.XLOOKUP($E264,$D$112:$D$118,$E$112:$E$118),R65,$F234)</f>
        <v>4.9016306249999984</v>
      </c>
      <c r="S264" s="50" cm="1">
        <f t="array" aca="1" ref="S264" ca="1">MMS_Swine_ManureAppliedToSoils_Equations.VEERG_4_5_1_9__1_MassOfNitrogenAppliedToSoilsScope1(S35,_xlfn.XLOOKUP($E264,$D$123:$D$129,$E$123:$E$129), _xlfn.XLOOKUP($E264,$D$112:$D$118,$E$112:$E$118),S65,$F234)</f>
        <v>3.3245842499999991</v>
      </c>
      <c r="T264" s="2"/>
    </row>
    <row r="265" spans="4:20" ht="20" customHeight="1" x14ac:dyDescent="0.25">
      <c r="D265" s="55"/>
      <c r="E265" s="55" t="str">
        <f>INDEX(X_Table_Swine_Stage2MMS_From_DeepLitter,3,1)</f>
        <v>Digester / covered lagoons</v>
      </c>
      <c r="F265" s="50" cm="1">
        <f t="array" aca="1" ref="F265" ca="1">MMS_Swine_ManureAppliedToSoils_Equations.VEERG_4_5_1_9__1_MassOfNitrogenAppliedToSoilsScope1(F36,_xlfn.XLOOKUP($E265,$D$123:$D$129,$E$123:$E$129), _xlfn.XLOOKUP($E265,$D$112:$D$118,$E$112:$E$118),F66,$F235)</f>
        <v>8.7140099999999983</v>
      </c>
      <c r="G265" s="50" cm="1">
        <f t="array" aca="1" ref="G265" ca="1">MMS_Swine_ManureAppliedToSoils_Equations.VEERG_4_5_1_9__1_MassOfNitrogenAppliedToSoilsScope1(G36,_xlfn.XLOOKUP($E265,$D$123:$D$129,$E$123:$E$129), _xlfn.XLOOKUP($E265,$D$112:$D$118,$E$112:$E$118),G66,$F235)</f>
        <v>11.602893750000002</v>
      </c>
      <c r="H265" s="50" cm="1">
        <f t="array" aca="1" ref="H265" ca="1">MMS_Swine_ManureAppliedToSoils_Equations.VEERG_4_5_1_9__1_MassOfNitrogenAppliedToSoilsScope1(H36,_xlfn.XLOOKUP($E265,$D$123:$D$129,$E$123:$E$129), _xlfn.XLOOKUP($E265,$D$112:$D$118,$E$112:$E$118),H66,$F235)</f>
        <v>10.892512499999997</v>
      </c>
      <c r="I265" s="50" cm="1">
        <f t="array" aca="1" ref="I265" ca="1">MMS_Swine_ManureAppliedToSoils_Equations.VEERG_4_5_1_9__1_MassOfNitrogenAppliedToSoilsScope1(I36,_xlfn.XLOOKUP($E265,$D$123:$D$129,$E$123:$E$129), _xlfn.XLOOKUP($E265,$D$112:$D$118,$E$112:$E$118),I66,$F235)</f>
        <v>7.3879649999999986</v>
      </c>
      <c r="J265" s="2"/>
      <c r="N265" s="55"/>
      <c r="O265" s="55" t="str">
        <f>INDEX(X_Table_Swine_Stage2MMS_From_DeepLitter,3,1)</f>
        <v>Digester / covered lagoons</v>
      </c>
      <c r="P265" s="50" cm="1">
        <f t="array" aca="1" ref="P265" ca="1">MMS_Swine_ManureAppliedToSoils_Equations.VEERG_4_5_1_9__1_MassOfNitrogenAppliedToSoilsScope1(P36,_xlfn.XLOOKUP($E265,$D$123:$D$129,$E$123:$E$129), _xlfn.XLOOKUP($E265,$D$112:$D$118,$E$112:$E$118),P66,$F235)</f>
        <v>8.7140099999999983</v>
      </c>
      <c r="Q265" s="50" cm="1">
        <f t="array" aca="1" ref="Q265" ca="1">MMS_Swine_ManureAppliedToSoils_Equations.VEERG_4_5_1_9__1_MassOfNitrogenAppliedToSoilsScope1(Q36,_xlfn.XLOOKUP($E265,$D$123:$D$129,$E$123:$E$129), _xlfn.XLOOKUP($E265,$D$112:$D$118,$E$112:$E$118),Q66,$F235)</f>
        <v>11.602893750000002</v>
      </c>
      <c r="R265" s="50" cm="1">
        <f t="array" aca="1" ref="R265" ca="1">MMS_Swine_ManureAppliedToSoils_Equations.VEERG_4_5_1_9__1_MassOfNitrogenAppliedToSoilsScope1(R36,_xlfn.XLOOKUP($E265,$D$123:$D$129,$E$123:$E$129), _xlfn.XLOOKUP($E265,$D$112:$D$118,$E$112:$E$118),R66,$F235)</f>
        <v>10.892512499999997</v>
      </c>
      <c r="S265" s="50" cm="1">
        <f t="array" aca="1" ref="S265" ca="1">MMS_Swine_ManureAppliedToSoils_Equations.VEERG_4_5_1_9__1_MassOfNitrogenAppliedToSoilsScope1(S36,_xlfn.XLOOKUP($E265,$D$123:$D$129,$E$123:$E$129), _xlfn.XLOOKUP($E265,$D$112:$D$118,$E$112:$E$118),S66,$F235)</f>
        <v>7.3879649999999986</v>
      </c>
      <c r="T265" s="2"/>
    </row>
    <row r="266" spans="4:20" ht="20" customHeight="1" x14ac:dyDescent="0.25">
      <c r="D266" s="55"/>
      <c r="E266" s="55" t="str">
        <f>INDEX(X_Table_Swine_Stage2MMS_From_DeepLitter,4,1)</f>
        <v>Pit storage</v>
      </c>
      <c r="F266" s="50" cm="1">
        <f t="array" aca="1" ref="F266" ca="1">MMS_Swine_ManureAppliedToSoils_Equations.VEERG_4_5_1_9__1_MassOfNitrogenAppliedToSoilsScope1(F37,_xlfn.XLOOKUP($E266,$D$123:$D$129,$E$123:$E$129), _xlfn.XLOOKUP($E266,$D$112:$D$118,$E$112:$E$118),F67,$F236)</f>
        <v>6.518079479999999</v>
      </c>
      <c r="G266" s="50" cm="1">
        <f t="array" aca="1" ref="G266" ca="1">MMS_Swine_ManureAppliedToSoils_Equations.VEERG_4_5_1_9__1_MassOfNitrogenAppliedToSoilsScope1(G37,_xlfn.XLOOKUP($E266,$D$123:$D$129,$E$123:$E$129), _xlfn.XLOOKUP($E266,$D$112:$D$118,$E$112:$E$118),G67,$F236)</f>
        <v>8.6789645250000014</v>
      </c>
      <c r="H266" s="50" cm="1">
        <f t="array" aca="1" ref="H266" ca="1">MMS_Swine_ManureAppliedToSoils_Equations.VEERG_4_5_1_9__1_MassOfNitrogenAppliedToSoilsScope1(H37,_xlfn.XLOOKUP($E266,$D$123:$D$129,$E$123:$E$129), _xlfn.XLOOKUP($E266,$D$112:$D$118,$E$112:$E$118),H67,$F236)</f>
        <v>8.1475993499999984</v>
      </c>
      <c r="I266" s="50" cm="1">
        <f t="array" aca="1" ref="I266" ca="1">MMS_Swine_ManureAppliedToSoils_Equations.VEERG_4_5_1_9__1_MassOfNitrogenAppliedToSoilsScope1(I37,_xlfn.XLOOKUP($E266,$D$123:$D$129,$E$123:$E$129), _xlfn.XLOOKUP($E266,$D$112:$D$118,$E$112:$E$118),I67,$F236)</f>
        <v>5.5261978199999993</v>
      </c>
      <c r="J266" s="2"/>
      <c r="N266" s="55"/>
      <c r="O266" s="55" t="str">
        <f>INDEX(X_Table_Swine_Stage2MMS_From_DeepLitter,4,1)</f>
        <v>Pit storage</v>
      </c>
      <c r="P266" s="50" cm="1">
        <f t="array" aca="1" ref="P266" ca="1">MMS_Swine_ManureAppliedToSoils_Equations.VEERG_4_5_1_9__1_MassOfNitrogenAppliedToSoilsScope1(P37,_xlfn.XLOOKUP($E266,$D$123:$D$129,$E$123:$E$129), _xlfn.XLOOKUP($E266,$D$112:$D$118,$E$112:$E$118),P67,$F236)</f>
        <v>6.518079479999999</v>
      </c>
      <c r="Q266" s="50" cm="1">
        <f t="array" aca="1" ref="Q266" ca="1">MMS_Swine_ManureAppliedToSoils_Equations.VEERG_4_5_1_9__1_MassOfNitrogenAppliedToSoilsScope1(Q37,_xlfn.XLOOKUP($E266,$D$123:$D$129,$E$123:$E$129), _xlfn.XLOOKUP($E266,$D$112:$D$118,$E$112:$E$118),Q67,$F236)</f>
        <v>8.6789645250000014</v>
      </c>
      <c r="R266" s="50" cm="1">
        <f t="array" aca="1" ref="R266" ca="1">MMS_Swine_ManureAppliedToSoils_Equations.VEERG_4_5_1_9__1_MassOfNitrogenAppliedToSoilsScope1(R37,_xlfn.XLOOKUP($E266,$D$123:$D$129,$E$123:$E$129), _xlfn.XLOOKUP($E266,$D$112:$D$118,$E$112:$E$118),R67,$F236)</f>
        <v>8.1475993499999984</v>
      </c>
      <c r="S266" s="50" cm="1">
        <f t="array" aca="1" ref="S266" ca="1">MMS_Swine_ManureAppliedToSoils_Equations.VEERG_4_5_1_9__1_MassOfNitrogenAppliedToSoilsScope1(S37,_xlfn.XLOOKUP($E266,$D$123:$D$129,$E$123:$E$129), _xlfn.XLOOKUP($E266,$D$112:$D$118,$E$112:$E$118),S67,$F236)</f>
        <v>5.5261978199999993</v>
      </c>
      <c r="T266" s="2"/>
    </row>
    <row r="267" spans="4:20" ht="20" customHeight="1" x14ac:dyDescent="0.25">
      <c r="D267" s="55"/>
      <c r="E267" s="55" t="str">
        <f>INDEX(X_Table_Swine_Stage2MMS_From_DeepLitter,5,1)</f>
        <v>Direct application</v>
      </c>
      <c r="F267" s="50" cm="1">
        <f t="array" aca="1" ref="F267" ca="1">MMS_Swine_ManureAppliedToSoils_Equations.VEERG_4_5_1_9__1_MassOfNitrogenAppliedToSoilsScope1(F38,_xlfn.XLOOKUP($E267,$D$123:$D$129,$E$123:$E$129), _xlfn.XLOOKUP($E267,$D$112:$D$118,$E$112:$E$118),F68,$F237)</f>
        <v>0</v>
      </c>
      <c r="G267" s="50" cm="1">
        <f t="array" aca="1" ref="G267" ca="1">MMS_Swine_ManureAppliedToSoils_Equations.VEERG_4_5_1_9__1_MassOfNitrogenAppliedToSoilsScope1(G38,_xlfn.XLOOKUP($E267,$D$123:$D$129,$E$123:$E$129), _xlfn.XLOOKUP($E267,$D$112:$D$118,$E$112:$E$118),G68,$F237)</f>
        <v>0</v>
      </c>
      <c r="H267" s="50" cm="1">
        <f t="array" aca="1" ref="H267" ca="1">MMS_Swine_ManureAppliedToSoils_Equations.VEERG_4_5_1_9__1_MassOfNitrogenAppliedToSoilsScope1(H38,_xlfn.XLOOKUP($E267,$D$123:$D$129,$E$123:$E$129), _xlfn.XLOOKUP($E267,$D$112:$D$118,$E$112:$E$118),H68,$F237)</f>
        <v>0</v>
      </c>
      <c r="I267" s="50" cm="1">
        <f t="array" aca="1" ref="I267" ca="1">MMS_Swine_ManureAppliedToSoils_Equations.VEERG_4_5_1_9__1_MassOfNitrogenAppliedToSoilsScope1(I38,_xlfn.XLOOKUP($E267,$D$123:$D$129,$E$123:$E$129), _xlfn.XLOOKUP($E267,$D$112:$D$118,$E$112:$E$118),I68,$F237)</f>
        <v>0</v>
      </c>
      <c r="J267" s="2"/>
      <c r="N267" s="55"/>
      <c r="O267" s="55" t="str">
        <f>INDEX(X_Table_Swine_Stage2MMS_From_DeepLitter,5,1)</f>
        <v>Direct application</v>
      </c>
      <c r="P267" s="50" cm="1">
        <f t="array" aca="1" ref="P267" ca="1">MMS_Swine_ManureAppliedToSoils_Equations.VEERG_4_5_1_9__1_MassOfNitrogenAppliedToSoilsScope1(P38,_xlfn.XLOOKUP($E267,$D$123:$D$129,$E$123:$E$129), _xlfn.XLOOKUP($E267,$D$112:$D$118,$E$112:$E$118),P68,$F237)</f>
        <v>0</v>
      </c>
      <c r="Q267" s="50" cm="1">
        <f t="array" aca="1" ref="Q267" ca="1">MMS_Swine_ManureAppliedToSoils_Equations.VEERG_4_5_1_9__1_MassOfNitrogenAppliedToSoilsScope1(Q38,_xlfn.XLOOKUP($E267,$D$123:$D$129,$E$123:$E$129), _xlfn.XLOOKUP($E267,$D$112:$D$118,$E$112:$E$118),Q68,$F237)</f>
        <v>0</v>
      </c>
      <c r="R267" s="50" cm="1">
        <f t="array" aca="1" ref="R267" ca="1">MMS_Swine_ManureAppliedToSoils_Equations.VEERG_4_5_1_9__1_MassOfNitrogenAppliedToSoilsScope1(R38,_xlfn.XLOOKUP($E267,$D$123:$D$129,$E$123:$E$129), _xlfn.XLOOKUP($E267,$D$112:$D$118,$E$112:$E$118),R68,$F237)</f>
        <v>0</v>
      </c>
      <c r="S267" s="50" cm="1">
        <f t="array" aca="1" ref="S267" ca="1">MMS_Swine_ManureAppliedToSoils_Equations.VEERG_4_5_1_9__1_MassOfNitrogenAppliedToSoilsScope1(S38,_xlfn.XLOOKUP($E267,$D$123:$D$129,$E$123:$E$129), _xlfn.XLOOKUP($E267,$D$112:$D$118,$E$112:$E$118),S68,$F237)</f>
        <v>0</v>
      </c>
      <c r="T267" s="2"/>
    </row>
    <row r="268" spans="4:20" ht="20" customHeight="1" x14ac:dyDescent="0.25">
      <c r="D268" s="55" t="str">
        <f>INDEX(X_Table_Swine_Stage1MMS_PitStorage,2,1)</f>
        <v>Pit storage</v>
      </c>
      <c r="E268" s="55" t="str">
        <f>INDEX(X_Table_Swine_Stage2MMS_From_PitStorage,2,1)</f>
        <v>Anaerobic lagoon</v>
      </c>
      <c r="F268" s="50" cm="1">
        <f t="array" aca="1" ref="F268" ca="1">MMS_Swine_ManureAppliedToSoils_Equations.VEERG_4_5_1_9__1_MassOfNitrogenAppliedToSoilsScope1(F39,_xlfn.XLOOKUP($E268,$D$123:$D$129,$E$123:$E$129), _xlfn.XLOOKUP($E268,$D$112:$D$118,$E$112:$E$118),F69,$F238)</f>
        <v>3.3909083999999994</v>
      </c>
      <c r="G268" s="50" cm="1">
        <f t="array" aca="1" ref="G268" ca="1">MMS_Swine_ManureAppliedToSoils_Equations.VEERG_4_5_1_9__1_MassOfNitrogenAppliedToSoilsScope1(G39,_xlfn.XLOOKUP($E268,$D$123:$D$129,$E$123:$E$129), _xlfn.XLOOKUP($E268,$D$112:$D$118,$E$112:$E$118),G69,$F238)</f>
        <v>4.5150682499999997</v>
      </c>
      <c r="H268" s="50" cm="1">
        <f t="array" aca="1" ref="H268" ca="1">MMS_Swine_ManureAppliedToSoils_Equations.VEERG_4_5_1_9__1_MassOfNitrogenAppliedToSoilsScope1(H39,_xlfn.XLOOKUP($E268,$D$123:$D$129,$E$123:$E$129), _xlfn.XLOOKUP($E268,$D$112:$D$118,$E$112:$E$118),H69,$F238)</f>
        <v>4.2386354999999991</v>
      </c>
      <c r="I268" s="50" cm="1">
        <f t="array" aca="1" ref="I268" ca="1">MMS_Swine_ManureAppliedToSoils_Equations.VEERG_4_5_1_9__1_MassOfNitrogenAppliedToSoilsScope1(I39,_xlfn.XLOOKUP($E268,$D$123:$D$129,$E$123:$E$129), _xlfn.XLOOKUP($E268,$D$112:$D$118,$E$112:$E$118),I69,$F238)</f>
        <v>2.8749005999999993</v>
      </c>
      <c r="J268" s="2"/>
      <c r="N268" s="55" t="str">
        <f>INDEX(X_Table_Swine_Stage1MMS_PitStorage,2,1)</f>
        <v>Pit storage</v>
      </c>
      <c r="O268" s="55" t="str">
        <f>INDEX(X_Table_Swine_Stage2MMS_From_PitStorage,2,1)</f>
        <v>Anaerobic lagoon</v>
      </c>
      <c r="P268" s="50" cm="1">
        <f t="array" aca="1" ref="P268" ca="1">MMS_Swine_ManureAppliedToSoils_Equations.VEERG_4_5_1_9__1_MassOfNitrogenAppliedToSoilsScope1(P39,_xlfn.XLOOKUP($E268,$D$123:$D$129,$E$123:$E$129), _xlfn.XLOOKUP($E268,$D$112:$D$118,$E$112:$E$118),P69,$F238)</f>
        <v>3.3909083999999994</v>
      </c>
      <c r="Q268" s="50" cm="1">
        <f t="array" aca="1" ref="Q268" ca="1">MMS_Swine_ManureAppliedToSoils_Equations.VEERG_4_5_1_9__1_MassOfNitrogenAppliedToSoilsScope1(Q39,_xlfn.XLOOKUP($E268,$D$123:$D$129,$E$123:$E$129), _xlfn.XLOOKUP($E268,$D$112:$D$118,$E$112:$E$118),Q69,$F238)</f>
        <v>4.5150682499999997</v>
      </c>
      <c r="R268" s="50" cm="1">
        <f t="array" aca="1" ref="R268" ca="1">MMS_Swine_ManureAppliedToSoils_Equations.VEERG_4_5_1_9__1_MassOfNitrogenAppliedToSoilsScope1(R39,_xlfn.XLOOKUP($E268,$D$123:$D$129,$E$123:$E$129), _xlfn.XLOOKUP($E268,$D$112:$D$118,$E$112:$E$118),R69,$F238)</f>
        <v>4.2386354999999991</v>
      </c>
      <c r="S268" s="50" cm="1">
        <f t="array" aca="1" ref="S268" ca="1">MMS_Swine_ManureAppliedToSoils_Equations.VEERG_4_5_1_9__1_MassOfNitrogenAppliedToSoilsScope1(S39,_xlfn.XLOOKUP($E268,$D$123:$D$129,$E$123:$E$129), _xlfn.XLOOKUP($E268,$D$112:$D$118,$E$112:$E$118),S69,$F238)</f>
        <v>2.8749005999999993</v>
      </c>
      <c r="T268" s="2"/>
    </row>
    <row r="269" spans="4:20" ht="20" customHeight="1" x14ac:dyDescent="0.25">
      <c r="D269" s="55"/>
      <c r="E269" s="55" t="str">
        <f>INDEX(X_Table_Swine_Stage2MMS_From_PitStorage,3,1)</f>
        <v>Digester / covered lagoons</v>
      </c>
      <c r="F269" s="50" cm="1">
        <f t="array" aca="1" ref="F269" ca="1">MMS_Swine_ManureAppliedToSoils_Equations.VEERG_4_5_1_9__1_MassOfNitrogenAppliedToSoilsScope1(F40,_xlfn.XLOOKUP($E269,$D$123:$D$129,$E$123:$E$129), _xlfn.XLOOKUP($E269,$D$112:$D$118,$E$112:$E$118),F70,$F239)</f>
        <v>7.5353519999999996</v>
      </c>
      <c r="G269" s="50" cm="1">
        <f t="array" aca="1" ref="G269" ca="1">MMS_Swine_ManureAppliedToSoils_Equations.VEERG_4_5_1_9__1_MassOfNitrogenAppliedToSoilsScope1(G40,_xlfn.XLOOKUP($E269,$D$123:$D$129,$E$123:$E$129), _xlfn.XLOOKUP($E269,$D$112:$D$118,$E$112:$E$118),G70,$F239)</f>
        <v>10.033485000000001</v>
      </c>
      <c r="H269" s="50" cm="1">
        <f t="array" aca="1" ref="H269" ca="1">MMS_Swine_ManureAppliedToSoils_Equations.VEERG_4_5_1_9__1_MassOfNitrogenAppliedToSoilsScope1(H40,_xlfn.XLOOKUP($E269,$D$123:$D$129,$E$123:$E$129), _xlfn.XLOOKUP($E269,$D$112:$D$118,$E$112:$E$118),H70,$F239)</f>
        <v>9.4191899999999986</v>
      </c>
      <c r="I269" s="50" cm="1">
        <f t="array" aca="1" ref="I269" ca="1">MMS_Swine_ManureAppliedToSoils_Equations.VEERG_4_5_1_9__1_MassOfNitrogenAppliedToSoilsScope1(I40,_xlfn.XLOOKUP($E269,$D$123:$D$129,$E$123:$E$129), _xlfn.XLOOKUP($E269,$D$112:$D$118,$E$112:$E$118),I70,$F239)</f>
        <v>6.3886679999999991</v>
      </c>
      <c r="J269" s="2"/>
      <c r="N269" s="55"/>
      <c r="O269" s="55" t="str">
        <f>INDEX(X_Table_Swine_Stage2MMS_From_PitStorage,3,1)</f>
        <v>Digester / covered lagoons</v>
      </c>
      <c r="P269" s="50" cm="1">
        <f t="array" aca="1" ref="P269" ca="1">MMS_Swine_ManureAppliedToSoils_Equations.VEERG_4_5_1_9__1_MassOfNitrogenAppliedToSoilsScope1(P40,_xlfn.XLOOKUP($E269,$D$123:$D$129,$E$123:$E$129), _xlfn.XLOOKUP($E269,$D$112:$D$118,$E$112:$E$118),P70,$F239)</f>
        <v>7.5353519999999996</v>
      </c>
      <c r="Q269" s="50" cm="1">
        <f t="array" aca="1" ref="Q269" ca="1">MMS_Swine_ManureAppliedToSoils_Equations.VEERG_4_5_1_9__1_MassOfNitrogenAppliedToSoilsScope1(Q40,_xlfn.XLOOKUP($E269,$D$123:$D$129,$E$123:$E$129), _xlfn.XLOOKUP($E269,$D$112:$D$118,$E$112:$E$118),Q70,$F239)</f>
        <v>10.033485000000001</v>
      </c>
      <c r="R269" s="50" cm="1">
        <f t="array" aca="1" ref="R269" ca="1">MMS_Swine_ManureAppliedToSoils_Equations.VEERG_4_5_1_9__1_MassOfNitrogenAppliedToSoilsScope1(R40,_xlfn.XLOOKUP($E269,$D$123:$D$129,$E$123:$E$129), _xlfn.XLOOKUP($E269,$D$112:$D$118,$E$112:$E$118),R70,$F239)</f>
        <v>9.4191899999999986</v>
      </c>
      <c r="S269" s="50" cm="1">
        <f t="array" aca="1" ref="S269" ca="1">MMS_Swine_ManureAppliedToSoils_Equations.VEERG_4_5_1_9__1_MassOfNitrogenAppliedToSoilsScope1(S40,_xlfn.XLOOKUP($E269,$D$123:$D$129,$E$123:$E$129), _xlfn.XLOOKUP($E269,$D$112:$D$118,$E$112:$E$118),S70,$F239)</f>
        <v>6.3886679999999991</v>
      </c>
      <c r="T269" s="2"/>
    </row>
    <row r="270" spans="4:20" ht="20" customHeight="1" x14ac:dyDescent="0.25">
      <c r="D270" s="55"/>
      <c r="E270" s="55" t="str">
        <f>INDEX(X_Table_Swine_Stage2MMS_From_PitStorage,4,1)</f>
        <v>Deep litter</v>
      </c>
      <c r="F270" s="50" cm="1">
        <f t="array" aca="1" ref="F270" ca="1">MMS_Swine_ManureAppliedToSoils_Equations.VEERG_4_5_1_9__1_MassOfNitrogenAppliedToSoilsScope1(F41,_xlfn.XLOOKUP($E270,$D$123:$D$129,$E$123:$E$129), _xlfn.XLOOKUP($E270,$D$112:$D$118,$E$112:$E$118),F71,$F240)</f>
        <v>6.5180794799999999</v>
      </c>
      <c r="G270" s="50" cm="1">
        <f t="array" aca="1" ref="G270" ca="1">MMS_Swine_ManureAppliedToSoils_Equations.VEERG_4_5_1_9__1_MassOfNitrogenAppliedToSoilsScope1(G41,_xlfn.XLOOKUP($E270,$D$123:$D$129,$E$123:$E$129), _xlfn.XLOOKUP($E270,$D$112:$D$118,$E$112:$E$118),G71,$F240)</f>
        <v>8.6789645249999996</v>
      </c>
      <c r="H270" s="50" cm="1">
        <f t="array" aca="1" ref="H270" ca="1">MMS_Swine_ManureAppliedToSoils_Equations.VEERG_4_5_1_9__1_MassOfNitrogenAppliedToSoilsScope1(H41,_xlfn.XLOOKUP($E270,$D$123:$D$129,$E$123:$E$129), _xlfn.XLOOKUP($E270,$D$112:$D$118,$E$112:$E$118),H71,$F240)</f>
        <v>8.1475993499999984</v>
      </c>
      <c r="I270" s="50" cm="1">
        <f t="array" aca="1" ref="I270" ca="1">MMS_Swine_ManureAppliedToSoils_Equations.VEERG_4_5_1_9__1_MassOfNitrogenAppliedToSoilsScope1(I41,_xlfn.XLOOKUP($E270,$D$123:$D$129,$E$123:$E$129), _xlfn.XLOOKUP($E270,$D$112:$D$118,$E$112:$E$118),I71,$F240)</f>
        <v>5.5261978199999993</v>
      </c>
      <c r="J270" s="2"/>
      <c r="N270" s="55"/>
      <c r="O270" s="55" t="str">
        <f>INDEX(X_Table_Swine_Stage2MMS_From_PitStorage,4,1)</f>
        <v>Deep litter</v>
      </c>
      <c r="P270" s="50" cm="1">
        <f t="array" aca="1" ref="P270" ca="1">MMS_Swine_ManureAppliedToSoils_Equations.VEERG_4_5_1_9__1_MassOfNitrogenAppliedToSoilsScope1(P41,_xlfn.XLOOKUP($E270,$D$123:$D$129,$E$123:$E$129), _xlfn.XLOOKUP($E270,$D$112:$D$118,$E$112:$E$118),P71,$F240)</f>
        <v>6.5180794799999999</v>
      </c>
      <c r="Q270" s="50" cm="1">
        <f t="array" aca="1" ref="Q270" ca="1">MMS_Swine_ManureAppliedToSoils_Equations.VEERG_4_5_1_9__1_MassOfNitrogenAppliedToSoilsScope1(Q41,_xlfn.XLOOKUP($E270,$D$123:$D$129,$E$123:$E$129), _xlfn.XLOOKUP($E270,$D$112:$D$118,$E$112:$E$118),Q71,$F240)</f>
        <v>8.6789645249999996</v>
      </c>
      <c r="R270" s="50" cm="1">
        <f t="array" aca="1" ref="R270" ca="1">MMS_Swine_ManureAppliedToSoils_Equations.VEERG_4_5_1_9__1_MassOfNitrogenAppliedToSoilsScope1(R41,_xlfn.XLOOKUP($E270,$D$123:$D$129,$E$123:$E$129), _xlfn.XLOOKUP($E270,$D$112:$D$118,$E$112:$E$118),R71,$F240)</f>
        <v>8.1475993499999984</v>
      </c>
      <c r="S270" s="50" cm="1">
        <f t="array" aca="1" ref="S270" ca="1">MMS_Swine_ManureAppliedToSoils_Equations.VEERG_4_5_1_9__1_MassOfNitrogenAppliedToSoilsScope1(S41,_xlfn.XLOOKUP($E270,$D$123:$D$129,$E$123:$E$129), _xlfn.XLOOKUP($E270,$D$112:$D$118,$E$112:$E$118),S71,$F240)</f>
        <v>5.5261978199999993</v>
      </c>
      <c r="T270" s="2"/>
    </row>
    <row r="271" spans="4:20" ht="20" customHeight="1" x14ac:dyDescent="0.25">
      <c r="D271" s="55"/>
      <c r="E271" s="55" t="str">
        <f>INDEX(X_Table_Swine_Stage2MMS_From_PitStorage,5,1)</f>
        <v>Direct application</v>
      </c>
      <c r="F271" s="50" cm="1">
        <f t="array" aca="1" ref="F271" ca="1">MMS_Swine_ManureAppliedToSoils_Equations.VEERG_4_5_1_9__1_MassOfNitrogenAppliedToSoilsScope1(F42,_xlfn.XLOOKUP($E271,$D$123:$D$129,$E$123:$E$129), _xlfn.XLOOKUP($E271,$D$112:$D$118,$E$112:$E$118),F72,$F241)</f>
        <v>0</v>
      </c>
      <c r="G271" s="50" cm="1">
        <f t="array" aca="1" ref="G271" ca="1">MMS_Swine_ManureAppliedToSoils_Equations.VEERG_4_5_1_9__1_MassOfNitrogenAppliedToSoilsScope1(G42,_xlfn.XLOOKUP($E271,$D$123:$D$129,$E$123:$E$129), _xlfn.XLOOKUP($E271,$D$112:$D$118,$E$112:$E$118),G72,$F241)</f>
        <v>0</v>
      </c>
      <c r="H271" s="50" cm="1">
        <f t="array" aca="1" ref="H271" ca="1">MMS_Swine_ManureAppliedToSoils_Equations.VEERG_4_5_1_9__1_MassOfNitrogenAppliedToSoilsScope1(H42,_xlfn.XLOOKUP($E271,$D$123:$D$129,$E$123:$E$129), _xlfn.XLOOKUP($E271,$D$112:$D$118,$E$112:$E$118),H72,$F241)</f>
        <v>0</v>
      </c>
      <c r="I271" s="50" cm="1">
        <f t="array" aca="1" ref="I271" ca="1">MMS_Swine_ManureAppliedToSoils_Equations.VEERG_4_5_1_9__1_MassOfNitrogenAppliedToSoilsScope1(I42,_xlfn.XLOOKUP($E271,$D$123:$D$129,$E$123:$E$129), _xlfn.XLOOKUP($E271,$D$112:$D$118,$E$112:$E$118),I72,$F241)</f>
        <v>0</v>
      </c>
      <c r="J271" s="2"/>
      <c r="N271" s="55"/>
      <c r="O271" s="55" t="str">
        <f>INDEX(X_Table_Swine_Stage2MMS_From_PitStorage,5,1)</f>
        <v>Direct application</v>
      </c>
      <c r="P271" s="50" cm="1">
        <f t="array" aca="1" ref="P271" ca="1">MMS_Swine_ManureAppliedToSoils_Equations.VEERG_4_5_1_9__1_MassOfNitrogenAppliedToSoilsScope1(P42,_xlfn.XLOOKUP($E271,$D$123:$D$129,$E$123:$E$129), _xlfn.XLOOKUP($E271,$D$112:$D$118,$E$112:$E$118),P72,$F241)</f>
        <v>0</v>
      </c>
      <c r="Q271" s="50" cm="1">
        <f t="array" aca="1" ref="Q271" ca="1">MMS_Swine_ManureAppliedToSoils_Equations.VEERG_4_5_1_9__1_MassOfNitrogenAppliedToSoilsScope1(Q42,_xlfn.XLOOKUP($E271,$D$123:$D$129,$E$123:$E$129), _xlfn.XLOOKUP($E271,$D$112:$D$118,$E$112:$E$118),Q72,$F241)</f>
        <v>0</v>
      </c>
      <c r="R271" s="50" cm="1">
        <f t="array" aca="1" ref="R271" ca="1">MMS_Swine_ManureAppliedToSoils_Equations.VEERG_4_5_1_9__1_MassOfNitrogenAppliedToSoilsScope1(R42,_xlfn.XLOOKUP($E271,$D$123:$D$129,$E$123:$E$129), _xlfn.XLOOKUP($E271,$D$112:$D$118,$E$112:$E$118),R72,$F241)</f>
        <v>0</v>
      </c>
      <c r="S271" s="50" cm="1">
        <f t="array" aca="1" ref="S271" ca="1">MMS_Swine_ManureAppliedToSoils_Equations.VEERG_4_5_1_9__1_MassOfNitrogenAppliedToSoilsScope1(S42,_xlfn.XLOOKUP($E271,$D$123:$D$129,$E$123:$E$129), _xlfn.XLOOKUP($E271,$D$112:$D$118,$E$112:$E$118),S72,$F241)</f>
        <v>0</v>
      </c>
      <c r="T271" s="2"/>
    </row>
    <row r="272" spans="4:20" ht="20" customHeight="1" x14ac:dyDescent="0.25">
      <c r="D272" s="55" t="s">
        <v>343</v>
      </c>
      <c r="E272" s="55" t="str">
        <f>INDEX(X_Table_Swine_Stage2MMS_From_SolidStorage,2,1)</f>
        <v>Anaerobic lagoon</v>
      </c>
      <c r="F272" s="50" cm="1">
        <f t="array" aca="1" ref="F272" ca="1">MMS_Swine_ManureAppliedToSoils_Equations.VEERG_4_5_1_9__1_MassOfNitrogenAppliedToSoilsScope1(F43,_xlfn.XLOOKUP($E272,$D$123:$D$129,$E$123:$E$129), _xlfn.XLOOKUP($E272,$D$112:$D$118,$E$112:$E$118),F73,$F242)</f>
        <v>12.013245000000003</v>
      </c>
      <c r="G272" s="50" cm="1">
        <f t="array" aca="1" ref="G272" ca="1">MMS_Swine_ManureAppliedToSoils_Equations.VEERG_4_5_1_9__1_MassOfNitrogenAppliedToSoilsScope1(G43,_xlfn.XLOOKUP($E272,$D$123:$D$129,$E$123:$E$129), _xlfn.XLOOKUP($E272,$D$112:$D$118,$E$112:$E$118),G73,$F242)</f>
        <v>12.796717500000007</v>
      </c>
      <c r="H272" s="50" cm="1">
        <f t="array" aca="1" ref="H272" ca="1">MMS_Swine_ManureAppliedToSoils_Equations.VEERG_4_5_1_9__1_MassOfNitrogenAppliedToSoilsScope1(H43,_xlfn.XLOOKUP($E272,$D$123:$D$129,$E$123:$E$129), _xlfn.XLOOKUP($E272,$D$112:$D$118,$E$112:$E$118),H73,$F242)</f>
        <v>12.013245000000003</v>
      </c>
      <c r="I272" s="50" cm="1">
        <f t="array" aca="1" ref="I272" ca="1">MMS_Swine_ManureAppliedToSoils_Equations.VEERG_4_5_1_9__1_MassOfNitrogenAppliedToSoilsScope1(I43,_xlfn.XLOOKUP($E272,$D$123:$D$129,$E$123:$E$129), _xlfn.XLOOKUP($E272,$D$112:$D$118,$E$112:$E$118),I73,$F242)</f>
        <v>8.1481140000000032</v>
      </c>
      <c r="J272" s="2"/>
      <c r="N272" s="55" t="s">
        <v>343</v>
      </c>
      <c r="O272" s="55" t="str">
        <f>INDEX(X_Table_Swine_Stage2MMS_From_SolidStorage,2,1)</f>
        <v>Anaerobic lagoon</v>
      </c>
      <c r="P272" s="50" cm="1">
        <f t="array" aca="1" ref="P272" ca="1">MMS_Swine_ManureAppliedToSoils_Equations.VEERG_4_5_1_9__1_MassOfNitrogenAppliedToSoilsScope1(P43,_xlfn.XLOOKUP($E272,$D$123:$D$129,$E$123:$E$129), _xlfn.XLOOKUP($E272,$D$112:$D$118,$E$112:$E$118),P73,$F242)</f>
        <v>12.013245000000003</v>
      </c>
      <c r="Q272" s="50" cm="1">
        <f t="array" aca="1" ref="Q272" ca="1">MMS_Swine_ManureAppliedToSoils_Equations.VEERG_4_5_1_9__1_MassOfNitrogenAppliedToSoilsScope1(Q43,_xlfn.XLOOKUP($E272,$D$123:$D$129,$E$123:$E$129), _xlfn.XLOOKUP($E272,$D$112:$D$118,$E$112:$E$118),Q73,$F242)</f>
        <v>12.796717500000007</v>
      </c>
      <c r="R272" s="50" cm="1">
        <f t="array" aca="1" ref="R272" ca="1">MMS_Swine_ManureAppliedToSoils_Equations.VEERG_4_5_1_9__1_MassOfNitrogenAppliedToSoilsScope1(R43,_xlfn.XLOOKUP($E272,$D$123:$D$129,$E$123:$E$129), _xlfn.XLOOKUP($E272,$D$112:$D$118,$E$112:$E$118),R73,$F242)</f>
        <v>12.013245000000003</v>
      </c>
      <c r="S272" s="50" cm="1">
        <f t="array" aca="1" ref="S272" ca="1">MMS_Swine_ManureAppliedToSoils_Equations.VEERG_4_5_1_9__1_MassOfNitrogenAppliedToSoilsScope1(S43,_xlfn.XLOOKUP($E272,$D$123:$D$129,$E$123:$E$129), _xlfn.XLOOKUP($E272,$D$112:$D$118,$E$112:$E$118),S73,$F242)</f>
        <v>8.1481140000000032</v>
      </c>
      <c r="T272" s="2"/>
    </row>
    <row r="273" spans="1:20" ht="20" customHeight="1" x14ac:dyDescent="0.25">
      <c r="D273" s="55"/>
      <c r="E273" s="55" t="str">
        <f>INDEX(X_Table_Swine_Stage2MMS_From_SolidStorage,3,1)</f>
        <v>Digester / covered lagoons</v>
      </c>
      <c r="F273" s="50" cm="1">
        <f t="array" aca="1" ref="F273" ca="1">MMS_Swine_ManureAppliedToSoils_Equations.VEERG_4_5_1_9__1_MassOfNitrogenAppliedToSoilsScope1(F44,_xlfn.XLOOKUP($E273,$D$123:$D$129,$E$123:$E$129), _xlfn.XLOOKUP($E273,$D$112:$D$118,$E$112:$E$118),F74,$F243)</f>
        <v>26.696100000000008</v>
      </c>
      <c r="G273" s="50" cm="1">
        <f t="array" aca="1" ref="G273" ca="1">MMS_Swine_ManureAppliedToSoils_Equations.VEERG_4_5_1_9__1_MassOfNitrogenAppliedToSoilsScope1(G44,_xlfn.XLOOKUP($E273,$D$123:$D$129,$E$123:$E$129), _xlfn.XLOOKUP($E273,$D$112:$D$118,$E$112:$E$118),G74,$F243)</f>
        <v>28.437150000000017</v>
      </c>
      <c r="H273" s="50" cm="1">
        <f t="array" aca="1" ref="H273" ca="1">MMS_Swine_ManureAppliedToSoils_Equations.VEERG_4_5_1_9__1_MassOfNitrogenAppliedToSoilsScope1(H44,_xlfn.XLOOKUP($E273,$D$123:$D$129,$E$123:$E$129), _xlfn.XLOOKUP($E273,$D$112:$D$118,$E$112:$E$118),H74,$F243)</f>
        <v>26.696100000000008</v>
      </c>
      <c r="I273" s="50" cm="1">
        <f t="array" aca="1" ref="I273" ca="1">MMS_Swine_ManureAppliedToSoils_Equations.VEERG_4_5_1_9__1_MassOfNitrogenAppliedToSoilsScope1(I44,_xlfn.XLOOKUP($E273,$D$123:$D$129,$E$123:$E$129), _xlfn.XLOOKUP($E273,$D$112:$D$118,$E$112:$E$118),I74,$F243)</f>
        <v>18.106920000000009</v>
      </c>
      <c r="J273" s="2"/>
      <c r="N273" s="55"/>
      <c r="O273" s="55" t="str">
        <f>INDEX(X_Table_Swine_Stage2MMS_From_SolidStorage,3,1)</f>
        <v>Digester / covered lagoons</v>
      </c>
      <c r="P273" s="50" cm="1">
        <f t="array" aca="1" ref="P273" ca="1">MMS_Swine_ManureAppliedToSoils_Equations.VEERG_4_5_1_9__1_MassOfNitrogenAppliedToSoilsScope1(P44,_xlfn.XLOOKUP($E273,$D$123:$D$129,$E$123:$E$129), _xlfn.XLOOKUP($E273,$D$112:$D$118,$E$112:$E$118),P74,$F243)</f>
        <v>26.696100000000008</v>
      </c>
      <c r="Q273" s="50" cm="1">
        <f t="array" aca="1" ref="Q273" ca="1">MMS_Swine_ManureAppliedToSoils_Equations.VEERG_4_5_1_9__1_MassOfNitrogenAppliedToSoilsScope1(Q44,_xlfn.XLOOKUP($E273,$D$123:$D$129,$E$123:$E$129), _xlfn.XLOOKUP($E273,$D$112:$D$118,$E$112:$E$118),Q74,$F243)</f>
        <v>28.437150000000017</v>
      </c>
      <c r="R273" s="50" cm="1">
        <f t="array" aca="1" ref="R273" ca="1">MMS_Swine_ManureAppliedToSoils_Equations.VEERG_4_5_1_9__1_MassOfNitrogenAppliedToSoilsScope1(R44,_xlfn.XLOOKUP($E273,$D$123:$D$129,$E$123:$E$129), _xlfn.XLOOKUP($E273,$D$112:$D$118,$E$112:$E$118),R74,$F243)</f>
        <v>26.696100000000008</v>
      </c>
      <c r="S273" s="50" cm="1">
        <f t="array" aca="1" ref="S273" ca="1">MMS_Swine_ManureAppliedToSoils_Equations.VEERG_4_5_1_9__1_MassOfNitrogenAppliedToSoilsScope1(S44,_xlfn.XLOOKUP($E273,$D$123:$D$129,$E$123:$E$129), _xlfn.XLOOKUP($E273,$D$112:$D$118,$E$112:$E$118),S74,$F243)</f>
        <v>18.106920000000009</v>
      </c>
      <c r="T273" s="2"/>
    </row>
    <row r="274" spans="1:20" ht="20" customHeight="1" x14ac:dyDescent="0.25">
      <c r="D274" s="55"/>
      <c r="E274" s="55" t="str">
        <f>INDEX(X_Table_Swine_Stage2MMS_From_SolidStorage,4,1)</f>
        <v>Deep litter</v>
      </c>
      <c r="F274" s="50" cm="1">
        <f t="array" aca="1" ref="F274" ca="1">MMS_Swine_ManureAppliedToSoils_Equations.VEERG_4_5_1_9__1_MassOfNitrogenAppliedToSoilsScope1(F45,_xlfn.XLOOKUP($E274,$D$123:$D$129,$E$123:$E$129), _xlfn.XLOOKUP($E274,$D$112:$D$118,$E$112:$E$118),F75,$F244)</f>
        <v>23.092126500000006</v>
      </c>
      <c r="G274" s="50" cm="1">
        <f t="array" aca="1" ref="G274" ca="1">MMS_Swine_ManureAppliedToSoils_Equations.VEERG_4_5_1_9__1_MassOfNitrogenAppliedToSoilsScope1(G45,_xlfn.XLOOKUP($E274,$D$123:$D$129,$E$123:$E$129), _xlfn.XLOOKUP($E274,$D$112:$D$118,$E$112:$E$118),G75,$F244)</f>
        <v>24.598134750000014</v>
      </c>
      <c r="H274" s="50" cm="1">
        <f t="array" aca="1" ref="H274" ca="1">MMS_Swine_ManureAppliedToSoils_Equations.VEERG_4_5_1_9__1_MassOfNitrogenAppliedToSoilsScope1(H45,_xlfn.XLOOKUP($E274,$D$123:$D$129,$E$123:$E$129), _xlfn.XLOOKUP($E274,$D$112:$D$118,$E$112:$E$118),H75,$F244)</f>
        <v>23.092126500000006</v>
      </c>
      <c r="I274" s="50" cm="1">
        <f t="array" aca="1" ref="I274" ca="1">MMS_Swine_ManureAppliedToSoils_Equations.VEERG_4_5_1_9__1_MassOfNitrogenAppliedToSoilsScope1(I45,_xlfn.XLOOKUP($E274,$D$123:$D$129,$E$123:$E$129), _xlfn.XLOOKUP($E274,$D$112:$D$118,$E$112:$E$118),I75,$F244)</f>
        <v>15.662485800000008</v>
      </c>
      <c r="J274" s="2"/>
      <c r="N274" s="55"/>
      <c r="O274" s="55" t="str">
        <f>INDEX(X_Table_Swine_Stage2MMS_From_SolidStorage,4,1)</f>
        <v>Deep litter</v>
      </c>
      <c r="P274" s="50" cm="1">
        <f t="array" aca="1" ref="P274" ca="1">MMS_Swine_ManureAppliedToSoils_Equations.VEERG_4_5_1_9__1_MassOfNitrogenAppliedToSoilsScope1(P45,_xlfn.XLOOKUP($E274,$D$123:$D$129,$E$123:$E$129), _xlfn.XLOOKUP($E274,$D$112:$D$118,$E$112:$E$118),P75,$F244)</f>
        <v>23.092126500000006</v>
      </c>
      <c r="Q274" s="50" cm="1">
        <f t="array" aca="1" ref="Q274" ca="1">MMS_Swine_ManureAppliedToSoils_Equations.VEERG_4_5_1_9__1_MassOfNitrogenAppliedToSoilsScope1(Q45,_xlfn.XLOOKUP($E274,$D$123:$D$129,$E$123:$E$129), _xlfn.XLOOKUP($E274,$D$112:$D$118,$E$112:$E$118),Q75,$F244)</f>
        <v>24.598134750000014</v>
      </c>
      <c r="R274" s="50" cm="1">
        <f t="array" aca="1" ref="R274" ca="1">MMS_Swine_ManureAppliedToSoils_Equations.VEERG_4_5_1_9__1_MassOfNitrogenAppliedToSoilsScope1(R45,_xlfn.XLOOKUP($E274,$D$123:$D$129,$E$123:$E$129), _xlfn.XLOOKUP($E274,$D$112:$D$118,$E$112:$E$118),R75,$F244)</f>
        <v>23.092126500000006</v>
      </c>
      <c r="S274" s="50" cm="1">
        <f t="array" aca="1" ref="S274" ca="1">MMS_Swine_ManureAppliedToSoils_Equations.VEERG_4_5_1_9__1_MassOfNitrogenAppliedToSoilsScope1(S45,_xlfn.XLOOKUP($E274,$D$123:$D$129,$E$123:$E$129), _xlfn.XLOOKUP($E274,$D$112:$D$118,$E$112:$E$118),S75,$F244)</f>
        <v>15.662485800000008</v>
      </c>
      <c r="T274" s="2"/>
    </row>
    <row r="275" spans="1:20" ht="20" customHeight="1" x14ac:dyDescent="0.25">
      <c r="D275" s="55"/>
      <c r="E275" s="55" t="str">
        <f>INDEX(X_Table_Swine_Stage2MMS_From_SolidStorage,5,1)</f>
        <v>Pit storage</v>
      </c>
      <c r="F275" s="50" cm="1">
        <f t="array" aca="1" ref="F275" ca="1">MMS_Swine_ManureAppliedToSoils_Equations.VEERG_4_5_1_9__1_MassOfNitrogenAppliedToSoilsScope1(F46,_xlfn.XLOOKUP($E275,$D$123:$D$129,$E$123:$E$129), _xlfn.XLOOKUP($E275,$D$112:$D$118,$E$112:$E$118),F76,$F245)</f>
        <v>9.9843414000000035</v>
      </c>
      <c r="G275" s="50" cm="1">
        <f t="array" aca="1" ref="G275" ca="1">MMS_Swine_ManureAppliedToSoils_Equations.VEERG_4_5_1_9__1_MassOfNitrogenAppliedToSoilsScope1(G46,_xlfn.XLOOKUP($E275,$D$123:$D$129,$E$123:$E$129), _xlfn.XLOOKUP($E275,$D$112:$D$118,$E$112:$E$118),G76,$F245)</f>
        <v>10.635494100000006</v>
      </c>
      <c r="H275" s="50" cm="1">
        <f t="array" aca="1" ref="H275" ca="1">MMS_Swine_ManureAppliedToSoils_Equations.VEERG_4_5_1_9__1_MassOfNitrogenAppliedToSoilsScope1(H46,_xlfn.XLOOKUP($E275,$D$123:$D$129,$E$123:$E$129), _xlfn.XLOOKUP($E275,$D$112:$D$118,$E$112:$E$118),H76,$F245)</f>
        <v>9.9843414000000035</v>
      </c>
      <c r="I275" s="50" cm="1">
        <f t="array" aca="1" ref="I275" ca="1">MMS_Swine_ManureAppliedToSoils_Equations.VEERG_4_5_1_9__1_MassOfNitrogenAppliedToSoilsScope1(I46,_xlfn.XLOOKUP($E275,$D$123:$D$129,$E$123:$E$129), _xlfn.XLOOKUP($E275,$D$112:$D$118,$E$112:$E$118),I76,$F245)</f>
        <v>6.7719880800000034</v>
      </c>
      <c r="J275" s="2"/>
      <c r="N275" s="55"/>
      <c r="O275" s="55" t="str">
        <f>INDEX(X_Table_Swine_Stage2MMS_From_SolidStorage,5,1)</f>
        <v>Pit storage</v>
      </c>
      <c r="P275" s="50" cm="1">
        <f t="array" aca="1" ref="P275" ca="1">MMS_Swine_ManureAppliedToSoils_Equations.VEERG_4_5_1_9__1_MassOfNitrogenAppliedToSoilsScope1(P46,_xlfn.XLOOKUP($E275,$D$123:$D$129,$E$123:$E$129), _xlfn.XLOOKUP($E275,$D$112:$D$118,$E$112:$E$118),P76,$F245)</f>
        <v>9.9843414000000035</v>
      </c>
      <c r="Q275" s="50" cm="1">
        <f t="array" aca="1" ref="Q275" ca="1">MMS_Swine_ManureAppliedToSoils_Equations.VEERG_4_5_1_9__1_MassOfNitrogenAppliedToSoilsScope1(Q46,_xlfn.XLOOKUP($E275,$D$123:$D$129,$E$123:$E$129), _xlfn.XLOOKUP($E275,$D$112:$D$118,$E$112:$E$118),Q76,$F245)</f>
        <v>10.635494100000006</v>
      </c>
      <c r="R275" s="50" cm="1">
        <f t="array" aca="1" ref="R275" ca="1">MMS_Swine_ManureAppliedToSoils_Equations.VEERG_4_5_1_9__1_MassOfNitrogenAppliedToSoilsScope1(R46,_xlfn.XLOOKUP($E275,$D$123:$D$129,$E$123:$E$129), _xlfn.XLOOKUP($E275,$D$112:$D$118,$E$112:$E$118),R76,$F245)</f>
        <v>9.9843414000000035</v>
      </c>
      <c r="S275" s="50" cm="1">
        <f t="array" aca="1" ref="S275" ca="1">MMS_Swine_ManureAppliedToSoils_Equations.VEERG_4_5_1_9__1_MassOfNitrogenAppliedToSoilsScope1(S46,_xlfn.XLOOKUP($E275,$D$123:$D$129,$E$123:$E$129), _xlfn.XLOOKUP($E275,$D$112:$D$118,$E$112:$E$118),S76,$F245)</f>
        <v>6.7719880800000034</v>
      </c>
      <c r="T275" s="2"/>
    </row>
    <row r="276" spans="1:20" ht="20" customHeight="1" x14ac:dyDescent="0.25">
      <c r="D276" s="55"/>
      <c r="E276" s="55" t="str">
        <f>INDEX(X_Table_Swine_Stage2MMS_From_SolidStorage,6,1)</f>
        <v>Direct application</v>
      </c>
      <c r="F276" s="50" cm="1">
        <f t="array" aca="1" ref="F276" ca="1">MMS_Swine_ManureAppliedToSoils_Equations.VEERG_4_5_1_9__1_MassOfNitrogenAppliedToSoilsScope1(F47,_xlfn.XLOOKUP($E276,$D$123:$D$129,$E$123:$E$129), _xlfn.XLOOKUP($E276,$D$112:$D$118,$E$112:$E$118),F77,$F246)</f>
        <v>0</v>
      </c>
      <c r="G276" s="50" cm="1">
        <f t="array" aca="1" ref="G276" ca="1">MMS_Swine_ManureAppliedToSoils_Equations.VEERG_4_5_1_9__1_MassOfNitrogenAppliedToSoilsScope1(G47,_xlfn.XLOOKUP($E276,$D$123:$D$129,$E$123:$E$129), _xlfn.XLOOKUP($E276,$D$112:$D$118,$E$112:$E$118),G77,$F246)</f>
        <v>0</v>
      </c>
      <c r="H276" s="50" cm="1">
        <f t="array" aca="1" ref="H276" ca="1">MMS_Swine_ManureAppliedToSoils_Equations.VEERG_4_5_1_9__1_MassOfNitrogenAppliedToSoilsScope1(H47,_xlfn.XLOOKUP($E276,$D$123:$D$129,$E$123:$E$129), _xlfn.XLOOKUP($E276,$D$112:$D$118,$E$112:$E$118),H77,$F246)</f>
        <v>0</v>
      </c>
      <c r="I276" s="50" cm="1">
        <f t="array" aca="1" ref="I276" ca="1">MMS_Swine_ManureAppliedToSoils_Equations.VEERG_4_5_1_9__1_MassOfNitrogenAppliedToSoilsScope1(I47,_xlfn.XLOOKUP($E276,$D$123:$D$129,$E$123:$E$129), _xlfn.XLOOKUP($E276,$D$112:$D$118,$E$112:$E$118),I77,$F246)</f>
        <v>0</v>
      </c>
      <c r="J276" s="2"/>
      <c r="N276" s="55"/>
      <c r="O276" s="55" t="str">
        <f>INDEX(X_Table_Swine_Stage2MMS_From_SolidStorage,6,1)</f>
        <v>Direct application</v>
      </c>
      <c r="P276" s="50" cm="1">
        <f t="array" aca="1" ref="P276" ca="1">MMS_Swine_ManureAppliedToSoils_Equations.VEERG_4_5_1_9__1_MassOfNitrogenAppliedToSoilsScope1(P47,_xlfn.XLOOKUP($E276,$D$123:$D$129,$E$123:$E$129), _xlfn.XLOOKUP($E276,$D$112:$D$118,$E$112:$E$118),P77,$F246)</f>
        <v>0</v>
      </c>
      <c r="Q276" s="50" cm="1">
        <f t="array" aca="1" ref="Q276" ca="1">MMS_Swine_ManureAppliedToSoils_Equations.VEERG_4_5_1_9__1_MassOfNitrogenAppliedToSoilsScope1(Q47,_xlfn.XLOOKUP($E276,$D$123:$D$129,$E$123:$E$129), _xlfn.XLOOKUP($E276,$D$112:$D$118,$E$112:$E$118),Q77,$F246)</f>
        <v>0</v>
      </c>
      <c r="R276" s="50" cm="1">
        <f t="array" aca="1" ref="R276" ca="1">MMS_Swine_ManureAppliedToSoils_Equations.VEERG_4_5_1_9__1_MassOfNitrogenAppliedToSoilsScope1(R47,_xlfn.XLOOKUP($E276,$D$123:$D$129,$E$123:$E$129), _xlfn.XLOOKUP($E276,$D$112:$D$118,$E$112:$E$118),R77,$F246)</f>
        <v>0</v>
      </c>
      <c r="S276" s="50" cm="1">
        <f t="array" aca="1" ref="S276" ca="1">MMS_Swine_ManureAppliedToSoils_Equations.VEERG_4_5_1_9__1_MassOfNitrogenAppliedToSoilsScope1(S47,_xlfn.XLOOKUP($E276,$D$123:$D$129,$E$123:$E$129), _xlfn.XLOOKUP($E276,$D$112:$D$118,$E$112:$E$118),S77,$F246)</f>
        <v>0</v>
      </c>
      <c r="T276" s="2"/>
    </row>
    <row r="277" spans="1:20" ht="20" customHeight="1" x14ac:dyDescent="0.25"/>
    <row r="278" spans="1:20" ht="20" customHeight="1" x14ac:dyDescent="0.25">
      <c r="A278" s="137" t="str">
        <f>HYPERLINK("#A1", "▲ Back to top")</f>
        <v>▲ Back to top</v>
      </c>
      <c r="D278" s="94" t="s">
        <v>311</v>
      </c>
      <c r="E278" s="95">
        <f ca="1">SUM(F251:I276)</f>
        <v>653.20846285499988</v>
      </c>
      <c r="F278" s="96" t="str">
        <f>$E$11</f>
        <v>kg N</v>
      </c>
      <c r="N278" s="94" t="s">
        <v>311</v>
      </c>
      <c r="O278" s="95">
        <f ca="1">SUM(P251:S276)</f>
        <v>653.20846285499988</v>
      </c>
      <c r="P278" s="96" t="str">
        <f>$E$11</f>
        <v>kg N</v>
      </c>
    </row>
    <row r="279" spans="1:20" ht="20" customHeight="1" x14ac:dyDescent="0.25"/>
    <row r="280" spans="1:20" ht="20" customHeight="1" x14ac:dyDescent="0.25"/>
    <row r="281" spans="1:20" ht="20" customHeight="1" x14ac:dyDescent="0.25"/>
    <row r="282" spans="1:20" ht="20" customHeight="1" x14ac:dyDescent="0.25"/>
    <row r="283" spans="1:20" ht="20" customHeight="1" x14ac:dyDescent="0.25"/>
    <row r="284" spans="1:20" ht="20" customHeight="1" x14ac:dyDescent="0.25"/>
    <row r="285" spans="1:20" ht="20" customHeight="1" x14ac:dyDescent="0.25"/>
    <row r="286" spans="1:20" ht="20"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opLeftCell="G1" zoomScaleNormal="100" workbookViewId="0">
      <selection activeCell="I6" sqref="I6:I12"/>
    </sheetView>
  </sheetViews>
  <sheetFormatPr defaultRowHeight="20" x14ac:dyDescent="0.25" customHeight="1"/>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4" t="e" vm="1">
        <v>#VALUE!</v>
      </c>
      <c r="C1" s="8" t="s">
        <v>132</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M3" s="4"/>
      <c r="N3" s="4"/>
      <c r="O3" s="4"/>
      <c r="P3" s="4"/>
      <c r="Q3" s="4"/>
      <c r="R3" s="4"/>
      <c r="S3" s="4"/>
      <c r="T3" s="4"/>
      <c r="U3" s="4"/>
    </row>
    <row r="4" spans="1:21" ht="20" customHeight="1" x14ac:dyDescent="0.25">
      <c r="A4" s="17" t="str">
        <f>HYPERLINK("#'Overview'!A1", "Overview")</f>
        <v>Overview</v>
      </c>
      <c r="M4" s="21"/>
    </row>
    <row r="5" spans="1:21" ht="20" customHeight="1" x14ac:dyDescent="0.25">
      <c r="A5" s="17" t="str">
        <f>HYPERLINK("#'Results'!A1", "Results")</f>
        <v>Results</v>
      </c>
      <c r="M5" s="1"/>
    </row>
    <row r="6" spans="1:21" ht="20" customHeight="1" x14ac:dyDescent="0.25">
      <c r="D6" s="6" t="s">
        <v>250</v>
      </c>
      <c r="G6" s="6" t="s">
        <v>103</v>
      </c>
      <c r="I6" s="6" t="s">
        <v>418</v>
      </c>
      <c r="M6" s="1"/>
    </row>
    <row r="7" spans="1:21" ht="20" customHeight="1" x14ac:dyDescent="0.25">
      <c r="I7" s="1" t="s">
        <v>420</v>
      </c>
      <c r="M7" s="1"/>
    </row>
    <row r="8" spans="1:21" ht="20" customHeight="1" x14ac:dyDescent="0.25">
      <c r="A8" s="19" t="s">
        <v>0</v>
      </c>
      <c r="D8" s="36" t="s">
        <v>102</v>
      </c>
      <c r="G8" s="36" t="s">
        <v>101</v>
      </c>
      <c r="I8" s="36" t="s">
        <v>419</v>
      </c>
      <c r="M8" s="1"/>
    </row>
    <row r="9" spans="1:21" ht="20" customHeight="1" x14ac:dyDescent="0.25">
      <c r="A9" s="17" t="str">
        <f>HYPERLINK("#'Input - Site'!A1", "Site")</f>
        <v>Site</v>
      </c>
      <c r="D9" s="36" t="s">
        <v>332</v>
      </c>
      <c r="G9" s="36" t="s">
        <v>104</v>
      </c>
      <c r="I9" s="36" t="s">
        <v>134</v>
      </c>
      <c r="M9" s="1"/>
    </row>
    <row r="10" spans="1:21" ht="20" customHeight="1" x14ac:dyDescent="0.25">
      <c r="A10" s="17" t="str">
        <f>HYPERLINK("#'Input - Swine'!A1", "Swine")</f>
        <v>Swine</v>
      </c>
      <c r="D10" s="1" t="s">
        <v>129</v>
      </c>
      <c r="G10" s="36" t="s">
        <v>105</v>
      </c>
      <c r="I10" s="36" t="s">
        <v>135</v>
      </c>
      <c r="M10" s="1"/>
    </row>
    <row r="11" spans="1:21" ht="20" customHeight="1" x14ac:dyDescent="0.25">
      <c r="G11" s="1" t="s">
        <v>106</v>
      </c>
      <c r="I11" s="36" t="s">
        <v>136</v>
      </c>
      <c r="M11" s="1"/>
    </row>
    <row r="12" spans="1:21" ht="20" customHeight="1" x14ac:dyDescent="0.25">
      <c r="G12" s="1" t="s">
        <v>107</v>
      </c>
      <c r="I12" s="36" t="s">
        <v>192</v>
      </c>
      <c r="M12" s="1"/>
    </row>
    <row r="13" spans="1:21" ht="20" customHeight="1" x14ac:dyDescent="0.25">
      <c r="A13" s="18" t="s">
        <v>71</v>
      </c>
      <c r="G13" s="1" t="s">
        <v>108</v>
      </c>
      <c r="M13" s="1"/>
    </row>
    <row r="14" spans="1:21" ht="20" customHeight="1" x14ac:dyDescent="0.25">
      <c r="A14" s="17" t="str">
        <f>HYPERLINK("#'4.5.1.1-2 Methane'!A1", "4.5.1.1-2 Methane")</f>
        <v>4.5.1.1-2 Methane</v>
      </c>
      <c r="D14" s="6" t="str" cm="1">
        <f t="array" ref="D14">SourceData_Swine.SourceData_Swine_FracLEACH_DrylotMMS_Title()</f>
        <v>Fraction of nitrogen lost through leaching and runoff for drylot MMS</v>
      </c>
      <c r="M14" s="1"/>
    </row>
    <row r="15" spans="1:21" ht="20" customHeight="1" x14ac:dyDescent="0.25">
      <c r="A15" s="17" t="str">
        <f>HYPERLINK("#'4.5.1.3-4 Direct N2O'!A1", "4.5.1.3-4 Direct N2O")</f>
        <v>4.5.1.3-4 Direct N2O</v>
      </c>
      <c r="D15" s="5" t="str" cm="1">
        <f t="array" ref="D15">SourceData_Swine.SourceData_Swine_FracLEACH_DrylotMMS_Source()</f>
        <v>VEERG 2026: 4.5.2.3 CONSTANT</v>
      </c>
      <c r="M15" s="1"/>
    </row>
    <row r="16" spans="1:21" ht="20" customHeight="1" x14ac:dyDescent="0.25">
      <c r="A16" s="17" t="str">
        <f>HYPERLINK("#'4.5.1.5-6 Atmos Dep'!A1", "4.5.1.5-6 Atmos Dep")</f>
        <v>4.5.1.5-6 Atmos Dep</v>
      </c>
      <c r="D16" s="53" t="str" cm="1">
        <f t="array" ref="D16">SourceData_Swine.SourceData_Swine_FracLEACH_DrylotMMS_Variation()</f>
        <v>VARIATION ON SOURCE: Text refers to 'solid storage' MMS, but equation refers to 'drylot' MMS.</v>
      </c>
      <c r="M16" s="1"/>
    </row>
    <row r="17" spans="1:13" ht="20" customHeight="1" x14ac:dyDescent="0.25">
      <c r="A17" s="17" t="str">
        <f>HYPERLINK("#'4.5.1.7-8 Leaching and runoff'!A1", "4.5.1.7-8 Leaching and runoff")</f>
        <v>4.5.1.7-8 Leaching and runoff</v>
      </c>
      <c r="D17" s="51" t="str" cm="1">
        <f t="array" ref="D17">SourceData_Swine.SourceData_Swine_FracLEACH_DrylotMMS_Variable()</f>
        <v>FracLEACH_MS</v>
      </c>
      <c r="E17" s="1" cm="1">
        <f t="array" ref="E17">SourceData_Swine.SourceData_Swine_FracLEACH_DrylotMMS_Data()</f>
        <v>0.02</v>
      </c>
      <c r="F17" s="52" t="str" cm="1">
        <f t="array" ref="F17">SourceData_Swine.SourceData_Swine_FracLEACH_DrylotMMS_Unit()</f>
        <v>fraction</v>
      </c>
      <c r="M17" s="1"/>
    </row>
    <row r="18" spans="1:13" ht="20" customHeight="1" x14ac:dyDescent="0.25">
      <c r="A18" s="17" t="str">
        <f>HYPERLINK("#'4.5.1.9 Manure applied to soils'!A1", "4.5.1.9 Manure applied to soils")</f>
        <v>4.5.1.9 Manure applied to soils</v>
      </c>
      <c r="M18" s="1"/>
    </row>
    <row r="19" spans="1:13" ht="20" customHeight="1" x14ac:dyDescent="0.25">
      <c r="D19" s="6" t="str" cm="1">
        <f t="array" ref="D19">SourceData_Swine.SourceData_Swine_MethaneVolatileSolidsEmissionsPotential_Title()</f>
        <v>Emissions potential of methane per kilogram of volatile solids</v>
      </c>
      <c r="M19" s="1"/>
    </row>
    <row r="20" spans="1:13" ht="20" customHeight="1" x14ac:dyDescent="0.25">
      <c r="D20" s="5" t="str" cm="1">
        <f t="array" ref="D20">SourceData_Swine.SourceData_Swine_MethaneVolatileSolidsEmissionsPotential_Source()</f>
        <v>IPCC (2019), Chapter 10 [4]</v>
      </c>
      <c r="M20" s="1"/>
    </row>
    <row r="21" spans="1:13" ht="20" customHeight="1" x14ac:dyDescent="0.25">
      <c r="A21" s="141" t="s">
        <v>1</v>
      </c>
      <c r="D21" s="51" t="str" cm="1">
        <f t="array" ref="D21">SourceData_Swine.SourceData_Swine_MethaneVolatileSolidsEmissionsPotential_Variable()</f>
        <v>B0</v>
      </c>
      <c r="E21" s="1" cm="1">
        <f t="array" ref="E21">SourceData_Swine.SourceData_Swine_MethaneVolatileSolidsEmissionsPotential_Data()</f>
        <v>0.19</v>
      </c>
      <c r="F21" s="52" t="str" cm="1">
        <f t="array" ref="F21">SourceData_Swine.SourceData_Swine_MethaneVolatileSolidsEmissionsPotential_Unit()</f>
        <v>m3 CH4 / kg VS</v>
      </c>
      <c r="M21" s="1"/>
    </row>
    <row r="22" spans="1:13" ht="20" customHeight="1" x14ac:dyDescent="0.25">
      <c r="A22" s="144" t="str">
        <f>HYPERLINK("#'Constants - Swine'!A1", "Constants - Swine")</f>
        <v>Constants - Swine</v>
      </c>
      <c r="M22" s="1"/>
    </row>
    <row r="23" spans="1:13" ht="20" customHeight="1" x14ac:dyDescent="0.25">
      <c r="A23" s="17" t="str">
        <f>HYPERLINK("#'Constants - Common'!A1", "Constants - Common")</f>
        <v>Constants - Common</v>
      </c>
      <c r="M23" s="1"/>
    </row>
    <row r="24" spans="1:13" ht="20" customHeight="1" x14ac:dyDescent="0.25">
      <c r="A24" s="17" t="str">
        <f>HYPERLINK("#'Constants - Common livestock'!A1", "Constants - Common livestock")</f>
        <v>Constants - Common livestock</v>
      </c>
      <c r="D24" s="6" t="str" cm="1">
        <f t="array" ref="D24">SourceData_Swine.SourceData_Swine_MMS_MCFs_Title()</f>
        <v>Methane conversion factor for temperature zone and manure management system.</v>
      </c>
      <c r="H24" s="100" t="s">
        <v>143</v>
      </c>
      <c r="M24" s="1"/>
    </row>
    <row r="25" spans="1:13" ht="20" customHeight="1" x14ac:dyDescent="0.25">
      <c r="A25" s="17" t="str">
        <f>HYPERLINK("#'Acknowledgements'!A1", "Acknowledgements")</f>
        <v>Acknowledgements</v>
      </c>
      <c r="D25" s="5" t="str" cm="1">
        <f t="array" ref="D25">SourceData_Swine.SourceData_Swine_MMS_MCFs_Source()</f>
        <v>VEERG 2026: Table A.1.6.4: Swine - MCFs (MCFim)</v>
      </c>
      <c r="H25" s="100" t="s">
        <v>144</v>
      </c>
      <c r="M25" s="1"/>
    </row>
    <row r="26" spans="1:13" ht="20" customHeight="1" x14ac:dyDescent="0.25">
      <c r="A26" s="17" t="str">
        <f>HYPERLINK("#'Tab template'!A1", "Tab template")</f>
        <v>Tab template</v>
      </c>
      <c r="D26" s="53" t="str" cm="1">
        <f t="array" ref="D26">SourceData_Swine.SourceData_Swine_MMS_MCFs_Variation()</f>
        <v>VARIATION ON SOURCE DATA: Added columns for ACT, split QLD and NT. Added extra column with MMS names that match NIR definitions</v>
      </c>
      <c r="M26" s="1"/>
    </row>
    <row r="27" spans="1:13" ht="20" customHeight="1" x14ac:dyDescent="0.25">
      <c r="M27" s="1"/>
    </row>
    <row r="28" spans="1:13" ht="20" customHeight="1" x14ac:dyDescent="0.25">
      <c r="D28" s="36" t="s">
        <v>64</v>
      </c>
      <c r="E28" s="36" t="s">
        <v>76</v>
      </c>
      <c r="F28" s="36" t="s">
        <v>75</v>
      </c>
      <c r="G28" s="36" t="s">
        <v>78</v>
      </c>
      <c r="H28" s="36" t="s">
        <v>77</v>
      </c>
      <c r="I28" s="36" t="s">
        <v>79</v>
      </c>
      <c r="J28" s="36" t="s">
        <v>80</v>
      </c>
      <c r="K28" s="36" t="s">
        <v>81</v>
      </c>
      <c r="L28" s="36" t="s">
        <v>82</v>
      </c>
      <c r="M28" s="36" t="s">
        <v>145</v>
      </c>
    </row>
    <row r="29" spans="1:13" ht="20" customHeight="1" x14ac:dyDescent="0.25">
      <c r="D29" s="36" t="str" cm="1">
        <f t="array" ref="D29">Common_InputFunctions.Utility_DisplayArrayInTable(SourceData_Swine.SourceData_Swine_MMS_MCFs_Data(),Table_SourceData_Swine_MMSMCF[[#Headers],[MMS]],0)</f>
        <v>Outdoor (Dry lot)</v>
      </c>
      <c r="E29" s="36" cm="1">
        <f t="array" ref="E29">Common_InputFunctions.Utility_DisplayArrayInTable(SourceData_Swine.SourceData_Swine_MMS_MCFs_Data(),Table_SourceData_Swine_MMSMCF[[#Headers],[MMS]],0)</f>
        <v>0.01</v>
      </c>
      <c r="F29" s="36" cm="1">
        <f t="array" ref="F29">Common_InputFunctions.Utility_DisplayArrayInTable(SourceData_Swine.SourceData_Swine_MMS_MCFs_Data(),Table_SourceData_Swine_MMSMCF[[#Headers],[MMS]],0)</f>
        <v>0.01</v>
      </c>
      <c r="G29" s="36" cm="1">
        <f t="array" ref="G29">Common_InputFunctions.Utility_DisplayArrayInTable(SourceData_Swine.SourceData_Swine_MMS_MCFs_Data(),Table_SourceData_Swine_MMSMCF[[#Headers],[MMS]],0)</f>
        <v>0.03</v>
      </c>
      <c r="H29" s="36" cm="1">
        <f t="array" ref="H29">Common_InputFunctions.Utility_DisplayArrayInTable(SourceData_Swine.SourceData_Swine_MMS_MCFs_Data(),Table_SourceData_Swine_MMSMCF[[#Headers],[MMS]],0)</f>
        <v>0.03</v>
      </c>
      <c r="I29" s="36" cm="1">
        <f t="array" ref="I29">Common_InputFunctions.Utility_DisplayArrayInTable(SourceData_Swine.SourceData_Swine_MMS_MCFs_Data(),Table_SourceData_Swine_MMSMCF[[#Headers],[MMS]],0)</f>
        <v>0.01</v>
      </c>
      <c r="J29" s="36" cm="1">
        <f t="array" ref="J29">Common_InputFunctions.Utility_DisplayArrayInTable(SourceData_Swine.SourceData_Swine_MMS_MCFs_Data(),Table_SourceData_Swine_MMSMCF[[#Headers],[MMS]],0)</f>
        <v>0.01</v>
      </c>
      <c r="K29" s="36" cm="1">
        <f t="array" ref="K29">Common_InputFunctions.Utility_DisplayArrayInTable(SourceData_Swine.SourceData_Swine_MMS_MCFs_Data(),Table_SourceData_Swine_MMSMCF[[#Headers],[MMS]],0)</f>
        <v>0.01</v>
      </c>
      <c r="L29" s="36" cm="1">
        <f t="array" ref="L29">Common_InputFunctions.Utility_DisplayArrayInTable(SourceData_Swine.SourceData_Swine_MMS_MCFs_Data(),Table_SourceData_Swine_MMSMCF[[#Headers],[MMS]],0)</f>
        <v>0.01</v>
      </c>
      <c r="M29" s="36" t="str" cm="1">
        <f t="array" ref="M29">Common_InputFunctions.Utility_DisplayArrayInTable(SourceData_Swine.SourceData_Swine_MMS_MCFs_Data(),Table_SourceData_Swine_MMSMCF[[#Headers],[MMS]],0)</f>
        <v>Drylot (feed pad)</v>
      </c>
    </row>
    <row r="30" spans="1:13" ht="20" customHeight="1" x14ac:dyDescent="0.25">
      <c r="D30" s="1" t="str" cm="1">
        <f t="array" ref="D30">Common_InputFunctions.Utility_DisplayArrayInTable(SourceData_Swine.SourceData_Swine_MMS_MCFs_Data(),Table_SourceData_Swine_MMSMCF[[#Headers],[MMS]],0)</f>
        <v>Deep litter</v>
      </c>
      <c r="E30" s="36" cm="1">
        <f t="array" ref="E30">Common_InputFunctions.Utility_DisplayArrayInTable(SourceData_Swine.SourceData_Swine_MMS_MCFs_Data(),Table_SourceData_Swine_MMSMCF[[#Headers],[MMS]],0)</f>
        <v>0.04</v>
      </c>
      <c r="F30" s="36" cm="1">
        <f t="array" ref="F30">Common_InputFunctions.Utility_DisplayArrayInTable(SourceData_Swine.SourceData_Swine_MMS_MCFs_Data(),Table_SourceData_Swine_MMSMCF[[#Headers],[MMS]],0)</f>
        <v>0.04</v>
      </c>
      <c r="G30" s="36" cm="1">
        <f t="array" ref="G30">Common_InputFunctions.Utility_DisplayArrayInTable(SourceData_Swine.SourceData_Swine_MMS_MCFs_Data(),Table_SourceData_Swine_MMSMCF[[#Headers],[MMS]],0)</f>
        <v>0.04</v>
      </c>
      <c r="H30" s="36" cm="1">
        <f t="array" ref="H30">Common_InputFunctions.Utility_DisplayArrayInTable(SourceData_Swine.SourceData_Swine_MMS_MCFs_Data(),Table_SourceData_Swine_MMSMCF[[#Headers],[MMS]],0)</f>
        <v>0.04</v>
      </c>
      <c r="I30" s="36" cm="1">
        <f t="array" ref="I30">Common_InputFunctions.Utility_DisplayArrayInTable(SourceData_Swine.SourceData_Swine_MMS_MCFs_Data(),Table_SourceData_Swine_MMSMCF[[#Headers],[MMS]],0)</f>
        <v>0.04</v>
      </c>
      <c r="J30" s="36" cm="1">
        <f t="array" ref="J30">Common_InputFunctions.Utility_DisplayArrayInTable(SourceData_Swine.SourceData_Swine_MMS_MCFs_Data(),Table_SourceData_Swine_MMSMCF[[#Headers],[MMS]],0)</f>
        <v>0.04</v>
      </c>
      <c r="K30" s="36" cm="1">
        <f t="array" ref="K30">Common_InputFunctions.Utility_DisplayArrayInTable(SourceData_Swine.SourceData_Swine_MMS_MCFs_Data(),Table_SourceData_Swine_MMSMCF[[#Headers],[MMS]],0)</f>
        <v>0.04</v>
      </c>
      <c r="L30" s="36" cm="1">
        <f t="array" ref="L30">Common_InputFunctions.Utility_DisplayArrayInTable(SourceData_Swine.SourceData_Swine_MMS_MCFs_Data(),Table_SourceData_Swine_MMSMCF[[#Headers],[MMS]],0)</f>
        <v>0.04</v>
      </c>
      <c r="M30" s="36" t="str" cm="1">
        <f t="array" ref="M30">Common_InputFunctions.Utility_DisplayArrayInTable(SourceData_Swine.SourceData_Swine_MMS_MCFs_Data(),Table_SourceData_Swine_MMSMCF[[#Headers],[MMS]],0)</f>
        <v>Deep litter</v>
      </c>
    </row>
    <row r="31" spans="1:13" ht="20" customHeight="1" x14ac:dyDescent="0.25">
      <c r="D31" s="1" t="str" cm="1">
        <f t="array" ref="D31">Common_InputFunctions.Utility_DisplayArrayInTable(SourceData_Swine.SourceData_Swine_MMS_MCFs_Data(),Table_SourceData_Swine_MMSMCF[[#Headers],[MMS]],0)</f>
        <v>Stockpile (Solid storage)</v>
      </c>
      <c r="E31" s="36" cm="1">
        <f t="array" ref="E31">Common_InputFunctions.Utility_DisplayArrayInTable(SourceData_Swine.SourceData_Swine_MMS_MCFs_Data(),Table_SourceData_Swine_MMSMCF[[#Headers],[MMS]],0)</f>
        <v>0.02</v>
      </c>
      <c r="F31" s="36" cm="1">
        <f t="array" ref="F31">Common_InputFunctions.Utility_DisplayArrayInTable(SourceData_Swine.SourceData_Swine_MMS_MCFs_Data(),Table_SourceData_Swine_MMSMCF[[#Headers],[MMS]],0)</f>
        <v>0.02</v>
      </c>
      <c r="G31" s="36" cm="1">
        <f t="array" ref="G31">Common_InputFunctions.Utility_DisplayArrayInTable(SourceData_Swine.SourceData_Swine_MMS_MCFs_Data(),Table_SourceData_Swine_MMSMCF[[#Headers],[MMS]],0)</f>
        <v>0.02</v>
      </c>
      <c r="H31" s="36" cm="1">
        <f t="array" ref="H31">Common_InputFunctions.Utility_DisplayArrayInTable(SourceData_Swine.SourceData_Swine_MMS_MCFs_Data(),Table_SourceData_Swine_MMSMCF[[#Headers],[MMS]],0)</f>
        <v>0.02</v>
      </c>
      <c r="I31" s="36" cm="1">
        <f t="array" ref="I31">Common_InputFunctions.Utility_DisplayArrayInTable(SourceData_Swine.SourceData_Swine_MMS_MCFs_Data(),Table_SourceData_Swine_MMSMCF[[#Headers],[MMS]],0)</f>
        <v>0.02</v>
      </c>
      <c r="J31" s="36" cm="1">
        <f t="array" ref="J31">Common_InputFunctions.Utility_DisplayArrayInTable(SourceData_Swine.SourceData_Swine_MMS_MCFs_Data(),Table_SourceData_Swine_MMSMCF[[#Headers],[MMS]],0)</f>
        <v>0.02</v>
      </c>
      <c r="K31" s="36" cm="1">
        <f t="array" ref="K31">Common_InputFunctions.Utility_DisplayArrayInTable(SourceData_Swine.SourceData_Swine_MMS_MCFs_Data(),Table_SourceData_Swine_MMSMCF[[#Headers],[MMS]],0)</f>
        <v>0.02</v>
      </c>
      <c r="L31" s="36" cm="1">
        <f t="array" ref="L31">Common_InputFunctions.Utility_DisplayArrayInTable(SourceData_Swine.SourceData_Swine_MMS_MCFs_Data(),Table_SourceData_Swine_MMSMCF[[#Headers],[MMS]],0)</f>
        <v>0.02</v>
      </c>
      <c r="M31" s="36" t="str" cm="1">
        <f t="array" ref="M31">Common_InputFunctions.Utility_DisplayArrayInTable(SourceData_Swine.SourceData_Swine_MMS_MCFs_Data(),Table_SourceData_Swine_MMSMCF[[#Headers],[MMS]],0)</f>
        <v>Solid storage</v>
      </c>
    </row>
    <row r="32" spans="1:13" ht="20" customHeight="1" x14ac:dyDescent="0.25">
      <c r="D32" s="1" t="str" cm="1">
        <f t="array" ref="D32">Common_InputFunctions.Utility_DisplayArrayInTable(SourceData_Swine.SourceData_Swine_MMS_MCFs_Data(),Table_SourceData_Swine_MMSMCF[[#Headers],[MMS]],0)</f>
        <v>Effluent pond (Uncovered anaerobic lagoon)</v>
      </c>
      <c r="E32" s="36" cm="1">
        <f t="array" ref="E32">Common_InputFunctions.Utility_DisplayArrayInTable(SourceData_Swine.SourceData_Swine_MMS_MCFs_Data(),Table_SourceData_Swine_MMSMCF[[#Headers],[MMS]],0)</f>
        <v>0.75</v>
      </c>
      <c r="F32" s="36" cm="1">
        <f t="array" ref="F32">Common_InputFunctions.Utility_DisplayArrayInTable(SourceData_Swine.SourceData_Swine_MMS_MCFs_Data(),Table_SourceData_Swine_MMSMCF[[#Headers],[MMS]],0)</f>
        <v>0.75</v>
      </c>
      <c r="G32" s="36" cm="1">
        <f t="array" ref="G32">Common_InputFunctions.Utility_DisplayArrayInTable(SourceData_Swine.SourceData_Swine_MMS_MCFs_Data(),Table_SourceData_Swine_MMSMCF[[#Headers],[MMS]],0)</f>
        <v>0.78</v>
      </c>
      <c r="H32" s="36" cm="1">
        <f t="array" ref="H32">Common_InputFunctions.Utility_DisplayArrayInTable(SourceData_Swine.SourceData_Swine_MMS_MCFs_Data(),Table_SourceData_Swine_MMSMCF[[#Headers],[MMS]],0)</f>
        <v>0.78</v>
      </c>
      <c r="I32" s="36" cm="1">
        <f t="array" ref="I32">Common_InputFunctions.Utility_DisplayArrayInTable(SourceData_Swine.SourceData_Swine_MMS_MCFs_Data(),Table_SourceData_Swine_MMSMCF[[#Headers],[MMS]],0)</f>
        <v>0.75</v>
      </c>
      <c r="J32" s="36" cm="1">
        <f t="array" ref="J32">Common_InputFunctions.Utility_DisplayArrayInTable(SourceData_Swine.SourceData_Swine_MMS_MCFs_Data(),Table_SourceData_Swine_MMSMCF[[#Headers],[MMS]],0)</f>
        <v>0.7</v>
      </c>
      <c r="K32" s="36" cm="1">
        <f t="array" ref="K32">Common_InputFunctions.Utility_DisplayArrayInTable(SourceData_Swine.SourceData_Swine_MMS_MCFs_Data(),Table_SourceData_Swine_MMSMCF[[#Headers],[MMS]],0)</f>
        <v>0.74</v>
      </c>
      <c r="L32" s="36" cm="1">
        <f t="array" ref="L32">Common_InputFunctions.Utility_DisplayArrayInTable(SourceData_Swine.SourceData_Swine_MMS_MCFs_Data(),Table_SourceData_Swine_MMSMCF[[#Headers],[MMS]],0)</f>
        <v>0.76</v>
      </c>
      <c r="M32" s="36" t="str" cm="1">
        <f t="array" ref="M32">Common_InputFunctions.Utility_DisplayArrayInTable(SourceData_Swine.SourceData_Swine_MMS_MCFs_Data(),Table_SourceData_Swine_MMSMCF[[#Headers],[MMS]],0)</f>
        <v>Anaerobic lagoon</v>
      </c>
    </row>
    <row r="33" spans="4:13" ht="20" customHeight="1" x14ac:dyDescent="0.25">
      <c r="D33" s="1" t="str" cm="1">
        <f t="array" ref="D33">Common_InputFunctions.Utility_DisplayArrayInTable(SourceData_Swine.SourceData_Swine_MMS_MCFs_Data(),Table_SourceData_Swine_MMSMCF[[#Headers],[MMS]],0)</f>
        <v>Anaerobic digester / Covered lagoon</v>
      </c>
      <c r="E33" s="36" cm="1">
        <f t="array" ref="E33">Common_InputFunctions.Utility_DisplayArrayInTable(SourceData_Swine.SourceData_Swine_MMS_MCFs_Data(),Table_SourceData_Swine_MMSMCF[[#Headers],[MMS]],0)</f>
        <v>0.1</v>
      </c>
      <c r="F33" s="36" cm="1">
        <f t="array" ref="F33">Common_InputFunctions.Utility_DisplayArrayInTable(SourceData_Swine.SourceData_Swine_MMS_MCFs_Data(),Table_SourceData_Swine_MMSMCF[[#Headers],[MMS]],0)</f>
        <v>0.1</v>
      </c>
      <c r="G33" s="36" cm="1">
        <f t="array" ref="G33">Common_InputFunctions.Utility_DisplayArrayInTable(SourceData_Swine.SourceData_Swine_MMS_MCFs_Data(),Table_SourceData_Swine_MMSMCF[[#Headers],[MMS]],0)</f>
        <v>0.1</v>
      </c>
      <c r="H33" s="36" cm="1">
        <f t="array" ref="H33">Common_InputFunctions.Utility_DisplayArrayInTable(SourceData_Swine.SourceData_Swine_MMS_MCFs_Data(),Table_SourceData_Swine_MMSMCF[[#Headers],[MMS]],0)</f>
        <v>0.1</v>
      </c>
      <c r="I33" s="36" cm="1">
        <f t="array" ref="I33">Common_InputFunctions.Utility_DisplayArrayInTable(SourceData_Swine.SourceData_Swine_MMS_MCFs_Data(),Table_SourceData_Swine_MMSMCF[[#Headers],[MMS]],0)</f>
        <v>0.1</v>
      </c>
      <c r="J33" s="36" cm="1">
        <f t="array" ref="J33">Common_InputFunctions.Utility_DisplayArrayInTable(SourceData_Swine.SourceData_Swine_MMS_MCFs_Data(),Table_SourceData_Swine_MMSMCF[[#Headers],[MMS]],0)</f>
        <v>0.1</v>
      </c>
      <c r="K33" s="36" cm="1">
        <f t="array" ref="K33">Common_InputFunctions.Utility_DisplayArrayInTable(SourceData_Swine.SourceData_Swine_MMS_MCFs_Data(),Table_SourceData_Swine_MMSMCF[[#Headers],[MMS]],0)</f>
        <v>0.1</v>
      </c>
      <c r="L33" s="36" cm="1">
        <f t="array" ref="L33">Common_InputFunctions.Utility_DisplayArrayInTable(SourceData_Swine.SourceData_Swine_MMS_MCFs_Data(),Table_SourceData_Swine_MMSMCF[[#Headers],[MMS]],0)</f>
        <v>0.1</v>
      </c>
      <c r="M33" s="36" t="str" cm="1">
        <f t="array" ref="M33">Common_InputFunctions.Utility_DisplayArrayInTable(SourceData_Swine.SourceData_Swine_MMS_MCFs_Data(),Table_SourceData_Swine_MMSMCF[[#Headers],[MMS]],0)</f>
        <v>Digester / covered lagoons</v>
      </c>
    </row>
    <row r="34" spans="4:13" ht="20" customHeight="1" x14ac:dyDescent="0.25">
      <c r="D34" s="1" t="str" cm="1">
        <f t="array" ref="D34">Common_InputFunctions.Utility_DisplayArrayInTable(SourceData_Swine.SourceData_Swine_MMS_MCFs_Data(),Table_SourceData_Swine_MMSMCF[[#Headers],[MMS]],0)</f>
        <v>Short HRT tank storage &lt; 1 month (pit storage)</v>
      </c>
      <c r="E34" s="36" cm="1">
        <f t="array" ref="E34">Common_InputFunctions.Utility_DisplayArrayInTable(SourceData_Swine.SourceData_Swine_MMS_MCFs_Data(),Table_SourceData_Swine_MMSMCF[[#Headers],[MMS]],0)</f>
        <v>0.03</v>
      </c>
      <c r="F34" s="36" cm="1">
        <f t="array" ref="F34">Common_InputFunctions.Utility_DisplayArrayInTable(SourceData_Swine.SourceData_Swine_MMS_MCFs_Data(),Table_SourceData_Swine_MMSMCF[[#Headers],[MMS]],0)</f>
        <v>0.03</v>
      </c>
      <c r="G34" s="36" cm="1">
        <f t="array" ref="G34">Common_InputFunctions.Utility_DisplayArrayInTable(SourceData_Swine.SourceData_Swine_MMS_MCFs_Data(),Table_SourceData_Swine_MMSMCF[[#Headers],[MMS]],0)</f>
        <v>0.03</v>
      </c>
      <c r="H34" s="36" cm="1">
        <f t="array" ref="H34">Common_InputFunctions.Utility_DisplayArrayInTable(SourceData_Swine.SourceData_Swine_MMS_MCFs_Data(),Table_SourceData_Swine_MMSMCF[[#Headers],[MMS]],0)</f>
        <v>0.03</v>
      </c>
      <c r="I34" s="36" cm="1">
        <f t="array" ref="I34">Common_InputFunctions.Utility_DisplayArrayInTable(SourceData_Swine.SourceData_Swine_MMS_MCFs_Data(),Table_SourceData_Swine_MMSMCF[[#Headers],[MMS]],0)</f>
        <v>0.03</v>
      </c>
      <c r="J34" s="36" cm="1">
        <f t="array" ref="J34">Common_InputFunctions.Utility_DisplayArrayInTable(SourceData_Swine.SourceData_Swine_MMS_MCFs_Data(),Table_SourceData_Swine_MMSMCF[[#Headers],[MMS]],0)</f>
        <v>0.03</v>
      </c>
      <c r="K34" s="36" cm="1">
        <f t="array" ref="K34">Common_InputFunctions.Utility_DisplayArrayInTable(SourceData_Swine.SourceData_Swine_MMS_MCFs_Data(),Table_SourceData_Swine_MMSMCF[[#Headers],[MMS]],0)</f>
        <v>0.03</v>
      </c>
      <c r="L34" s="36" cm="1">
        <f t="array" ref="L34">Common_InputFunctions.Utility_DisplayArrayInTable(SourceData_Swine.SourceData_Swine_MMS_MCFs_Data(),Table_SourceData_Swine_MMSMCF[[#Headers],[MMS]],0)</f>
        <v>0.03</v>
      </c>
      <c r="M34" s="36" t="str" cm="1">
        <f t="array" ref="M34">Common_InputFunctions.Utility_DisplayArrayInTable(SourceData_Swine.SourceData_Swine_MMS_MCFs_Data(),Table_SourceData_Swine_MMSMCF[[#Headers],[MMS]],0)</f>
        <v>Pit storage</v>
      </c>
    </row>
    <row r="35" spans="4:13" ht="20" customHeight="1" x14ac:dyDescent="0.25">
      <c r="D35" s="1" t="str" cm="1">
        <f t="array" ref="D35">Common_InputFunctions.Utility_DisplayArrayInTable(SourceData_Swine.SourceData_Swine_MMS_MCFs_Data(),Table_SourceData_Swine_MMSMCF[[#Headers],[MMS]],0)</f>
        <v>Direct Application to soil</v>
      </c>
      <c r="E35" s="36" cm="1">
        <f t="array" ref="E35">Common_InputFunctions.Utility_DisplayArrayInTable(SourceData_Swine.SourceData_Swine_MMS_MCFs_Data(),Table_SourceData_Swine_MMSMCF[[#Headers],[MMS]],0)</f>
        <v>0</v>
      </c>
      <c r="F35" s="36" cm="1">
        <f t="array" ref="F35">Common_InputFunctions.Utility_DisplayArrayInTable(SourceData_Swine.SourceData_Swine_MMS_MCFs_Data(),Table_SourceData_Swine_MMSMCF[[#Headers],[MMS]],0)</f>
        <v>0</v>
      </c>
      <c r="G35" s="36" cm="1">
        <f t="array" ref="G35">Common_InputFunctions.Utility_DisplayArrayInTable(SourceData_Swine.SourceData_Swine_MMS_MCFs_Data(),Table_SourceData_Swine_MMSMCF[[#Headers],[MMS]],0)</f>
        <v>0</v>
      </c>
      <c r="H35" s="36" cm="1">
        <f t="array" ref="H35">Common_InputFunctions.Utility_DisplayArrayInTable(SourceData_Swine.SourceData_Swine_MMS_MCFs_Data(),Table_SourceData_Swine_MMSMCF[[#Headers],[MMS]],0)</f>
        <v>0</v>
      </c>
      <c r="I35" s="36" cm="1">
        <f t="array" ref="I35">Common_InputFunctions.Utility_DisplayArrayInTable(SourceData_Swine.SourceData_Swine_MMS_MCFs_Data(),Table_SourceData_Swine_MMSMCF[[#Headers],[MMS]],0)</f>
        <v>0</v>
      </c>
      <c r="J35" s="36" cm="1">
        <f t="array" ref="J35">Common_InputFunctions.Utility_DisplayArrayInTable(SourceData_Swine.SourceData_Swine_MMS_MCFs_Data(),Table_SourceData_Swine_MMSMCF[[#Headers],[MMS]],0)</f>
        <v>0</v>
      </c>
      <c r="K35" s="36" cm="1">
        <f t="array" ref="K35">Common_InputFunctions.Utility_DisplayArrayInTable(SourceData_Swine.SourceData_Swine_MMS_MCFs_Data(),Table_SourceData_Swine_MMSMCF[[#Headers],[MMS]],0)</f>
        <v>0</v>
      </c>
      <c r="L35" s="36" cm="1">
        <f t="array" ref="L35">Common_InputFunctions.Utility_DisplayArrayInTable(SourceData_Swine.SourceData_Swine_MMS_MCFs_Data(),Table_SourceData_Swine_MMSMCF[[#Headers],[MMS]],0)</f>
        <v>0</v>
      </c>
      <c r="M35" s="36" t="str" cm="1">
        <f t="array" ref="M35">Common_InputFunctions.Utility_DisplayArrayInTable(SourceData_Swine.SourceData_Swine_MMS_MCFs_Data(),Table_SourceData_Swine_MMSMCF[[#Headers],[MMS]],0)</f>
        <v>Direct application</v>
      </c>
    </row>
    <row r="36" spans="4:13" ht="20" customHeight="1" x14ac:dyDescent="0.25">
      <c r="M36" s="1"/>
    </row>
    <row r="37" spans="4:13" ht="20" customHeight="1" x14ac:dyDescent="0.25">
      <c r="M37" s="1"/>
    </row>
    <row r="38" spans="4:13" ht="20" customHeight="1" x14ac:dyDescent="0.25">
      <c r="D38" s="6" t="s">
        <v>146</v>
      </c>
      <c r="G38" s="6" t="s">
        <v>147</v>
      </c>
      <c r="K38" s="6" t="s">
        <v>148</v>
      </c>
      <c r="M38" s="1"/>
    </row>
    <row r="39" spans="4:13" ht="20" customHeight="1" x14ac:dyDescent="0.25">
      <c r="M39" s="1"/>
    </row>
    <row r="40" spans="4:13" ht="20" customHeight="1" x14ac:dyDescent="0.25">
      <c r="D40" s="112" t="s">
        <v>64</v>
      </c>
      <c r="E40" s="36" t="s">
        <v>74</v>
      </c>
      <c r="G40" s="112" t="s">
        <v>64</v>
      </c>
      <c r="H40" s="36" t="s">
        <v>74</v>
      </c>
      <c r="K40" s="112" t="s">
        <v>64</v>
      </c>
      <c r="L40" s="36" t="s">
        <v>74</v>
      </c>
      <c r="M40" s="1"/>
    </row>
    <row r="41" spans="4:13" ht="20" customHeight="1" x14ac:dyDescent="0.25">
      <c r="D41" s="36" t="str">
        <f>'Constants - Common livestock'!$E$10</f>
        <v>Anaerobic lagoon</v>
      </c>
      <c r="E41" s="36" t="str">
        <f>'Constants - Common livestock'!$F$10</f>
        <v>Anaerobic lagoon (m=1)</v>
      </c>
      <c r="G41" s="36" t="str">
        <f>'Constants - Common livestock'!$E$10</f>
        <v>Anaerobic lagoon</v>
      </c>
      <c r="H41" s="36" t="str">
        <f>'Constants - Common livestock'!$F$10</f>
        <v>Anaerobic lagoon (m=1)</v>
      </c>
      <c r="K41" s="36" t="str">
        <f>'Constants - Common livestock'!$E$10</f>
        <v>Anaerobic lagoon</v>
      </c>
      <c r="L41" s="36" t="str">
        <f>'Constants - Common livestock'!$F$10</f>
        <v>Anaerobic lagoon (m=1)</v>
      </c>
      <c r="M41" s="1"/>
    </row>
    <row r="42" spans="4:13" ht="20" customHeight="1" x14ac:dyDescent="0.25">
      <c r="D42" s="36" t="str">
        <f>'Constants - Common livestock'!$E$15</f>
        <v>Solid storage</v>
      </c>
      <c r="E42" s="36" t="str">
        <f>'Constants - Common livestock'!$F$15</f>
        <v>Solid storage (m=4)</v>
      </c>
      <c r="G42" s="36" t="str">
        <f>'Constants - Common livestock'!$E$16</f>
        <v>Drylot (feed pad)</v>
      </c>
      <c r="H42" s="36" t="str">
        <f>'Constants - Common livestock'!$F$16</f>
        <v>Drylot (feed pad) (m=5)</v>
      </c>
      <c r="K42" s="36" t="str">
        <f>'Constants - Common livestock'!$E$15</f>
        <v>Solid storage</v>
      </c>
      <c r="L42" s="36" t="str">
        <f>'Constants - Common livestock'!$F$15</f>
        <v>Solid storage (m=4)</v>
      </c>
      <c r="M42" s="1"/>
    </row>
    <row r="43" spans="4:13" ht="20" customHeight="1" x14ac:dyDescent="0.25">
      <c r="D43" s="36" t="str">
        <f>'Constants - Common livestock'!$E$16</f>
        <v>Drylot (feed pad)</v>
      </c>
      <c r="E43" s="36" t="str">
        <f>'Constants - Common livestock'!$F$16</f>
        <v>Drylot (feed pad) (m=5)</v>
      </c>
      <c r="G43" s="36" t="str">
        <f>'Constants - Common livestock'!$E$18</f>
        <v>Digester / covered lagoons</v>
      </c>
      <c r="H43" s="36" t="str">
        <f>'Constants - Common livestock'!$F$18</f>
        <v>Digester / covered lagoons (m=7)</v>
      </c>
      <c r="K43" s="36" t="str">
        <f>'Constants - Common livestock'!$E$16</f>
        <v>Drylot (feed pad)</v>
      </c>
      <c r="L43" s="36" t="str">
        <f>'Constants - Common livestock'!$F$16</f>
        <v>Drylot (feed pad) (m=5)</v>
      </c>
      <c r="M43" s="1"/>
    </row>
    <row r="44" spans="4:13" ht="20" customHeight="1" x14ac:dyDescent="0.25">
      <c r="D44" s="36" t="str">
        <f>'Constants - Common livestock'!$E$18</f>
        <v>Digester / covered lagoons</v>
      </c>
      <c r="E44" s="36" t="str">
        <f>'Constants - Common livestock'!$F$18</f>
        <v>Digester / covered lagoons (m=7)</v>
      </c>
      <c r="G44" s="36" t="str">
        <f>'Constants - Common livestock'!$E$19</f>
        <v>Deep litter</v>
      </c>
      <c r="H44" s="36" t="str">
        <f>'Constants - Common livestock'!$F$19</f>
        <v>Deep litter (m=8)</v>
      </c>
      <c r="K44" s="36" t="str">
        <f>'Constants - Common livestock'!$E$18</f>
        <v>Digester / covered lagoons</v>
      </c>
      <c r="L44" s="36" t="str">
        <f>'Constants - Common livestock'!$F$18</f>
        <v>Digester / covered lagoons (m=7)</v>
      </c>
      <c r="M44" s="1"/>
    </row>
    <row r="45" spans="4:13" ht="20" customHeight="1" x14ac:dyDescent="0.25">
      <c r="D45" s="36" t="str">
        <f>'Constants - Common livestock'!$E$19</f>
        <v>Deep litter</v>
      </c>
      <c r="E45" s="36" t="str">
        <f>'Constants - Common livestock'!$F$19</f>
        <v>Deep litter (m=8)</v>
      </c>
      <c r="G45" s="36" t="str">
        <f>'Constants - Common livestock'!$E$20</f>
        <v>Pit storage</v>
      </c>
      <c r="H45" s="36" t="str">
        <f>'Constants - Common livestock'!$F$20</f>
        <v>Pit storage (m=9)</v>
      </c>
      <c r="K45" s="36" t="str">
        <f>'Constants - Common livestock'!$E$19</f>
        <v>Deep litter</v>
      </c>
      <c r="L45" s="36" t="str">
        <f>'Constants - Common livestock'!$F$19</f>
        <v>Deep litter (m=8)</v>
      </c>
      <c r="M45" s="1"/>
    </row>
    <row r="46" spans="4:13" ht="20" customHeight="1" x14ac:dyDescent="0.25">
      <c r="D46" s="36" t="str">
        <f>'Constants - Common livestock'!$E$20</f>
        <v>Pit storage</v>
      </c>
      <c r="E46" s="36" t="str">
        <f>'Constants - Common livestock'!$F$20</f>
        <v>Pit storage (m=9)</v>
      </c>
      <c r="K46" s="36" t="str">
        <f>'Constants - Common livestock'!$E$20</f>
        <v>Pit storage</v>
      </c>
      <c r="L46" s="36" t="str">
        <f>'Constants - Common livestock'!$F$20</f>
        <v>Pit storage (m=9)</v>
      </c>
      <c r="M46" s="1"/>
    </row>
    <row r="47" spans="4:13" ht="20" customHeight="1" x14ac:dyDescent="0.25">
      <c r="D47" s="36" t="str">
        <f>'Constants - Common livestock'!$E$26</f>
        <v>Direct application</v>
      </c>
      <c r="E47" s="36" t="str">
        <f>'Constants - Common livestock'!$F$26</f>
        <v>Direct application (m=13)</v>
      </c>
      <c r="M47" s="1"/>
    </row>
    <row r="48" spans="4:13" ht="20" customHeight="1" x14ac:dyDescent="0.25">
      <c r="M48" s="1"/>
    </row>
    <row r="49" spans="4:13" ht="20" customHeight="1" x14ac:dyDescent="0.25">
      <c r="M49" s="1"/>
    </row>
    <row r="50" spans="4:13" ht="20" customHeight="1" x14ac:dyDescent="0.25">
      <c r="M50" s="1"/>
    </row>
    <row r="51" spans="4:13" ht="20" customHeight="1" x14ac:dyDescent="0.25">
      <c r="D51" s="6" t="s">
        <v>149</v>
      </c>
      <c r="G51" s="6" t="s">
        <v>150</v>
      </c>
      <c r="M51" s="1"/>
    </row>
    <row r="52" spans="4:13" ht="20" customHeight="1" x14ac:dyDescent="0.25">
      <c r="M52" s="1"/>
    </row>
    <row r="53" spans="4:13" ht="20" customHeight="1" x14ac:dyDescent="0.25">
      <c r="D53" s="112" t="s">
        <v>64</v>
      </c>
      <c r="E53" s="36" t="s">
        <v>151</v>
      </c>
      <c r="G53" s="36" t="s">
        <v>102</v>
      </c>
      <c r="M53" s="1"/>
    </row>
    <row r="54" spans="4:13" ht="20" customHeight="1" x14ac:dyDescent="0.25">
      <c r="D54" s="36" t="str">
        <f>'Constants - Common livestock'!$E$10</f>
        <v>Anaerobic lagoon</v>
      </c>
      <c r="E54" s="36">
        <v>0</v>
      </c>
      <c r="G54" s="36" t="str" cm="1">
        <f t="array" ref="G54">Common_InputFunctions.Utility_DisplayArrayInTable(SourceData_Swine.SourceData_Swine_ProductionSystems_Data(), Table_SourceData_Swine_ProductionSystems[[#Headers],[Production system]], 0)</f>
        <v>Conventional housing</v>
      </c>
      <c r="M54" s="1"/>
    </row>
    <row r="55" spans="4:13" ht="20" customHeight="1" x14ac:dyDescent="0.25">
      <c r="D55" s="36" t="str">
        <f>'Constants - Common livestock'!$E$15</f>
        <v>Solid storage</v>
      </c>
      <c r="E55" s="36">
        <v>0</v>
      </c>
      <c r="G55" s="36" t="str" cm="1">
        <f t="array" ref="G55">Common_InputFunctions.Utility_DisplayArrayInTable(SourceData_Swine.SourceData_Swine_ProductionSystems_Data(), Table_SourceData_Swine_ProductionSystems[[#Headers],[Production system]], 0)</f>
        <v>Deep litter housing</v>
      </c>
      <c r="M55" s="1"/>
    </row>
    <row r="56" spans="4:13" ht="20" customHeight="1" x14ac:dyDescent="0.25">
      <c r="D56" s="36" t="str">
        <f>'Constants - Common livestock'!$E$16</f>
        <v>Drylot (feed pad)</v>
      </c>
      <c r="E56" s="36">
        <v>0</v>
      </c>
      <c r="G56" s="36" t="str" cm="1">
        <f t="array" ref="G56">Common_InputFunctions.Utility_DisplayArrayInTable(SourceData_Swine.SourceData_Swine_ProductionSystems_Data(), Table_SourceData_Swine_ProductionSystems[[#Headers],[Production system]], 0)</f>
        <v>Outdoor/free range</v>
      </c>
      <c r="M56" s="1"/>
    </row>
    <row r="57" spans="4:13" ht="20" customHeight="1" x14ac:dyDescent="0.25">
      <c r="D57" s="36" t="str">
        <f>'Constants - Common livestock'!$E$18</f>
        <v>Digester / covered lagoons</v>
      </c>
      <c r="E57" s="36">
        <v>0.75</v>
      </c>
      <c r="M57" s="1"/>
    </row>
    <row r="58" spans="4:13" ht="20" customHeight="1" x14ac:dyDescent="0.25">
      <c r="D58" s="36" t="str">
        <f>'Constants - Common livestock'!$E$19</f>
        <v>Deep litter</v>
      </c>
      <c r="E58" s="36">
        <v>0.05</v>
      </c>
      <c r="M58" s="1"/>
    </row>
    <row r="59" spans="4:13" ht="20" customHeight="1" x14ac:dyDescent="0.25">
      <c r="D59" s="36" t="str">
        <f>'Constants - Common livestock'!$E$20</f>
        <v>Pit storage</v>
      </c>
      <c r="E59" s="36">
        <v>0</v>
      </c>
      <c r="M59" s="1"/>
    </row>
    <row r="60" spans="4:13" ht="20" customHeight="1" x14ac:dyDescent="0.25">
      <c r="D60" s="36" t="str">
        <f>'Constants - Common livestock'!$E$26</f>
        <v>Direct application</v>
      </c>
      <c r="E60" s="36">
        <v>0</v>
      </c>
      <c r="M60" s="1"/>
    </row>
    <row r="61" spans="4:13" ht="20" customHeight="1" x14ac:dyDescent="0.25">
      <c r="M61" s="1"/>
    </row>
    <row r="62" spans="4:13" ht="20" customHeight="1" x14ac:dyDescent="0.25">
      <c r="M62" s="1"/>
    </row>
    <row r="63" spans="4:13" ht="20" customHeight="1" x14ac:dyDescent="0.25">
      <c r="D63" s="6" t="str" cm="1">
        <f t="array" ref="D63">SourceData_Swine.SourceData_Swine_VolatileSolids_Title()</f>
        <v>Swine - Volatile solids (VSj) - 2020 to 2024</v>
      </c>
      <c r="M63" s="1"/>
    </row>
    <row r="64" spans="4:13" ht="20" customHeight="1" x14ac:dyDescent="0.25">
      <c r="D64" s="5" t="str" cm="1">
        <f t="array" ref="D64">SourceData_Swine.SourceData_Swine_VolatileSolids_Source()</f>
        <v>VEERG 2026: Table A.1.6.1: Swine - Intake and manure characteristics derived from PigBal</v>
      </c>
      <c r="M64" s="1"/>
    </row>
    <row r="65" spans="4:22" ht="20" customHeight="1" x14ac:dyDescent="0.25">
      <c r="D65" s="53" t="str" cm="1">
        <f t="array" ref="D65">SourceData_Swine.SourceData_Swine_VolatileSolids_Variation()</f>
        <v>VARIATION ON SOURCE DATA: Only uses data for 2020-2024. Use 'Slaughter pigs' data for 'Other j=4' class.</v>
      </c>
      <c r="M65" s="1"/>
    </row>
    <row r="66" spans="4:22" ht="20" customHeight="1" x14ac:dyDescent="0.25">
      <c r="M66" s="1"/>
    </row>
    <row r="67" spans="4:22" ht="20" customHeight="1" x14ac:dyDescent="0.25">
      <c r="D67" s="36" t="s">
        <v>141</v>
      </c>
      <c r="E67" s="36" t="s">
        <v>142</v>
      </c>
      <c r="M67" s="1"/>
    </row>
    <row r="68" spans="4:22" ht="20" customHeight="1" x14ac:dyDescent="0.25">
      <c r="D68" s="36" t="str" cm="1">
        <f t="array" ref="D68">Common_InputFunctions.Utility_DisplayArrayInTable(SourceData_Swine.SourceData_Swine_VolatileSolids_Data(), Table_SourceData_Swine_VolatileSolids[[#Headers],[Class]], 0)</f>
        <v>Boars</v>
      </c>
      <c r="E68" s="36" cm="1">
        <f t="array" ref="E68">Common_InputFunctions.Utility_DisplayArrayInTable(SourceData_Swine.SourceData_Swine_VolatileSolids_Data(), Table_SourceData_Swine_VolatileSolids[[#Headers],[Class]], 0)</f>
        <v>0.4</v>
      </c>
      <c r="M68" s="1"/>
    </row>
    <row r="69" spans="4:22" ht="20" customHeight="1" x14ac:dyDescent="0.25">
      <c r="D69" s="1" t="str" cm="1">
        <f t="array" ref="D69">Common_InputFunctions.Utility_DisplayArrayInTable(SourceData_Swine.SourceData_Swine_VolatileSolids_Data(), Table_SourceData_Swine_VolatileSolids[[#Headers],[Class]], 0)</f>
        <v>Sows</v>
      </c>
      <c r="E69" s="36" cm="1">
        <f t="array" ref="E69">Common_InputFunctions.Utility_DisplayArrayInTable(SourceData_Swine.SourceData_Swine_VolatileSolids_Data(), Table_SourceData_Swine_VolatileSolids[[#Headers],[Class]], 0)</f>
        <v>0.46</v>
      </c>
      <c r="M69" s="1"/>
    </row>
    <row r="70" spans="4:22" ht="20" customHeight="1" x14ac:dyDescent="0.25">
      <c r="D70" s="1" t="str" cm="1">
        <f t="array" ref="D70">Common_InputFunctions.Utility_DisplayArrayInTable(SourceData_Swine.SourceData_Swine_VolatileSolids_Data(), Table_SourceData_Swine_VolatileSolids[[#Headers],[Class]], 0)</f>
        <v>Gilts</v>
      </c>
      <c r="E70" s="36" cm="1">
        <f t="array" ref="E70">Common_InputFunctions.Utility_DisplayArrayInTable(SourceData_Swine.SourceData_Swine_VolatileSolids_Data(), Table_SourceData_Swine_VolatileSolids[[#Headers],[Class]], 0)</f>
        <v>0.55000000000000004</v>
      </c>
      <c r="M70" s="1"/>
    </row>
    <row r="71" spans="4:22" ht="20" customHeight="1" x14ac:dyDescent="0.25">
      <c r="D71" s="1" t="str" cm="1">
        <f t="array" ref="D71">Common_InputFunctions.Utility_DisplayArrayInTable(SourceData_Swine.SourceData_Swine_VolatileSolids_Data(), Table_SourceData_Swine_VolatileSolids[[#Headers],[Class]], 0)</f>
        <v>Others</v>
      </c>
      <c r="E71" s="36" cm="1">
        <f t="array" ref="E71">Common_InputFunctions.Utility_DisplayArrayInTable(SourceData_Swine.SourceData_Swine_VolatileSolids_Data(), Table_SourceData_Swine_VolatileSolids[[#Headers],[Class]], 0)</f>
        <v>0.39</v>
      </c>
      <c r="M71" s="1"/>
      <c r="V71" s="1"/>
    </row>
    <row r="72" spans="4:22" ht="20" customHeight="1" x14ac:dyDescent="0.25">
      <c r="M72" s="1"/>
      <c r="V72" s="1"/>
    </row>
    <row r="73" spans="4:22" ht="20" customHeight="1" x14ac:dyDescent="0.25">
      <c r="M73" s="1"/>
      <c r="V73" s="1"/>
    </row>
    <row r="74" spans="4:22" ht="20" customHeight="1" x14ac:dyDescent="0.25">
      <c r="D74" s="6" t="str" cm="1">
        <f t="array" ref="D74">SourceData_Swine.SourceData_Swine_FeedIntake_Title()</f>
        <v>Swine - Feed intake - ingested as fed  (Ij) - 2020 to 2024</v>
      </c>
      <c r="M74" s="1"/>
      <c r="V74" s="1"/>
    </row>
    <row r="75" spans="4:22" ht="20" customHeight="1" x14ac:dyDescent="0.25">
      <c r="D75" s="5" t="str" cm="1">
        <f t="array" ref="D75">SourceData_Swine.SourceData_Swine_FeedIntake_Source()</f>
        <v>VEERG 2026: Table A.1.6.1: Swine - Intake and manure characteristics derived from PigBal</v>
      </c>
      <c r="M75" s="1"/>
      <c r="V75" s="1"/>
    </row>
    <row r="76" spans="4:22" ht="20" customHeight="1" x14ac:dyDescent="0.25">
      <c r="D76" s="53" t="str" cm="1">
        <f t="array" ref="D76">SourceData_Swine.SourceData_Swine_FeedIntake_Variation()</f>
        <v>VARIATION ON SOURCE DATA: Only uses data for 2020-2024. Use 'Slaughter pigs' data for 'Other j=4' class.</v>
      </c>
      <c r="M76" s="1"/>
      <c r="V76" s="1"/>
    </row>
    <row r="77" spans="4:22" ht="20" customHeight="1" x14ac:dyDescent="0.25">
      <c r="M77" s="1"/>
      <c r="V77" s="1"/>
    </row>
    <row r="78" spans="4:22" ht="20" customHeight="1" x14ac:dyDescent="0.25">
      <c r="D78" s="36" t="s">
        <v>141</v>
      </c>
      <c r="E78" s="36" t="s">
        <v>218</v>
      </c>
      <c r="M78" s="1"/>
      <c r="V78" s="1"/>
    </row>
    <row r="79" spans="4:22" ht="20" customHeight="1" x14ac:dyDescent="0.25">
      <c r="D79" s="36" t="str" cm="1">
        <f t="array" ref="D79">Common_InputFunctions.Utility_DisplayArrayInTable(SourceData_Swine.SourceData_Swine_FeedIntake_Data(), Table_SourceData_Swine_FeedIntake[[#Headers],[Class]], 0)</f>
        <v>Boars</v>
      </c>
      <c r="E79" s="36" cm="1">
        <f t="array" ref="E79">Common_InputFunctions.Utility_DisplayArrayInTable(SourceData_Swine.SourceData_Swine_FeedIntake_Data(), Table_SourceData_Swine_FeedIntake[[#Headers],[Class]], 0)</f>
        <v>2.62</v>
      </c>
      <c r="M79" s="1"/>
      <c r="V79" s="1"/>
    </row>
    <row r="80" spans="4:22" ht="20" customHeight="1" x14ac:dyDescent="0.25">
      <c r="D80" s="36" t="str" cm="1">
        <f t="array" ref="D80">Common_InputFunctions.Utility_DisplayArrayInTable(SourceData_Swine.SourceData_Swine_FeedIntake_Data(), Table_SourceData_Swine_FeedIntake[[#Headers],[Class]], 0)</f>
        <v>Sows</v>
      </c>
      <c r="E80" s="36" cm="1">
        <f t="array" ref="E80">Common_InputFunctions.Utility_DisplayArrayInTable(SourceData_Swine.SourceData_Swine_FeedIntake_Data(), Table_SourceData_Swine_FeedIntake[[#Headers],[Class]], 0)</f>
        <v>2.2999999999999998</v>
      </c>
      <c r="M80" s="1"/>
      <c r="V80" s="1"/>
    </row>
    <row r="81" spans="4:23" ht="20" customHeight="1" x14ac:dyDescent="0.25">
      <c r="D81" s="36" t="str" cm="1">
        <f t="array" ref="D81">Common_InputFunctions.Utility_DisplayArrayInTable(SourceData_Swine.SourceData_Swine_FeedIntake_Data(), Table_SourceData_Swine_FeedIntake[[#Headers],[Class]], 0)</f>
        <v>Gilts</v>
      </c>
      <c r="E81" s="36" cm="1">
        <f t="array" ref="E81">Common_InputFunctions.Utility_DisplayArrayInTable(SourceData_Swine.SourceData_Swine_FeedIntake_Data(), Table_SourceData_Swine_FeedIntake[[#Headers],[Class]], 0)</f>
        <v>2.5</v>
      </c>
      <c r="M81" s="1"/>
      <c r="V81" s="1"/>
    </row>
    <row r="82" spans="4:23" ht="20" customHeight="1" x14ac:dyDescent="0.25">
      <c r="D82" s="36" t="str" cm="1">
        <f t="array" ref="D82">Common_InputFunctions.Utility_DisplayArrayInTable(SourceData_Swine.SourceData_Swine_FeedIntake_Data(), Table_SourceData_Swine_FeedIntake[[#Headers],[Class]], 0)</f>
        <v>Others</v>
      </c>
      <c r="E82" s="36" cm="1">
        <f t="array" ref="E82">Common_InputFunctions.Utility_DisplayArrayInTable(SourceData_Swine.SourceData_Swine_FeedIntake_Data(), Table_SourceData_Swine_FeedIntake[[#Headers],[Class]], 0)</f>
        <v>1.71</v>
      </c>
      <c r="M82" s="1"/>
      <c r="V82" s="1"/>
    </row>
    <row r="83" spans="4:23" ht="20" customHeight="1" x14ac:dyDescent="0.25">
      <c r="M83" s="1"/>
    </row>
    <row r="84" spans="4:23" ht="20" customHeight="1" x14ac:dyDescent="0.25">
      <c r="M84" s="1"/>
    </row>
    <row r="85" spans="4:23" ht="20" customHeight="1" x14ac:dyDescent="0.25">
      <c r="D85" s="6" t="str" cm="1">
        <f t="array" ref="D85">SourceData_Swine.SourceData_Swine_NitrogenInWaste_Title()</f>
        <v>Swine - Nitrogen in waste (NWj) - 2020 to 2024</v>
      </c>
      <c r="M85" s="1"/>
      <c r="V85" s="1"/>
    </row>
    <row r="86" spans="4:23" ht="20" customHeight="1" x14ac:dyDescent="0.25">
      <c r="D86" s="5" t="str" cm="1">
        <f t="array" ref="D86">SourceData_Swine.SourceData_Swine_NitrogenInWaste_Source()</f>
        <v>VEERG 2026: Table A.1.6.1: Swine - Intake and manure characteristics derived from PigBal</v>
      </c>
      <c r="M86" s="1"/>
      <c r="V86" s="1"/>
    </row>
    <row r="87" spans="4:23" ht="20" customHeight="1" x14ac:dyDescent="0.25">
      <c r="D87" s="53"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 customHeight="1" x14ac:dyDescent="0.25">
      <c r="M88" s="1"/>
      <c r="V88" s="1"/>
    </row>
    <row r="89" spans="4:23" ht="20" customHeight="1" x14ac:dyDescent="0.25">
      <c r="D89" s="36" t="s">
        <v>141</v>
      </c>
      <c r="E89" s="36" t="s">
        <v>216</v>
      </c>
      <c r="F89" s="36" t="s">
        <v>217</v>
      </c>
      <c r="G89" s="36" t="s">
        <v>281</v>
      </c>
      <c r="M89" s="1"/>
      <c r="V89" s="1"/>
      <c r="W89" s="1"/>
    </row>
    <row r="90" spans="4:23" ht="20" customHeight="1" x14ac:dyDescent="0.25">
      <c r="D90" s="36" t="str" cm="1">
        <f t="array" ref="D90">Common_InputFunctions.Utility_DisplayArrayInTable(SourceData_Swine.SourceData_Swine_NitrogenInWaste_Data(), Table_SourceData_Swine_NitrogenInWaste[[#Headers],[Class]], 0)</f>
        <v>Boars</v>
      </c>
      <c r="E90" s="36" cm="1">
        <f t="array" ref="E90">Common_InputFunctions.Utility_DisplayArrayInTable(SourceData_Swine.SourceData_Swine_NitrogenInWaste_Data(), Table_SourceData_Swine_NitrogenInWaste[[#Headers],[Class]], 0)</f>
        <v>4.5999999999999999E-2</v>
      </c>
      <c r="F90" s="36" cm="1">
        <f t="array" ref="F90">Common_InputFunctions.Utility_DisplayArrayInTable(SourceData_Swine.SourceData_Swine_NitrogenInWaste_Data(), Table_SourceData_Swine_NitrogenInWaste[[#Headers],[Class]], 0)</f>
        <v>4.5999999999999999E-2</v>
      </c>
      <c r="G90" s="36" t="str" cm="1">
        <f t="array" ref="G90">Common_InputFunctions.Utility_DisplayArrayInTable(SourceData_Swine.SourceData_Swine_NitrogenInWaste_Data(), Table_SourceData_Swine_NitrogenInWaste[[#Headers],[Class]], 0)</f>
        <v>Boars</v>
      </c>
      <c r="M90" s="1"/>
      <c r="V90" s="1"/>
      <c r="W90" s="1"/>
    </row>
    <row r="91" spans="4:23" ht="20" customHeight="1" x14ac:dyDescent="0.25">
      <c r="D91" s="36" t="str" cm="1">
        <f t="array" ref="D91">Common_InputFunctions.Utility_DisplayArrayInTable(SourceData_Swine.SourceData_Swine_NitrogenInWaste_Data(), Table_SourceData_Swine_NitrogenInWaste[[#Headers],[Class]], 0)</f>
        <v>Sows</v>
      </c>
      <c r="E91" s="36" cm="1">
        <f t="array" ref="E91">Common_InputFunctions.Utility_DisplayArrayInTable(SourceData_Swine.SourceData_Swine_NitrogenInWaste_Data(), Table_SourceData_Swine_NitrogenInWaste[[#Headers],[Class]], 0)</f>
        <v>4.9000000000000002E-2</v>
      </c>
      <c r="F91" s="36" cm="1">
        <f t="array" ref="F91">Common_InputFunctions.Utility_DisplayArrayInTable(SourceData_Swine.SourceData_Swine_NitrogenInWaste_Data(), Table_SourceData_Swine_NitrogenInWaste[[#Headers],[Class]], 0)</f>
        <v>4.9000000000000002E-2</v>
      </c>
      <c r="G91" s="36" t="str" cm="1">
        <f t="array" ref="G91">Common_InputFunctions.Utility_DisplayArrayInTable(SourceData_Swine.SourceData_Swine_NitrogenInWaste_Data(), Table_SourceData_Swine_NitrogenInWaste[[#Headers],[Class]], 0)</f>
        <v>Sows</v>
      </c>
      <c r="M91" s="1"/>
      <c r="V91" s="1"/>
    </row>
    <row r="92" spans="4:23" ht="20" customHeight="1" x14ac:dyDescent="0.25">
      <c r="D92" s="36" t="str" cm="1">
        <f t="array" ref="D92">Common_InputFunctions.Utility_DisplayArrayInTable(SourceData_Swine.SourceData_Swine_NitrogenInWaste_Data(), Table_SourceData_Swine_NitrogenInWaste[[#Headers],[Class]], 0)</f>
        <v>Gilts</v>
      </c>
      <c r="E92" s="36" cm="1">
        <f t="array" ref="E92">Common_InputFunctions.Utility_DisplayArrayInTable(SourceData_Swine.SourceData_Swine_NitrogenInWaste_Data(), Table_SourceData_Swine_NitrogenInWaste[[#Headers],[Class]], 0)</f>
        <v>4.5999999999999999E-2</v>
      </c>
      <c r="F92" s="36" cm="1">
        <f t="array" ref="F92">Common_InputFunctions.Utility_DisplayArrayInTable(SourceData_Swine.SourceData_Swine_NitrogenInWaste_Data(), Table_SourceData_Swine_NitrogenInWaste[[#Headers],[Class]], 0)</f>
        <v>4.5999999999999999E-2</v>
      </c>
      <c r="G92" s="36" t="str" cm="1">
        <f t="array" ref="G92">Common_InputFunctions.Utility_DisplayArrayInTable(SourceData_Swine.SourceData_Swine_NitrogenInWaste_Data(), Table_SourceData_Swine_NitrogenInWaste[[#Headers],[Class]], 0)</f>
        <v>Gilts</v>
      </c>
      <c r="M92" s="1"/>
      <c r="V92" s="1"/>
    </row>
    <row r="93" spans="4:23" ht="20" customHeight="1" x14ac:dyDescent="0.25">
      <c r="D93" s="36" t="str" cm="1">
        <f t="array" ref="D93">Common_InputFunctions.Utility_DisplayArrayInTable(SourceData_Swine.SourceData_Swine_NitrogenInWaste_Data(), Table_SourceData_Swine_NitrogenInWaste[[#Headers],[Class]], 0)</f>
        <v>Others (kg/head/year)</v>
      </c>
      <c r="E93" s="36" cm="1">
        <f t="array" ref="E93">Common_InputFunctions.Utility_DisplayArrayInTable(SourceData_Swine.SourceData_Swine_NitrogenInWaste_Data(), Table_SourceData_Swine_NitrogenInWaste[[#Headers],[Class]], 0)</f>
        <v>11.4</v>
      </c>
      <c r="F93" s="36" cm="1">
        <f t="array" ref="F93">Common_InputFunctions.Utility_DisplayArrayInTable(SourceData_Swine.SourceData_Swine_NitrogenInWaste_Data(), Table_SourceData_Swine_NitrogenInWaste[[#Headers],[Class]], 0)</f>
        <v>3.1199999999999999E-2</v>
      </c>
      <c r="G93" s="36" t="str" cm="1">
        <f t="array" ref="G93">Common_InputFunctions.Utility_DisplayArrayInTable(SourceData_Swine.SourceData_Swine_NitrogenInWaste_Data(), Table_SourceData_Swine_NitrogenInWaste[[#Headers],[Class]], 0)</f>
        <v>Others</v>
      </c>
      <c r="M93" s="1"/>
      <c r="V93" s="1"/>
    </row>
    <row r="94" spans="4:23" ht="20" customHeight="1" x14ac:dyDescent="0.25">
      <c r="M94" s="1"/>
    </row>
    <row r="95" spans="4:23" ht="20" customHeight="1" x14ac:dyDescent="0.25">
      <c r="M95" s="1"/>
    </row>
    <row r="96" spans="4:23" ht="20" customHeight="1" x14ac:dyDescent="0.25">
      <c r="D96" s="6" t="str" cm="1">
        <f t="array" ref="D96">SourceData_Swine.SourceData_Swine_FractionNVolatilised_Title()</f>
        <v>Swine - Fraction of nitrogen volatilised (FracGASMmT)</v>
      </c>
      <c r="M96" s="1"/>
    </row>
    <row r="97" spans="4:13" ht="20" customHeight="1" x14ac:dyDescent="0.25">
      <c r="D97" s="5" t="str" cm="1">
        <f t="array" ref="D97">SourceData_Swine.SourceData_Swine_FractionNVolatilised_Source()</f>
        <v>VEERG 2026: Table A.1.6.2: Swine - Fraction of N volatilised by MMS ((kg NH3-N + NOx-N)/kgN) (FracGASMmT)</v>
      </c>
      <c r="M97" s="1"/>
    </row>
    <row r="98" spans="4:13" ht="20" customHeight="1" x14ac:dyDescent="0.25">
      <c r="D98" s="53" t="str" cm="1">
        <f t="array" ref="D98">SourceData_Swine.SourceData_Swine_FractionNVolatilised_Variation()</f>
        <v>VARIATION ON SOURCE DATA: Added 'NIR reference column to aid lookup.</v>
      </c>
      <c r="M98" s="1"/>
    </row>
    <row r="99" spans="4:13" ht="20" customHeight="1" x14ac:dyDescent="0.25">
      <c r="D99" s="36" t="s">
        <v>219</v>
      </c>
      <c r="E99" s="36" t="s">
        <v>220</v>
      </c>
      <c r="F99" s="36" t="s">
        <v>221</v>
      </c>
      <c r="M99" s="1"/>
    </row>
    <row r="100" spans="4:13" ht="20" customHeight="1" x14ac:dyDescent="0.25">
      <c r="D100" s="36" t="str" cm="1">
        <f t="array" ref="D100">Common_InputFunctions.Utility_DisplayArrayInTable(SourceData_Swine.SourceData_Swine_FractionNVolatilised_Data(), Table_SourceData_Swine_FracGASM[[#Headers],[MMSm]],0)</f>
        <v>Outdoor (Dry lot)</v>
      </c>
      <c r="E100" s="36" cm="1">
        <f t="array" ref="E100">Common_InputFunctions.Utility_DisplayArrayInTable(SourceData_Swine.SourceData_Swine_FractionNVolatilised_Data(), Table_SourceData_Swine_FracGASM[[#Headers],[MMSm]],0)</f>
        <v>0.3</v>
      </c>
      <c r="F100" s="36" t="str" cm="1">
        <f t="array" ref="F100">Common_InputFunctions.Utility_DisplayArrayInTable(SourceData_Swine.SourceData_Swine_FractionNVolatilised_Data(), Table_SourceData_Swine_FracGASM[[#Headers],[MMSm]],0)</f>
        <v>Drylot (feed pad)</v>
      </c>
      <c r="M100" s="1"/>
    </row>
    <row r="101" spans="4:13" ht="20" customHeight="1" x14ac:dyDescent="0.25">
      <c r="D101" s="36" t="str" cm="1">
        <f t="array" ref="D101">Common_InputFunctions.Utility_DisplayArrayInTable(SourceData_Swine.SourceData_Swine_FractionNVolatilised_Data(), Table_SourceData_Swine_FracGASM[[#Headers],[MMSm]],0)</f>
        <v>Deep litter</v>
      </c>
      <c r="E101" s="36" cm="1">
        <f t="array" ref="E101">Common_InputFunctions.Utility_DisplayArrayInTable(SourceData_Swine.SourceData_Swine_FractionNVolatilised_Data(), Table_SourceData_Swine_FracGASM[[#Headers],[MMSm]],0)</f>
        <v>0.125</v>
      </c>
      <c r="F101" s="36" t="str" cm="1">
        <f t="array" ref="F101">Common_InputFunctions.Utility_DisplayArrayInTable(SourceData_Swine.SourceData_Swine_FractionNVolatilised_Data(), Table_SourceData_Swine_FracGASM[[#Headers],[MMSm]],0)</f>
        <v>Deep litter</v>
      </c>
      <c r="M101" s="1"/>
    </row>
    <row r="102" spans="4:13" ht="20" customHeight="1" x14ac:dyDescent="0.25">
      <c r="D102" s="36" t="str" cm="1">
        <f t="array" ref="D102">Common_InputFunctions.Utility_DisplayArrayInTable(SourceData_Swine.SourceData_Swine_FractionNVolatilised_Data(), Table_SourceData_Swine_FracGASM[[#Headers],[MMSm]],0)</f>
        <v>Stockpile (Solid storage)</v>
      </c>
      <c r="E102" s="36" cm="1">
        <f t="array" ref="E102">Common_InputFunctions.Utility_DisplayArrayInTable(SourceData_Swine.SourceData_Swine_FractionNVolatilised_Data(), Table_SourceData_Swine_FracGASM[[#Headers],[MMSm]],0)</f>
        <v>0.2</v>
      </c>
      <c r="F102" s="36" t="str" cm="1">
        <f t="array" ref="F102">Common_InputFunctions.Utility_DisplayArrayInTable(SourceData_Swine.SourceData_Swine_FractionNVolatilised_Data(), Table_SourceData_Swine_FracGASM[[#Headers],[MMSm]],0)</f>
        <v>Solid storage</v>
      </c>
      <c r="M102" s="1"/>
    </row>
    <row r="103" spans="4:13" ht="20" customHeight="1" x14ac:dyDescent="0.25">
      <c r="D103" s="36" t="str" cm="1">
        <f t="array" ref="D103">Common_InputFunctions.Utility_DisplayArrayInTable(SourceData_Swine.SourceData_Swine_FractionNVolatilised_Data(), Table_SourceData_Swine_FracGASM[[#Headers],[MMSm]],0)</f>
        <v>Effluent pond (Uncovered anaerobic lagoon)</v>
      </c>
      <c r="E103" s="36" cm="1">
        <f t="array" ref="E103">Common_InputFunctions.Utility_DisplayArrayInTable(SourceData_Swine.SourceData_Swine_FractionNVolatilised_Data(), Table_SourceData_Swine_FracGASM[[#Headers],[MMSm]],0)</f>
        <v>0.55000000000000004</v>
      </c>
      <c r="F103" s="36" t="str" cm="1">
        <f t="array" ref="F103">Common_InputFunctions.Utility_DisplayArrayInTable(SourceData_Swine.SourceData_Swine_FractionNVolatilised_Data(), Table_SourceData_Swine_FracGASM[[#Headers],[MMSm]],0)</f>
        <v>Anaerobic lagoon</v>
      </c>
      <c r="M103" s="1"/>
    </row>
    <row r="104" spans="4:13" ht="20" customHeight="1" x14ac:dyDescent="0.25">
      <c r="D104" s="36" t="str" cm="1">
        <f t="array" ref="D104">Common_InputFunctions.Utility_DisplayArrayInTable(SourceData_Swine.SourceData_Swine_FractionNVolatilised_Data(), Table_SourceData_Swine_FracGASM[[#Headers],[MMSm]],0)</f>
        <v>Anaerobic digester / Covered lagoon</v>
      </c>
      <c r="E104" s="36" cm="1">
        <f t="array" ref="E104">Common_InputFunctions.Utility_DisplayArrayInTable(SourceData_Swine.SourceData_Swine_FractionNVolatilised_Data(), Table_SourceData_Swine_FracGASM[[#Headers],[MMSm]],0)</f>
        <v>0</v>
      </c>
      <c r="F104" s="36" t="str" cm="1">
        <f t="array" ref="F104">Common_InputFunctions.Utility_DisplayArrayInTable(SourceData_Swine.SourceData_Swine_FractionNVolatilised_Data(), Table_SourceData_Swine_FracGASM[[#Headers],[MMSm]],0)</f>
        <v>Digester / covered lagoons</v>
      </c>
      <c r="M104" s="1"/>
    </row>
    <row r="105" spans="4:13" ht="20" customHeight="1" x14ac:dyDescent="0.25">
      <c r="D105" s="36" t="str" cm="1">
        <f t="array" ref="D105">Common_InputFunctions.Utility_DisplayArrayInTable(SourceData_Swine.SourceData_Swine_FractionNVolatilised_Data(), Table_SourceData_Swine_FracGASM[[#Headers],[MMSm]],0)</f>
        <v>Short HRT tank storage &lt; 1 month (pit storage)</v>
      </c>
      <c r="E105" s="36" cm="1">
        <f t="array" ref="E105">Common_InputFunctions.Utility_DisplayArrayInTable(SourceData_Swine.SourceData_Swine_FractionNVolatilised_Data(), Table_SourceData_Swine_FracGASM[[#Headers],[MMSm]],0)</f>
        <v>0.25</v>
      </c>
      <c r="F105" s="36" t="str" cm="1">
        <f t="array" ref="F105">Common_InputFunctions.Utility_DisplayArrayInTable(SourceData_Swine.SourceData_Swine_FractionNVolatilised_Data(), Table_SourceData_Swine_FracGASM[[#Headers],[MMSm]],0)</f>
        <v>Pit storage</v>
      </c>
      <c r="M105" s="1"/>
    </row>
    <row r="106" spans="4:13" ht="20" customHeight="1" x14ac:dyDescent="0.25">
      <c r="M106" s="1"/>
    </row>
    <row r="107" spans="4:13" ht="20" customHeight="1" x14ac:dyDescent="0.25">
      <c r="M107" s="1"/>
    </row>
    <row r="108" spans="4:13" ht="20" customHeight="1" x14ac:dyDescent="0.25">
      <c r="D108" s="6" t="str" cm="1">
        <f t="array" ref="D108">SourceData_Swine.SourceData_Swine_NitrousOxideEFs_Title()</f>
        <v>Swine - Nitrous oxide EFs by MMS (EFmT)</v>
      </c>
      <c r="M108" s="1"/>
    </row>
    <row r="109" spans="4:13" ht="20" customHeight="1" x14ac:dyDescent="0.25">
      <c r="D109" s="5" t="str" cm="1">
        <f t="array" ref="D109">SourceData_Swine.SourceData_Swine_NitrousOxideEFs_Source()</f>
        <v>VEERG 2026: Table A.1.6.3: Swine - Nitrous oxide EFs by MMS (kgN2O-N/kgN) (EFmT)</v>
      </c>
      <c r="M109" s="1"/>
    </row>
    <row r="110" spans="4:13" ht="20" customHeight="1" x14ac:dyDescent="0.25">
      <c r="D110" s="53" t="str" cm="1">
        <f t="array" ref="D110">SourceData_Swine.SourceData_Swine_NitrousOxideEFs_Variation()</f>
        <v>VARIATION ON SOURCE DATA: Added 'NIR reference column to aid lookup.</v>
      </c>
      <c r="M110" s="1"/>
    </row>
    <row r="111" spans="4:13" ht="20" customHeight="1" x14ac:dyDescent="0.25">
      <c r="D111" s="36" t="s">
        <v>219</v>
      </c>
      <c r="E111" s="36" t="s">
        <v>241</v>
      </c>
      <c r="F111" s="36" t="s">
        <v>221</v>
      </c>
      <c r="M111" s="1"/>
    </row>
    <row r="112" spans="4:13" ht="20" customHeight="1" x14ac:dyDescent="0.25">
      <c r="D112" s="36" t="str" cm="1">
        <f t="array" ref="D112">Common_InputFunctions.Utility_DisplayArrayInTable(SourceData_Swine.SourceData_Swine_NitrousOxideEFs_Data(), Table_SourceData_Swine_FracGASM28[[#Headers],[MMSm]],0)</f>
        <v>Outdoor (Dry lot)</v>
      </c>
      <c r="E112" s="36" cm="1">
        <f t="array" ref="E112">Common_InputFunctions.Utility_DisplayArrayInTable(SourceData_Swine.SourceData_Swine_NitrousOxideEFs_Data(), Table_SourceData_Swine_FracGASM28[[#Headers],[MMSm]],0)</f>
        <v>0.02</v>
      </c>
      <c r="F112" s="36" t="str" cm="1">
        <f t="array" ref="F112">Common_InputFunctions.Utility_DisplayArrayInTable(SourceData_Swine.SourceData_Swine_NitrousOxideEFs_Data(), Table_SourceData_Swine_FracGASM28[[#Headers],[MMSm]],0)</f>
        <v>Drylot (feed pad)</v>
      </c>
      <c r="M112" s="1"/>
    </row>
    <row r="113" spans="4:22" ht="20" customHeight="1" x14ac:dyDescent="0.25">
      <c r="D113" s="36" t="str" cm="1">
        <f t="array" ref="D113">Common_InputFunctions.Utility_DisplayArrayInTable(SourceData_Swine.SourceData_Swine_NitrousOxideEFs_Data(), Table_SourceData_Swine_FracGASM28[[#Headers],[MMSm]],0)</f>
        <v>Deep litter</v>
      </c>
      <c r="E113" s="36" cm="1">
        <f t="array" ref="E113">Common_InputFunctions.Utility_DisplayArrayInTable(SourceData_Swine.SourceData_Swine_NitrousOxideEFs_Data(), Table_SourceData_Swine_FracGASM28[[#Headers],[MMSm]],0)</f>
        <v>0.01</v>
      </c>
      <c r="F113" s="36" t="str" cm="1">
        <f t="array" ref="F113">Common_InputFunctions.Utility_DisplayArrayInTable(SourceData_Swine.SourceData_Swine_NitrousOxideEFs_Data(), Table_SourceData_Swine_FracGASM28[[#Headers],[MMSm]],0)</f>
        <v>Deep litter</v>
      </c>
      <c r="M113" s="1"/>
    </row>
    <row r="114" spans="4:22" ht="20" customHeight="1" x14ac:dyDescent="0.25">
      <c r="D114" s="36" t="str" cm="1">
        <f t="array" ref="D114">Common_InputFunctions.Utility_DisplayArrayInTable(SourceData_Swine.SourceData_Swine_NitrousOxideEFs_Data(), Table_SourceData_Swine_FracGASM28[[#Headers],[MMSm]],0)</f>
        <v>Stockpile (Solid storage)</v>
      </c>
      <c r="E114" s="36" cm="1">
        <f t="array" ref="E114">Common_InputFunctions.Utility_DisplayArrayInTable(SourceData_Swine.SourceData_Swine_NitrousOxideEFs_Data(), Table_SourceData_Swine_FracGASM28[[#Headers],[MMSm]],0)</f>
        <v>5.0000000000000001E-3</v>
      </c>
      <c r="F114" s="36" t="str" cm="1">
        <f t="array" ref="F114">Common_InputFunctions.Utility_DisplayArrayInTable(SourceData_Swine.SourceData_Swine_NitrousOxideEFs_Data(), Table_SourceData_Swine_FracGASM28[[#Headers],[MMSm]],0)</f>
        <v>Solid storage</v>
      </c>
      <c r="M114" s="1"/>
    </row>
    <row r="115" spans="4:22" ht="20" customHeight="1" x14ac:dyDescent="0.25">
      <c r="D115" s="36" t="str" cm="1">
        <f t="array" ref="D115">Common_InputFunctions.Utility_DisplayArrayInTable(SourceData_Swine.SourceData_Swine_NitrousOxideEFs_Data(), Table_SourceData_Swine_FracGASM28[[#Headers],[MMSm]],0)</f>
        <v>Effluent pond (Uncovered anaerobic lagoon)</v>
      </c>
      <c r="E115" s="36" cm="1">
        <f t="array" ref="E115">Common_InputFunctions.Utility_DisplayArrayInTable(SourceData_Swine.SourceData_Swine_NitrousOxideEFs_Data(), Table_SourceData_Swine_FracGASM28[[#Headers],[MMSm]],0)</f>
        <v>0</v>
      </c>
      <c r="F115" s="36" t="str" cm="1">
        <f t="array" ref="F115">Common_InputFunctions.Utility_DisplayArrayInTable(SourceData_Swine.SourceData_Swine_NitrousOxideEFs_Data(), Table_SourceData_Swine_FracGASM28[[#Headers],[MMSm]],0)</f>
        <v>Anaerobic lagoon</v>
      </c>
      <c r="M115" s="1"/>
      <c r="V115" s="1"/>
    </row>
    <row r="116" spans="4:22" ht="20" customHeight="1" x14ac:dyDescent="0.25">
      <c r="D116" s="36" t="str" cm="1">
        <f t="array" ref="D116">Common_InputFunctions.Utility_DisplayArrayInTable(SourceData_Swine.SourceData_Swine_NitrousOxideEFs_Data(), Table_SourceData_Swine_FracGASM28[[#Headers],[MMSm]],0)</f>
        <v>Anaerobic digestor / Covered lagoon</v>
      </c>
      <c r="E116" s="36" cm="1">
        <f t="array" ref="E116">Common_InputFunctions.Utility_DisplayArrayInTable(SourceData_Swine.SourceData_Swine_NitrousOxideEFs_Data(), Table_SourceData_Swine_FracGASM28[[#Headers],[MMSm]],0)</f>
        <v>0</v>
      </c>
      <c r="F116" s="36" t="str" cm="1">
        <f t="array" ref="F116">Common_InputFunctions.Utility_DisplayArrayInTable(SourceData_Swine.SourceData_Swine_NitrousOxideEFs_Data(), Table_SourceData_Swine_FracGASM28[[#Headers],[MMSm]],0)</f>
        <v>Digester / covered lagoons</v>
      </c>
      <c r="M116" s="1"/>
      <c r="V116" s="1"/>
    </row>
    <row r="117" spans="4:22" ht="20" customHeight="1" x14ac:dyDescent="0.25">
      <c r="D117" s="36" t="str" cm="1">
        <f t="array" ref="D117">Common_InputFunctions.Utility_DisplayArrayInTable(SourceData_Swine.SourceData_Swine_NitrousOxideEFs_Data(), Table_SourceData_Swine_FracGASM28[[#Headers],[MMSm]],0)</f>
        <v>Short HRT tank storage &lt; 1 month (pit storage)</v>
      </c>
      <c r="E117" s="36" cm="1">
        <f t="array" ref="E117">Common_InputFunctions.Utility_DisplayArrayInTable(SourceData_Swine.SourceData_Swine_NitrousOxideEFs_Data(), Table_SourceData_Swine_FracGASM28[[#Headers],[MMSm]],0)</f>
        <v>2E-3</v>
      </c>
      <c r="F117" s="36" t="str" cm="1">
        <f t="array" ref="F117">Common_InputFunctions.Utility_DisplayArrayInTable(SourceData_Swine.SourceData_Swine_NitrousOxideEFs_Data(), Table_SourceData_Swine_FracGASM28[[#Headers],[MMSm]],0)</f>
        <v>Pit storage</v>
      </c>
      <c r="M117" s="1"/>
      <c r="V117" s="1"/>
    </row>
    <row r="118" spans="4:22" ht="20" customHeight="1" x14ac:dyDescent="0.25">
      <c r="M118" s="1"/>
    </row>
    <row r="119" spans="4:22" ht="20" customHeight="1" x14ac:dyDescent="0.25">
      <c r="M119" s="1"/>
    </row>
    <row r="120" spans="4:22" ht="20" customHeight="1" x14ac:dyDescent="0.25">
      <c r="D120" s="6" t="str" cm="1">
        <f t="array" ref="D120">SourceData_Swine.SourceData_Swine_MegajoulesPerKilogramMethane_Title()</f>
        <v>Megajoules per kilogram of methane</v>
      </c>
      <c r="M120" s="1"/>
    </row>
    <row r="121" spans="4:22" ht="20" customHeight="1" x14ac:dyDescent="0.25">
      <c r="D121" s="5" t="str" cm="1">
        <f t="array" ref="D121">SourceData_Swine.SourceData_Swine_MegajoulesPerKilogramMethane_Source()</f>
        <v>VEERG 2026: 3.5.2.3 CONSTANT</v>
      </c>
      <c r="M121" s="1"/>
    </row>
    <row r="122" spans="4:22" ht="20" customHeight="1" x14ac:dyDescent="0.25">
      <c r="D122" s="51" t="str" cm="1">
        <f t="array" ref="D122">SourceData_Swine.SourceData_Swine_MegajoulesPerKilogramMethane_Variable()</f>
        <v>F</v>
      </c>
      <c r="E122" s="1" cm="1">
        <f t="array" ref="E122">SourceData_Swine.SourceData_Swine_MegajoulesPerKilogramMethane_Data()</f>
        <v>55.22</v>
      </c>
      <c r="F122" s="52" t="str" cm="1">
        <f t="array" ref="F122">SourceData_Swine.SourceData_Swine_MegajoulesPerKilogramMethane_Unit()</f>
        <v>MJ / kg CH4</v>
      </c>
      <c r="M122" s="1"/>
    </row>
    <row r="123" spans="4:22" ht="20" customHeight="1" x14ac:dyDescent="0.25">
      <c r="M123" s="1"/>
    </row>
    <row r="124" spans="4:22" ht="20" customHeight="1" x14ac:dyDescent="0.25">
      <c r="M124" s="1"/>
    </row>
    <row r="125" spans="4:22" ht="20" customHeight="1" x14ac:dyDescent="0.25">
      <c r="D125" s="6" t="str" cm="1">
        <f t="array" ref="D125">SourceData_Swine.SourceData_Swine_AverageLiveweight_Title()</f>
        <v>Swine - Average liveweight (inventory defaults) (kg) (Wco)</v>
      </c>
      <c r="M125" s="1"/>
      <c r="V125" s="1"/>
    </row>
    <row r="126" spans="4:22" ht="20" customHeight="1" x14ac:dyDescent="0.25">
      <c r="D126" s="5" t="str" cm="1">
        <f t="array" ref="D126">SourceData_Swine.SourceData_Swine_AverageLiveweight_Source()</f>
        <v>VEERG 2026: Table A.1.6.5: Swine - Average liveweight (inventory defaults) (kg) (Wco)</v>
      </c>
      <c r="M126" s="1"/>
      <c r="V126" s="1"/>
    </row>
    <row r="127" spans="4:22" ht="20" customHeight="1" x14ac:dyDescent="0.25">
      <c r="D127" s="36" t="s">
        <v>359</v>
      </c>
      <c r="E127" s="36" t="s">
        <v>360</v>
      </c>
      <c r="M127" s="1"/>
      <c r="V127" s="1"/>
    </row>
    <row r="128" spans="4:22" ht="20" customHeight="1" x14ac:dyDescent="0.25">
      <c r="D128" s="36" t="str" cm="1">
        <f t="array" ref="D128">Common_InputFunctions.Utility_DisplayArrayInTable(SourceData_Swine.SourceData_Swine_AverageLiveweight_Data(),Table_SourceData_Swine_Liveweight[[#Headers],[Livestock type j]],0)</f>
        <v>Sows</v>
      </c>
      <c r="E128" s="36" cm="1">
        <f t="array" ref="E128">Common_InputFunctions.Utility_DisplayArrayInTable(SourceData_Swine.SourceData_Swine_AverageLiveweight_Data(),Table_SourceData_Swine_Liveweight[[#Headers],[Livestock type j]],0)</f>
        <v>188</v>
      </c>
      <c r="M128" s="1"/>
      <c r="V128" s="1"/>
    </row>
    <row r="129" spans="4:22" ht="20" customHeight="1" x14ac:dyDescent="0.25">
      <c r="D129" s="1" t="str" cm="1">
        <f t="array" ref="D129">Common_InputFunctions.Utility_DisplayArrayInTable(SourceData_Swine.SourceData_Swine_AverageLiveweight_Data(),Table_SourceData_Swine_Liveweight[[#Headers],[Livestock type j]],0)</f>
        <v>Boars</v>
      </c>
      <c r="E129" s="36" cm="1">
        <f t="array" ref="E129">Common_InputFunctions.Utility_DisplayArrayInTable(SourceData_Swine.SourceData_Swine_AverageLiveweight_Data(),Table_SourceData_Swine_Liveweight[[#Headers],[Livestock type j]],0)</f>
        <v>206</v>
      </c>
      <c r="M129" s="1"/>
      <c r="V129" s="1"/>
    </row>
    <row r="130" spans="4:22" ht="20" customHeight="1" x14ac:dyDescent="0.25">
      <c r="D130" s="1" t="str" cm="1">
        <f t="array" ref="D130">Common_InputFunctions.Utility_DisplayArrayInTable(SourceData_Swine.SourceData_Swine_AverageLiveweight_Data(),Table_SourceData_Swine_Liveweight[[#Headers],[Livestock type j]],0)</f>
        <v>Gilts</v>
      </c>
      <c r="E130" s="36" cm="1">
        <f t="array" ref="E130">Common_InputFunctions.Utility_DisplayArrayInTable(SourceData_Swine.SourceData_Swine_AverageLiveweight_Data(),Table_SourceData_Swine_Liveweight[[#Headers],[Livestock type j]],0)</f>
        <v>125</v>
      </c>
      <c r="M130" s="1"/>
      <c r="V130" s="1"/>
    </row>
    <row r="131" spans="4:22" ht="20" customHeight="1" x14ac:dyDescent="0.25">
      <c r="D131" s="1" t="str" cm="1">
        <f t="array" ref="D131">Common_InputFunctions.Utility_DisplayArrayInTable(SourceData_Swine.SourceData_Swine_AverageLiveweight_Data(),Table_SourceData_Swine_Liveweight[[#Headers],[Livestock type j]],0)</f>
        <v>Slaughter pigs</v>
      </c>
      <c r="E131" s="36" cm="1">
        <f t="array" ref="E131">Common_InputFunctions.Utility_DisplayArrayInTable(SourceData_Swine.SourceData_Swine_AverageLiveweight_Data(),Table_SourceData_Swine_Liveweight[[#Headers],[Livestock type j]],0)</f>
        <v>39</v>
      </c>
      <c r="M131" s="1"/>
    </row>
    <row r="132" spans="4:22" ht="20" customHeight="1" x14ac:dyDescent="0.25">
      <c r="D132" s="1" t="str" cm="1">
        <f t="array" ref="D132">Common_InputFunctions.Utility_DisplayArrayInTable(SourceData_Swine.SourceData_Swine_AverageLiveweight_Data(),Table_SourceData_Swine_Liveweight[[#Headers],[Livestock type j]],0)</f>
        <v>Slaughter pigs at turnoff</v>
      </c>
      <c r="E132" s="36" cm="1">
        <f t="array" ref="E132">Common_InputFunctions.Utility_DisplayArrayInTable(SourceData_Swine.SourceData_Swine_AverageLiveweight_Data(),Table_SourceData_Swine_Liveweight[[#Headers],[Livestock type j]],0)</f>
        <v>97</v>
      </c>
      <c r="M132" s="1"/>
    </row>
    <row r="133" spans="4:22" ht="20" customHeight="1" x14ac:dyDescent="0.25">
      <c r="M133" s="1"/>
    </row>
    <row r="134" spans="4:22" ht="20" customHeight="1" x14ac:dyDescent="0.25">
      <c r="M134" s="1"/>
    </row>
    <row r="135" spans="4:22" ht="20" customHeight="1" x14ac:dyDescent="0.25">
      <c r="M135" s="1"/>
    </row>
    <row r="136" spans="4:22" ht="20" customHeight="1" x14ac:dyDescent="0.25">
      <c r="M136" s="1"/>
    </row>
    <row r="137" spans="4:22" ht="20" customHeight="1" x14ac:dyDescent="0.25">
      <c r="M137" s="1"/>
    </row>
    <row r="138" spans="4:22" ht="20" customHeight="1" x14ac:dyDescent="0.25">
      <c r="M138" s="1"/>
    </row>
    <row r="139" spans="4:22" ht="20" customHeight="1" x14ac:dyDescent="0.25">
      <c r="M139" s="1"/>
    </row>
    <row r="140" spans="4:22" ht="20" customHeight="1" x14ac:dyDescent="0.25">
      <c r="M140" s="1"/>
    </row>
    <row r="141" spans="4:22" ht="20" customHeight="1" x14ac:dyDescent="0.25">
      <c r="M141" s="1"/>
    </row>
    <row r="142" spans="4:22" ht="20" customHeight="1" x14ac:dyDescent="0.25">
      <c r="M142" s="1"/>
    </row>
    <row r="143" spans="4:22" ht="20" customHeight="1" x14ac:dyDescent="0.25">
      <c r="M143" s="1"/>
    </row>
    <row r="144" spans="4:22" ht="20" customHeight="1" x14ac:dyDescent="0.25">
      <c r="M144" s="1"/>
    </row>
    <row r="145" spans="13:13" ht="20" customHeight="1" x14ac:dyDescent="0.25">
      <c r="M145" s="1"/>
    </row>
    <row r="146" spans="13:13" ht="20" customHeight="1" x14ac:dyDescent="0.25">
      <c r="M146" s="1"/>
    </row>
    <row r="147" spans="13:13" ht="20" customHeight="1" x14ac:dyDescent="0.25">
      <c r="M147" s="1"/>
    </row>
    <row r="148" spans="13:13" ht="20" customHeight="1" x14ac:dyDescent="0.25">
      <c r="M148" s="1"/>
    </row>
    <row r="149" spans="13:13" ht="20" customHeight="1" x14ac:dyDescent="0.25">
      <c r="M149" s="1"/>
    </row>
    <row r="150" spans="13:13" ht="20" customHeight="1" x14ac:dyDescent="0.25">
      <c r="M150" s="1"/>
    </row>
    <row r="151" spans="13:13" ht="20" customHeight="1" x14ac:dyDescent="0.25">
      <c r="M151" s="1"/>
    </row>
    <row r="152" spans="13:13" ht="20" customHeight="1" x14ac:dyDescent="0.25">
      <c r="M152" s="1"/>
    </row>
    <row r="153" spans="13:13" ht="20" customHeight="1" x14ac:dyDescent="0.25">
      <c r="M153" s="1"/>
    </row>
    <row r="154" spans="13:13" ht="20" customHeight="1" x14ac:dyDescent="0.25">
      <c r="M154" s="1"/>
    </row>
    <row r="155" spans="13:13" ht="20" customHeight="1" x14ac:dyDescent="0.25">
      <c r="M155" s="1"/>
    </row>
    <row r="156" spans="13:13" ht="20" customHeight="1" x14ac:dyDescent="0.25">
      <c r="M156" s="1"/>
    </row>
    <row r="157" spans="13:13" ht="20" customHeight="1" x14ac:dyDescent="0.25">
      <c r="M157" s="1"/>
    </row>
    <row r="158" spans="13:13" ht="20" customHeight="1" x14ac:dyDescent="0.25">
      <c r="M158" s="1"/>
    </row>
    <row r="159" spans="13:13" ht="20" customHeight="1" x14ac:dyDescent="0.25">
      <c r="M159" s="1"/>
    </row>
    <row r="160" spans="13:13" ht="20" customHeight="1" x14ac:dyDescent="0.25">
      <c r="M160" s="1"/>
    </row>
    <row r="161" spans="13:13" ht="20" customHeight="1" x14ac:dyDescent="0.25">
      <c r="M161" s="1"/>
    </row>
    <row r="162" spans="13:13" ht="20" customHeight="1" x14ac:dyDescent="0.25">
      <c r="M162" s="1"/>
    </row>
    <row r="163" spans="13:13" ht="20" customHeight="1" x14ac:dyDescent="0.25">
      <c r="M163" s="1"/>
    </row>
    <row r="164" spans="13:13" ht="20" customHeight="1" x14ac:dyDescent="0.25">
      <c r="M164" s="1"/>
    </row>
    <row r="165" spans="13:13" ht="20" customHeight="1" x14ac:dyDescent="0.25">
      <c r="M165" s="1"/>
    </row>
    <row r="166" spans="13:13" x14ac:dyDescent="0.25" ht="20" customHeight="1">
      <c r="M166" s="1"/>
    </row>
    <row r="167" spans="13:13" x14ac:dyDescent="0.25" ht="20" customHeight="1">
      <c r="M167" s="1"/>
    </row>
    <row r="168" spans="13:13" x14ac:dyDescent="0.25" ht="20" customHeight="1">
      <c r="M168" s="1"/>
    </row>
    <row r="169" spans="13:13" x14ac:dyDescent="0.25" ht="20" customHeight="1">
      <c r="M169" s="1"/>
    </row>
    <row r="170" spans="13:13" x14ac:dyDescent="0.25" ht="20" customHeight="1">
      <c r="M170" s="1"/>
    </row>
    <row r="171" spans="13:13" x14ac:dyDescent="0.25" ht="20" customHeight="1">
      <c r="M171" s="1"/>
    </row>
    <row r="172" spans="13:13" x14ac:dyDescent="0.25" ht="20" customHeight="1">
      <c r="M172" s="1"/>
    </row>
    <row r="173" spans="13:13" x14ac:dyDescent="0.25" ht="20" customHeight="1">
      <c r="M173" s="1"/>
    </row>
    <row r="174" spans="13:13" x14ac:dyDescent="0.25" ht="20" customHeight="1">
      <c r="M174" s="1"/>
    </row>
    <row r="175" spans="13:13" x14ac:dyDescent="0.25" ht="20" customHeight="1">
      <c r="M175" s="1"/>
    </row>
    <row r="176" spans="13:13" x14ac:dyDescent="0.25" ht="20" customHeight="1">
      <c r="M176" s="1"/>
    </row>
    <row r="177" spans="13:13" x14ac:dyDescent="0.25" ht="20" customHeight="1">
      <c r="M177" s="1"/>
    </row>
    <row r="178" spans="13:13" x14ac:dyDescent="0.25" ht="20" customHeight="1">
      <c r="M178" s="1"/>
    </row>
    <row r="179" spans="13:13" x14ac:dyDescent="0.25" ht="20" customHeight="1">
      <c r="M179" s="1"/>
    </row>
    <row r="180" spans="13:13" x14ac:dyDescent="0.25" ht="20" customHeight="1">
      <c r="M180" s="1"/>
    </row>
    <row r="181" spans="13:13" x14ac:dyDescent="0.25" ht="20" customHeight="1">
      <c r="M181" s="1"/>
    </row>
    <row r="182" spans="13:13" x14ac:dyDescent="0.25" ht="20" customHeight="1">
      <c r="M182" s="1"/>
    </row>
    <row r="183" spans="13:13" x14ac:dyDescent="0.25" ht="20" customHeight="1">
      <c r="M183" s="1"/>
    </row>
    <row r="184" spans="13:13" x14ac:dyDescent="0.25" ht="20" customHeight="1">
      <c r="M184" s="1"/>
    </row>
    <row r="185" spans="13:13" x14ac:dyDescent="0.25" ht="20" customHeight="1">
      <c r="M185" s="1"/>
    </row>
    <row r="186" spans="13:13" x14ac:dyDescent="0.25" ht="20" customHeight="1">
      <c r="M186" s="1"/>
    </row>
    <row r="187" spans="13:13" x14ac:dyDescent="0.25" ht="20" customHeight="1">
      <c r="M187" s="1"/>
    </row>
    <row r="188" spans="13:13" x14ac:dyDescent="0.25" ht="20" customHeight="1">
      <c r="M188" s="1"/>
    </row>
    <row r="189" spans="13:13" x14ac:dyDescent="0.25" ht="20" customHeight="1">
      <c r="M189" s="1"/>
    </row>
    <row r="190" spans="13:13" x14ac:dyDescent="0.25" ht="20" customHeight="1">
      <c r="M190" s="1"/>
    </row>
    <row r="191" spans="13:13" x14ac:dyDescent="0.25" ht="20" customHeight="1">
      <c r="M191" s="1"/>
    </row>
    <row r="192" spans="13:13" x14ac:dyDescent="0.25" ht="20" customHeight="1">
      <c r="M192" s="1"/>
    </row>
    <row r="193" spans="13:13" x14ac:dyDescent="0.25" ht="20" customHeight="1">
      <c r="M193" s="1"/>
    </row>
    <row r="194" spans="13:13" x14ac:dyDescent="0.25" ht="20" customHeight="1">
      <c r="M194" s="1"/>
    </row>
    <row r="195" spans="13:13" x14ac:dyDescent="0.25" ht="20" customHeight="1">
      <c r="M195" s="1"/>
    </row>
    <row r="196" spans="13:13" x14ac:dyDescent="0.25" ht="20" customHeight="1">
      <c r="M196" s="1"/>
    </row>
    <row r="197" spans="13:13" x14ac:dyDescent="0.25" ht="20" customHeight="1">
      <c r="M197" s="1"/>
    </row>
    <row r="198" spans="13:13" x14ac:dyDescent="0.25" ht="20" customHeight="1">
      <c r="M198" s="1"/>
    </row>
    <row r="199" spans="13:13" x14ac:dyDescent="0.25" ht="20" customHeight="1">
      <c r="M199" s="1"/>
    </row>
    <row r="200" spans="13:13" x14ac:dyDescent="0.25" ht="20" customHeight="1">
      <c r="M200" s="1"/>
    </row>
    <row r="201" spans="13:13" x14ac:dyDescent="0.25" ht="20" customHeight="1">
      <c r="M201" s="1"/>
    </row>
    <row r="202" spans="13:13" x14ac:dyDescent="0.25" ht="20" customHeight="1">
      <c r="M202" s="1"/>
    </row>
    <row r="203" spans="13:13" x14ac:dyDescent="0.25" ht="20" customHeight="1">
      <c r="M203" s="1"/>
    </row>
    <row r="204" spans="13:13" x14ac:dyDescent="0.25" ht="20" customHeight="1">
      <c r="M204" s="1"/>
    </row>
    <row r="205" spans="13:13" x14ac:dyDescent="0.25" ht="20" customHeight="1">
      <c r="M205" s="1"/>
    </row>
    <row r="206" spans="13:13" x14ac:dyDescent="0.25" ht="20" customHeight="1">
      <c r="M206" s="1"/>
    </row>
    <row r="207" spans="13:13" x14ac:dyDescent="0.25" ht="20" customHeight="1">
      <c r="M207" s="1"/>
    </row>
    <row r="208" spans="13:13" x14ac:dyDescent="0.25" ht="20" customHeight="1">
      <c r="M208" s="1"/>
    </row>
    <row r="209" spans="13:13" x14ac:dyDescent="0.25" ht="20" customHeight="1">
      <c r="M209" s="1"/>
    </row>
    <row r="210" spans="13:13" x14ac:dyDescent="0.25" ht="20" customHeight="1">
      <c r="M210" s="1"/>
    </row>
    <row r="211" spans="13:13" x14ac:dyDescent="0.25" ht="20" customHeight="1">
      <c r="M211" s="1"/>
    </row>
    <row r="212" spans="13:13" x14ac:dyDescent="0.25" ht="20" customHeight="1">
      <c r="M212" s="1"/>
    </row>
    <row r="213" spans="13:13" x14ac:dyDescent="0.25" ht="20" customHeight="1">
      <c r="M213" s="1"/>
    </row>
    <row r="214" spans="13:13" x14ac:dyDescent="0.25" ht="20" customHeight="1">
      <c r="M214" s="1"/>
    </row>
    <row r="215" spans="13:13" x14ac:dyDescent="0.25" ht="20" customHeight="1">
      <c r="M215" s="1"/>
    </row>
    <row r="216" spans="13:13" x14ac:dyDescent="0.25" ht="20" customHeight="1">
      <c r="M216" s="1"/>
    </row>
    <row r="217" spans="13:13" x14ac:dyDescent="0.25" ht="20" customHeight="1">
      <c r="M217" s="1"/>
    </row>
    <row r="218" spans="13:13" x14ac:dyDescent="0.25" ht="20" customHeight="1">
      <c r="M218" s="1"/>
    </row>
    <row r="219" spans="13:13" x14ac:dyDescent="0.25" ht="20" customHeight="1">
      <c r="M219" s="1"/>
    </row>
    <row r="220" spans="13:13" x14ac:dyDescent="0.25" ht="20" customHeight="1">
      <c r="M220" s="1"/>
    </row>
    <row r="221" spans="13:13" x14ac:dyDescent="0.25" ht="20" customHeight="1">
      <c r="M221" s="1"/>
    </row>
    <row r="222" spans="13:13" x14ac:dyDescent="0.25" ht="20" customHeight="1">
      <c r="M222" s="1"/>
    </row>
    <row r="223" spans="13:13" x14ac:dyDescent="0.25" ht="20" customHeight="1">
      <c r="M223" s="1"/>
    </row>
    <row r="224" spans="13:13" x14ac:dyDescent="0.25" ht="20" customHeight="1">
      <c r="M224" s="1"/>
    </row>
    <row r="225" spans="13:13" x14ac:dyDescent="0.25" ht="20" customHeight="1">
      <c r="M225" s="1"/>
    </row>
    <row r="226" spans="13:13" x14ac:dyDescent="0.25" ht="20" customHeight="1">
      <c r="M226" s="1"/>
    </row>
    <row r="227" spans="13:13" x14ac:dyDescent="0.25" ht="20" customHeight="1">
      <c r="M227" s="1"/>
    </row>
    <row r="228" spans="13:13" x14ac:dyDescent="0.25" ht="20" customHeight="1">
      <c r="M228" s="1"/>
    </row>
    <row r="229" spans="13:13" x14ac:dyDescent="0.25" ht="20" customHeight="1">
      <c r="M229" s="1"/>
    </row>
    <row r="230" spans="13:13" x14ac:dyDescent="0.25" ht="20" customHeight="1">
      <c r="M230" s="1"/>
    </row>
    <row r="231" spans="13:13" x14ac:dyDescent="0.25" ht="20" customHeight="1">
      <c r="M231" s="1"/>
    </row>
    <row r="232" spans="13:13" x14ac:dyDescent="0.25" ht="20" customHeight="1">
      <c r="M232" s="1"/>
    </row>
    <row r="233" spans="13:13" x14ac:dyDescent="0.25" ht="20" customHeight="1">
      <c r="M233" s="1"/>
    </row>
    <row r="234" spans="13:13" x14ac:dyDescent="0.25" ht="20" customHeight="1">
      <c r="M234" s="1"/>
    </row>
    <row r="235" spans="13:13" x14ac:dyDescent="0.25" ht="20" customHeight="1">
      <c r="M235" s="1"/>
    </row>
    <row r="236" spans="13:13" x14ac:dyDescent="0.25" ht="20" customHeight="1">
      <c r="M236" s="1"/>
    </row>
    <row r="237" spans="13:13" x14ac:dyDescent="0.25" ht="20" customHeight="1">
      <c r="M237" s="1"/>
    </row>
    <row r="238" spans="13:13" x14ac:dyDescent="0.25" ht="20" customHeight="1">
      <c r="M238" s="1"/>
    </row>
    <row r="239" spans="13:13" x14ac:dyDescent="0.25" ht="20" customHeight="1">
      <c r="M239" s="1"/>
    </row>
    <row r="240" spans="13:13" x14ac:dyDescent="0.25" ht="20" customHeight="1">
      <c r="M240" s="1"/>
    </row>
    <row r="241" spans="13:13" x14ac:dyDescent="0.25" ht="20" customHeight="1">
      <c r="M241" s="1"/>
    </row>
    <row r="242" spans="13:13" x14ac:dyDescent="0.25" ht="20" customHeight="1">
      <c r="M242" s="1"/>
    </row>
    <row r="243" spans="13:13" x14ac:dyDescent="0.25" ht="20" customHeight="1">
      <c r="M243" s="1"/>
    </row>
    <row r="244" spans="13:13" x14ac:dyDescent="0.25" ht="20" customHeight="1">
      <c r="M244" s="1"/>
    </row>
    <row r="245" spans="13:13" x14ac:dyDescent="0.25" ht="20" customHeight="1">
      <c r="M245" s="1"/>
    </row>
    <row r="246" spans="13:13" x14ac:dyDescent="0.25" ht="20" customHeight="1">
      <c r="M246" s="1"/>
    </row>
    <row r="247" spans="13:13" x14ac:dyDescent="0.25" ht="20" customHeight="1">
      <c r="M247" s="1"/>
    </row>
    <row r="248" spans="13:13" x14ac:dyDescent="0.25" ht="20" customHeight="1">
      <c r="M248" s="1"/>
    </row>
    <row r="249" spans="13:13" x14ac:dyDescent="0.25" ht="20" customHeight="1">
      <c r="M249" s="1"/>
    </row>
    <row r="250" spans="13:13" x14ac:dyDescent="0.25" ht="20" customHeight="1">
      <c r="M250" s="1"/>
    </row>
    <row r="251" spans="13:13" x14ac:dyDescent="0.25" ht="20" customHeight="1">
      <c r="M251" s="1"/>
    </row>
    <row r="252" spans="13:13" x14ac:dyDescent="0.25" ht="20" customHeight="1">
      <c r="M252" s="1"/>
    </row>
    <row r="253" spans="13:13" x14ac:dyDescent="0.25" ht="20" customHeight="1">
      <c r="M253" s="1"/>
    </row>
    <row r="254" spans="13:13" x14ac:dyDescent="0.25" ht="20" customHeight="1">
      <c r="M254" s="1"/>
    </row>
    <row r="255" spans="13:13" x14ac:dyDescent="0.25" ht="20" customHeight="1">
      <c r="M255" s="1"/>
    </row>
    <row r="256" spans="13:13" x14ac:dyDescent="0.25" ht="20" customHeight="1">
      <c r="M256" s="1"/>
    </row>
    <row r="257" spans="13:13" x14ac:dyDescent="0.25" ht="20" customHeight="1">
      <c r="M257" s="1"/>
    </row>
    <row r="258" spans="13:13" x14ac:dyDescent="0.25" ht="20" customHeight="1">
      <c r="M258" s="1"/>
    </row>
    <row r="259" spans="13:13" x14ac:dyDescent="0.25" ht="20" customHeight="1">
      <c r="M259" s="1"/>
    </row>
    <row r="260" spans="13:13" x14ac:dyDescent="0.25" ht="20" customHeight="1">
      <c r="M260" s="1"/>
    </row>
    <row r="261" spans="13:13" x14ac:dyDescent="0.25" ht="20" customHeight="1">
      <c r="M261" s="1"/>
    </row>
    <row r="262" spans="13:13" x14ac:dyDescent="0.25" ht="20" customHeight="1">
      <c r="M262" s="1"/>
    </row>
    <row r="263" spans="13:13" x14ac:dyDescent="0.25" ht="20" customHeight="1">
      <c r="M263" s="1"/>
    </row>
    <row r="264" spans="13:13" x14ac:dyDescent="0.25" ht="20" customHeight="1">
      <c r="M264" s="1"/>
    </row>
    <row r="265" spans="13:13" x14ac:dyDescent="0.25" ht="20" customHeight="1">
      <c r="M265" s="1"/>
    </row>
    <row r="266" spans="13:13" x14ac:dyDescent="0.25" ht="20" customHeight="1">
      <c r="M266" s="1"/>
    </row>
    <row r="267" spans="13:13" x14ac:dyDescent="0.25" ht="20" customHeight="1">
      <c r="M267" s="1"/>
    </row>
    <row r="268" spans="13:13" x14ac:dyDescent="0.25" ht="20" customHeight="1">
      <c r="M268" s="1"/>
    </row>
    <row r="269" spans="13:13" x14ac:dyDescent="0.25" ht="20" customHeight="1">
      <c r="M269" s="1"/>
    </row>
    <row r="270" spans="13:13" x14ac:dyDescent="0.25" ht="20" customHeight="1">
      <c r="M270" s="1"/>
    </row>
    <row r="271" spans="13:13" x14ac:dyDescent="0.25" ht="20" customHeight="1">
      <c r="M271" s="1"/>
    </row>
    <row r="272" spans="13:13" x14ac:dyDescent="0.25" ht="20" customHeight="1">
      <c r="M272" s="1"/>
    </row>
    <row r="273" spans="13:13" x14ac:dyDescent="0.25" ht="20" customHeight="1">
      <c r="M273" s="1"/>
    </row>
    <row r="274" spans="13:13" x14ac:dyDescent="0.25" ht="20" customHeight="1">
      <c r="M274" s="1"/>
    </row>
    <row r="275" spans="13:13" x14ac:dyDescent="0.25" ht="20" customHeight="1">
      <c r="M275" s="1"/>
    </row>
    <row r="276" spans="13:13" x14ac:dyDescent="0.25" ht="20" customHeight="1">
      <c r="M276" s="1"/>
    </row>
    <row r="277" spans="13:13" x14ac:dyDescent="0.25" ht="20" customHeight="1">
      <c r="M277" s="1"/>
    </row>
    <row r="278" spans="13:13" x14ac:dyDescent="0.25" ht="20" customHeight="1">
      <c r="M278" s="1"/>
    </row>
    <row r="279" spans="13:13" x14ac:dyDescent="0.25" ht="20" customHeight="1">
      <c r="M279" s="1"/>
    </row>
    <row r="280" spans="13:13" x14ac:dyDescent="0.25" ht="20" customHeight="1">
      <c r="M280" s="1"/>
    </row>
    <row r="281" spans="13:13" x14ac:dyDescent="0.25" ht="20" customHeight="1">
      <c r="M281" s="1"/>
    </row>
    <row r="282" spans="13:13" x14ac:dyDescent="0.25" ht="20" customHeight="1">
      <c r="M282" s="1"/>
    </row>
    <row r="283" spans="13:13" x14ac:dyDescent="0.25" ht="20" customHeight="1">
      <c r="M283" s="1"/>
    </row>
    <row r="284" spans="13:13" x14ac:dyDescent="0.25" ht="20" customHeight="1">
      <c r="M284" s="1"/>
    </row>
    <row r="285" spans="13:13" x14ac:dyDescent="0.25" ht="20" customHeight="1">
      <c r="M285" s="1"/>
    </row>
    <row r="286" spans="13:13" x14ac:dyDescent="0.25" ht="20" customHeight="1">
      <c r="M286" s="1"/>
    </row>
    <row r="287" spans="13:13" x14ac:dyDescent="0.25" ht="20" customHeight="1">
      <c r="M287" s="1"/>
    </row>
    <row r="288" spans="13:13" x14ac:dyDescent="0.25" ht="20" customHeight="1">
      <c r="M288" s="1"/>
    </row>
    <row r="289" spans="13:13" x14ac:dyDescent="0.25" ht="20" customHeight="1">
      <c r="M289" s="1"/>
    </row>
    <row r="290" spans="13:13" x14ac:dyDescent="0.25" ht="20" customHeight="1">
      <c r="M290" s="1"/>
    </row>
    <row r="291" spans="13:13" x14ac:dyDescent="0.25" ht="20" customHeight="1">
      <c r="M291" s="1"/>
    </row>
    <row r="292" spans="13:13" x14ac:dyDescent="0.25" ht="20" customHeight="1">
      <c r="M292" s="1"/>
    </row>
    <row r="293" spans="13:13" x14ac:dyDescent="0.25" ht="20" customHeight="1">
      <c r="M293" s="1"/>
    </row>
    <row r="294" spans="13:13" x14ac:dyDescent="0.25" ht="20" customHeight="1">
      <c r="M294" s="1"/>
    </row>
    <row r="295" spans="13:13" x14ac:dyDescent="0.25" ht="20" customHeight="1">
      <c r="M295" s="1"/>
    </row>
    <row r="296" spans="13:13" x14ac:dyDescent="0.25" ht="20" customHeight="1">
      <c r="M296" s="1"/>
    </row>
    <row r="297" spans="13:13" x14ac:dyDescent="0.25" ht="20" customHeight="1">
      <c r="M297" s="1"/>
    </row>
    <row r="298" spans="13:13" x14ac:dyDescent="0.25" ht="20" customHeight="1">
      <c r="M298" s="1"/>
    </row>
    <row r="299" spans="13:13" x14ac:dyDescent="0.25" ht="20" customHeight="1">
      <c r="M299" s="1"/>
    </row>
    <row r="300" spans="13:13" x14ac:dyDescent="0.25" ht="20" customHeight="1">
      <c r="M300" s="1"/>
    </row>
    <row r="301" spans="13:13" x14ac:dyDescent="0.25" ht="20" customHeight="1">
      <c r="M301" s="1"/>
    </row>
    <row r="302" spans="13:13" x14ac:dyDescent="0.25" ht="20" customHeight="1">
      <c r="M302" s="1"/>
    </row>
    <row r="303" spans="13:13" x14ac:dyDescent="0.25" ht="20" customHeight="1">
      <c r="M303" s="1"/>
    </row>
    <row r="304" spans="13:13" x14ac:dyDescent="0.25" ht="20" customHeight="1">
      <c r="M304" s="1"/>
    </row>
    <row r="305" spans="13:13" x14ac:dyDescent="0.25" ht="20" customHeight="1">
      <c r="M305" s="1"/>
    </row>
    <row r="306" spans="13:13" x14ac:dyDescent="0.25" ht="20" customHeight="1">
      <c r="M306" s="1"/>
    </row>
    <row r="307" spans="13:13" x14ac:dyDescent="0.25" ht="20" customHeight="1">
      <c r="M307" s="1"/>
    </row>
    <row r="308" spans="13:13" x14ac:dyDescent="0.25" ht="20" customHeight="1">
      <c r="M308" s="1"/>
    </row>
    <row r="309" spans="13:13" x14ac:dyDescent="0.25" ht="20" customHeight="1">
      <c r="M309" s="1"/>
    </row>
    <row r="310" spans="13:13" x14ac:dyDescent="0.25" ht="20" customHeight="1">
      <c r="M310" s="1"/>
    </row>
    <row r="311" spans="13:13" x14ac:dyDescent="0.25" ht="20" customHeight="1">
      <c r="M311" s="1"/>
    </row>
    <row r="312" spans="13:13" x14ac:dyDescent="0.25" ht="20" customHeight="1">
      <c r="M312" s="1"/>
    </row>
    <row r="313" spans="13:13" x14ac:dyDescent="0.25" ht="20" customHeight="1">
      <c r="M313" s="1"/>
    </row>
    <row r="314" spans="13:13" x14ac:dyDescent="0.25" ht="20" customHeight="1">
      <c r="M314" s="1"/>
    </row>
    <row r="315" spans="13:13" x14ac:dyDescent="0.25" ht="20" customHeight="1">
      <c r="M315" s="1"/>
    </row>
    <row r="316" spans="13:13" x14ac:dyDescent="0.25" ht="20" customHeight="1">
      <c r="M316" s="1"/>
    </row>
    <row r="317" spans="13:13" x14ac:dyDescent="0.25" ht="20" customHeight="1">
      <c r="M317" s="1"/>
    </row>
    <row r="318" spans="13:13" x14ac:dyDescent="0.25" ht="20" customHeight="1">
      <c r="M318" s="1"/>
    </row>
    <row r="319" spans="13:13" x14ac:dyDescent="0.25" ht="20" customHeight="1">
      <c r="M319" s="1"/>
    </row>
    <row r="320" spans="13:13" x14ac:dyDescent="0.25" ht="20" customHeight="1">
      <c r="M320" s="1"/>
    </row>
    <row r="321" spans="13:13" x14ac:dyDescent="0.25" ht="20" customHeight="1">
      <c r="M321" s="1"/>
    </row>
    <row r="322" spans="13:13" x14ac:dyDescent="0.25" ht="20" customHeight="1">
      <c r="M322" s="1"/>
    </row>
    <row r="323" spans="13:13" x14ac:dyDescent="0.25" ht="20" customHeight="1">
      <c r="M323" s="1"/>
    </row>
    <row r="324" spans="13:13" x14ac:dyDescent="0.25" ht="20" customHeight="1">
      <c r="M324" s="1"/>
    </row>
    <row r="325" spans="13:13" x14ac:dyDescent="0.25" ht="20" customHeight="1">
      <c r="M325" s="1"/>
    </row>
    <row r="326" spans="13:13" x14ac:dyDescent="0.25" ht="20" customHeight="1">
      <c r="M326" s="1"/>
    </row>
    <row r="327" spans="13:13" x14ac:dyDescent="0.25" ht="20" customHeight="1">
      <c r="M327" s="1"/>
    </row>
    <row r="328" spans="13:13" x14ac:dyDescent="0.25" ht="20" customHeight="1">
      <c r="M328" s="1"/>
    </row>
    <row r="329" spans="13:13" x14ac:dyDescent="0.25" ht="20" customHeight="1">
      <c r="M329" s="1"/>
    </row>
    <row r="330" spans="13:13" x14ac:dyDescent="0.25" ht="20" customHeight="1">
      <c r="M330" s="1"/>
    </row>
    <row r="331" spans="13:13" x14ac:dyDescent="0.25" ht="20" customHeight="1">
      <c r="M331" s="1"/>
    </row>
    <row r="332" spans="13:13" x14ac:dyDescent="0.25" ht="20" customHeight="1">
      <c r="M332" s="1"/>
    </row>
    <row r="333" spans="13:13" x14ac:dyDescent="0.25" ht="20" customHeight="1">
      <c r="M333" s="1"/>
    </row>
    <row r="334" spans="13:13" x14ac:dyDescent="0.25" ht="20" customHeight="1">
      <c r="M334" s="1"/>
    </row>
    <row r="335" spans="13:13" x14ac:dyDescent="0.25" ht="20" customHeight="1">
      <c r="M335" s="1"/>
    </row>
    <row r="336" spans="13:13" x14ac:dyDescent="0.25" ht="20" customHeight="1">
      <c r="M336" s="1"/>
    </row>
    <row r="337" spans="13:13" x14ac:dyDescent="0.25" ht="20" customHeight="1">
      <c r="M337" s="1"/>
    </row>
    <row r="338" spans="13:13" x14ac:dyDescent="0.25" ht="20" customHeight="1">
      <c r="M338" s="1"/>
    </row>
    <row r="339" spans="13:13" x14ac:dyDescent="0.25" ht="20" customHeight="1">
      <c r="M339" s="1"/>
    </row>
    <row r="340" spans="13:13" x14ac:dyDescent="0.25" ht="20" customHeight="1">
      <c r="M340" s="1"/>
    </row>
    <row r="341" spans="13:13" x14ac:dyDescent="0.25" ht="20" customHeight="1">
      <c r="M341" s="1"/>
    </row>
    <row r="342" spans="13:13" x14ac:dyDescent="0.25" ht="20" customHeight="1">
      <c r="M342" s="1"/>
    </row>
    <row r="343" spans="13:13" x14ac:dyDescent="0.25" ht="20" customHeight="1">
      <c r="M343" s="1"/>
    </row>
    <row r="344" spans="13:13" x14ac:dyDescent="0.25" ht="20" customHeight="1">
      <c r="M344" s="1"/>
    </row>
    <row r="345" spans="13:13" x14ac:dyDescent="0.25" ht="20" customHeight="1">
      <c r="M345" s="1"/>
    </row>
    <row r="346" spans="13:13" x14ac:dyDescent="0.25" ht="20" customHeight="1">
      <c r="M346" s="1"/>
    </row>
    <row r="347" spans="13:13" x14ac:dyDescent="0.25" ht="20" customHeight="1">
      <c r="M347" s="1"/>
    </row>
    <row r="348" spans="13:13" x14ac:dyDescent="0.25" ht="20" customHeight="1">
      <c r="M348" s="1"/>
    </row>
    <row r="349" spans="13:13" x14ac:dyDescent="0.25" ht="20" customHeight="1">
      <c r="M349" s="1"/>
    </row>
    <row r="350" spans="13:13" x14ac:dyDescent="0.25" ht="20" customHeight="1">
      <c r="M350" s="1"/>
    </row>
    <row r="351" spans="13:13" x14ac:dyDescent="0.25" ht="20" customHeight="1">
      <c r="M351" s="1"/>
    </row>
    <row r="352" spans="13:13" x14ac:dyDescent="0.25" ht="20" customHeight="1">
      <c r="M352" s="1"/>
    </row>
    <row r="353" spans="13:13" x14ac:dyDescent="0.25" ht="20" customHeight="1">
      <c r="M353" s="1"/>
    </row>
    <row r="354" spans="13:13" x14ac:dyDescent="0.25" ht="20" customHeight="1">
      <c r="M354" s="1"/>
    </row>
    <row r="355" spans="13:13" x14ac:dyDescent="0.25" ht="20" customHeight="1">
      <c r="M355" s="1"/>
    </row>
    <row r="356" spans="13:13" x14ac:dyDescent="0.25" ht="20" customHeight="1">
      <c r="M356" s="1"/>
    </row>
    <row r="357" spans="13:13" x14ac:dyDescent="0.25" ht="20" customHeight="1">
      <c r="M357" s="1"/>
    </row>
    <row r="358" spans="13:13" x14ac:dyDescent="0.25" ht="20" customHeight="1">
      <c r="M358" s="1"/>
    </row>
    <row r="359" spans="13:13" x14ac:dyDescent="0.25" ht="20" customHeight="1">
      <c r="M359" s="1"/>
    </row>
    <row r="360" spans="13:13" x14ac:dyDescent="0.25" ht="20" customHeight="1">
      <c r="M360" s="1"/>
    </row>
    <row r="361" spans="13:13" x14ac:dyDescent="0.25" ht="20" customHeight="1">
      <c r="M361" s="1"/>
    </row>
    <row r="362" spans="13:13" x14ac:dyDescent="0.25" ht="20" customHeight="1">
      <c r="M362" s="1"/>
    </row>
    <row r="363" spans="13:13" x14ac:dyDescent="0.25" ht="20" customHeight="1">
      <c r="M363" s="1"/>
    </row>
    <row r="364" spans="13:13" x14ac:dyDescent="0.25" ht="20" customHeight="1">
      <c r="M364" s="1"/>
    </row>
    <row r="365" spans="13:13" x14ac:dyDescent="0.25" ht="20" customHeight="1">
      <c r="M365" s="1"/>
    </row>
    <row r="366" spans="13:13" x14ac:dyDescent="0.25" ht="20" customHeight="1">
      <c r="M366" s="1"/>
    </row>
    <row r="367" spans="13:13" x14ac:dyDescent="0.25" ht="20" customHeight="1">
      <c r="M367" s="1"/>
    </row>
    <row r="368" spans="13:13" x14ac:dyDescent="0.25" ht="20" customHeight="1">
      <c r="M368" s="1"/>
    </row>
    <row r="369" spans="13:13" x14ac:dyDescent="0.25" ht="20" customHeight="1">
      <c r="M369" s="1"/>
    </row>
    <row r="370" spans="13:13" x14ac:dyDescent="0.25" ht="20" customHeight="1">
      <c r="M370" s="1"/>
    </row>
    <row r="371" spans="13:13" x14ac:dyDescent="0.25" ht="20" customHeight="1">
      <c r="M371" s="1"/>
    </row>
    <row r="372" spans="13:13" x14ac:dyDescent="0.25" ht="20" customHeight="1">
      <c r="M372" s="1"/>
    </row>
    <row r="373" spans="13:13" x14ac:dyDescent="0.25" ht="20" customHeight="1">
      <c r="M373" s="1"/>
    </row>
    <row r="374" spans="13:13" x14ac:dyDescent="0.25" ht="20" customHeight="1">
      <c r="M374" s="1"/>
    </row>
    <row r="375" spans="13:13" x14ac:dyDescent="0.25" ht="20" customHeight="1">
      <c r="M375" s="1"/>
    </row>
    <row r="376" spans="13:13" x14ac:dyDescent="0.25" ht="20" customHeight="1">
      <c r="M376" s="1"/>
    </row>
    <row r="377" spans="13:13" x14ac:dyDescent="0.25" ht="20" customHeight="1">
      <c r="M377" s="1"/>
    </row>
    <row r="378" spans="13:13" x14ac:dyDescent="0.25" ht="20" customHeight="1">
      <c r="M378" s="1"/>
    </row>
    <row r="379" spans="13:13" x14ac:dyDescent="0.25" ht="20" customHeight="1">
      <c r="M379" s="1"/>
    </row>
    <row r="380" spans="13:13" x14ac:dyDescent="0.25" ht="20" customHeight="1">
      <c r="M380" s="1"/>
    </row>
    <row r="381" spans="13:13" x14ac:dyDescent="0.25" ht="20" customHeight="1">
      <c r="M381" s="1"/>
    </row>
    <row r="382" spans="13:13" x14ac:dyDescent="0.25" ht="20" customHeight="1">
      <c r="M382" s="1"/>
    </row>
    <row r="383" spans="13:13" x14ac:dyDescent="0.25" ht="20" customHeight="1">
      <c r="M383" s="1"/>
    </row>
    <row r="384" spans="13:13" x14ac:dyDescent="0.25" ht="20" customHeight="1">
      <c r="M384" s="1"/>
    </row>
    <row r="385" spans="13:13" x14ac:dyDescent="0.25" ht="20" customHeight="1">
      <c r="M385" s="1"/>
    </row>
    <row r="386" spans="13:13" x14ac:dyDescent="0.25" ht="20" customHeight="1">
      <c r="M386" s="1"/>
    </row>
    <row r="387" spans="13:13" x14ac:dyDescent="0.25" ht="20" customHeight="1">
      <c r="M387" s="1"/>
    </row>
    <row r="388" spans="13:13" x14ac:dyDescent="0.25" ht="20" customHeight="1">
      <c r="M388" s="1"/>
    </row>
    <row r="389" spans="13:13" x14ac:dyDescent="0.25" ht="20" customHeight="1">
      <c r="M389" s="1"/>
    </row>
    <row r="390" spans="13:13" x14ac:dyDescent="0.25" ht="20" customHeight="1">
      <c r="M390" s="1"/>
    </row>
    <row r="391" spans="13:13" x14ac:dyDescent="0.25" ht="20" customHeight="1">
      <c r="M391" s="1"/>
    </row>
    <row r="392" spans="13:13" x14ac:dyDescent="0.25" ht="20" customHeight="1">
      <c r="M392" s="1"/>
    </row>
    <row r="393" spans="13:13" x14ac:dyDescent="0.25" ht="20" customHeight="1">
      <c r="M393" s="1"/>
    </row>
    <row r="394" spans="13:13" x14ac:dyDescent="0.25" ht="20" customHeight="1">
      <c r="M394" s="1"/>
    </row>
    <row r="395" spans="13:13" x14ac:dyDescent="0.25" ht="20" customHeight="1">
      <c r="M395" s="1"/>
    </row>
    <row r="396" spans="13:13" x14ac:dyDescent="0.25" ht="20" customHeight="1">
      <c r="M396" s="1"/>
    </row>
    <row r="397" spans="13:13" x14ac:dyDescent="0.25" ht="20" customHeight="1">
      <c r="M397" s="1"/>
    </row>
    <row r="398" spans="13:13" x14ac:dyDescent="0.25" ht="20" customHeight="1">
      <c r="M398" s="1"/>
    </row>
    <row r="399" spans="13:13" x14ac:dyDescent="0.25" ht="20" customHeight="1">
      <c r="M399" s="1"/>
    </row>
    <row r="400" spans="13:13" x14ac:dyDescent="0.25" ht="20" customHeight="1">
      <c r="M400" s="1"/>
    </row>
    <row r="401" spans="13:13" x14ac:dyDescent="0.25" ht="20" customHeight="1">
      <c r="M401" s="1"/>
    </row>
    <row r="402" spans="13:13" x14ac:dyDescent="0.25" ht="20" customHeight="1">
      <c r="M402" s="1"/>
    </row>
    <row r="403" spans="13:13" x14ac:dyDescent="0.25" ht="20" customHeight="1">
      <c r="M403" s="1"/>
    </row>
    <row r="404" spans="13:13" x14ac:dyDescent="0.25" ht="20" customHeight="1">
      <c r="M404" s="1"/>
    </row>
    <row r="405" spans="13:13" x14ac:dyDescent="0.25" ht="20" customHeight="1">
      <c r="M405" s="1"/>
    </row>
    <row r="406" spans="13:13" x14ac:dyDescent="0.25" ht="20" customHeight="1">
      <c r="M406" s="1"/>
    </row>
    <row r="407" spans="13:13" x14ac:dyDescent="0.25" ht="20" customHeight="1">
      <c r="M407" s="1"/>
    </row>
    <row r="408" spans="13:13" x14ac:dyDescent="0.25" ht="20" customHeight="1">
      <c r="M408" s="1"/>
    </row>
    <row r="409" spans="13:13" x14ac:dyDescent="0.25" ht="20" customHeight="1">
      <c r="M409" s="1"/>
    </row>
    <row r="410" spans="13:13" x14ac:dyDescent="0.25" ht="20" customHeight="1">
      <c r="M410" s="1"/>
    </row>
    <row r="411" spans="13:13" x14ac:dyDescent="0.25" ht="20" customHeight="1">
      <c r="M411" s="1"/>
    </row>
    <row r="412" spans="13:13" x14ac:dyDescent="0.25" ht="20" customHeight="1">
      <c r="M412" s="1"/>
    </row>
    <row r="413" spans="13:13" x14ac:dyDescent="0.25" ht="20" customHeight="1">
      <c r="M413" s="1"/>
    </row>
    <row r="414" spans="13:13" x14ac:dyDescent="0.25" ht="20" customHeight="1">
      <c r="M414" s="1"/>
    </row>
    <row r="415" spans="13:13" x14ac:dyDescent="0.25" ht="20" customHeight="1">
      <c r="M415" s="1"/>
    </row>
    <row r="416" spans="13:13" x14ac:dyDescent="0.25" ht="20" customHeight="1">
      <c r="M416" s="1"/>
    </row>
    <row r="417" spans="13:13" x14ac:dyDescent="0.25" ht="20" customHeight="1">
      <c r="M417" s="1"/>
    </row>
    <row r="418" spans="13:13" x14ac:dyDescent="0.25" ht="20" customHeight="1">
      <c r="M418" s="1"/>
    </row>
    <row r="419" spans="13:13" x14ac:dyDescent="0.25" ht="20" customHeight="1">
      <c r="M419" s="1"/>
    </row>
    <row r="420" spans="13:13" x14ac:dyDescent="0.25" ht="20" customHeight="1">
      <c r="M420" s="1"/>
    </row>
    <row r="421" spans="13:13" x14ac:dyDescent="0.25" ht="20" customHeight="1">
      <c r="M421" s="1"/>
    </row>
    <row r="422" spans="13:13" x14ac:dyDescent="0.25" ht="20" customHeight="1">
      <c r="M422" s="1"/>
    </row>
    <row r="423" spans="13:13" x14ac:dyDescent="0.25" ht="20" customHeight="1">
      <c r="M423" s="1"/>
    </row>
    <row r="424" spans="13:13" x14ac:dyDescent="0.25" ht="20" customHeight="1">
      <c r="M424" s="1"/>
    </row>
    <row r="425" spans="13:13" x14ac:dyDescent="0.25" ht="20" customHeight="1">
      <c r="M425" s="1"/>
    </row>
    <row r="426" spans="13:13" x14ac:dyDescent="0.25" ht="20" customHeight="1">
      <c r="M426" s="1"/>
    </row>
    <row r="427" spans="13:13" x14ac:dyDescent="0.25" ht="20" customHeight="1">
      <c r="M427" s="1"/>
    </row>
    <row r="428" spans="13:13" x14ac:dyDescent="0.25" ht="20" customHeight="1">
      <c r="M428" s="1"/>
    </row>
    <row r="429" spans="13:13" x14ac:dyDescent="0.25" ht="20" customHeight="1">
      <c r="M429" s="1"/>
    </row>
    <row r="430" spans="13:13" x14ac:dyDescent="0.25" ht="20" customHeight="1">
      <c r="M430" s="1"/>
    </row>
    <row r="431" spans="13:13" x14ac:dyDescent="0.25" ht="20" customHeight="1">
      <c r="M431" s="1"/>
    </row>
    <row r="432" spans="13:13" x14ac:dyDescent="0.25" ht="20" customHeight="1">
      <c r="M432" s="1"/>
    </row>
    <row r="433" spans="13:13" x14ac:dyDescent="0.25" ht="20" customHeight="1">
      <c r="M433" s="1"/>
    </row>
    <row r="434" spans="13:13" x14ac:dyDescent="0.25" ht="20" customHeight="1">
      <c r="M434" s="1"/>
    </row>
    <row r="435" spans="13:13" x14ac:dyDescent="0.25" ht="20" customHeight="1">
      <c r="M435" s="1"/>
    </row>
    <row r="436" spans="13:13" x14ac:dyDescent="0.25" ht="20" customHeight="1">
      <c r="M436" s="1"/>
    </row>
    <row r="437" spans="13:13" x14ac:dyDescent="0.25" ht="20" customHeight="1">
      <c r="M437" s="1"/>
    </row>
    <row r="438" spans="13:13" x14ac:dyDescent="0.25" ht="20" customHeight="1">
      <c r="M438" s="1"/>
    </row>
    <row r="439" spans="13:13" x14ac:dyDescent="0.25" ht="20" customHeight="1">
      <c r="M439" s="1"/>
    </row>
    <row r="440" spans="13:13" x14ac:dyDescent="0.25" ht="20" customHeight="1">
      <c r="M440" s="1"/>
    </row>
    <row r="441" spans="13:13" x14ac:dyDescent="0.25" ht="20" customHeight="1">
      <c r="M441" s="1"/>
    </row>
    <row r="442" spans="13:13" x14ac:dyDescent="0.25" ht="20" customHeight="1">
      <c r="M442" s="1"/>
    </row>
    <row r="443" spans="13:13" x14ac:dyDescent="0.25" ht="20" customHeight="1">
      <c r="M443" s="1"/>
    </row>
    <row r="444" spans="13:13" x14ac:dyDescent="0.25" ht="20" customHeight="1">
      <c r="M444" s="1"/>
    </row>
    <row r="445" spans="13:13" x14ac:dyDescent="0.25" ht="20" customHeight="1">
      <c r="M445" s="1"/>
    </row>
    <row r="446" spans="13:13" x14ac:dyDescent="0.25" ht="20" customHeight="1">
      <c r="M446" s="1"/>
    </row>
    <row r="447" spans="13:13" x14ac:dyDescent="0.25" ht="20" customHeight="1">
      <c r="M447" s="1"/>
    </row>
    <row r="448" spans="13:13" x14ac:dyDescent="0.25" ht="20" customHeight="1">
      <c r="M448" s="1"/>
    </row>
    <row r="449" spans="13:13" x14ac:dyDescent="0.25" ht="20" customHeight="1">
      <c r="M449" s="1"/>
    </row>
    <row r="450" spans="13:13" x14ac:dyDescent="0.25" ht="20" customHeight="1">
      <c r="M450" s="1"/>
    </row>
    <row r="451" spans="13:13" x14ac:dyDescent="0.25" ht="20" customHeight="1">
      <c r="M451" s="1"/>
    </row>
    <row r="452" spans="13:13" x14ac:dyDescent="0.25" ht="20" customHeight="1">
      <c r="M452" s="1"/>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C820-F7C6-43FF-A3F3-C9A915D1F37E}">
  <sheetPr>
    <tabColor theme="2" tint="-0.499984740745262"/>
  </sheetPr>
  <dimension ref="A1:BY297"/>
  <sheetViews>
    <sheetView showGridLines="0" zoomScaleNormal="100" workbookViewId="0">
      <selection activeCell="A3" sqref="A3"/>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41" t="s">
        <v>1</v>
      </c>
      <c r="D6" s="36" t="s">
        <v>18</v>
      </c>
      <c r="E6" s="36" t="s">
        <v>19</v>
      </c>
      <c r="F6" s="36" t="s">
        <v>20</v>
      </c>
    </row>
    <row r="7" spans="1:65" ht="20" customHeight="1" x14ac:dyDescent="0.25">
      <c r="A7" s="144"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6" t="s">
        <v>21</v>
      </c>
    </row>
    <row r="21" spans="1:4" ht="20" customHeight="1" x14ac:dyDescent="0.25">
      <c r="A21"/>
      <c r="D21" s="36" t="str" cm="1">
        <f t="array" ref="D21">Common_InputFunctions.Utility_DisplayArrayInTable(Common_SourceData.Common_SourceData_WASA4Areas_Data(), Table_WASA4Areas[[#Headers],[SA 4 Name]], 0)</f>
        <v>Bunbury</v>
      </c>
    </row>
    <row r="22" spans="1:4" ht="20" customHeight="1" x14ac:dyDescent="0.25">
      <c r="A22"/>
      <c r="D22" s="36" t="str" cm="1">
        <f t="array" ref="D22">Common_InputFunctions.Utility_DisplayArrayInTable(Common_SourceData.Common_SourceData_WASA4Areas_Data(), Table_WASA4Areas[[#Headers],[SA 4 Name]], 0)</f>
        <v>Mandurah</v>
      </c>
    </row>
    <row r="23" spans="1:4" ht="20" customHeight="1" x14ac:dyDescent="0.25">
      <c r="A23"/>
      <c r="D23" s="36" t="str" cm="1">
        <f t="array" ref="D23">Common_InputFunctions.Utility_DisplayArrayInTable(Common_SourceData.Common_SourceData_WASA4Areas_Data(), Table_WASA4Areas[[#Headers],[SA 4 Name]], 0)</f>
        <v>Perth - Inner</v>
      </c>
    </row>
    <row r="24" spans="1:4" ht="20" customHeight="1" x14ac:dyDescent="0.25">
      <c r="A24"/>
      <c r="D24" s="36" t="str" cm="1">
        <f t="array" ref="D24">Common_InputFunctions.Utility_DisplayArrayInTable(Common_SourceData.Common_SourceData_WASA4Areas_Data(), Table_WASA4Areas[[#Headers],[SA 4 Name]], 0)</f>
        <v>Perth - North East</v>
      </c>
    </row>
    <row r="25" spans="1:4" ht="20" customHeight="1" x14ac:dyDescent="0.25">
      <c r="A25"/>
      <c r="D25" s="36" t="str" cm="1">
        <f t="array" ref="D25">Common_InputFunctions.Utility_DisplayArrayInTable(Common_SourceData.Common_SourceData_WASA4Areas_Data(), Table_WASA4Areas[[#Headers],[SA 4 Name]], 0)</f>
        <v>Perth - North West</v>
      </c>
    </row>
    <row r="26" spans="1:4" ht="20" customHeight="1" x14ac:dyDescent="0.25">
      <c r="A26"/>
      <c r="D26" s="36" t="str" cm="1">
        <f t="array" ref="D26">Common_InputFunctions.Utility_DisplayArrayInTable(Common_SourceData.Common_SourceData_WASA4Areas_Data(), Table_WASA4Areas[[#Headers],[SA 4 Name]], 0)</f>
        <v>Perth - South East</v>
      </c>
    </row>
    <row r="27" spans="1:4" ht="20" customHeight="1" x14ac:dyDescent="0.25">
      <c r="A27"/>
      <c r="D27" s="36" t="str" cm="1">
        <f t="array" ref="D27">Common_InputFunctions.Utility_DisplayArrayInTable(Common_SourceData.Common_SourceData_WASA4Areas_Data(), Table_WASA4Areas[[#Headers],[SA 4 Name]], 0)</f>
        <v>Perth - South West</v>
      </c>
    </row>
    <row r="28" spans="1:4" ht="20" customHeight="1" x14ac:dyDescent="0.25">
      <c r="A28"/>
      <c r="D28" s="36" t="str" cm="1">
        <f t="array" ref="D28">Common_InputFunctions.Utility_DisplayArrayInTable(Common_SourceData.Common_SourceData_WASA4Areas_Data(), Table_WASA4Areas[[#Headers],[SA 4 Name]], 0)</f>
        <v>Western Australia - Wheat Belt</v>
      </c>
    </row>
    <row r="29" spans="1:4" ht="20" customHeight="1" x14ac:dyDescent="0.25">
      <c r="A29"/>
      <c r="D29" s="36" t="str" cm="1">
        <f t="array" ref="D29">Common_InputFunctions.Utility_DisplayArrayInTable(Common_SourceData.Common_SourceData_WASA4Areas_Data(), Table_WASA4Areas[[#Headers],[SA 4 Name]], 0)</f>
        <v>Western Australia - Outback (North)</v>
      </c>
    </row>
    <row r="30" spans="1:4" ht="20" customHeight="1" x14ac:dyDescent="0.25">
      <c r="A30"/>
      <c r="D30" s="36"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6" t="s">
        <v>24</v>
      </c>
      <c r="E36" s="36" t="s">
        <v>25</v>
      </c>
    </row>
    <row r="37" spans="1:8" ht="20"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6" t="s">
        <v>24</v>
      </c>
      <c r="E47" s="36" t="s">
        <v>27</v>
      </c>
      <c r="F47" s="36" t="s">
        <v>28</v>
      </c>
      <c r="G47" s="36" t="s">
        <v>29</v>
      </c>
      <c r="H47" s="36" t="s">
        <v>30</v>
      </c>
    </row>
    <row r="48" spans="1:8" ht="20"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3" t="str" cm="1">
        <f t="array" ref="D59:D61">"⚠️" &amp; Common_SourceData.Common_SourceData_WetAndDryZones_Variation()</f>
        <v>⚠️VARIATION OF SOURCE DATA:</v>
      </c>
    </row>
    <row r="60" spans="1:8" ht="20" customHeight="1" x14ac:dyDescent="0.25">
      <c r="A60"/>
      <c r="D60" s="53" t="str">
        <v>⚠️Added warm / cool temperate moist / dry - low frost and high temp classes to accommodate climate scenarios excluded by VEERG criteria.</v>
      </c>
    </row>
    <row r="61" spans="1:8" ht="20" customHeight="1" x14ac:dyDescent="0.25">
      <c r="A61"/>
      <c r="D61" s="53" t="str">
        <v>⚠️Fixed typo - Changed 'Fry' to 'Dry'.</v>
      </c>
    </row>
    <row r="62" spans="1:8" ht="20" customHeight="1" x14ac:dyDescent="0.25">
      <c r="A62"/>
    </row>
    <row r="63" spans="1:8" ht="20" customHeight="1" x14ac:dyDescent="0.25">
      <c r="A63"/>
      <c r="D63" s="36" t="s">
        <v>7</v>
      </c>
      <c r="E63" s="36" t="s">
        <v>45</v>
      </c>
    </row>
    <row r="64" spans="1:8" ht="20"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3" t="str" cm="1">
        <f t="array" ref="D83:D87">"⚠️" &amp; Common_SourceData.Common_SourceData_ClimateZones_Variation()</f>
        <v>⚠️VARIATION OF SOURCE DATA:</v>
      </c>
    </row>
    <row r="84" spans="1:20" ht="20" customHeight="1" x14ac:dyDescent="0.25">
      <c r="A84"/>
      <c r="D84" s="53" t="str">
        <v>⚠️Added warm / cool temperate moist / dry - low frost and high temp classes to accommodate climate scenarios excluded by VEERG criteria.</v>
      </c>
    </row>
    <row r="85" spans="1:20" ht="20" customHeight="1" x14ac:dyDescent="0.25">
      <c r="A85"/>
      <c r="D85" s="53" t="str">
        <v>⚠️Fixed typo in MAT value for warm temperate dry - changed 10 to 11.</v>
      </c>
    </row>
    <row r="86" spans="1:20" ht="20" customHeight="1" x14ac:dyDescent="0.25">
      <c r="A86"/>
      <c r="D86" s="53" t="str">
        <v>⚠️Added min and max columns for MAT, MAP, frost days per year, elevation, MAP:PET to calculate zones from real climate data.</v>
      </c>
    </row>
    <row r="87" spans="1:20" ht="20" customHeight="1" x14ac:dyDescent="0.25">
      <c r="A87"/>
      <c r="D87" s="53" t="str">
        <v>⚠️GAF accepts rainfall as a proxy for precipitation.</v>
      </c>
    </row>
    <row r="88" spans="1:20" ht="20" customHeight="1" x14ac:dyDescent="0.25">
      <c r="A88"/>
    </row>
    <row r="89" spans="1:20" ht="20" customHeight="1" x14ac:dyDescent="0.25">
      <c r="A89"/>
      <c r="D89" s="36" t="s">
        <v>7</v>
      </c>
      <c r="E89" s="36" t="s">
        <v>33</v>
      </c>
      <c r="F89" s="36" t="s">
        <v>34</v>
      </c>
      <c r="G89" s="36" t="s">
        <v>35</v>
      </c>
      <c r="H89" s="36" t="s">
        <v>36</v>
      </c>
      <c r="I89" s="36" t="s">
        <v>37</v>
      </c>
      <c r="J89" s="36" t="s">
        <v>38</v>
      </c>
      <c r="K89" s="36" t="s">
        <v>39</v>
      </c>
      <c r="L89" s="36" t="s">
        <v>40</v>
      </c>
      <c r="M89" s="36" t="s">
        <v>41</v>
      </c>
      <c r="N89" s="36" t="s">
        <v>42</v>
      </c>
      <c r="O89" s="36" t="s">
        <v>46</v>
      </c>
      <c r="P89" s="36" t="s">
        <v>43</v>
      </c>
      <c r="Q89" s="36" t="s">
        <v>47</v>
      </c>
      <c r="R89" s="36" t="s">
        <v>44</v>
      </c>
      <c r="S89" s="36" t="s">
        <v>48</v>
      </c>
      <c r="T89" s="36"/>
    </row>
    <row r="90" spans="1:20" ht="20"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 customHeight="1" x14ac:dyDescent="0.25">
      <c r="A98"/>
    </row>
    <row r="99" spans="1:20" ht="20" customHeight="1" x14ac:dyDescent="0.25">
      <c r="A99"/>
      <c r="D99" s="52" t="str" cm="1">
        <f t="array" ref="D99:D102">Common_SourceData.Common_SourceData_ClimateZones_Appendices()</f>
        <v>Note:</v>
      </c>
    </row>
    <row r="100" spans="1:20" ht="20" customHeight="1" x14ac:dyDescent="0.25">
      <c r="A100"/>
      <c r="D100" s="52" t="str">
        <v>MAT = mean annual temperature</v>
      </c>
    </row>
    <row r="101" spans="1:20" ht="20" customHeight="1" x14ac:dyDescent="0.25">
      <c r="A101"/>
      <c r="D101" s="52" t="str">
        <v>MAP = mean annual precipitation</v>
      </c>
    </row>
    <row r="102" spans="1:20" ht="20" customHeight="1" x14ac:dyDescent="0.25">
      <c r="A102"/>
      <c r="D102" s="52" t="str">
        <v>PET = potential evapotranspiration</v>
      </c>
    </row>
    <row r="103" spans="1:20" ht="20" customHeight="1" x14ac:dyDescent="0.25">
      <c r="A103"/>
      <c r="D103" s="52"/>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6" t="s">
        <v>52</v>
      </c>
      <c r="E109" s="36" t="s">
        <v>33</v>
      </c>
      <c r="F109" s="36" t="s">
        <v>53</v>
      </c>
      <c r="G109" s="36" t="s">
        <v>54</v>
      </c>
    </row>
    <row r="110" spans="1:20" ht="20"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6" t="s">
        <v>55</v>
      </c>
      <c r="E119" s="36" t="s">
        <v>56</v>
      </c>
      <c r="F119" s="36" t="s">
        <v>40</v>
      </c>
      <c r="G119" s="36" t="s">
        <v>41</v>
      </c>
      <c r="BN119" s="7"/>
    </row>
    <row r="120" spans="1:66" ht="20"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6" t="s">
        <v>62</v>
      </c>
      <c r="E127" s="36" t="s">
        <v>63</v>
      </c>
    </row>
    <row r="128" spans="1:66" ht="20"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1"/>
    </row>
    <row r="133" spans="1:77" ht="20" customHeight="1" x14ac:dyDescent="0.25">
      <c r="A133"/>
      <c r="D133" s="5" t="str" cm="1">
        <f t="array" ref="D133">Common_SourceData.Common_SourceData_FracWET_Source()</f>
        <v>VEERG 2026:5.5.2.3 Constant Parameters</v>
      </c>
      <c r="E133" s="21"/>
    </row>
    <row r="134" spans="1:77" ht="20" customHeight="1" x14ac:dyDescent="0.25">
      <c r="A134"/>
      <c r="D134" t="s">
        <v>86</v>
      </c>
      <c r="E134" t="s">
        <v>87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6" t="s">
        <v>118</v>
      </c>
      <c r="E142" s="36" t="s">
        <v>87</v>
      </c>
      <c r="BN142" s="7"/>
    </row>
    <row r="143" spans="1:77" ht="20"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6" t="s">
        <v>65</v>
      </c>
      <c r="E153" s="36" t="s">
        <v>66</v>
      </c>
      <c r="BC153" s="3"/>
      <c r="BD153" s="3"/>
      <c r="BE153" s="3"/>
      <c r="BF153" s="3"/>
      <c r="BG153" s="3"/>
      <c r="BH153" s="3"/>
      <c r="BI153" s="3"/>
      <c r="BJ153" s="3"/>
      <c r="BK153" s="3"/>
      <c r="BL153" s="3"/>
      <c r="BM153" s="3"/>
    </row>
    <row r="154" spans="1:66" ht="20"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1"/>
    </row>
    <row r="162" spans="4:68" ht="20" customHeight="1" x14ac:dyDescent="0.25">
      <c r="D162" s="5" t="str" cm="1">
        <f t="array" ref="D162">Common_SourceData.Common_SourceData_FracLEACH_Source()</f>
        <v>VEERG 2026:5.5.2.3 Constant Parameters</v>
      </c>
      <c r="E162" s="21"/>
    </row>
    <row r="163" spans="4:68" ht="20" customHeight="1" x14ac:dyDescent="0.25">
      <c r="D163" s="5"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2" t="str" cm="1">
        <f t="array" ref="D180">Common_SourceData.Common_SourceData_EFN2O_Unit()</f>
        <v>(kg N2O-N / kg N</v>
      </c>
    </row>
    <row r="181" spans="4:68" ht="20" customHeight="1" x14ac:dyDescent="0.25">
      <c r="D181" s="53" t="str" cm="1">
        <f t="array" ref="D181:D185">Common_SourceData.Common_SourceData_EFN2O_Variation()</f>
        <v>VARIATION OF SOURCE DATA:</v>
      </c>
    </row>
    <row r="182" spans="4:68" ht="20" customHeight="1" x14ac:dyDescent="0.25">
      <c r="D182" s="53" t="str">
        <v>Removed duplicate 'Aquaculture' row.</v>
      </c>
    </row>
    <row r="183" spans="4:68" ht="20" customHeight="1" x14ac:dyDescent="0.25">
      <c r="D183" s="53" t="str">
        <v>Removed asterisks to aid lookup.</v>
      </c>
    </row>
    <row r="184" spans="4:68" ht="20" customHeight="1" x14ac:dyDescent="0.25">
      <c r="D184" s="53" t="str">
        <v>Added 'production system only', 'rainfall zone' and 'irrigation method' columns to aid lookup.</v>
      </c>
    </row>
    <row r="185" spans="4:68" ht="20" customHeight="1" x14ac:dyDescent="0.25">
      <c r="D185" s="53" t="str">
        <v>Duplicated 'non-irrigated pasture' row with same EF for low and high rainfall zones to aid lookup.</v>
      </c>
    </row>
    <row r="186" spans="4:68" ht="20" customHeight="1" x14ac:dyDescent="0.25">
      <c r="D186" s="36" t="s">
        <v>98</v>
      </c>
      <c r="E186" s="36" t="s">
        <v>99</v>
      </c>
      <c r="F186" s="36" t="s">
        <v>100</v>
      </c>
      <c r="G186" s="36" t="s">
        <v>101</v>
      </c>
      <c r="H186" s="36" t="s">
        <v>32</v>
      </c>
    </row>
    <row r="187" spans="4:68" ht="20"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ht="20" customHeight="1">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ht="20" customHeight="1">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ht="20" customHeight="1">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3" t="str" cm="1">
        <f t="array" ref="D204">Common_SourceData.Common_SourceData_EFPastureRangeAndPaddock_Variation()</f>
        <v>VARIATION FROM SOURCE DATA: Changed 'Dry climate zones' to singular 'Dry climate zone' to aid lookup.</v>
      </c>
    </row>
    <row r="205" spans="4:8" x14ac:dyDescent="0.25" ht="20" customHeight="1">
      <c r="D205" s="52" t="str" cm="1">
        <f t="array" ref="D205">Common_SourceData.Common_SourceData_EFPastureRangeAndPaddock_Unit()</f>
        <v>kg N2O - N / kg N</v>
      </c>
    </row>
    <row r="206" spans="4:8" x14ac:dyDescent="0.25" ht="20" customHeight="1">
      <c r="D206" s="36" t="s">
        <v>7</v>
      </c>
      <c r="E206" s="36" t="s">
        <v>120</v>
      </c>
    </row>
    <row r="207" spans="4:8" x14ac:dyDescent="0.25" ht="20" customHeight="1">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6" t="s">
        <v>112</v>
      </c>
      <c r="E212" s="36" t="s">
        <v>125</v>
      </c>
    </row>
    <row r="213" spans="4:5" x14ac:dyDescent="0.25" ht="20" customHeight="1">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6" t="s">
        <v>49</v>
      </c>
      <c r="E231" s="36" t="s">
        <v>337</v>
      </c>
      <c r="F231" s="35" t="s">
        <v>338</v>
      </c>
      <c r="G231" s="36" t="s">
        <v>339</v>
      </c>
      <c r="H231" s="36" t="s">
        <v>340</v>
      </c>
      <c r="I231" s="36" t="s">
        <v>341</v>
      </c>
      <c r="J231" s="36" t="s">
        <v>342</v>
      </c>
      <c r="K231" s="36" t="s">
        <v>343</v>
      </c>
      <c r="L231" s="36" t="s">
        <v>344</v>
      </c>
      <c r="M231" s="36" t="s">
        <v>345</v>
      </c>
      <c r="N231" s="36" t="s">
        <v>346</v>
      </c>
      <c r="O231" s="36" t="s">
        <v>347</v>
      </c>
      <c r="P231" s="36" t="s">
        <v>348</v>
      </c>
      <c r="Q231" s="36" t="s">
        <v>349</v>
      </c>
      <c r="R231" s="36" t="s">
        <v>350</v>
      </c>
      <c r="S231" s="36" t="s">
        <v>351</v>
      </c>
    </row>
    <row r="232" spans="4:19" x14ac:dyDescent="0.25" ht="20" customHeight="1">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2" t="str" cm="1">
        <f t="array" ref="D256">Common_SourceData.Common_SourceData_EFOrganicFertiliserAndCropResidues_Unit()</f>
        <v>kg N2O - N / kg N</v>
      </c>
    </row>
    <row r="257" spans="4:6" x14ac:dyDescent="0.25" ht="20" customHeight="1">
      <c r="D257" s="36" t="s">
        <v>355</v>
      </c>
      <c r="E257" s="36" t="s">
        <v>356</v>
      </c>
    </row>
    <row r="258" spans="4:6" x14ac:dyDescent="0.25" ht="20" customHeight="1">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362</v>
      </c>
    </row>
    <row r="264" spans="4:6" x14ac:dyDescent="0.25" ht="20" customHeight="1">
      <c r="D264" s="1" t="s">
        <v>363</v>
      </c>
    </row>
    <row r="265" spans="4:6" x14ac:dyDescent="0.25" ht="20" customHeight="1">
      <c r="D265" s="36" t="s">
        <v>364</v>
      </c>
      <c r="E265" s="36" t="s">
        <v>365</v>
      </c>
      <c r="F265" s="36" t="s">
        <v>366</v>
      </c>
    </row>
    <row r="266" spans="4:6" x14ac:dyDescent="0.25" ht="20" customHeight="1">
      <c r="D266" s="36" t="s">
        <v>367</v>
      </c>
      <c r="E266" s="36" t="s">
        <v>368</v>
      </c>
      <c r="F266" s="36">
        <v>5</v>
      </c>
    </row>
    <row r="267" spans="4:6" x14ac:dyDescent="0.25" ht="20" customHeight="1">
      <c r="D267" s="36" t="s">
        <v>369</v>
      </c>
      <c r="E267" s="36" t="s">
        <v>370</v>
      </c>
      <c r="F267" s="36">
        <v>4</v>
      </c>
    </row>
    <row r="268" spans="4:6" x14ac:dyDescent="0.25" ht="20" customHeight="1">
      <c r="D268" s="36" t="s">
        <v>371</v>
      </c>
      <c r="E268" s="36" t="s">
        <v>372</v>
      </c>
      <c r="F268" s="36">
        <v>3</v>
      </c>
    </row>
    <row r="269" spans="4:6" x14ac:dyDescent="0.25" ht="20" customHeight="1">
      <c r="D269" s="36" t="s">
        <v>373</v>
      </c>
      <c r="E269" s="36" t="s">
        <v>374</v>
      </c>
      <c r="F269" s="36">
        <v>2</v>
      </c>
    </row>
    <row r="270" spans="4:6" x14ac:dyDescent="0.25" ht="20" customHeight="1">
      <c r="D270" s="36" t="s">
        <v>375</v>
      </c>
      <c r="E270" s="36" t="s">
        <v>376</v>
      </c>
      <c r="F270" s="36">
        <v>1</v>
      </c>
    </row>
    <row r="273" spans="4:6" x14ac:dyDescent="0.25" ht="20" customHeight="1">
      <c r="D273" s="1" t="s">
        <v>377</v>
      </c>
    </row>
    <row r="274" spans="4:6" x14ac:dyDescent="0.25" ht="20" customHeight="1">
      <c r="D274" s="36" t="s">
        <v>364</v>
      </c>
      <c r="E274" s="36" t="s">
        <v>365</v>
      </c>
      <c r="F274" s="36" t="s">
        <v>366</v>
      </c>
    </row>
    <row r="275" spans="4:6" x14ac:dyDescent="0.25" ht="20" customHeight="1">
      <c r="D275" s="36" t="s">
        <v>378</v>
      </c>
      <c r="E275" s="36" t="s">
        <v>379</v>
      </c>
      <c r="F275" s="36">
        <v>5</v>
      </c>
    </row>
    <row r="276" spans="4:6" x14ac:dyDescent="0.25" ht="20" customHeight="1">
      <c r="D276" s="36" t="s">
        <v>380</v>
      </c>
      <c r="E276" s="36" t="s">
        <v>381</v>
      </c>
      <c r="F276" s="36">
        <v>4</v>
      </c>
    </row>
    <row r="277" spans="4:6" x14ac:dyDescent="0.25" ht="20" customHeight="1">
      <c r="D277" s="36" t="s">
        <v>382</v>
      </c>
      <c r="E277" s="36" t="s">
        <v>383</v>
      </c>
      <c r="F277" s="36">
        <v>3</v>
      </c>
    </row>
    <row r="278" spans="4:6" x14ac:dyDescent="0.25" ht="20" customHeight="1">
      <c r="D278" s="36" t="s">
        <v>384</v>
      </c>
      <c r="E278" s="36" t="s">
        <v>385</v>
      </c>
      <c r="F278" s="36">
        <v>2</v>
      </c>
    </row>
    <row r="279" spans="4:6" x14ac:dyDescent="0.25" ht="20" customHeight="1">
      <c r="D279" s="36" t="s">
        <v>386</v>
      </c>
      <c r="E279" s="36" t="s">
        <v>387</v>
      </c>
      <c r="F279" s="36">
        <v>1</v>
      </c>
    </row>
    <row r="282" spans="4:6" x14ac:dyDescent="0.25" ht="20" customHeight="1">
      <c r="D282" s="1" t="s">
        <v>388</v>
      </c>
    </row>
    <row r="283" spans="4:6" x14ac:dyDescent="0.25" ht="20" customHeight="1">
      <c r="D283" s="36" t="s">
        <v>364</v>
      </c>
      <c r="E283" s="36" t="s">
        <v>365</v>
      </c>
      <c r="F283" s="36" t="s">
        <v>366</v>
      </c>
    </row>
    <row r="284" spans="4:6" x14ac:dyDescent="0.25" ht="20" customHeight="1">
      <c r="D284" s="36" t="s">
        <v>389</v>
      </c>
      <c r="E284" s="36" t="s">
        <v>390</v>
      </c>
      <c r="F284" s="36">
        <v>5</v>
      </c>
    </row>
    <row r="285" spans="4:6" x14ac:dyDescent="0.25" ht="20" customHeight="1">
      <c r="D285" s="36" t="s">
        <v>391</v>
      </c>
      <c r="E285" s="36" t="s">
        <v>392</v>
      </c>
      <c r="F285" s="36">
        <v>4</v>
      </c>
    </row>
    <row r="286" spans="4:6" x14ac:dyDescent="0.25" ht="20" customHeight="1">
      <c r="D286" s="36" t="s">
        <v>393</v>
      </c>
      <c r="E286" s="36" t="s">
        <v>394</v>
      </c>
      <c r="F286" s="36">
        <v>3</v>
      </c>
    </row>
    <row r="287" spans="4:6" x14ac:dyDescent="0.25" ht="20" customHeight="1">
      <c r="D287" s="36" t="s">
        <v>395</v>
      </c>
      <c r="E287" s="36" t="s">
        <v>396</v>
      </c>
      <c r="F287" s="36">
        <v>2</v>
      </c>
    </row>
    <row r="288" spans="4:6" x14ac:dyDescent="0.25" ht="20" customHeight="1">
      <c r="D288" s="36" t="s">
        <v>397</v>
      </c>
      <c r="E288" s="36" t="s">
        <v>398</v>
      </c>
      <c r="F288" s="36">
        <v>1</v>
      </c>
    </row>
    <row r="291" spans="4:6" x14ac:dyDescent="0.25" ht="20" customHeight="1">
      <c r="D291" s="1" t="s">
        <v>399</v>
      </c>
    </row>
    <row r="292" spans="4:6" x14ac:dyDescent="0.25" ht="20" customHeight="1">
      <c r="D292" s="36" t="s">
        <v>364</v>
      </c>
      <c r="E292" s="36" t="s">
        <v>365</v>
      </c>
      <c r="F292" s="36" t="s">
        <v>366</v>
      </c>
    </row>
    <row r="293" spans="4:6" x14ac:dyDescent="0.25" ht="20" customHeight="1">
      <c r="D293" s="36" t="s">
        <v>400</v>
      </c>
      <c r="E293" s="36" t="s">
        <v>401</v>
      </c>
      <c r="F293" s="36">
        <v>5</v>
      </c>
    </row>
    <row r="294" spans="4:6" x14ac:dyDescent="0.25" ht="20" customHeight="1">
      <c r="D294" s="36" t="s">
        <v>402</v>
      </c>
      <c r="E294" s="36" t="s">
        <v>403</v>
      </c>
      <c r="F294" s="36">
        <v>4</v>
      </c>
    </row>
    <row r="295" spans="4:6" x14ac:dyDescent="0.25" ht="20" customHeight="1">
      <c r="D295" s="36" t="s">
        <v>404</v>
      </c>
      <c r="E295" s="36" t="s">
        <v>405</v>
      </c>
      <c r="F295" s="36">
        <v>3</v>
      </c>
    </row>
    <row r="296" spans="4:6" x14ac:dyDescent="0.25" ht="20" customHeight="1">
      <c r="D296" s="36" t="s">
        <v>406</v>
      </c>
      <c r="E296" s="36" t="s">
        <v>407</v>
      </c>
      <c r="F296" s="36">
        <v>2</v>
      </c>
    </row>
    <row r="297" spans="4:6" x14ac:dyDescent="0.25" ht="20" customHeight="1">
      <c r="D297" s="36" t="s">
        <v>408</v>
      </c>
      <c r="E297" s="36" t="s">
        <v>409</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zoomScaleNormal="100" workbookViewId="0">
      <selection activeCell="A10" sqref="A10"/>
    </sheetView>
  </sheetViews>
  <sheetFormatPr defaultRowHeight="20" x14ac:dyDescent="0.25" customHeight="1"/>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421</v>
      </c>
      <c r="D1" s="8"/>
      <c r="E1" s="8"/>
      <c r="F1" s="8"/>
      <c r="G1" s="8"/>
      <c r="H1" s="8"/>
      <c r="I1" s="8"/>
      <c r="J1" s="8"/>
      <c r="K1" s="8"/>
      <c r="L1" s="8"/>
      <c r="M1" s="8"/>
    </row>
    <row r="2" spans="1:13" ht="20" customHeight="1" x14ac:dyDescent="0.25">
      <c r="C2" s="9"/>
      <c r="D2" s="9"/>
      <c r="E2" s="9"/>
      <c r="F2" s="9"/>
      <c r="G2" s="9"/>
      <c r="H2" s="9"/>
      <c r="I2" s="9"/>
      <c r="J2" s="9"/>
      <c r="K2" s="9"/>
      <c r="L2" s="9"/>
      <c r="M2" s="9"/>
    </row>
    <row r="3" spans="1:13" ht="20" customHeight="1" x14ac:dyDescent="0.25">
      <c r="A3" s="17" t="str">
        <f>HYPERLINK("#'Home'!A1", "Home")</f>
        <v>Home</v>
      </c>
      <c r="C3" s="4"/>
      <c r="D3" s="4"/>
      <c r="E3" s="4"/>
      <c r="F3" s="4"/>
      <c r="G3" s="4"/>
      <c r="H3" s="4"/>
      <c r="I3" s="4"/>
      <c r="J3" s="4"/>
      <c r="K3" s="4"/>
      <c r="L3" s="4"/>
      <c r="M3" s="4"/>
    </row>
    <row r="4" spans="1:13" ht="20" customHeight="1" x14ac:dyDescent="0.25">
      <c r="A4" s="17" t="str">
        <f>HYPERLINK("#'Overview'!A1", "Overview")</f>
        <v>Overview</v>
      </c>
    </row>
    <row r="5" spans="1:13" ht="20" customHeight="1" x14ac:dyDescent="0.25">
      <c r="A5" s="17" t="str">
        <f>HYPERLINK("#'Results'!A1", "Results")</f>
        <v>Results</v>
      </c>
    </row>
    <row r="6" spans="1:13" ht="20" customHeight="1" x14ac:dyDescent="0.25">
      <c r="D6" s="6" t="str" cm="1">
        <f t="array" ref="D6">CommonLivestock_SourceData.SourceData_Livestock_Common_SymbolsMMS_Title()</f>
        <v>Table 5.12 Additional symbols used in algorithms for manure related emissions</v>
      </c>
      <c r="E6" s="3"/>
      <c r="F6" s="3"/>
      <c r="G6" s="3"/>
      <c r="H6" s="3"/>
    </row>
    <row r="7" spans="1:13" ht="20" customHeight="1" x14ac:dyDescent="0.25">
      <c r="D7" s="3" t="str" cm="1">
        <f t="array" ref="D7">CommonLivestock_SourceData.SourceData_Livestock_Common_SymbolsMMS_Vairable()</f>
        <v>MMS</v>
      </c>
      <c r="E7" s="3"/>
      <c r="F7" s="3"/>
      <c r="G7" s="3"/>
      <c r="H7" s="3"/>
    </row>
    <row r="8" spans="1:13" ht="20" customHeight="1" x14ac:dyDescent="0.25">
      <c r="A8" s="19" t="s">
        <v>0</v>
      </c>
      <c r="D8" s="5" t="str" cm="1">
        <f t="array" ref="D8">CommonLivestock_SourceData.SourceData_Livestock_Common_SymbolsMMS_Source()</f>
        <v>National Inventory Report 2023 Volume 1: Table 5.12</v>
      </c>
      <c r="E8" s="3"/>
      <c r="F8" s="3"/>
      <c r="G8" s="3"/>
      <c r="H8" s="3"/>
    </row>
    <row r="9" spans="1:13" ht="20" customHeight="1" x14ac:dyDescent="0.25">
      <c r="A9" s="17" t="str">
        <f>HYPERLINK("#'Input - Site'!A1", "Site")</f>
        <v>Site</v>
      </c>
      <c r="D9" s="35" t="s">
        <v>73</v>
      </c>
      <c r="E9" s="36" t="s">
        <v>17</v>
      </c>
      <c r="F9" s="36" t="s">
        <v>74</v>
      </c>
      <c r="G9" s="3"/>
    </row>
    <row r="10" spans="1:13" ht="20" customHeight="1" x14ac:dyDescent="0.25">
      <c r="A10" s="17" t="str">
        <f>HYPERLINK("#'Input - Swine'!A1", "Swine")</f>
        <v>Swine</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 customHeight="1" x14ac:dyDescent="0.25">
      <c r="A13" s="18" t="s">
        <v>71</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 customHeight="1" x14ac:dyDescent="0.25">
      <c r="A14" s="17" t="str">
        <f>HYPERLINK("#'4.5.1.1-2 Methane'!A1", "4.5.1.1-2 Methane")</f>
        <v>4.5.1.1-2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 customHeight="1" x14ac:dyDescent="0.25">
      <c r="A15" s="17" t="str">
        <f>HYPERLINK("#'4.5.1.3-4 Direct N2O'!A1", "4.5.1.3-4 Direct N2O")</f>
        <v>4.5.1.3-4 Direct N2O</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 customHeight="1" x14ac:dyDescent="0.25">
      <c r="A16" s="17" t="str">
        <f>HYPERLINK("#'4.5.1.5-6 Atmos Dep'!A1", "4.5.1.5-6 Atmos Dep")</f>
        <v>4.5.1.5-6 Atmos Dep</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 customHeight="1" x14ac:dyDescent="0.25">
      <c r="A17" s="17" t="str">
        <f>HYPERLINK("#'4.5.1.7-8 Leaching and runoff'!A1", "4.5.1.7-8 Leaching and runoff")</f>
        <v>4.5.1.7-8 Leaching and runoff</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 customHeight="1" x14ac:dyDescent="0.25">
      <c r="A18" s="17" t="str">
        <f>HYPERLINK("#'4.5.1.9 Manure applied to soils'!A1", "4.5.1.9 Manure applied to soils")</f>
        <v>4.5.1.9 Manure applied to soils</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 customHeight="1" x14ac:dyDescent="0.25">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 customHeight="1" x14ac:dyDescent="0.25">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 customHeight="1" x14ac:dyDescent="0.25">
      <c r="A21" s="141" t="s">
        <v>1</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 customHeight="1" x14ac:dyDescent="0.25">
      <c r="A22" s="17" t="str">
        <f>HYPERLINK("#'Constants - Swine'!A1", "Constants - Swine")</f>
        <v>Constants - Swine</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 customHeight="1" x14ac:dyDescent="0.25">
      <c r="A23" s="17" t="str">
        <f>HYPERLINK("#'Constants - Common'!A1", "Constants - Common")</f>
        <v>Constants - Common</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 customHeight="1" x14ac:dyDescent="0.25">
      <c r="A24" s="144" t="str">
        <f>HYPERLINK("#'Constants - Common livestock'!A1", "Constants - Common livestock")</f>
        <v>Constants - Common livestock</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 customHeight="1" x14ac:dyDescent="0.25">
      <c r="A25" s="17" t="str">
        <f>HYPERLINK("#'Acknowledgements'!A1", "Acknowledgements")</f>
        <v>Acknowledgements</v>
      </c>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 customHeight="1" x14ac:dyDescent="0.25">
      <c r="A26" s="17" t="str">
        <f>HYPERLINK("#'Tab template'!A1", "Tab template")</f>
        <v>Tab template</v>
      </c>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 customHeight="1" x14ac:dyDescent="0.25">
      <c r="G28" s="3"/>
      <c r="H28" s="3"/>
    </row>
    <row r="29" spans="1:8" ht="20" customHeight="1" x14ac:dyDescent="0.25"/>
    <row r="30" spans="1:8" ht="20" customHeight="1" x14ac:dyDescent="0.25"/>
    <row r="31" spans="1:8" ht="20" customHeight="1" x14ac:dyDescent="0.25"/>
    <row r="32" spans="1:8"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8"/>
  <sheetViews>
    <sheetView zoomScaleNormal="100" workbookViewId="0">
      <selection activeCell="A3" sqref="A3"/>
    </sheetView>
  </sheetViews>
  <sheetFormatPr defaultRowHeight="20" x14ac:dyDescent="0.25" customHeight="1"/>
  <sheetData>
    <row r="1" spans="1:1" x14ac:dyDescent="0.25" ht="30" customHeight="1">
      <c r="A1" t="s">
        <v>410</v>
      </c>
    </row>
    <row r="3" spans="1:1" ht="20" x14ac:dyDescent="0.25" customHeight="1">
      <c r="A3" s="17" t="str">
        <f>HYPERLINK("#'Home'!A1", "Home")</f>
        <v>Home</v>
      </c>
    </row>
    <row r="6" spans="1:1" x14ac:dyDescent="0.25" ht="20" customHeight="1">
      <c r="A6" s="141" t="s">
        <v>1</v>
      </c>
    </row>
    <row r="7" spans="1:1" ht="20" x14ac:dyDescent="0.25" customHeight="1">
      <c r="A7" s="17" t="str">
        <f>HYPERLINK("#'Constants - Common'!A1", "Constants - Common")</f>
        <v>Constants - Common</v>
      </c>
    </row>
    <row r="8" spans="1:1" ht="20" x14ac:dyDescent="0.25" customHeight="1">
      <c r="A8" s="144" t="str">
        <f>HYPERLINK("#'Acknowledgements'!A1", "Acknowledgements")</f>
        <v>Acknowledgements</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4" t="e" vm="1">
        <v>#VALUE!</v>
      </c>
    </row>
    <row r="2" spans="1:21" s="9" customFormat="1" ht="20" customHeight="1" x14ac:dyDescent="0.25">
      <c r="A2"/>
    </row>
    <row r="3" spans="1:21" ht="20" customHeight="1" x14ac:dyDescent="0.25">
      <c r="A3" s="17" t="str">
        <f>HYPERLINK("#'Home'!A1", "Home")</f>
        <v>Home</v>
      </c>
      <c r="C3" s="4"/>
      <c r="D3" s="4"/>
      <c r="E3" s="4"/>
      <c r="F3" s="4"/>
      <c r="G3" s="4"/>
      <c r="H3" s="4"/>
      <c r="I3" s="4"/>
      <c r="J3" s="4"/>
      <c r="K3" s="4"/>
      <c r="L3" s="4"/>
      <c r="N3" s="4"/>
      <c r="O3" s="4"/>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row>
    <row r="6" spans="1:21" ht="20" customHeight="1" x14ac:dyDescent="0.25"/>
    <row r="7" spans="1:21" ht="20" customHeight="1" x14ac:dyDescent="0.25"/>
    <row r="8" spans="1:21" ht="20" customHeight="1" x14ac:dyDescent="0.25">
      <c r="A8" s="19" t="s">
        <v>0</v>
      </c>
    </row>
    <row r="9" spans="1:21" ht="20" customHeight="1" x14ac:dyDescent="0.25">
      <c r="A9" s="17" t="str">
        <f>HYPERLINK("#'Input - Site'!A1", "Site")</f>
        <v>Site</v>
      </c>
    </row>
    <row r="10" spans="1:21" ht="20" customHeight="1" x14ac:dyDescent="0.25">
      <c r="A10" s="17" t="str">
        <f>HYPERLINK("#'Input - Swine'!A1", "Swine")</f>
        <v>Swine</v>
      </c>
    </row>
    <row r="11" spans="1:21" ht="20" customHeight="1" x14ac:dyDescent="0.25"/>
    <row r="12" spans="1:21" ht="20" customHeight="1" x14ac:dyDescent="0.25"/>
    <row r="13" spans="1:21" ht="20" customHeight="1" x14ac:dyDescent="0.25">
      <c r="A13" s="18" t="s">
        <v>71</v>
      </c>
    </row>
    <row r="14" spans="1:21" ht="20" customHeight="1" x14ac:dyDescent="0.25">
      <c r="A14" s="17" t="str">
        <f>HYPERLINK("#'4.5.1.1-2 Methane'!A1", "4.5.1.1-2 Methane")</f>
        <v>4.5.1.1-2 Methane</v>
      </c>
    </row>
    <row r="15" spans="1:21" ht="20" customHeight="1" x14ac:dyDescent="0.25">
      <c r="A15" s="17" t="str">
        <f>HYPERLINK("#'4.5.1.3-4 Direct N2O'!A1", "4.5.1.3-4 Direct N2O")</f>
        <v>4.5.1.3-4 Direct N2O</v>
      </c>
    </row>
    <row r="16" spans="1:21" ht="20" customHeight="1" x14ac:dyDescent="0.25">
      <c r="A16" s="17" t="str">
        <f>HYPERLINK("#'4.5.1.5-6 Atmos Dep'!A1", "4.5.1.5-6 Atmos Dep")</f>
        <v>4.5.1.5-6 Atmos Dep</v>
      </c>
    </row>
    <row r="17" spans="1:1" ht="20" customHeight="1" x14ac:dyDescent="0.25">
      <c r="A17" s="17" t="str">
        <f>HYPERLINK("#'4.5.1.7-8 Leaching and runoff'!A1", "4.5.1.7-8 Leaching and runoff")</f>
        <v>4.5.1.7-8 Leaching and runoff</v>
      </c>
    </row>
    <row r="18" spans="1:1" ht="20" customHeight="1" x14ac:dyDescent="0.25">
      <c r="A18" s="17" t="str">
        <f>HYPERLINK("#'4.5.1.9 Manure applied to soils'!A1", "4.5.1.9 Manure applied to soils")</f>
        <v>4.5.1.9 Manure applied to soils</v>
      </c>
    </row>
    <row r="19" spans="1:1" ht="20" customHeight="1" x14ac:dyDescent="0.25"/>
    <row r="20" spans="1:1" ht="20" customHeight="1" x14ac:dyDescent="0.25"/>
    <row r="21" spans="1:1" ht="20" customHeight="1" x14ac:dyDescent="0.25">
      <c r="A21" s="141" t="s">
        <v>1</v>
      </c>
    </row>
    <row r="22" spans="1:1" ht="20" customHeight="1" x14ac:dyDescent="0.25">
      <c r="A22" s="17" t="str">
        <f>HYPERLINK("#'Constants - Swine'!A1", "Constants - Swine")</f>
        <v>Constants - Swine</v>
      </c>
    </row>
    <row r="23" spans="1:1" ht="20" customHeight="1" x14ac:dyDescent="0.25">
      <c r="A23" s="17" t="str">
        <f>HYPERLINK("#'Constants - Common'!A1", "Constants - Common")</f>
        <v>Constants - Common</v>
      </c>
    </row>
    <row r="24" spans="1:1" ht="20" customHeight="1" x14ac:dyDescent="0.25">
      <c r="A24" s="17" t="str">
        <f>HYPERLINK("#'Constants - Common livestock'!A1", "Constants - Common livestock")</f>
        <v>Constants - Common livestock</v>
      </c>
    </row>
    <row r="25" spans="1:1" ht="20" customHeight="1" x14ac:dyDescent="0.25">
      <c r="A25" s="17" t="str">
        <f>HYPERLINK("#'Acknowledgements'!A1", "Acknowledgements")</f>
        <v>Acknowledgements</v>
      </c>
    </row>
    <row r="26" spans="1:1" ht="20" customHeight="1" x14ac:dyDescent="0.25">
      <c r="A26" s="144" t="str">
        <f>HYPERLINK("#'Tab template'!A1", "Tab template")</f>
        <v>Tab template</v>
      </c>
    </row>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C4AIABBAGQAZABlAGQAIAAnAEMAbABhAHMAcwAgAG4AYQBtAGUAJwAgAGMAbwBsAHUAbQBuACAAdABvACAAYQBpAGQAIABsAG8AbwBrAHUAcAAuAFwAIgApADsAXABuAFwAbgBTAG8AdQByAGMAZQBEAGEAdABhAF8AUwB3AGkAbgBlAF8ATgBpAHQAcgBvAGcAZQBuAEkAbgBXAGEAcwB0AGUAXwBEAGEAdABhAFwAbgAgACAAPQBMAEEATQBCAEQAQQAoAFwAbgAgACAAIAAgAE0AQQBLAEUAQQBSAFIAQQBZACgANQAsACAANAAsACAAXABuACAAIAAgACAAIAAgAEwAQQBNAEIARABBACgAcgAsAGMALAAgAFwAbgAgACAAIAAgACAAIAAgACAASQBOAEQARQBYACgAewBcAG4AIAAgACAAIAAgACAAIAAgACAAIABcACIAQwBsAGEAcwBzAFwAIgAsACAAXAAiAE4AVwBqAFwAIgAsACAAXAAiAE4AVwBqACAAZABhAGkAbAB5AFwAIgAsACAAXAAiAEMAbABhAHMAcwAgAG4AYQBtAGUAXAAiADsAXABuACAAIAAgACAAIAAgACAAIAAgACAAXAAiAEIAbwBhAHIAcwBcACIALAAgADAALgAwADQANgAsACAAMAAuADAANAA2ACwAIABcACIAQgBvAGEAcgBzAFwAIgA7AFwAbgAgACAAIAAgACAAIAAgACAAIAAgAFwAIgBTAG8AdwBzAFwAIgAsADAALgAwADQAOQAsACAAMAAuADAANAA5ACwAIABcACIAUwBvAHcAcwBcACIAOwBcAG4AIAAgACAAIAAgACAAIAAgACAAIABcACIARwBpAGwAdABzAFwAIgAsACAAMAAuADAANAA2ACwAIAAwAC4AMAA0ADYALAAgAFwAIgBHAGkAbAB0AHMAXAAiADsAXABuACAAIAAgACAAIAAgACAAIAAgACAAXAAiAE8AdABoAGUAcgBzACAAKABrAGcALwBoAGUAYQBkAC8AeQBlAGEAcgApAFwAIgAsACAAMQAxAC4ANAAsACAAMAAuADAAMwAxADIALAAgAFwAIgBPAHQAaABlAHI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XABuAC8AKgAgAFwAbgAtAC0ALQAtAC0ALQAtAC0ALQAtAC0ALQAtAC0ALQAtAC0ALQAtAC0ALQAtAC0ALQAtAC0ALQAtAC0ALQAtAC0ALQAtAC0ALQAtAC0AXABuAFMAbwB1AHIAYwBlAEQAYQB0AGEAXwBTAHcAaQBuAGUAXwBNAGUAZwBhAGoAbwB1AGwAZQBzAFAAZQByAEsAaQBsAG8AZwByAGEAbQBNAGUAdABoAGEAbgBlAFwAbgBGAFwAbgBNAEoALwBrAGcAIABDAEgANABcAG4AXABuAC0ALQAtAC0ALQAtAC0ALQAtAC0ALQAtAC0ALQAtAC0ALQAtAC0ALQAtAC0ALQAtAC0ALQAtAC0ALQAtAC0ALQAtAC0ALQAtAC0ALQBcAG4AKgAvAFwAbgBcAG4AUwBvAHUAcgBjAGUARABhAHQAYQBfAFMAdwBpAG4AZQBfAE0AZQBnAGEAagBvAHUAbABlAHMAUABlAHIASwBpAGwAbwBnAHIAYQBtAE0AZQB0AGgAYQBuAGUAXwBUAGkAdABsAGUAXABuACAAIAA9AEwAQQBNAEIARABBACgAXAAiAE0AZQBnAGEAagBvAHUAbABlAHMAIABwAGUAcgAgAGsAaQBsAG8AZwByAGEAbQAgAG8AZgAgAG0AZQB0AGgAYQBuAGUAXAAiACkAOwBcAG4AXABuAFMAbwB1AHIAYwBlAEQAYQB0AGEAXwBTAHcAaQBuAGUAXwBNAGUAZwBhAGoAbwB1AGwAZQBzAFAAZQByAEsAaQBsAG8AZwByAGEAbQBNAGUAdABoAGEAbgBlAF8AVgBhAHIAaQBhAGIAbABlAFwAbgAgACAAPQBMAEEATQBCAEQAQQAoAFwAIgBGAFwAIgApADsAXABuAFwAbgBTAG8AdQByAGMAZQBEAGEAdABhAF8AUwB3AGkAbgBlAF8ATQBlAGcAYQBqAG8AdQBsAGUAcwBQAGUAcgBLAGkAbABvAGcAcgBhAG0ATQBlAHQAaABhAG4AZQBfAFUAbgBpAHQAXABuACAAIAA9AEwAQQBNAEIARABBACgAXAAiAE0ASgAgAC8AIABrAGcAIABDAEgANABcACIAKQA7AFwAbgBcAG4AUwBvAHUAcgBjAGUARABhAHQAYQBfAFMAdwBpAG4AZQBfAE0AZQBnAGEAagBvAHUAbABlAHMAUABlAHIASwBpAGwAbwBnAHIAYQBtAE0AZQB0AGgAYQBuAGUAXwBTAG8AdQByAGMAZQBcAG4AIAAgAD0ATABBAE0AQgBEAEEAKABcACIAVgBFAEUAUgBHACAAMgAwADIANgA6ACAAMwAuADUALgAyAC4AMwAgAEMATwBOAFMAVABBAE4AVABcACIAKQA7AFwAbgBcAG4AUwBvAHUAcgBjAGUARABhAHQAYQBfAFMAdwBpAG4AZQBfAE0AZQBnAGEAagBvAHUAbABlAHMAUABlAHIASwBpAGwAbwBnAHIAYQBtAE0AZQB0AGgAYQBuAGUAXwBWAGEAcgBpAGEAdABpAG8AbgBcAG4AIAAgAD0ATABBAE0AQgBEAEEAKABcACIAXAAiACkAOwBcAG4AXABuAFMAbwB1AHIAYwBlAEQAYQB0AGEAXwBTAHcAaQBuAGUAXwBNAGUAZwBhAGoAbwB1AGwAZQBzAFAAZQByAEsAaQBsAG8AZwByAGEAbQBNAGUAdABoAGEAbgBlAF8ARABhAHQAYQBcAG4AIAAgAD0ATABBAE0AQgBEAEEAKAA1ADUALgAyADIAKQA7ACIAfQAsAHsAIgBwAGEAdABoACIAOgAiAC8AcAByAG8AagBlAGMAdABzAC8ARQBuAHQAZQByAGkAYwBNAGUAdABoAGEAbgBlAF8AUwB3AGkAbgBlAF8ARQBxAHUAYQB0AGkAbwBuAHMAIgAsACIAdABlAHgAdAAiADoAIgAvACoAXABuAD0APQA9AD0APQA9AD0APQA9AD0APQA9AD0APQA9AD0APQA9AD0APQA9AD0APQA9AD0APQA9AD0APQA9AD0APQA9AD0APQA9AD0APQA9AD0APQA9AD0APQA9AD0APQA9AD0APQA9AD0APQA9AD0APQA9AD0APQA9AD0APQA9AD0APQA9AD0APQA9AD0APQA9AD0APQA9AD0AXABuADMALgA1ADoAIABFAG4AdABlAHIAaQBjACAATQBlAHQAaABhAG4AZQAgAC0AIABTAHcAaQBuAGUAXABuAD0APQA9AD0APQA9AD0APQA9AD0APQA9AD0APQA9AD0APQA9AD0APQA9AD0APQA9AD0APQA9AD0APQA9AD0APQA9AD0APQA9AD0APQA9AD0APQA9AD0APQA9AD0APQA9AD0APQA9AD0APQA9AD0APQA9AD0APQA9AD0APQA9AD0APQA9AD0APQA9AD0APQA9AD0APQA9AD0AXABuADMALgA1AC4AMQAuADEAIABNAGUAdABoAG8AZAAgADEAIAAtACAARQBuAHQAZQByAGkAY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1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cwB3AGkAbgBlAFwAbgBFAF8AZQBuAHQAZQByAGkAYwBcAG4AdAAgAEMASAA0AFwAbgBFAF8AewBlAG4AdABlAHIAaQBjAH0APQBcAFwAcwB1AG0AXwB7AGoAfQAoAE4AXwBqAFwAXAB0AGkAbQBlAHMAIABNAF8AagBcAFwAdABpAG0AZQBzACAARABfAGoAKQBcAFwAdABpAG0AZQBzACAAMQAwAF4AewAtADMAfQBcAG4ATgBfAGoAIAA9ACAAbgB1AG0AYgBlAHIAcwAgAG8AZgAgAHMAdwBpAG4AZQAgAG8AZgAgAGUAYQBjAGgAIABjAGwAYQBzAHMAIAAoAGgAZQBhAGQAKQBcAG4ATQBfAGoAIAA9ACAAbQBlAHQAaABhAG4AZQAgAHAAcgBvAGQAdQBjAHQAaQBvAG4AIAAoAGsAZwAgAEMASAA0AC8AaABlAGEAZAAvAGQAYQB5ACkAXABuAEQAXwBqACAAPQAgAHQAaABlACAAYQB2AGUAcgBhAGcAZQAgAG4AdQBtAGIAZQByACAAbwBmACAAZABhAHkAcwAgAG8AbgAgAGYAYQByAG0AIABmAG8AcgAgAGUAYQBjAGgAIABzAHcAaQBuAGUAIABjAGwAYQBzAHMAIAAoAGQAYQB5AHMAKQBcAG4ALQAtAC0ALQAtAC0ALQAtAC0ALQAtAC0ALQAtAC0ALQAtAC0ALQAtAC0ALQAtAC0ALQAtAC0ALQAtAC0ALQAtAC0ALQAtAC0ALQAtAFwAbgAqAC8AXABuAFwAbgBWAEUARQBSAEcAXwAzAF8ANQBfADEAXwAxAF8AXwAxAF8AVABvAHQAYQBsAEEAbgBuAHUAYQBsAE0AZQB0AGgAYQBuAGUARgByAG8AbQBFAG4AdABlAHIAaQBjAEYAZQByAG0AZQBuAHQAYQB0AGkAbwBuAFwAbgAgACAAPQBMAEEATQBCAEQAQQAoAFwAbgAgACAAIAAgAE4AXwBqACwAIABNAF8AagAsACAARABfAGoALABcAG4AIAAgACAAIAAoAE4AXwBqACAAKgAgAE0AXwBqACAAKgAgAEQAXwBqACkAIAAqACAAMQAwACAAXgAgAC0AMwBcAG4AIAAgACkAOwBcAG4AXABuAFYARQBFAFIARwBfADMAXwA1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cwB3AGkAbgBlAFwAIgApADsAXABuAFwAbgBWAEUARQBSAEcAXwAzAF8ANQBfADEAXwAxAF8AXwAxAF8AVABvAHQAYQBsAEEAbgBuAHUAYQBsAE0AZQB0AGgAYQBuAGUARgByAG8AbQBFAG4AdABlAHIAaQBjAEYAZQByAG0AZQBuAHQAYQB0AGkAbwBuAF8AVgBhAHIAaQBhAGIAbABlAFwAbgAgACAAPQBMAEEATQBCAEQAQQAoAFwAIgBFAF8AZQBuAHQAZQByAGkAYwBcACIAKQA7AFwAbgBcAG4AVgBFAEUAUgBHAF8AMwBfADUAXwAxAF8AMQBfAF8AMQBfAFQAbwB0AGEAbABBAG4AbgB1AGEAbABNAGUAdABoAGEAbgBlAEYAcgBvAG0ARQBuAHQAZQByAGkAYwBGAGUAcgBtAGUAbgB0AGEAdABpAG8AbgBfAFUAbgBpAHQAXABuACAAIAA9AEwAQQBNAEIARABBACgAXAAiAHQAIABDAEgANABcACIAKQA7AFwAbgBcAG4AVgBFAEUAUgBHAF8AMwBfADUAXwAxAF8AMQBfAF8AMQBfAFQAbwB0AGEAbABBAG4AbgB1AGEAbABNAGUAdABoAGEAbgBlAEYAcgBvAG0ARQBuAHQAZQByAGkAYwBGAGUAcgBtAGUAbgB0AGEAdABpAG8AbgBfAFMAbwB1AHIAYwBlAFwAbgAgACAAPQBMAEEATQBCAEQAQQAoAFwAIgBWAEUARQBSAEcAIAAyADAAMgA2ADoAIAAzAC4ANQAuADEALgAxACwAIABFAHEAdQBhAHQAaQBvAG4AIAAoADEAKQBcACIAKQA7AFwAbgBcAG4AVgBFAEUAUgBHAF8AMwBfADUAXwAxAF8AMQBfAF8AMQBfAFQAbwB0AGEAbABBAG4AbgB1AGEAbABNAGUAdABoAGEAbgBlAEYAcgBvAG0ARQBuAHQAZQByAGkAYwBGAGUAcgBtAGUAbgB0AGEAdABpAG8AbgBfAE4ASQBSAFIAZQBmAGUAcgBlAG4AYwBlAFwAbgAgACAAPQBMAEEATQBCAEQAQQAoAFwAIgBcACIAKQA7AFwAbgBcAG4AVgBFAEUAUgBHAF8AMwBfADU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4AXwBqAFwAXAB0AGkAbQBlAHMAIABNAF8AagBcAFwAdABpAG0AZQBzACAARABfAGoAKQBcAFwAdABpAG0AZQBzACAAMQAwAF4AewAtADMAfQBcACIAKQA7AFwAbgBcAG4AVgBFAEUAUgBHAF8AMwBfADU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BzACAAbwBmACAAcwB3AGkAbgBlACAAbwBmACAAZQBhAGMAaAAgAGMAbABhAHMAcwBcACIALAAgAFwAIgBoAGUAYQBkAFwAIgAsACAAXAAiAEkAbgBwAHUAdABcACIAOwBcAG4AIAAgACAAIAAgACAAIAAgACAAIABcACIATQBfAGoAXAAiACwAIABcACIAbQBlAHQAaABhAG4AZQAgAHAAcgBvAGQAdQBjAHQAaQBvAG4AXAAiACwAIABcACIAawBnACAAQwBIADQALwBoAGUAYQBkAC8AZABhAHkAXAAiACwAIABcACIAQwBhAGwAYwB1AGwAYQB0AGUAZAAgAGYAcgBvAG0AIAAzAC4ANQAuADEALgAxACwAIAAoADIAKQBcACIAOwBcAG4AIAAgACAAIAAgACAAIAAgACAAIABcACIARABfAGoAXAAiACwAIABcACIAdABoAGUAIABhAHYAZQByAGEAZwBlACAAbgB1AG0AYgBlAHIAIABvAGYAIABkAGEAeQBzACAAbwBuACAAZgBhAHIAbQAgAGYAbwByACAAZQBhAGMAaAAgAHMAdwBpAG4AZQ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NQBfADEAXwAxAF8AXwAyAF8ARABhAGkAbAB5AEUAbgB0AGUAcgBpAGMATQBlAHQAaABhAG4AZQBQAHIAbwBkAHUAYwB0AGkAbwBuAFwAbgBUAG8AdABhAGwAIABkAGEAaQBsAHkAIABwAHIAbwBkAHUAYwB0AGkAbwBuACAAbwBmACAAZQBuAHQAZQByAGkAYwAgAG0AZQB0AGgAYQBuAGUAIABvAGYAIABzAHcAaQBuAGUAXABuAE0AXwBqAFwAbgBrAGcAIABDAEgANAAvAGgAZQBhAGQALwBkAGEAeQBcAG4ATQBfAGoAPQBcAFwAZgByAGEAYwB7AEkAXwBqAFwAXAB0AGkAbQBlAHMAIAAxADgALgA2AFwAXAB0AGkAbQBlAHMAIAAwAC4AMAAwADcAfQB7AEYAfQBcAG4ASQBfAGoAIAA9ACAAZABhAGkAbAB5ACAAZgBlAGUAZAAgAGkAbgBnAGUAcwB0AGUAZAAgAGIAeQAgAGUAYQBjAGgAIABzAHcAaQBuAGUAIABjAGwAYQBzAHMAIAAoAGsAZwAvAGgAZQBhAGQALwBkAGEAeQApAFwAbgBGACAAPQAgAG0AZQBnAGEAagBvAHUAbABlAHMAIABwAGUAcgAgAGsAaQBsAG8AZwByAGEAbQAgAG8AZgAgAG0AZQB0AGgAYQBuAGUAIAAoAE0ASgAvAGsAZwAgAEMASAA0ACkAXABuAC0ALQAtAC0ALQAtAC0ALQAtAC0ALQAtAC0ALQAtAC0ALQAtAC0ALQAtAC0ALQAtAC0ALQAtAC0ALQAtAC0ALQAtAC0ALQAtAC0ALQBcAG4AKgAvAFwAbgBcAG4AVgBFAEUAUgBHAF8AMwBfADUAXwAxAF8AMQBfAF8AMgBfAEQAYQBpAGwAeQBFAG4AdABlAHIAaQBjAE0AZQB0AGgAYQBuAGUAUAByAG8AZAB1AGMAdABpAG8AbgBcAG4AIAAgAD0ATABBAE0AQgBEAEEAKABcAG4AIAAgACAAIABJAF8AagAsACAARgAsAFwAbgAgACAAIAAgACgASQBfAGoAIAAqACAAMQA4AC4ANgAgACoAIAAwAC4AMAAwADcAKQAgAC8AIABGAFwAbgAgACAAKQA7AFwAbgBcAG4AVgBFAEUAUgBHAF8AMwBfADUAXwAxAF8AMQBfAF8AMgBfAEQAYQBpAGwAeQBFAG4AdABlAHIAaQBjAE0AZQB0AGgAYQBuAGUAUAByAG8AZAB1AGMAdABpAG8AbgBfAFQAaQB0AGwAZQBcAG4AIAAgAD0ATABBAE0AQgBEAEEAKABcACIAVABvAHQAYQBsACAAZABhAGkAbAB5ACAAcAByAG8AZAB1AGMAdABpAG8AbgAgAG8AZgAgAGUAbgB0AGUAcgBpAGMAIABtAGUAdABoAGEAbgBlACAAbwBmACAAcwB3AGkAbgBlAFwAIgApADsAXABuAFwAbgBWAEUARQBSAEcAXwAzAF8ANQBfADEAXwAxAF8AXwAyAF8ARABhAGkAbAB5AEUAbgB0AGUAcgBpAGMATQBlAHQAaABhAG4AZQBQAHIAbwBkAHUAYwB0AGkAbwBuAF8AVgBhAHIAaQBhAGIAbABlAFwAbgAgACAAPQBMAEEATQBCAEQAQQAoAFwAIgBNAF8AagBcACIAKQA7AFwAbgBcAG4AVgBFAEUAUgBHAF8AMwBfADUAXwAxAF8AMQBfAF8AMgBfAEQAYQBpAGwAeQBFAG4AdABlAHIAaQBjAE0AZQB0AGgAYQBuAGUAUAByAG8AZAB1AGMAdABpAG8AbgBfAFUAbgBpAHQAXABuACAAIAA9AEwAQQBNAEIARABBACgAXAAiAGsAZwAgAEMASAA0AC8AaABlAGEAZAAvAGQAYQB5AFwAIgApADsAXABuAFwAbgBWAEUARQBSAEcAXwAzAF8ANQBfADEAXwAxAF8AXwAyAF8ARABhAGkAbAB5AEUAbgB0AGUAcgBpAGMATQBlAHQAaABhAG4AZQBQAHIAbwBkAHUAYwB0AGkAbwBuAF8AUwBvAHUAcgBjAGUAXABuACAAIAA9AEwAQQBNAEIARABBACgAXAAiAFYARQBFAFIARwAgADIAMAAyADYAOgAgADMALgA1AC4AMQAuADEALAAgAEUAcQB1AGEAdABpAG8AbgAgACgAMgApAFwAIgApADsAXABuAFwAbgBWAEUARQBSAEcAXwAzAF8ANQBfADEAXwAxAF8AXwAyAF8ARABhAGkAbAB5AEUAbgB0AGUAcgBpAGMATQBlAHQAaABhAG4AZQBQAHIAbwBkAHUAYwB0AGkAbwBuAF8ATgBJAFIAUgBlAGYAZQByAGUAbgBjAGUAXABuACAAIAA9AEwAQQBNAEIARABBACgAXAAiAFwAIgApADsAXABuAFwAbgBWAEUARQBSAEcAXwAzAF8ANQBfADEAXwAxAF8AXwAyAF8ARABhAGkAbAB5AEUAbgB0AGUAcgBpAGMATQBlAHQAaABhAG4AZQBQAHIAbwBkAHUAYwB0AGkAbwBuAF8ATABhAHQAZQB4AEUAcQB1AGEAdABpAG8AbgBcAG4AIAAgAD0ATABBAE0AQgBEAEEAKABcACIATQBfAGoAPQBcAFwAZgByAGEAYwB7AEkAXwBqAFwAXAB0AGkAbQBlAHMAIAAxADgALgA2AFwAXAB0AGkAbQBlAHMAIAAwAC4AMAAwADcAfQB7AEYAfQBcACIAKQA7AFwAbgBcAG4AVgBFAEUAUgBHAF8AMwBfADUAXwAxAF8AMQBfAF8AMgBfAEQAYQBpAGwAeQBFAG4AdABlAHIAaQBjAE0AZQB0AGgAYQBuAGUAUAByAG8AZAB1AGMAdABpAG8AbgBfAEEAcgBnAHUAbQBlAG4AdABzAFwAbgAgACAAPQBMAEEATQBCAEQAQQAoAFwAbgAgACAAIAAgAE0AQQBLAEUAQQBSAFIAQQBZACgANAAsACAANAAsAFwAbgAgACAAIAAgACAAIABMAEEATQBCAEQAQQAoAHIALABjACwAXABuACAAIAAgACAAIAAgACAAIABJAE4ARABFAFgAKAB7AFwAbgAgACAAIAAgACAAIAAgACAAIAAgAFwAIgBJAF8AagBcACIALAAgAFwAIgBkAGEAaQBsAHkAIABmAGUAZQBkACAAaQBuAGcAZQBzAHQAZQBkACAAYgB5ACAAZQBhAGMAaAAgAHMAdwBpAG4AZQAgAGMAbABhAHMAcwBcACIALAAgAFwAIgBrAGcALwBoAGUAYQBkAC8AZABhAHkAXAAiACwAIABcACIASQBuAHAAdQB0AFwAIgA7AFwAbgAgACAAIAAgACAAIAAgACAAIAAgAFwAIgAxADgALgA2AFwAIgAsACAAXAAiAGcAcgBvAHMAcwAgAGUAbgBlAHIAZwB5ACAAKABHAEUAKQAgAGMAbwBuAHQAZQBuAHQAIABvAGYAIABmAGUAZQBkAFwAIgAsACAAXAAiAE0ASgAgAEcARQAvAGsAZwAgAGYAZQBlAGQAXAAiACwAIABcACIAQwBvAG4AcwB0AGEAbgB0AFwAIgA7AFwAbgAgACAAIAAgACAAIAAgACAAIAAgAFwAIgAwAC4AMAAwADcAXAAiACwAIABcACIAZgByAGEAYwB0AGkAbwBuACAAbwBmACAARwBFACAAaQBuAHQAYQBrAGUAIABjAG8AbgB2AGUAcgB0AGUAZAAgAHQAbwAgAG0AZQB0AGgAYQBuAGUAIABiAHkAIABzAHcAaQBuAGUAXAAiACwAIABcACIAZgByAGEAYwB0AGkAbwBuAFwAIgAsACAAXAAiAEMAbwBuAHMAdABhAG4AdABcACIAOwBcAG4AIAAgACAAIAAgACAAIAAgACAAIABcACIARgBcACIALAAgAFwAIgBtAGUAZwBhAGoAbwB1AGwAZQBzACAAcABlAHIAIABrAGkAbABvAGcAcgBhAG0AIABvAGYAIABtAGUAdABoAGEAbgBlAFwAIgAsACAAXAAiAE0ASgAvAGsAZwAgAEMASAA0AFwAIgAsACAAXAAiAEMAbwBuAHMAdABhAG4AdABcACIAXABuACAAIAAgACAAIAAgACAAIAB9ACwAIAByACwAIABjACkAXABuACAAIAAgACAAIAAgACkAXABuACAAIAAgACAAKQBcAG4AIAAgACkAOwBcAG4AXABuAFwAbgAiAH0ALAB7ACIAcABhAHQAaAAiADoAIgAvAHAAcgBvAGoAZQBjAHQAcwAvAE0ATQBTAF8AUwB3AGkAbgBl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xACAATQBlAHQAaABvAGQAIAAxACAAFCAgAE0AYQBuAHUAcgBlACAATQBlAHQAaABhAG4AZQ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EAXwBfADEAXwBUAG8AdABhAGwAQQBuAG4AdQBhAGwATQBlAHQAaABhAG4AZQBFAG0AaQBzAHMAaQBvAG4AcwBcAG4AVABvAHQAYQBsACAAYQBuAG4AdQBhAGwAIABtAGUAdABoAGEAbgBlACAAZQBtAGkAcwBzAGkAbwBuAHMAIABmAHIAbwBtACAAbQBhAG4AdQByAGUAIABtAGEAbgBhAGcAZQBtAGUAbgB0AFwAbgBFAEMASAA0AFwAbgB0ACAAQwBIADQAXABuAHsARQB9AF8AewBDAEgANAB9AD0AXABcAHMAdQBtAF8AewBqAH0AKABEAF8AewBqAH0AXABcAHQAaQBtAGUAcwAgAE0AXwB7AG0AagB9AFwAXAB0AGkAbQBlAHMAIABOAF8AewBqAH0AKQBcAFwAdABpAG0AZQBzADEAMABeAHsALQAzAH0AXABuAEQAagAgAD0AIABsAGUAbgBnAHQAaAAgAG8AZgAgAHMAdABhAHkAIABvAGYAIABlAGEAYwBoACAAYwBsAGEAcwBzACAAbwBmACAAcwB3AGkAbgBlACAAOgAgAGQAYQB5AHMAXABuAE0AbQBqACAAPQAgAG0AZQB0AGgAYQBuAGUAIABwAHIAbwBkAHUAYwB0AGkAbwBuACAAZgByAG8AbQAgAG0AYQBuAHUAcgBlACAAaQBuACAAZQBhAGMAaAAgAHMAdwBpAG4AZQAgAGMAbABhAHMAcwAgADoAIABrAGcAIABDAEgANAAvAGgAZQBhAGQALwBkAGEAeQBcAG4ATgBqACAAPQAgAG4AdQBtAGIAZQByAHMAIABvAGYAIABzAHcAaQBuAGUAIABpAG4AIABlAGEAYwBoACAAYwBsAGEAcwBzACAAOgAgAGgAZQBhAGQAXABuAC0ALQAtAC0ALQAtAC0ALQAtAC0ALQAtAC0ALQAtAC0ALQAtAC0ALQAtAC0ALQAtAC0ALQAtAC0ALQAtAC0ALQAtAC0ALQAtAC0ALQBcAG4AKgAvAFwAbgBcAG4AVgBFAEUAUgBHAF8ANABfADUAXwAxAF8AMQBfAF8AMQBfAFQAbwB0AGEAbABBAG4AbgB1AGEAbABNAGUAdABoAGEAbgBlAEUAbQBpAHMAcwBpAG8AbgBzAFwAbgAgACAAPQBMAEEATQBCAEQAQQAoAFwAbgAgACAAIAAgAEQAagAsACAATQBtAGoALAAgAE4AagAsAFwAbgAgACAAIAAgAEQAagAgACoAIABNAG0AagAgACoAIABOAGoAIAAqACAAMQAwACAAXgAgAC0AMwBcAG4AIAAgACkAOwBcAG4AXABuAFYARQBFAFIARwBfADQAXwA1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QBfADEAXwAxAF8AXwAxAF8AVABvAHQAYQBsAEEAbgBuAHUAYQBsAE0AZQB0AGgAYQBuAGUARQBtAGkAcwBzAGkAbwBuAHMAXwBWAGEAcgBpAGEAYgBsAGUAXABuACAAIAA9AEwAQQBNAEIARABBACgAXAAiAEUAQwBIADQAXAAiACkAOwBcAG4AXABuAFYARQBFAFIARwBfADQAXwA1AF8AMQBfADEAXwBfADEAXwBUAG8AdABhAGwAQQBuAG4AdQBhAGwATQBlAHQAaABhAG4AZQBFAG0AaQBzAHMAaQBvAG4AcwBfAFUAbgBpAHQAXABuACAAIAA9AEwAQQBNAEIARABBACgAXAAiAHQAIABDAEgANABcACIAKQA7AFwAbgBcAG4AVgBFAEUAUgBHAF8ANABfADUAXwAxAF8AMQBfAF8AMQBfAFQAbwB0AGEAbABBAG4AbgB1AGEAbABNAGUAdABoAGEAbgBlAEUAbQBpAHMAcwBpAG8AbgBzAF8AUwBvAHUAcgBjAGUAXABuACAAIAA9AEwAQQBNAEIARABBACgAXAAiAFYARQBFAFIARwAgADIAMAAyADYAOgAgADQALgA1AC4AMQAuADEALAAgAEUAcQB1AGEAdABpAG8AbgAgACgAMQApAFwAIgApADsAXABuAFwAbgBWAEUARQBSAEcAXwA0AF8ANQBfADEAXwAxAF8AXwAxAF8AVABvAHQAYQBsAEEAbgBuAHUAYQBsAE0AZQB0AGgAYQBuAGUARQBtAGkAcwBzAGkAbwBuAHMAXwBOAEkAUgBSAGUAZgBlAHIAZQBuAGMAZQBcAG4AIAAgAD0ATABBAE0AQgBEAEEAKABcACIAXAAiACkAOwBcAG4AXABuAFYARQBFAFIARwBfADQAXwA1AF8AMQBfADEAXwBfADEAXwBUAG8AdABhAGwAQQBuAG4AdQBhAGwATQBlAHQAaABhAG4AZQBFAG0AaQBzAHMAaQBvAG4AcwBfAEwAYQB0AGUAeABFAHEAdQBhAHQAaQBvAG4AXABuACAAIAA9AEwAQQBNAEIARABBACgAXAAiAHsARQB9AF8AewBDAEgANAB9AD0AXABcAHMAdQBtAF8AewBqAH0AKABEAF8AewBqAH0AXABcAHQAaQBtAGUAcwAgAE0AXwB7AG0AagB9AFwAXAB0AGkAbQBlAHMAIABOAF8AewBqAH0AKQBcAFwAdABpAG0AZQBzADEAMABeAHsALQAzAH0AXAAiACkAOwBcAG4AXABuAFYARQBFAFIARwBfADQAXwA1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GoAXAAiACwAXAAiAGwAZQBuAGcAdABoACAAbwBmACAAcwB0AGEAeQAgAG8AZgAgAGUAYQBjAGgAIABjAGwAYQBzAHMAIABvAGYAIABzAHcAaQBuAGUAXAAiACwAIABcACIAZABhAHkAcwBcACIALAAgAFwAIgBJAG4AcAB1AHQAXAAiADsAXABuACAAIAAgACAAIAAgACAAIAAgACAAXAAiAE0AbQBqAFwAIgAsAFwAIgBtAGUAdABoAGEAbgBlACAAcAByAG8AZAB1AGMAdABpAG8AbgAgAGYAcgBvAG0AIABtAGEAbgB1AHIAZQAgAGkAbgAgAGUAYQBjAGgAIABzAHcAaQBuAGUAIABjAGwAYQBzAHMAXAAiACwAIABcACIAawBnACAAQwBIADQALwBoAGUAYQBkAC8AZABhAHkAXAAiACwAIABcACIAQwBhAGwAYwB1AGwAYQB0AGUAZAAgAGYAcgBvAG0AIAA0AC4ANQAuADEALgAxACAAKAAyACkAXAAiADsAXABuACAAIAAgACAAIAAgACAAIAAgACAAXAAiAE4AagBcACIALABcACIAbgB1AG0AYgBlAHIAcwAgAG8AZgAgAHMAdwBpAG4AZQAgAGkAbgAgAGUAYQBjAGgAIA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0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FwAIgAsACAAXAAiAGsAZwAgAEMASAA0AC8AaABlAGEAZAAvAGQAYQB5AFwAIgAsACAAXAAiAEMAYQBsAGMAdQBsAGEAdABlAGQAIABmAHIAbwBtACAANAAuADUALgAxAC4AMQAgACgAMwApACAAYQBuAGQAIAAoADYAKQBcACIAXABuACAAIAAgACAAIAAgACAAIAB9ACwAIAByACwAIABjACkAXABuACAAIAAgACAAIAAgACkAXABuACAAIAAgACAAKQBcAG4AIAAgACkAOwBcAG4AXABuAFYARQBFAFIARwBfADQAXwA1AF8AMQBfADEAXwBfADIAXwBNAGUAdABoAGEAbgBlAFAAcgBvAGQAdQBjAHQAaQBvAG4AUABlAHIAQwBsAGEAcwBzAF8AVgBhAHIAaQBhAHQAaQBvAG4AXABuACAAIAA9AEwAQQBNAEIARABBACgAXAAiAFYAQQBSAEkAQQBUAEkATwBOACAATwBOACAAUwBPAFUAUgBDAEUAOgAgAFMAcABsAGkAdAAgAHYAYQByAGkAYQBiAGwAZQAgAE0AagBtACAAaQBuAHQAbwAgAE0AagBtAFQAMQAgAGEAbgBkACAATQBqAG0AVAAyACAAZgBvAHIAIABzAHQAYQBnAGUAIAAxACAAYQBuAGQAIAAyACAATQBNAFMALgBcACIAKQA7AFwAbgBcAG4ALwAqAFwAbgAtAC0ALQAtAC0ALQAtAC0ALQAtAC0ALQAtAC0ALQAtAC0ALQAtAC0ALQAtAC0ALQAtAC0ALQAtAC0ALQAtAC0ALQAtAC0ALQAtAC0AXABuAFYARQBFAFIARwBfADQAXwA1AF8AMQBfADEAXwBfADMAXwBTAHQAYQBnAGUAMQBNAGUAdABoAGEAbgBlAFAAcgBvAGQAdQBjAHQAaQBvAG4AXABuAFAAcgBvAGQAdQBjAHQAaQBvAG4AIABvAGYAIABtAGUAdABoAGEAbgBlACAAaQBuACAAdAByAGUAYQB0AG0AZQBuAHQAIABzAHQAYQBnAGUAIAAxACAATQBNAFMAXABuAE0AaQBqAG0AVAAxAFwAbgBrAGcAIABDAEgANAAvAGgAZQBhAGQALwBkAGEAeQBcAG4ATQBfAHsAaQBqAG0ALABUAD0AMQB9AD0AVgBTAF8AewBqAH0AXABcAHQAaQBtAGUAcwAgAEYAVgBTAF8AewBqAG0ALABUAD0AMQB9AFwAXAB0AGkAbQBlAHMAIABNAEMARgBfAHsAaQBtAH0AXABcAHQAaQBtAGUAcwAgAEIATwBcAFwAdABpAG0AZQBzACAAXABcAHIAaABv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E0AQwBGAGkAbQAgAD0AIABtAGUAdABoAGEAbgBlACAAYwBvAG4AdgBlAHIAcwBpAG8AbgAgAGYAYQBjAHQAbwByACAAZgBvAHIAIAB0AGUAbQBwAGUAcgBhAHQAZQAgAHoAbwBuAGUAIABhAG4AZAAgAHMAeQBzAHQAZQBtACAAOgAgAGYAcgBhAGMAdABpAG8AbgBcAG4AQgBPACAAPQAgAGUAbQBpAHMAcwBpAG8AbgBzACAAcABvAHQAZQBuAHQAaQBhAGwAIAA6ACAAbQAzACAAQwBIADQALwBrAGcAIABWAFMAXABuAHIAaABvACAAPQAgAGQAZQBuAHMAaQB0AHkAIABvAGYAIABtAGUAdABoAGEAbgBlACAAOgAgAGsAZwAvAG0AMwBcAG4ALQAtAC0ALQAtAC0ALQAtAC0ALQAtAC0ALQAtAC0ALQAtAC0ALQAtAC0ALQAtAC0ALQAtAC0ALQAtAC0ALQAtAC0ALQAtAC0ALQAtAFwAbgAqAC8AXABuAFwAbgBWAEUARQBSAEcAXwA0AF8ANQBfADEAXwAxAF8AXwAzAF8AUwB0AGEAZwBlADEATQBlAHQAaABhAG4AZQBQAHIAbwBkAHUAYwB0AGkAbwBuAFwAbgAgACAAPQBMAEEATQBCAEQAQQAoAFwAbgAgACAAIAAgAFYAUwBqACwAIABGAFYAUwBqAG0AVAAxACwAIABNAEMARgBpAG0ALAAgAEIATwAsACAAcgBoAG8ALABcAG4AIAAgACAAIABWAFMAagAgACoAIABGAFYAUwBqAG0AVAAxACAAKgAgAE0AQwBGAGkAbQAgACoAIABCAE8AIAAqACAAcgBoAG8AXABuACAAIAApADsAXABuAFwAbgBWAEUARQBSAEcAXwA0AF8ANQBfADEAXwAxAF8AXwAz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QBfADEAXwAxAF8AXwAzAF8AUwB0AGEAZwBlADEATQBlAHQAaABhAG4AZQBQAHIAbwBkAHUAYwB0AGkAbwBuAF8AVgBhAHIAaQBhAGIAbABlAFwAbgAgACAAPQBMAEEATQBCAEQAQQAoAFwAIgBNAGkAagBtAFQAMQBcACIAKQA7AFwAbgBcAG4AVgBFAEUAUgBHAF8ANABfADUAXwAxAF8AMQBfAF8AMwBfAFMAdABhAGcAZQAxAE0AZQB0AGgAYQBuAGUAUAByAG8AZAB1AGMAdABpAG8AbgBfAFUAbgBpAHQAXABuACAAIAA9AEwAQQBNAEIARABBACgAXAAiAGsAZwAgAEMASAA0AC8AaABlAGEAZAAvAGQAYQB5AFwAIgApADsAXABuAFwAbgBWAEUARQBSAEcAXwA0AF8ANQBfADEAXwAxAF8AXwAzAF8AUwB0AGEAZwBlADEATQBlAHQAaABhAG4AZQBQAHIAbwBkAHUAYwB0AGkAbwBuAF8AUwBvAHUAcgBjAGUAXABuACAAIAA9AEwAQQBNAEIARABBACgAXAAiAFYARQBFAFIARwAgADIAMAAyADYAOgAgADQALgA1AC4AMQAuADEALAAgAEUAcQB1AGEAdABpAG8AbgAgACgAMwApAFwAIgApADsAXABuAFwAbgBWAEUARQBSAEcAXwA0AF8ANQBfADEAXwAxAF8AXwAzAF8AUwB0AGEAZwBlADEATQBlAHQAaABhAG4AZQBQAHIAbwBkAHUAYwB0AGkAbwBuAF8ATgBJAFIAUgBlAGYAZQByAGUAbgBjAGUAXABuACAAIAA9AEwAQQBNAEIARABBACgAXAAiAFwAIgApADsAXABuAFwAbgBWAEUARQBSAEcAXwA0AF8ANQBfADEAXwAxAF8AXwAzAF8AUwB0AGEAZwBlADEATQBlAHQAaABhAG4AZQBQAHIAbwBkAHUAYwB0AGkAbwBuAF8ATABhAHQAZQB4AEUAcQB1AGEAdABpAG8AbgBcAG4AIAAgAD0ATABBAE0AQgBEAEEAKABcACIATQBfAHsAaQBqAG0ALABUAD0AMQB9AD0AVgBTAF8AewBqAH0AXABcAHQAaQBtAGUAcwAgAEYAVgBTAF8AewBqAG0ALABUAD0AMQB9AFwAXAB0AGkAbQBlAHMAIABNAEMARgBfAHsAaQBtAH0AXABcAHQAaQBtAGUAcwAgAEIATwBcAFwAdABpAG0AZQBzACAAXABcAHIAaABvAFwAIgApADsAXABuAFwAbgBWAEUARQBSAEcAXwA0AF8ANQBfADEAXwAxAF8AXwAzAF8AUwB0AGEAZwBlADEATQBlAHQAaABhAG4AZQBQAHIAbwBkAHUAYwB0AGkAbwBuAF8AQQByAGcAdQBtAGUAbgB0AHMAXABuACAAIAA9AEwAQQBNAEIARABBACgAXABuACAAIAAgACAATQBBAEsARQBBAFIAUgBBAFkAKAA1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EIATwBcACIALABcACIAZQBtAGkAcwBzAGkAbwBuAHMAIABwAG8AdABlAG4AdABpAGEAbABcACIALAAgAFwAIgBtADMAIABDAEgANAAvAGsAZwAgAFYAUwBcACIALAAgAFwAIgBDAG8AbgBzAHQAYQBuAHQAXAAiADsAXABuACAAIAAgACAAIAAgACAAIAAgACAAXAAiAHIAaABvAFwAIgAsAFwAIgBkAGUAbgBzAGkAdAB5ACAAbwBmACAAbQBlAHQAaABhAG4AZQBcACIALAAgAFwAIgBrAGcALwBtAD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QAXwBGAHIAYQBjAHQAaQBvAG4AVgBvAGwAYQB0AGkAbABlAFMAbwBsAGkAZABzAFAAcgBpAG0AYQByAHkAUwB5AHMAdABlAG0AXABuAEYAcgBhAGMAdABpAG8AbgAgAG8AZgAgAHYAbwBsAGEAdABpAGwAZQAgAHMAbwBsAGkAZABzACAAaQBuACAAZQBhAGMAaAAgAHAAcgBpAG0AYQByAHkAIABzAHkAcwB0AGUAbQAgAG8AdABoAGUAcgAgAHQAaABhAG4AIABzAG8AbABpAGQAIABzAHQAbwByAGEAZwBlAFwAbgBGAFYAUwBqAG0AVAAxAFwAbgBmAHIAYQBjAHQAaQBvAG4AXABuAEYAVgBTAF8AewBqAG0ALABUAD0AMQB9AD0ATQBNAFMAXwB7AGoAbQAsAFQAPQAxAH0AXABcAHQAaQBtAGUAcwAoADEALQBTAFMAXwB7AG0AfQApAFwAbgBNAE0AUwBqAG0AVAAxACAAPQAgAGYAcgBhAGMAdABpAG8AbgAgAG8AZgAgAG0AYQBuAHUAcgBlACAAdABvACAAZQBhAGMAaAAgAHAAcgBpAG0AYQByAHkAIABNAE0AUwAgAGYAbwByACAAZQBhAGMAaAAgAGMAbABhAHMAcwAgAHAAcgBpAG8AcgAgAHQAbwAgAHMAbwBsAGkAZAAgAHMAZQBwAGEAcgBhAHQAaQBvAG4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0AF8ARgByAGEAYwB0AGkAbwBuAFYAbwBsAGEAdABpAGwAZQBTAG8AbABpAGQAcwBQAHIAaQBtAGEAcgB5AFMAeQBzAHQAZQBtAFwAbgAgACAAPQBMAEEATQBCAEQAQQAoAFwAbgAgACAAIAAgAE0ATQBTAGoAbQBUADEALAAgAFMAUwBtACwAXABuACAAIAAgACAATQBNAFMAagBtAFQAMQAgACoAIAAoADEAIAAtACAAUwBTAG0AKQBcAG4AIAAgACkAOwBcAG4AXABuAFYARQBFAFIARwBfADQAXwA1AF8AMQBfADEAXwBfADQAXwBGAHIAYQBjAHQAaQBvAG4AVgBvAGwAYQB0AGkAbABlAFMAbwBsAGkAZABzAFAAcgBpAG0AYQByAHkAUwB5AHMAdABlAG0AXwBUAGkAdABsAGUAXABuACAAIAA9AEwAQQBNAEIARABBACgAXAAiAEYAcgBhAGMAdABpAG8AbgAgAG8AZgAgAHYAbwBsAGEAdABpAGwAZQAgAHMAbwBsAGkAZABzACAAaQBuACAAZQBhAGMAaAAgAHAAcgBpAG0AYQByAHkAIABzAHkAcwB0AGUAbQAgAG8AdABoAGUAcgAgAHQAaABhAG4AIABzAG8AbABpAGQAIABzAHQAbwByAGEAZwBlAFwAIgApADsAXABuAFwAbgBWAEUARQBSAEcAXwA0AF8ANQBfADEAXwAxAF8AXwA0AF8ARgByAGEAYwB0AGkAbwBuAFYAbwBsAGEAdABpAGwAZQBTAG8AbABpAGQAcwBQAHIAaQBtAGEAcgB5AFMAeQBzAHQAZQBtAF8AVgBhAHIAaQBhAGIAbABlAFwAbgAgACAAPQBMAEEATQBCAEQAQQAoAFwAIgBGAFYAUwBqAG0AVAAxAFwAIgApADsAXABuAFwAbgBWAEUARQBSAEcAXwA0AF8ANQBfADEAXwAxAF8AXwA0AF8ARgByAGEAYwB0AGkAbwBuAFYAbwBsAGEAdABpAGwAZQBTAG8AbABpAGQAcwBQAHIAaQBtAGEAcgB5AFMAeQBzAHQAZQBtAF8AVQBuAGkAdABcAG4AIAAgAD0ATABBAE0AQgBEAEEAKABcACIAZgByAGEAYwB0AGkAbwBuAFwAIgApADsAXABuAFwAbgBWAEUARQBSAEcAXwA0AF8ANQBfADEAXwAxAF8AXwA0AF8ARgByAGEAYwB0AGkAbwBuAFYAbwBsAGEAdABpAGwAZQBTAG8AbABpAGQAcwBQAHIAaQBtAGEAcgB5AFMAeQBzAHQAZQBtAF8AUwBvAHUAcgBjAGUAXABuACAAIAA9AEwAQQBNAEIARABBACgAXAAiAFYARQBFAFIARwAgADIAMAAyADYAOgAgADQALgA1AC4AMQAuADEALAAgAEUAcQB1AGEAdABpAG8AbgAgACgANAApAFwAIgApADsAXABuAFwAbgBWAEUARQBSAEcAXwA0AF8ANQBfADEAXwAxAF8AXwA0AF8ARgByAGEAYwB0AGkAbwBuAFYAbwBsAGEAdABpAGwAZQBTAG8AbABpAGQAcwBQAHIAaQBtAGEAcgB5AFMAeQBzAHQAZQBtAF8ATgBJAFIAUgBlAGYAZQByAGUAbgBjAGUAXABuACAAIAA9AEwAQQBNAEIARABBACgAXAAiAFwAIgApADsAXABuAFwAbgBWAEUARQBSAEcAXwA0AF8ANQBfADEAXwAxAF8AXwA0AF8ARgByAGEAYwB0AGkAbwBuAFYAbwBsAGEAdABpAGwAZQBTAG8AbABpAGQAcwBQAHIAaQBtAGEAcgB5AFMAeQBzAHQAZQBtAF8ATABhAHQAZQB4AEUAcQB1AGEAdABpAG8AbgBcAG4AIAAgAD0ATABBAE0AQgBEAEEAKABcACIARgBWAFMAXwB7AGoAbQAsAFQAPQAxAH0APQBNAE0AUwBfAHsAagBtACwAVAA9ADEAfQBcAFwAdABpAG0AZQBzACgAMQAtAFMAUwBfAHsAbQB9ACkAXAAiACkAOwBcAG4AXABuAFYARQBFAFIARwBfADQAXwA1AF8AMQBfADEAXwBfADQAXwBGAHIAYQBjAHQAaQBvAG4AVgBvAGwAYQB0AGkAbABlAFMAbwBsAGkAZABzAFAAcgBpAG0AYQByAHkAUwB5AHMAdABlAG0AXwBBAHIAZwB1AG0AZQBuAHQAcwBcAG4AIAAgAD0ATABBAE0AQgBEAEEAKABcAG4AIAAgACAAIABNAEEASwBFAEEAUgBSAEEAWQAoADIALAAgADQALABcAG4AIAAgACAAIAAgACAATABBAE0AQgBEAEEAKAByACwAYwAsAFwAbgAgACAAIAAgACAAIAAgACAASQBOAEQARQBYACgAewBcAG4AIAAgACAAIAAgACAAIAAgACAAIABcACIATQBNAFMAagBtAFQAMQBcACIAL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ABfAEYAcgBhAGMAdABpAG8AbgBWAG8AbABhAHQAaQBsAGUAUwBvAGwAaQBkAHMAUAByAGkAbQBhAHIAeQBTAHkAcwB0AGUAbQBfAFYAYQByAGkAYQB0AGkAbwBuAFwAbgAgACAAPQBMAEEATQBCAEQAQQAoAFwAIgBcACIAKQA7AFwAbgBcAG4ALwAqAFwAbgAtAC0ALQAtAC0ALQAtAC0ALQAtAC0ALQAtAC0ALQAtAC0ALQAtAC0ALQAtAC0ALQAtAC0ALQAtAC0ALQAtAC0ALQAtAC0ALQAtAC0AXABuAFYARQBFAFIARwBfADQAXwA1AF8AMQBfADEAXwBfADUAXwBGAHIAYQBjAHQAaQBvAG4AVgBvAGwAYQB0AGkAbABlAFMAbwBsAGkAZABzAFMAbwBsAGkAZABTAHQAbwByAGEAZwBlAFwAbgBGAHIAYQBjAHQAaQBvAG4AIABvAGYAIAB2AG8AbABhAHQAaQBsAGUAIABzAG8AbABpAGQAcwAgAGkAbgAgAHMAbwBsAGkAZAAgAHMAdABvAHIAYQBnAGUAXABuAEYAVgBTAGoAbQA0AFQAMQBcAG4AZgByAGEAYwB0AGkAbwBuAFwAbgBGAFYAUwBfAHsAagAsAG0APQA0ACwAVAA9ADEAfQA9AE0ATQBTAF8AewBqACwAbQA9ADQALABUAD0AMQB9ACsAKABNAE0AUwBfAHsAagAsAG0APQAxACwANwAsADkALABUAD0AMQB9AFwAXAB0AGkAbQBlAHMAIABTAFMAXwB7AG0AfQApAFwAbgBNAE0AUwBqAG0ANABUADEAIAA9ACAAZgByAGEAYwB0AGkAbwBuACAAbwBmACAAbQBhAG4AdQByAGUAIABpAG4AIABzAG8AbABpAGQAIABzAHQAbwByAGEAZwBlACAAcAByAGkAbQBhAHIAeQAgAHMAeQBzAHQAZQBtACAAOgAgAGYAcgBhAGMAdABpAG8AbgBcAG4ATQBNAFMAagBtADEANwA5AFQAMQAgAD0AIABmAHIAYQBjAHQAaQBvAG4AIABvAGYAIABtAGEAbgB1AHIAZQAgAGkAbgAgAE0ATQBTACAAMQAsACAANwAsACAAYQBuAGQAIAA5ACAAaQBuACAAdAByAGUAYQB0AG0AZQBuAHQAIABzAHQAYQBnAGUAIAAx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QBfAEYAcgBhAGMAdABpAG8AbgBWAG8AbABhAHQAaQBsAGUAUwBvAGwAaQBkAHMAUwBvAGwAaQBkAFMAdABvAHIAYQBnAGUAXABuACAAIAA9AEwAQQBNAEIARABBACgAXABuACAAIAAgACAATQBNAFMAagBtADQAVAAxACwAIABNAE0AUwBqAG0AMQA3ADkAVAAxACwAIABTAFMAbQAsAFwAbgAgACAAIAAgAE0ATQBTAGoAbQA0AFQAMQAgACsAIAAoAE0ATQBTAGoAbQAxADcAOQBUADEAIAAqACAAUwBTAG0AKQBcAG4AIAAgACkAOwBcAG4AXABuAFYARQBFAFIARwBfADQAXwA1AF8AMQBfADEAXwBfADUAXwBGAHIAYQBjAHQAaQBvAG4AVgBvAGwAYQB0AGkAbABlAFMAbwBsAGkAZABzAFMAbwBsAGkAZABTAHQAbwByAGEAZwBlAFYAYQByAGkAYQB0AGkAbwBuAFwAbgAgACAAPQBMAEEATQBCAEQAQQAoAFwAbgAgACAAIAAgAE0ATQBT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IAAgAE0ATQBTAGoAbQA0AFQAMQAgACsAIABcAG4AIAAgACAAIAAgACAAKABNAE0AUwBqAG0AVAAxAF8AMQAgACoAIABTAFMAagBtAFQAMQBfADEAKQAgACsAIABcAG4AIAAgACAAIAAgACAAKABNAE0AUwBqAG0AVAAxAF8AMgAgACoAIABTAFMAagBtAFQAMQBfADIAKQAgACsAIABcAG4AIAAgACAAIAAgACAAKABNAE0AUwBqAG0AVAAxAF8AMwAgACoAIABTAFMAagBtAFQAMQBfADMAKQAgACsAXABuACAAIAAgACAAIAAgACgATQBNAFMAagBtAFQAMQBfADQAIAAqACAAUwBTAGoAbQBUADEAXwA0ACkAIAArAFwAbgAgACAAIAAgACAAIAAoAE0ATQBTAGoAbQBUADEAXwA1ACAAKgAgAFMAUwBqAG0AVAAxAF8ANQApAFwAbgAgACAAKQA7AFwAbgBcAG4AVgBFAEUAUgBHAF8ANABfADU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UAXwAxAF8AMQBfAF8ANQBfAEYAcgBhAGMAdABpAG8AbgBWAG8AbABhAHQAaQBsAGUAUwBvAGwAaQBkAHMAUwBvAGwAaQBkAFMAdABvAHIAYQBnAGUAXwBWAGEAcgBpAGEAYgBsAGUAXABuACAAIAA9AEwAQQBNAEIARABBACgAXAAiAEYAVgBTAGoAbQA0AFQAMQBcACIAKQA7AFwAbgBcAG4AVgBFAEUAUgBHAF8ANABfADUAXwAxAF8AMQBfAF8ANQBfAEYAcgBhAGMAdABpAG8AbgBWAG8AbABhAHQAaQBsAGUAUwBvAGwAaQBkAHMAUwBvAGwAaQBkAFMAdABvAHIAYQBnAGUAXwBVAG4AaQB0AFwAbgAgACAAPQBMAEEATQBCAEQAQQAoAFwAIgBmAHIAYQBjAHQAaQBvAG4AXAAiACkAOwBcAG4AXABuAFYARQBFAFIARwBfADQAXwA1AF8AMQBfADEAXwBfADUAXwBGAHIAYQBjAHQAaQBvAG4AVgBvAGwAYQB0AGkAbABlAFMAbwBsAGkAZABzAFMAbwBsAGkAZABTAHQAbwByAGEAZwBlAF8AUwBvAHUAcgBjAGUAXABuACAAIAA9AEwAQQBNAEIARABBACgAXAAiAFYARQBFAFIARwAgADIAMAAyADYAOgAgADQALgA1AC4AMQAuADEALAAgAEUAcQB1AGEAdABpAG8AbgAgACgANQApAFwAIgApADsAXABuAFwAbgBWAEUARQBSAEcAXwA0AF8ANQBfADEAXwAxAF8AXwA1AF8ARgByAGEAYwB0AGkAbwBuAFYAbwBsAGEAdABpAGwAZQBTAG8AbABpAGQAcwBTAG8AbABpAGQAUwB0AG8AcgBhAGcAZQBfAE4ASQBSAFIAZQBmAGUAcgBlAG4AYwBlAFwAbgAgACAAPQBMAEEATQBCAEQAQQAoAFwAIgBcACIAKQA7AFwAbgBcAG4AVgBFAEUAUgBHAF8ANABfADUAXwAxAF8AMQBfAF8ANQBfAEYAcgBhAGMAdABpAG8AbgBWAG8AbABhAHQAaQBsAGUAUwBvAGwAaQBkAHMAUwBvAGwAaQBkAFMAdABvAHIAYQBnAGUAXwBMAGEAdABlAHgARQBxAHUAYQB0AGkAbwBuAFwAbgAgACAAPQBMAEEATQBCAEQAQQAoAFwAIgBGAFYAUwBfAHsAagAsAG0APQA0ACwAVAA9ADEAfQA9AE0ATQBTAF8AewBqACwAbQA9ADQALABUAD0AMQB9ACsAKABNAE0AUwBfAHsAagAsAG0APQAxACwANwAsADkALABUAD0AMQB9AFwAXAB0AGkAbQBlAHMAIABTAFMAXwB7AG0AfQApAFwAIgApADsAXABuAFwAbgBWAEUARQBSAEcAXwA0AF8ANQBfADEAXwAxAF8AXwA1AF8ARgByAGEAYwB0AGkAbwBuAFYAbwBsAGEAdABpAGwAZQBTAG8AbABpAGQAcwBTAG8AbABpAGQAUwB0AG8AcgBhAGcAZQBfAEwAYQB0AGUAeABFAHEAdQBhAHQAaQBvAG4AVgBhAHIAaQBhAHQAaQBvAG4AXABuACAAIAA9AEwAQQBNAEIARABBACgAXAAiAEYAVgBTAF8AewBqACwAbQA9ADQALABUAD0AMQB9AD0ATQBNAFMAXwB7AGoALA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GoAbQA0AFQAMQBcACIALABcACIAZgByAGEAYwB0AGkAbwBuACAAbwBmACAAbQBhAG4AdQByAGUAIABpAG4AIABzAG8AbABpAGQAIABzAHQAbwByAGEAZwBlACAAcAByAGkAbQBhAHIAeQAgAHMAeQBzAHQAZQBtAFwAIgAsACAAXAAiAGYAcgBhAGMAdABpAG8AbgBcACIALAAgAFwAIgBJAG4AcAB1AHQAXAAiADsAXABuACAAIAAgACAAIAAgACAAIAAgACAAXAAiAE0ATQBTAGoAbQAxADcAOQBUADEAXAAiACwAXAAiAGYAcgBhAGMAdABpAG8AbgAgAG8AZgAgAG0AYQBuAHUAcgBlACAAaQBuACAATQBNAFMAIAAxACwAIAA3ACwAIABhAG4AZAAgADkAIABpAG4AIAB0AHIAZQBhAHQAbQBlAG4AdAAgAHMAdABhAGcAZQAgADE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UAXwBGAHIAYQBjAHQAaQBvAG4AVgBvAGwAYQB0AGkAbABlAFMAbwBsAGkAZABz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AgACAAXABuAFwAbgAvACoAXABuAC0ALQAtAC0ALQAtAC0ALQAtAC0ALQAtAC0ALQAtAC0ALQAtAC0ALQAtAC0ALQAtAC0ALQAtAC0ALQAtAC0ALQAtAC0ALQAtAC0ALQBcAG4AVgBFAEUAUgBHAF8ANABfADUAXwAxAF8AMQBfAF8ANgBfAFMAdABhAGcAZQAyAE0AZQB0AGgAYQBuAGUAUAByAG8AZAB1AGMAdABpAG8AbgBcAG4AUAByAG8AZAB1AGMAdABpAG8AbgAgAG8AZgAgAG0AZQB0AGgAYQBuAGUAIABpAG4AIABlAGEAYwBoACAAdAByAGUAYQB0AG0AZQBuAHQAIABzAHQAYQBnAGUAIAAyACAATQBNAFMAXABuAE0AaQBqAG0AVAAyAFwAbgBrAGcAIABDAEgANAAvAGgAZQBhAGQALwBkAGEAeQBcAG4ATQBfAHsAaQBqAG0ALABUAD0AMgB9AD0AVgBTAFQAXwB7AGoAbQAsAFQAPQAyAH0AXABcAHQAaQBtAGUAcwAgAEIATwBcAFwAdABpAG0AZQBzACAATQBNAFMAXwB7AGoAbQAsAFQAPQAyAH0AXABcAHQAaQBtAGUAcwAgAE0AQwBGAF8AewBpAG0AfQBcAFwAdABpAG0AZQBzACAAXABcAHIAaABvAFwAbgBWAFMAVABqAG0AVAAyACAAPQAgAHYAbwBsAGEAdABpAGwAZQAgAHMAbwBsAGkAZABzACAAdAByAGEAbgBzAGYAZQByAHIAZQBkACAAdABvACAAdAByAGUAYQB0AG0AZQBuAHQAIABzAHQAYQBnAGUAIAAyACAATQBNAFMAIAA6ACAAawBnAC8AaABlAGEAZAAvAGQAYQB5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lACAAegBvAG4AZQAgAGEAbgBkACAAcwB5AHMAdABlAG0AIAA6ACAAZgByAGEAYwB0AGkAbwBuAFwAbgByAGgAbwAgAD0AIABkAGUAbgBzAGkAdAB5ACAAbwBmACAAbQBlAHQAaABhAG4AZQAgADoAIABrAGcALwBtADMAXABuAGkAIAA9ACAAcwB0AGEAdABlAFwAbgAtAC0ALQAtAC0ALQAtAC0ALQAtAC0ALQAtAC0ALQAtAC0ALQAtAC0ALQAtAC0ALQAtAC0ALQAtAC0ALQAtAC0ALQAtAC0ALQAtAC0AXABuACoALwBcAG4AXABuAFYARQBFAFIARwBfADQAXwA1AF8AMQBfADEAXwBfADYAXwBTAHQAYQBnAGUAMgBNAGUAdABoAGEAbgBlAFAAcgBvAGQAdQBjAHQAaQBvAG4AXABuACAAIAA9AEwAQQBNAEIARABBACgAXABuACAAIAAgACAAVgBTAFQAagBtAFQAMgAsACAAQgBPACwAIABNAE0AUwBqAG0AVAAyACwAIABNAEMARgBpAG0ALAAgAHIAaABvACwAXABuACAAIAAgACAATABFAFQAKABcAG4AIAAgACAAIAAgACAAVgBTAFQAagBtAFQAMgAsACAASQBGACgASQBTAE4AVQBNAEIARQBSACgAVgBTAFQAagBtAFQAMgApACwAIABWAFMAVABqAG0AVAAyACwAIAAwACkALABcAG4AIAAgACAAIAAgACAATQBNAFMAagBtAFQAMgAsACAASQBGACgASQBTAE4AVQBNAEIARQBSACgATQBNAFMAagBtAFQAMgApACwAIABNAE0AUwBqAG0AVAAyACwAIAAwACkALABcAG4AIAAgACAAIAAgACAAVgBTAFQAagBtAFQAMgAgACoAIABCAE8AIAAqACAATQBNAFMAagBtAFQAMgAgACoAIABNAEMARgBpAG0AIAAqACAAcgBoAG8AXABuACAAIAAgACAAKQBcAG4AIAAgACkAOwBcAG4AXABuAFYARQBFAFIARwBfADQAXwA1AF8AMQBfADEAXwBfADYAXwBTAHQAYQBnAGUAMgBNAGUAdABoAGEAbgBlAFAAcgBvAGQAdQBjAHQAaQBvAG4AXwBUAGkAdABsAGUAXABuACAAIAA9AEwAQQBNAEIARABBACgAXAAiAFAAcgBvAGQAdQBjAHQAaQBvAG4AIABvAGYAIABtAGUAdABoAGEAbgBlACAAaQBuACAAZQBhAGMAaAAgAHQAcgBlAGEAdABtAGUAbgB0ACAAcwB0AGEAZwBlACAAMgAgAE0ATQBTAFwAIgApADsAXABuAFwAbgBWAEUARQBSAEcAXwA0AF8ANQBfADEAXwAxAF8AXwA2AF8AUwB0AGEAZwBlADIATQBlAHQAaABhAG4AZQBQAHIAbwBkAHUAYwB0AGkAbwBuAF8AVgBhAHIAaQBhAGIAbABlAFwAbgAgACAAPQBMAEEATQBCAEQAQQAoAFwAIgBNAGkAagBtAFQAMgBcACIAKQA7AFwAbgBcAG4AVgBFAEUAUgBHAF8ANABfADUAXwAxAF8AMQBfAF8ANgBfAFMAdABhAGcAZQAyAE0AZQB0AGgAYQBuAGUAUAByAG8AZAB1AGMAdABpAG8AbgBfAFUAbgBpAHQAXABuACAAIAA9AEwAQQBNAEIARABBACgAXAAiAGsAZwAgAEMASAA0AC8AaABlAGEAZAAvAGQAYQB5AFwAIgApADsAXABuAFwAbgBWAEUARQBSAEcAXwA0AF8ANQBfADEAXwAxAF8AXwA2AF8AUwB0AGEAZwBlADIATQBlAHQAaABhAG4AZQBQAHIAbwBkAHUAYwB0AGkAbwBuAF8AUwBvAHUAcgBjAGUAXABuACAAIAA9AEwAQQBNAEIARABBACgAXAAiAFYARQBFAFIARwAgADIAMAAyADYAOgAgADQALgA1AC4AMQAuADEALAAgAEUAcQB1AGEAdABpAG8AbgAgACgANgApAFwAIgApADsAXABuAFwAbgBWAEUARQBSAEcAXwA0AF8ANQBfADEAXwAxAF8AXwA2AF8AUwB0AGEAZwBlADIATQBlAHQAaABhAG4AZQBQAHIAbwBkAHUAYwB0AGkAbwBuAF8ATgBJAFIAUgBlAGYAZQByAGUAbgBjAGUAXABuACAAIAA9AEwAQQBNAEIARABBACgAXAAiAFwAIgApADsAXABuAFwAbgBWAEUARQBSAEcAXwA0AF8ANQBfADEAXwAxAF8AXwA2AF8AUwB0AGEAZwBlADIATQBlAHQAaABhAG4AZQBQAHIAbwBkAHUAYwB0AGkAbwBuAF8ATABhAHQAZQB4AEUAcQB1AGEAdABpAG8AbgBcAG4AIAAgAD0ATABBAE0AQgBEAEEAKABcACIATQBfAHsAaQBqAG0ALABUAD0AMgB9AD0AVgBTAFQAXwB7AGoAbQAsAFQAPQAyAH0AXABcAHQAaQBtAGUAcwAgAEIATwBcAFwAdABpAG0AZQBzACAATQBNAFMAXwB7AGoAbQAsAFQAPQAyAH0AXABcAHQAaQBtAGUAcwAgAE0AQwBGAF8AewBpAG0AfQBcAFwAdABpAG0AZQBzACAAXABcAHIAaABvAFwAIgApADsAXABuAFwAbgBWAEUARQBSAEcAXwA0AF8ANQBfADEAXwAxAF8AXwA2AF8AUwB0AGEAZwBlADI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XAAiACwAIABcACIAawBnAC8AaABlAGEAZAAvAGQAYQB5AFwAIgAsACAAXAAiAEMAYQBsAGMAdQBsAGEAdABlAGQAIABmAHIAbwBtACAANAAuADUALgAxAC4AMQAgACgANwApAFwAIgA7AFwAbgAgACAAIAAgACAAIAAgACAAIAAgAFwAIgBCAE8AXAAiACwAXAAiAGUAbQBpAHMAcwBpAG8AbgBzACAAcABvAHQAZQBuAHQAaQBhAGwAXAAiACwAIABcACIAbQAzACAAQwBIADQALwBrAGcAIABWAFMAXAAiACwAIABcACIAQwBvAG4AcwB0AGEAbgB0AFwAIgA7AFwAbgAgACAAIAAgACAAIAAgACAAIAAgAFwAIgBNAE0AUwBqAG0AVAAyAFwAIgAsAFwAIgBmAHIAYQBjAHQAaQBvAG4AIABvAGYAIABtAGEAbgB1AHIAZQAgAGkAbgAgAGUAYQBjAGgAIABzAGUAYwBvAG4AZABhAHIAeQAgAHMAeQBzAHQAZQBtAFwAIgAsACAAXAAiAGYAcgBhAGMAdABpAG8AbgBcACIALAAgAFwAIgBJAG4AcAB1AHQ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BcACIAcwB0AGEAdABlAFwAIgAsACAAXAAiAFwAIgAsACAAXAAiAEkAbgBwAHUAdABcACIAXABuACAAIAAgACAAIAAgACAAIAB9ACwAIAByACwAIABjACkAXABuACAAIAAgACAAIAAgACkAXABuACAAIAAgACAAKQBcAG4AIAAgACkAOwBcAG4AXABuAFYARQBFAFIARwBfADQAXwA1AF8AMQBfADEAXwBfADY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XAAiACwAIABcACIAawBnAC8AaABlAGEAZAAvAGQAYQB5AFwAIgAsACAAXAAiAEMAYQBsAGMAdQBsAGEAdABlAGQAIABmAHIAbwBtACAANAAuADUALgAxAC4AMQAgACgANwApAFwAIgA7AFwAbgAgACAAIAAgACAAIAAgACAAIAAgAFwAIgBCAE8AXAAiACwAXAAiAGUAbQBpAHMAcwBpAG8AbgBzACAAcABvAHQAZQBuAHQAaQBhAGwAXAAiACwAIABcACIAbQAzACAAQwBIADQALwBrAGcAIABWAFMAXAAiACwAIABcACIAQwBvAG4AcwB0AGEAbgB0AFwAIgA7AFwAbgAgACAAIAAgACAAIAAgACAAIAAgAFwAIgBNAE0AUwBqAG0AVAAyAFwAIgAsAFwAIgBmAHIAYQBjAHQAaQBvAG4AIABvAGYAIABtAGEAbgB1AHIAZQAgAGkAbgAgAGUAYQBjAGgAIABzAGUAYwBvAG4AZABhAHIAeQAgAHMAeQBzAHQAZQBtAFwAIgAsACAAXAAiAGYAcgBhAGMAdABpAG8AbgBcACIALAAgAFwAIgBJAG4AcAB1AHQ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WAFMATABtAFQAMQBcACIALABcACIAZgByAGEAYwB0AGkAbwBuACAAbwBmACAAdgBvAGwAYQB0AGkAbABlACAAcwBvAGwAaQBkAHMAIABsAG8AcwB0ACAAZAB1AHIAaQBuAGcAIABzAHQAbwByAGEAZwBlACAAaQBuACAAdABoAGUAIABwAHIAaQBtAGEAcgB5ACAAcwB5AHMAdABlAG0AXAAiACwAIABcACIAZgByAGEAYwB0AGkAbwBuAFwAIgAsACAAXAAiAEwAbwBvAGsAdQBwAFwAIgBcAG4AIAAgACAAIAAgACAAIAAgAH0ALAAgAHIALAAgAGMAKQBcAG4AIAAgACAAIAAgACAAKQBcAG4AIAAgACAAIAApAFwAbgAgACAAKQA7ACIAfQAsAHsAIgBwAGEAdABoACIAOgAiAC8AcAByAG8AagBlAGMAdABzAC8ATQBNAFMAXwBTAHcAaQBuAGU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zACAATQBlAHQAaABvAGQAIAAxACAALQAgAE0AYQBuAHUAcgBlACAARABpAHIAZQBjAHQAIABOADIAT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cwB3AGkAbgBlACAAYwBsAGEAcwBzACwAIABNAE0AUwAgAGEAbgBkACAAdAByAGUAYQB0AG0AZQBuAHQAIABzAHQAYQBnAGUAIAAoAGsAZwAgAE4AKQBcAG4ARQBGAF8AagBtACAAPQAgAG4AaQB0AHIAbwB1AHMAIABvAHgAaQBkAGUAIABlAG0AaQBzAHMAaQBvAG4AIABmAGEAYwB0AG8AcgAgAGYAbwByACAATQBNAFM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UAXwAxAF8AMwBfAF8AMQBfAFQAbwB0AGEAbABBAG4AbgB1AGEAbABEAGkAcgBlAGMAdABOAGkAdAByAG8AdQBzAE8AeABpAGQAZQBFAG0AaQBzAHMAaQBvAG4AcwBGAHIAbwBtAE0ATQBTAFwAbgAgACAAPQBMAEEATQBCAEQAQQAoAFwAbgAgACAAIAAgAE0ATgBfAGoAbQBUACwAIABFAEYAXwBqAG0ALAAgAEMAXwBOADIATwAsAFwAbgAgACAAIAAgAE0ATgBfAGoAbQBUACAAKgAgAEUARgBfAGoAbQAgACoAIABDAF8ATgAyAE8AIAAqACAAMQAwACAAXgAgAC0AMwBcAG4AIAAgACkAOwBcAG4AXABuAFYARQBFAFIARwBfADQAXwA1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QBfADEAXwAzAF8AXwAxAF8AVABvAHQAYQBsAEEAbgBuAHUAYQBsAEQAaQByAGUAYwB0AE4AaQB0AHIAbwB1AHMATwB4AGkAZABlAEUAbQBpAHMAcwBpAG8AbgBzAEYAcgBvAG0ATQBNAFMAXwBWAGEAcgBpAGEAYgBsAGUAXABuACAAIAA9AEwAQQBNAEIARABBACgAXAAiAEUAXwBOADIATwBkAGkAcgBcACIAKQA7AFwAbgBcAG4AVgBFAEUAUgBHAF8ANABfADUAXwAxAF8AMwBfAF8AMQBfAFQAbwB0AGEAbABBAG4AbgB1AGEAbABEAGkAcgBlAGMAdABOAGkAdAByAG8AdQBzAE8AeABpAGQAZQBFAG0AaQBzAHMAaQBvAG4AcwBGAHIAbwBtAE0ATQBTAF8AVQBuAGkAdABcAG4AIAAgAD0ATABBAE0AQgBEAEEAKABcACIAdAAgAE4AMgBPAFwAIgApADsAXABuAFwAbgBWAEUARQBSAEcAXwA0AF8ANQBfADEAXwAzAF8AXwAxAF8AVABvAHQAYQBsAEEAbgBuAHUAYQBsAEQAaQByAGUAYwB0AE4AaQB0AHIAbwB1AHMATwB4AGkAZABlAEUAbQBpAHMAcwBpAG8AbgBzAEYAcgBvAG0ATQBNAFMAXwBTAG8AdQByAGMAZQBcAG4AIAAgAD0ATABBAE0AQgBEAEEAKABcACIAVgBFAEUAUgBHACAAMgAwADIANgA6ACAANAAuADUALgAxAC4AMwAsACAARQBxAHUAYQB0AGkAbwBuACAAKAAxACkAXAAiACkAOwBcAG4AXABuAFYARQBFAFIARwBfADQAXwA1AF8AMQBfADMAXwBfADEAXwBUAG8AdABhAGwAQQBuAG4AdQBhAGwARABpAHIAZQBjAHQATgBpAHQAcgBvAHUAcwBPAHgAaQBkAGUARQBtAGkAcwBzAGkAbwBuAHMARgByAG8AbQBNAE0AUwBfAE4ASQBSAFIAZQBmAGUAcgBlAG4AYwBlAFwAbgAgACAAPQBMAEEATQBCAEQAQQAoAFwAIgBcACIAKQA7AFwAbgBcAG4AVgBFAEUAUgBHAF8ANABfADU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1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UARgBfAGoAbQBcACIALAAgAFwAIgBuAGkAdAByAG8AdQBzACAAbwB4AGkAZABlACAAZQBtAGkAcwBzAGkAbwBuACAAZgBhAGMAdABvAHIAIABmAG8AcgAgAE0ATQBTAFwAIgAsACAAXAAiAGsAZwAgAE4AMgBPAC0ATgAvAGsAZwAgAE4AXAAiACwAIABcACIAQwBvAG4AcwB0AGEAbgB0AFwAIgA7AFwAbgAgACAAIAAgACAAIAAgACAAIAAgAFwAIgBDAF8ATgAyAE8AXAAiACwAI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gBfAFMAdABhAGcAZQAxAE4AaQB0AHIAbwBnAGUAbgBJAG4ATQBNAFMAXABuAE4AaQB0AHIAbwBnAGUAbgAgAGkAbgAgAHQAcgBlAGEAdABtAGUAbgB0ACAAcwB0AGEAZwBlACAAMQAgAE0ATQBTAFwAbgBNAE4AXwBqAG0AVAAxAFwAbgBrAGcAIABOAFwAbgBNAE4AXwB7AGoAbQAsAFQAPQAxAH0APQBBAEUAXwB7AGoAfQBcAFwAdABpAG0AZQBzACAARgBOAF8AewBqAG0ALABUAD0AMQB9AFwAbgBBAEUAXwBqACAAPQAgAHQAbwB0AGEAbAAgAG4AaQB0AHIAbwBnAGUAbgAgAGUAeABjAHIAZQB0AGUAZAAgAGIAeQAgAGUAYQBjAGgAIABzAHcAaQBuAGUAIABjAGwAYQBzAHMAIAAoAGsAZwAgAE4AKQBcAG4ARgBOAF8AagBtAFQAMQAgAD0AIABmAHIAYQBjAHQAaQBvAG4AIABvAGYAIABuAGkAdAByAG8AZwBlAG4AIABpAG4AIABlAGEAYwBoACAAcAByAGkAbQBhAHIAeQAgAE0ATQBTACAAcwB5AHMAdABlAG0AXABuAC0ALQAtAC0ALQAtAC0ALQAtAC0ALQAtAC0ALQAtAC0ALQAtAC0ALQAtAC0ALQAtAC0ALQAtAC0ALQAtAC0ALQAtAC0ALQAtAC0ALQBcAG4AKgAvAFwAbgBcAG4AVgBFAEUAUgBHAF8ANABfADUAXwAxAF8AMwBfAF8AMgBfAFMAdABhAGcAZQAxAE4AaQB0AHIAbwBnAGUAbgBJAG4ATQBNAFMAXABuACAAIAA9AEwAQQBNAEIARABBACgAXABuACAAIAAgACAAQQBFAF8AagAsACAARgBOAF8AagBtAFQAMQAsAFwAbgAgACAAIAAgAEEARQBfAGoAIAAqACAARgBOAF8AagBtAFQAMQBcAG4AIAAgACkAOwBcAG4AXABuAFYARQBFAFIARwBfADQAXwA1AF8AMQBfADMAXwBfADIAXwBTAHQAYQBnAGUAMQBOAGkAdAByAG8AZwBlAG4ASQBuAE0ATQBTAF8AVABpAHQAbABlAFwAbgAgACAAPQBMAEEATQBCAEQAQQAoAFwAIgBOAGkAdAByAG8AZwBlAG4AIABpAG4AIAB0AHIAZQBhAHQAbQBlAG4AdAAgAHMAdABhAGcAZQAgADEAIABNAE0AUwBcACIAKQA7AFwAbgBcAG4AVgBFAEUAUgBHAF8ANABfADUAXwAxAF8AMwBfAF8AMgBfAFMAdABhAGcAZQAxAE4AaQB0AHIAbwBnAGUAbgBJAG4ATQBNAFMAXwBWAGEAcgBpAGEAYgBsAGUAXABuACAAIAA9AEwAQQBNAEIARABBACgAXAAiAE0ATgBfAGoAbQBUADEAXAAiACkAOwBcAG4AXABuAFYARQBFAFIARwBfADQAXwA1AF8AMQBfADMAXwBfADIAXwBTAHQAYQBnAGUAMQBOAGkAdAByAG8AZwBlAG4ASQBuAE0ATQBTAF8AVQBuAGkAdABcAG4AIAAgAD0ATABBAE0AQgBEAEEAKABcACIAawBnACAATgBcACIAKQA7AFwAbgBcAG4AVgBFAEUAUgBHAF8ANABfADUAXwAxAF8AMwBfAF8AMgBfAFMAdABhAGcAZQAxAE4AaQB0AHIAbwBnAGUAbgBJAG4ATQBNAFMAXwBTAG8AdQByAGMAZQBcAG4AIAAgAD0ATABBAE0AQgBEAEEAKABcACIAVgBFAEUAUgBHACAAMgAwADIANgA6ACAANAAuADUALgAxAC4AMwAsACAARQBxAHUAYQB0AGkAbwBuACAAKAAyACkAXAAiACkAOwBcAG4AXABuAFYARQBFAFIARwBfADQAXwA1AF8AMQBfADMAXwBfADIAXwBTAHQAYQBnAGUAMQBOAGkAdAByAG8AZwBlAG4ASQBuAE0ATQBTAF8ATgBJAFIAUgBlAGYAZQByAGUAbgBjAGUAXABuACAAIAA9AEwAQQBNAEIARABBACgAXAAiAFwAIgApADsAXABuAFwAbgBWAEUARQBSAEcAXwA0AF8ANQBfADEAXwAzAF8AXwAyAF8AUwB0AGEAZwBlADEATgBpAHQAcgBvAGcAZQBuAEkAbgBNAE0AUwBfAEwAYQB0AGUAeABFAHEAdQBhAHQAaQBvAG4AXABuACAAIAA9AEwAQQBNAEIARABBACgAXAAiAE0ATgBfAHsAagBtACwAVAA9ADEAfQA9AEEARQBfAHsAagB9AFwAXAB0AGkAbQBlAHMAIABGAE4AXwB7AGoAbQAsAFQAPQAxAH0AXAAiACkAOwBcAG4AXABuAFYARQBFAFIARwBfADQAXwA1AF8AMQBfADMAXwBfADIAXwBTAHQAYQBnAGUAMQ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HMAdwBpAG4AZQAgAGMAbABhAHMAcwBcACIALAAgAFwAIgBrAGcAIABOAFwAIgAsACAAXAAiAEMAYQBsAGMAdQBsAGEAdABlAGQAIABmAHIAbwBtACAANAAuADUALgAxAC4AMwAgACgANQApAFwAIgA7AFwAbgAgACAAIAAgACAAIAAgACAAIAAgAFwAIgBGAE4AXwBqAG0AVAAxAFwAIgAsACAAXAAiAGYAcgBhAGMAdABpAG8AbgAgAG8AZgAgAG4AaQB0AHIAbwBnAGUAbgAgAGkAbgAgAGUAYQBjAGgAIABwAHIAaQBtAGEAcgB5ACAATQBNAFMAIABzAHkAcwB0AGUAbQBcACIALAAgAFwAIgBmAHIAYQBjAHQAaQBvAG4AXAAiACwAIABcACIAQwBhAGwAYwB1AGwAYQB0AGUAZAAgAGYAcgBvAG0AIAA0AC4ANQAuADEALgAzACAAKAAzACkAKAA0ACk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wBfAEYAcgBhAGMAdABpAG8AbgBPAGYATgBpAHQAcgBvAGcAZQBuAEkAbgBQAHIAaQBtAGEAcgB5AE0ATQBTAFwAbgBGAHIAYQBjAHQAaQBvAG4AIABvAGYAIABuAGkAdAByAG8AZwBlAG4AIABpAG4AIABlAGEAYwBoACAAcAByAGkAbQBhAHIAeQAgAE0ATQBTACAAKABlAHgAYwBsAHUAZABpAG4AZwAgAHMAbwBsAGkAZAAgAHMAdABvAHIAYQBnAGUAKQBcAG4ARgBOAF8AagBtAFQAMQBcAG4AZgByAGEAYwB0AGkAbwBuAFwAbgBGAE4AXwB7AGoAbQAsAFQAPQAxAH0APQBNAE0AUwBfAHsAagBtACwAVAA9ADEAfQBcAFwAdABpAG0AZQBzACgAMQAtAFMATgBfAHsAbQB9ACkAXABuAE0ATQBTAF8AagBtAFQAMQAgAD0AIABmAHIAYQBjAHQAaQBvAG4AIABvAGYAIABtAGEAbgB1AHIAZQAgAGkAbgAgAHAAcgBpAG0AYQByAHkAIABNAE0AUw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zAF8ARgByAGEAYwB0AGkAbwBuAE8AZgBOAGkAdAByAG8AZwBlAG4ASQBuAFAAcgBpAG0AYQByAHkATQBNAFMAXABuACAAIAA9AEwAQQBNAEIARABBACgAXABuACAAIAAgACAATQBNAFMAXwBqAG0AVAAxACwAIABTAE4AXwBtACwAXABuACAAIAAgACAATQBNAFMAXwBqAG0AVAAxACAAKgAgACgAMQAgAC0AIABTAE4AXwBtACkAXABuACAAIAApADsAXABuAFwAbgBWAEUARQBSAEcAXwA0AF8ANQBfADEAXwAzAF8AXwAzAF8ARgByAGEAYwB0AGkAbwBuAE8AZgBOAGkAdAByAG8AZwBlAG4ASQBuAFAAcgBpAG0AYQByAHkATQBNAFMAXwBUAGkAdABsAGUAXABuACAAIAA9AEwAQQBNAEIARABBACgAXAAiAEYAcgBhAGMAdABpAG8AbgAgAG8AZgAgAG4AaQB0AHIAbwBnAGUAbgAgAGkAbgAgAGUAYQBjAGgAIABwAHIAaQBtAGEAcgB5ACAATQBNAFMAIAAoAGUAeABjAGwAdQBkAGkAbgBnACAAcwBvAGwAaQBkACAAcwB0AG8AcgBhAGcAZQApAFwAIgApADsAXABuAFwAbgBWAEUARQBSAEcAXwA0AF8ANQBfADEAXwAzAF8AXwAzAF8ARgByAGEAYwB0AGkAbwBuAE8AZgBOAGkAdAByAG8AZwBlAG4ASQBuAFAAcgBpAG0AYQByAHkATQBNAFMAXwBWAGEAcgBpAGEAYgBsAGUAXABuACAAIAA9AEwAQQBNAEIARABBACgAXAAiAEYATgBfAGoAbQBUADEAXAAiACkAOwBcAG4AXABuAFYARQBFAFIARwBfADQAXwA1AF8AMQBfADMAXwBfADMAXwBGAHIAYQBjAHQAaQBvAG4ATwBmAE4AaQB0AHIAbwBnAGUAbgBJAG4AUAByAGkAbQBhAHIAeQBNAE0AUwBfAFUAbgBpAHQAXABuACAAIAA9AEwAQQBNAEIARABBACgAXAAiAGYAcgBhAGMAdABpAG8AbgBcACIAKQA7AFwAbgBcAG4AVgBFAEUAUgBHAF8ANABfADUAXwAxAF8AMwBfAF8AMwBfAEYAcgBhAGMAdABpAG8AbgBPAGYATgBpAHQAcgBvAGcAZQBuAEkAbgBQAHIAaQBtAGEAcgB5AE0ATQBTAF8AUwBvAHUAcgBjAGUAXABuACAAIAA9AEwAQQBNAEIARABBACgAXAAiAFYARQBFAFIARwAgADIAMAAyADYAOgAgADQALgA1AC4AMQAuADMALAAgAEUAcQB1AGEAdABpAG8AbgAgACgAMwApAFwAIgApADsAXABuAFwAbgBWAEUARQBSAEcAXwA0AF8ANQBfADEAXwAzAF8AXwAzAF8ARgByAGEAYwB0AGkAbwBuAE8AZgBOAGkAdAByAG8AZwBlAG4ASQBuAFAAcgBpAG0AYQByAHkATQBNAFMAXwBOAEkAUgBSAGUAZgBlAHIAZQBuAGMAZQBcAG4AIAAgAD0ATABBAE0AQgBEAEEAKABcACIAXAAiACkAOwBcAG4AXABuAFYARQBFAFIARwBfADQAXwA1AF8AMQBfADMAXwBfADMAXwBGAHIAYQBjAHQAaQBvAG4ATwBmAE4AaQB0AHIAbwBnAGUAbgBJAG4AUAByAGkAbQBhAHIAeQBNAE0AUwBfAEwAYQB0AGUAeABFAHEAdQBhAHQAaQBvAG4AXABuACAAIAA9AEwAQQBNAEIARABBACgAXAAiAEYATgBfAHsAagBtACwAVAA9ADEAfQA9AE0ATQBTAF8AewBqAG0ALABUAD0AMQB9AFwAXAB0AGkAbQBlAHMAKAAxAC0AUwBOAF8AewBtAH0AKQBcACIAKQA7AFwAbgBcAG4AVgBFAEUAUgBHAF8ANABfADUAXwAxAF8AMwBfAF8AMwBfAEYAcgBhAGMAdABpAG8AbgBPAGYATgBpAHQAcgBvAGcAZQBuAEkAbgBQAHIAaQBtAGEAcgB5AE0ATQBTAF8AQQByAGcAdQBtAGUAbgB0AHMAXABuACAAIAA9AEwAQQBNAEIARABBACgAXABuACAAIAAgACAATQBBAEsARQBBAFIAUgBBAFkAKAAyACwAIAA0ACwAXABuACAAIAAgACAAIAAgAEwAQQBNAEIARABBACgAcgAsAGMALABcAG4AIAAgACAAIAAgACAAIAAgAEkATgBEAEUAWAAoAHsAXABuACAAIAAgACAAIAAgACAAIAAgACAAXAAiAE0ATQBTAF8AagBtAFQAMQBcACIALAAgAFwAIgBmAHIAYQBjAHQAaQBvAG4AIABvAGYAIABtAGEAbgB1AHIAZQAgAGkAbgAgAHAAcgBpAG0AYQByAHkAIABNAE0AUw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ABfAEYAcgBhAGMAdABpAG8AbgBPAGYATgBpAHQAcgBvAGcAZQBuAEkAbgBTAG8AbABpAGQAUwB0AG8AcgBhAGcAZQBcAG4ARgByAGEAYwB0AGkAbwBuACAAbwBmACAAbgBpAHQAcgBvAGcAZQBuACAAaQBuACAAcwBvAGwAaQBkACAAcwB0AG8AcgBhAGcAZQBcAG4ARgBOAF8AagBtADQAVAAxAFwAbgBmAHIAYQBjAHQAaQBvAG4AXABuAEYATgBfAHsAagBtAD0ANAAsAFQAPQAxAH0APQBNAE0AUwBfAHsAagBtAD0ANAAsAFQAPQAxAH0AKwAoAE0ATQBTAF8AewBqAG0APQAxACwANwAsADkALABUAD0AMQB9AFwAXAB0AGkAbQBlAHMAIABTAE4AXwB7AG0AfQApAFwAbgBNAE0AUwBfAGoAbQA0AFQAMQAgAD0AIABmAHIAYQBjAHQAaQBvAG4AIABvAGYAIABtAGEAbgB1AHIAZQAgAGkAbgAgAHMAbwBsAGkAZAAgAHMAdABvAHIAYQBnAGUAIABNAE0AUwBcAG4ATQBNAFMAXwBqAG0AMQA3ADkAVAAxACAAPQAgAGYAcgBhAGMAdABpAG8AbgAgAG8AZgAgAG0AYQBuAHUAcgBlACAAaQBuACAAcAByAGkAbQBhAHIAeQAgAGwAaQBxAHUAaQBkACAAcwB5AHMAdABlAG0AcwAgACgAbQA9ADEALAA3ACwAOQAp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QAXwBGAHIAYQBjAHQAaQBvAG4ATwBmAE4AaQB0AHIAbwBnAGUAbgBJAG4AUwBvAGwAaQBkAFMAdABvAHIAYQBnAGUAXABuACAAIAA9AEwAQQBNAEIARABBACgAXABuACAAIAAgACAATQBNAFMAXwBqAG0ANABUADEALAAgAE0ATQBTAF8AagBtADEANwA5AFQAMQAsACAAUwBOAF8AbQAsAFwAbgAgACAAIAAgAE0ATQBTAF8AagBtADQAVAAxACAAKwAgACgATQBNAFMAXwBqAG0AMQA3ADkAVAAxACAAKgAgAFMATgBfAG0AKQBcAG4AIAAgACkAOwBcAG4AXABuAFYARQBFAFIARwBfADQAXwA1AF8AMQBfADMAXwBfADQAXwBGAHIAYQBjAHQAaQBvAG4ATwBmAE4AaQB0AHIAbwBnAGUAbgBJAG4AUwBvAGwAaQBkAFMAdABvAHIAYQBnAGUAVgBhAHIAaQBhAHQAaQBvAG4AXABuACAAIAA9AEwAQQBNAEIARABBACgAXABuACAAIAAgACAATQBNAFMAX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E0ATQBTAF8AagBtADQAVAAxACAAKwAgACgATQBNAFMAagBtAFQAMQBfADEAIAAqACAAUwBTAGoAbQBUADEAXwAxACkAIAArACAAKABNAE0AUwBqAG0AVAAxAF8AMgAgACoAIABTAFMAagBtAFQAMQBfADIAKQAgACsAIAAoAE0ATQBTAGoAbQBUADEAXwAzACAAKgAgAFMAUwBqAG0AVAAxAF8AMwApACAAKwAgACgATQBNAFMAagBtAFQAMQBfADQAIAAqACAAUwBTAGoAbQBUADEAXwA0ACkAIAArACAAKABNAE0AUwBqAG0AVAAxAF8ANQAgACoAIABTAFMAagBtAFQAMQBfADUAKQBcAG4AIAAgACkAOwBcAG4AXABuAFYARQBFAFIARwBfADQAXwA1AF8AMQBfADMAXwBfADQAXwBGAHIAYQBjAHQAaQBvAG4ATwBmAE4AaQB0AHIAbwBnAGUAbgBJAG4AUwBvAGwAaQBkAFMAdABvAHIAYQBnAGUAXwBUAGkAdABsAGUAXABuACAAIAA9AEwAQQBNAEIARABBACgAXAAiAEYAcgBhAGMAdABpAG8AbgAgAG8AZgAgAG4AaQB0AHIAbwBnAGUAbgAgAGkAbgAgAHMAbwBsAGkAZAAgAHMAdABvAHIAYQBnAGUAXAAiACkAOwBcAG4AXABuAFYARQBFAFIARwBfADQAXwA1AF8AMQBfADMAXwBfADQAXwBGAHIAYQBjAHQAaQBvAG4ATwBmAE4AaQB0AHIAbwBnAGUAbgBJAG4AUwBvAGwAaQBkAFMAdABvAHIAYQBnAGUAXwBWAGEAcgBpAGEAYgBsAGUAXABuACAAIAA9AEwAQQBNAEIARABBACgAXAAiAEYATgBfAGoAbQA0AFQAMQBcACIAKQA7AFwAbgBcAG4AVgBFAEUAUgBHAF8ANABfADUAXwAxAF8AMwBfAF8ANABfAEYAcgBhAGMAdABpAG8AbgBPAGYATgBpAHQAcgBvAGcAZQBuAEkAbgBTAG8AbABpAGQAUwB0AG8AcgBhAGcAZQBfAFUAbgBpAHQAXABuACAAIAA9AEwAQQBNAEIARABBACgAXAAiAGYAcgBhAGMAdABpAG8AbgBcACIAKQA7AFwAbgBcAG4AVgBFAEUAUgBHAF8ANABfADUAXwAxAF8AMwBfAF8ANABfAEYAcgBhAGMAdABpAG8AbgBPAGYATgBpAHQAcgBvAGcAZQBuAEkAbgBTAG8AbABpAGQAUwB0AG8AcgBhAGcAZQBfAFMAbwB1AHIAYwBlAFwAbgAgACAAPQBMAEEATQBCAEQAQQAoAFwAIgBWAEUARQBSAEcAIAAyADAAMgA2ADoAIAA0AC4ANQAuADEALgAzACwAIABFAHEAdQBhAHQAaQBvAG4AIAAoADQAKQBcACIAKQA7AFwAbgBcAG4AVgBFAEUAUgBHAF8ANABfADUAXwAxAF8AMwBfAF8ANABfAEYAcgBhAGMAdABpAG8AbgBPAGYATgBpAHQAcgBvAGcAZQBuAEkAbgBTAG8AbABpAGQAUwB0AG8AcgBhAGcAZQBfAE4ASQBSAFIAZQBmAGUAcgBlAG4AYwBlAFwAbgAgACAAPQBMAEEATQBCAEQAQQAoAFwAIgBcACIAKQA7AFwAbgBcAG4AVgBFAEUAUgBHAF8ANABfADUAXwAxAF8AMwBfAF8ANABfAEYAcgBhAGMAdABpAG8AbgBPAGYATgBpAHQAcgBvAGcAZQBuAEkAbgBTAG8AbABpAGQAUwB0AG8AcgBhAGcAZQBfAEwAYQB0AGUAeABFAHEAdQBhAHQAaQBvAG4AXABuACAAIAA9AEwAQQBNAEIARABBACgAXAAiAEYATgBfAHsAagBtAD0ANAAsAFQAPQAxAH0APQBNAE0AUwBfAHsAagBtAD0ANAAsAFQAPQAxAH0AKwAoAE0ATQBTAF8AewBqAG0APQAxACwANwAsADkALABUAD0AMQB9AFwAXAB0AGkAbQBlAHMAIABTAE4AXwB7AG0AfQApAFwAIgApADsAXABuAFwAbgBWAEUARQBSAEcAXwA0AF8ANQBfADEAXwAzAF8AXwA0AF8ARgByAGEAYwB0AGkAbwBuAE8AZgBOAGkAdAByAG8AZwBlAG4ASQBuAFMAbwBsAGkAZABTAHQAbwByAGEAZwBlAF8ATABhAHQAZQB4AEUAcQB1AGEAdABpAG8AbgBWAGEAcgBpAGEAdABpAG8AbgBcAG4AIAAgAD0ATABBAE0AQgBEAEEAKABcACIARgBOAF8AewBqAG0APQA0ACwAVAA9ADEAfQA9AE0ATQBTAF8AewBq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wBfAF8ANABfAEYAcgBhAGMAdABpAG8AbgBPAGYATgBpAHQAcgBvAGcAZQBuAEkAbg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QAMQBcACIALAAgAFwAIgBmAHIAYQBjAHQAaQBvAG4AIABvAGYAIABtAGEAbgB1AHIAZQAgAGkAbgAgAHMAbwBsAGkAZAAgAHMAdABvAHIAYQBnAGUAIABNAE0AUwBcACIALAAgAFwAIgBmAHIAYQBjAHQAaQBvAG4AXAAiACwAIABcACIASQBuAHAAdQB0AFwAIgA7AFwAbgAgACAAIAAgACAAIAAgACAAIAAgAFwAIgBNAE0AUwBfAGoAbQAxADcAOQBUADEAXAAiACwAIABcACIAZgByAGEAYwB0AGkAbwBuACAAbwBmACAAbQBhAG4AdQByAGUAIABpAG4AIABwAHIAaQBtAGEAcgB5ACAAbABpAHEAdQBpAGQAIABzAHkAcwB0AGUAbQBzACAAKABtAD0AMQAsADcALAA5ACk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wBfAF8ANABfAEYAcgBhAGMAdABpAG8AbgBPAGYATgBpAHQAcgBvAGcAZQBuAEkAbg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XABuAC8AKgBcAG4ALQAtAC0ALQAtAC0ALQAtAC0ALQAtAC0ALQAtAC0ALQAtAC0ALQAtAC0ALQAtAC0ALQAtAC0ALQAtAC0ALQAtAC0ALQAtAC0ALQAtAFwAbgBWAEUARQBSAEcAXwA0AF8ANQBfADEAXwAzAF8AXwA1AF8AQQBuAG4AdQBhAGwATgBpAHQAcgBvAGcAZQBuAEUAeABjAHIAZQB0AGkAbwBuAFwAbgBBAG4AbgB1AGEAbAAgAG4AaQB0AHIAbwBnAGUAbgAgAGUAeABjAHIAZQB0AGkAbwBuACAAZgByAG8AbQAgAGUAYQBjAGgAIABzAHcAaQBuAGUAIABnAHIAbwB1AHAAXABuAEEARQBfAGoAXABuAGsAZwAgAE4AXABuAEEARQBfAHsAagB9AD0ATgBfAHsAagB9AFwAXAB0AGkAbQBlAHMAIABOAFcAXwB7AGoAfQBcAFwAdABpAG0AZQBzACAARABfAHsAagB9AFwAbgBOAF8AagAgAD0AIABuAHUAbQBiAGUAcgAgAG8AZgAgAHMAdwBpAG4AZQAgAGkAbgAgAGUAYQBjAGgAIABnAHIAbwB1AHAAIAAoAGgAZQBhAGQAKQBcAG4ATgBXAF8AagAgAD0AIABuAGkAdAByAG8AZwBlAG4AIABwAHIAbwBkAHUAYwBlAGQAIABpAG4AIABzAHcAaQBuAGUAIABtAGEAbgB1AHIAZQAgAGEAbgBkACAAdwBhAHMAdABlACAAZgBlAGUAZAAgAGkAbgAgAGUAYQBjAGgAIABjAGwAYQBzAHMAIAAoAGsAZwAgAE4ALwBoAGUAYQBkAC8AZABhAHkAKQBcAG4ARABfAGoAIAA9ACAAZAB1AHIAYQB0AGkAbwBuACAAbwBmACAAcwB0AGEAeQAgAG8AZgAgAHMAdwBpAG4AZQAgAGcAcgBvAHUAcAAgACgAZABhAHkAcwApAFwAbgAtAC0ALQAtAC0ALQAtAC0ALQAtAC0ALQAtAC0ALQAtAC0ALQAtAC0ALQAtAC0ALQAtAC0ALQAtAC0ALQAtAC0ALQAtAC0ALQAtAC0AXABuACoALwBcAG4AXABuAFYARQBFAFIARwBfADQAXwA1AF8AMQBfADMAXwBfADUAXwBBAG4AbgB1AGEAbABOAGkAdAByAG8AZwBlAG4ARQB4AGMAcgBlAHQAaQBvAG4AXABuACAAIAA9AEwAQQBNAEIARABBACgAXABuACAAIAAgACAATgBfAGoALAAgAE4AVwBfAGoALAAgAEQAXwBqACwAXABuACAAIAAgACAATgBfAGoAIAAqACAATgBXAF8AagAgACoAIABEAF8AagBcAG4AIAAgACkAOwBcAG4AXABuAFYARQBFAFIARwBfADQAXwA1AF8AMQBfADMAXwBfADUAXwBBAG4AbgB1AGEAbABOAGkAdAByAG8AZwBlAG4ARQB4AGMAcgBlAHQAaQBvAG4AXwBUAGkAdABsAGUAXABuACAAIAA9AEwAQQBNAEIARABBACgAXAAiAEEAbgBuAHUAYQBsACAAbgBpAHQAcgBvAGcAZQBuACAAZQB4AGMAcgBlAHQAaQBvAG4AIABmAHIAbwBtACAAZQBhAGMAaAAgAHMAdwBpAG4AZQAgAGcAcgBvAHUAcABcACIAKQA7AFwAbgBcAG4AVgBFAEUAUgBHAF8ANABfADUAXwAxAF8AMwBfAF8ANQBfAEEAbgBuAHUAYQBsAE4AaQB0AHIAbwBnAGUAbgBFAHgAYwByAGUAdABpAG8AbgBfAFYAYQByAGkAYQBiAGwAZQBcAG4AIAAgAD0ATABBAE0AQgBEAEEAKABcACIAQQBFAF8AagBcACIAKQA7AFwAbgBcAG4AVgBFAEUAUgBHAF8ANABfADUAXwAxAF8AMwBfAF8ANQBfAEEAbgBuAHUAYQBsAE4AaQB0AHIAbwBnAGUAbgBFAHgAYwByAGUAdABpAG8AbgBfAFUAbgBpAHQAXABuACAAIAA9AEwAQQBNAEIARABBACgAXAAiAGsAZwAgAE4AXAAiACkAOwBcAG4AXABuAFYARQBFAFIARwBfADQAXwA1AF8AMQBfADMAXwBfADUAXwBBAG4AbgB1AGEAbABOAGkAdAByAG8AZwBlAG4ARQB4AGMAcgBlAHQAaQBvAG4AXwBTAG8AdQByAGMAZQBcAG4AIAAgAD0ATABBAE0AQgBEAEEAKABcACIAVgBFAEUAUgBHACAAMgAwADIANgA6ACAANAAuADUALgAxAC4AMwAsACAARQBxAHUAYQB0AGkAbwBuACAAKAA1ACkAXAAiACkAOwBcAG4AXABuAFYARQBFAFIARwBfADQAXwA1AF8AMQBfADMAXwBfADUAXwBBAG4AbgB1AGEAbABOAGkAdAByAG8AZwBlAG4ARQB4AGMAcgBlAHQAaQBvAG4AXwBOAEkAUgBSAGUAZgBlAHIAZQBuAGMAZQBcAG4AIAAgAD0ATABBAE0AQgBEAEEAKABcACIAXAAiACkAOwBcAG4AXABuAFYARQBFAFIARwBfADQAXwA1AF8AMQBfADMAXwBfADUAXwBBAG4AbgB1AGEAbABOAGkAdAByAG8AZwBlAG4ARQB4AGMAcgBlAHQAaQBvAG4AXwBMAGEAdABlAHgARQBxAHUAYQB0AGkAbwBuAFwAbgAgACAAPQBMAEEATQBCAEQAQQAoAFwAIgBBAEUAXwB7AGoAfQA9AE4AXwB7AGoAfQBcAFwAdABpAG0AZQBzACAATgBXAF8AewBqAH0AXABcAHQAaQBtAGUAcwAgAEQAXwB7AGoAfQBcACIAKQA7AFwAbgBcAG4AVgBFAEUAUgBHAF8ANABfADUAXwAxAF8AMwBfAF8ANQ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HMAdwBpAG4AZQAgAGkAbgAgAGUAYQBjAGgAIABnAHIAbwB1AHAAXAAiACwAIABcACIAaABlAGEAZABcACIALAAgAFwAIgBJAG4AcAB1AHQAXAAiADsAXABuACAAIAAgACAAIAAgACAAIAAgACAAXAAiAE4AVwBfAGoAXAAiACwAIABcACIAbgBpAHQAcgBvAGcAZQBuACAAcAByAG8AZAB1AGMAZQBkACAAaQBuACAAcwB3AGkAbgBlACAAbQBhAG4AdQByAGUAIABhAG4AZAAgAHcAYQBzAHQAZQAgAGYAZQBlAGQAIABpAG4AIABlAGEAYwBoACAAYwBsAGEAcwBzAFwAIgAsACAAXAAiAGsAZwAgAE4ALwBoAGUAYQBkAC8AZABhAHkAXAAiACwAIABcACIASQBuAHAAdQB0AFwAIgA7AFwAbgAgACAAIAAgACAAIAAgACAAIAAgAFwAIgBEAF8AagBcACIALAAgAFwAIgBkAHUAcgBhAHQAaQBvAG4AIABvAGYAIABzAHQAYQB5ACAAbwBmACAAcwB3AGkAbgBlACAAZwByAG8AdQBw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oAGsAZwAgAE4AKQBcAG4ATQBNAFMAXwBqAG0AVAAyACAAPQAgAGYAcgBhAGMAdABpAG8AbgAgAG8AZgAgAG0AYQBuAHUAcgBlACAAaQBuACAAZQBhAGMAaAAgAHMAZQBjAG8AbgBkAGEAcgB5ACAAcwB5AHMAdABlAG0AXABuAC0ALQAtAC0ALQAtAC0ALQAtAC0ALQAtAC0ALQAtAC0ALQAtAC0ALQAtAC0ALQAtAC0ALQAtAC0ALQAtAC0ALQAtAC0ALQAtAC0ALQBcAG4AKgAvAFwAbgBcAG4AVgBFAEUAUgBHAF8ANABfADU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NQBfADEAXwAzAF8AXwA2AF8AUwB0AGEAZwBlADIATgBpAHQAcgBvAGcAZQBuAEkAbgBNAE0AUwBfAFQAaQB0AGwAZQBcAG4AIAAgAD0ATABBAE0AQgBEAEEAKABcACIATgBpAHQAcgBvAGcAZQBuACAAaQBuACAAdAByAGUAYQB0AG0AZQBuAHQAIABzAHQAYQBnAGUAIAAyACAATQBNAFMAXAAiACkAOwBcAG4AXABuAFYARQBFAFIARwBfADQAXwA1AF8AMQBfADMAXwBfADYAXwBTAHQAYQBnAGUAMgBOAGkAdAByAG8AZwBlAG4ASQBuAE0ATQBTAF8AVgBhAHIAaQBhAGIAbABlAFwAbgAgACAAPQBMAEEATQBCAEQAQQAoAFwAIgBNAE4AXwBqAG0AVAAyAFwAIgApADsAXABuAFwAbgBWAEUARQBSAEcAXwA0AF8ANQBfADEAXwAzAF8AXwA2AF8AUwB0AGEAZwBlADIATgBpAHQAcgBvAGcAZQBuAEkAbgBNAE0AUwBfAFUAbgBpAHQAXABuACAAIAA9AEwAQQBNAEIARABBACgAXAAiAGsAZwAgAE4AXAAiACkAOwBcAG4AXABuAFYARQBFAFIARwBfADQAXwA1AF8AMQBfADMAXwBfADYAXwBTAHQAYQBnAGUAMgBOAGkAdAByAG8AZwBlAG4ASQBuAE0ATQBTAF8AUwBvAHUAcgBjAGUAXABuACAAIAA9AEwAQQBNAEIARABBACgAXAAiAFYARQBFAFIARwAgADIAMAAyADYAOgAgADQALgA1AC4AMQAuADMALAAgAEUAcQB1AGEAdABpAG8AbgAgACgANgApAFwAIgApADsAXABuAFwAbgBWAEUARQBSAEcAXwA0AF8ANQBfADEAXwAzAF8AXwA2AF8AUwB0AGEAZwBlADIATgBpAHQAcgBvAGcAZQBuAEkAbgBNAE0AUwBfAE4ASQBSAFIAZQBmAGUAcgBlAG4AYwBlAFwAbgAgACAAPQBMAEEATQBCAEQAQQAoAFwAIgBcACIAKQA7AFwAbgBcAG4AVgBFAEUAUgBHAF8ANABfADU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NQ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0AVAAyAFwAIgAsACAAXAAiAG4AaQB0AHIAbwBnAGUAbgAgAHQAcgBhAG4AcwBmAGUAcgByAGUAZAAgAHQAbwAgAHMAZQBjAG8AbgBkAGEAcgB5ACAAdAByAGUAYQB0AG0AZQBuAHQAIABNAE0AUwBcACIALAAgAFwAIgBrAGcAIABOAFwAIgAsACAAXAAiAEMAYQBsAGMAdQBsAGEAdABlAGQAIABmAHIAbwBtACAANAAuADUALgAxAC4AMwAgACgANwApAFwAIgA7AFwAbgAgACAAIAAgACAAIAAgACAAIAAgAFwAIgBNAE0AUwBfAGoAbQBUADIAXAAiACwAI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cAXwBOAGkAdAByAG8AZwBlAG4AVAByAGEAbgBzAGYAZQByAHIAZQBkAFQAbwBTAHQAYQBnAGUAMgBNAE0AUwBcAG4ATgBpAHQAcgBvAGcAZQBuACAAdAByAGEAbgBzAGYAZQByAHIAZQBkACAAdABvACAAdAByAGUAYQB0AG0AZQBuAHQAIABzAHQAYQBnAGUAIAAyACAATQBNAFMAXABuAE4AVABfAGoAbQBUADIAXABuAGsAZwAgAE4AXABuAE4AVABfAHsAagBtACwAVAA9ADIAfQA9AE0ATgBfAHsAagBtACwAVAA9ADEAfQBcAFwAdABpAG0AZQBzACgAMQAtAEYAcgBhAGMARwBBAFMATQBfAHsAbQAsAFQAPQAxAH0ALQBFAEYAXwB7AG0ALABUAD0AMQB9ACkAXABuAE0ATgBfAGoAbQBUADEAIAA9ACAAbgBpAHQAcgBvAGcAZQBuACAAcABlAHIAIABzAHcAaQBuAGUAIABjAGwAYQBzAHMAIABpAG4AIAB0AHIAZQBhAHQAbQBlAG4AdAAgAHMAdABhAGcAZQAgADEAIABNAE0AUwAgACgAawBnACAATgApAFwAbgBGAHIAYQBjAEcAQQBTAE0AbQBUADEAIAA9ACAAZgByAGEAYwB0AGkAbwBuACAAbwBmACAATgAgAHYAbwBsAGEAdABpAGwAaQBzAGUAZAAgAGYAcgBvAG0AIABNAE0AUwAgAHQAcgBlAGEAdABtAGUAbgB0ACAAYQB0ACAAcwB0AGEAZwBlACAAMQBcAG4ARQBGAF8AbQBUADEAIAA9ACAAbgBpAHQAcgBvAHUAcwAgAG8AeABpAGQAZQAgAGUAbQBpAHMAcwBpAG8AbgAgAGYAYQBjAHQAbwByACAAZgBvAHIAIABNAE0AUwAgAHQAcgBlAGEAdABtAGUAbgB0ACAAYQB0ACAAcwB0AGEAZwBlACAAMQBcAG4ALQAtAC0ALQAtAC0ALQAtAC0ALQAtAC0ALQAtAC0ALQAtAC0ALQAtAC0ALQAtAC0ALQAtAC0ALQAtAC0ALQAtAC0ALQAtAC0ALQAtAFwAbgAqAC8AXABuAFwAbgBWAEUARQBSAEcAXwA0AF8ANQBfADEAXwAzAF8AXwA3AF8ATgBpAHQAcgBvAGcAZQBuAFQAcgBhAG4AcwBmAGUAcgByAGUAZABUAG8AUwB0AGEAZwBlADIATQBNAFMAXABuACAAIAA9AEwAQQBNAEIARABBACgAXABuACAAIAAgACAATQBOAF8AagBtAFQAMQAsACAARgByAGEAYwBHAEEAUwBNAG0AVAAxACwAIABFAEYAXwBtAFQAMQAsAFwAbgAgACAAIAAgAE0ATgBfAGoAbQBUADEAIAAqACAAKAAxACAALQAgAEYAcgBhAGMARwBBAFMATQBtAFQAMQAgAC0AIABFAEYAXwBtAFQAMQApAFwAbgAgACAAKQA7AFwAbgBcAG4AVgBFAEUAUgBHAF8ANABfADU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UAXwAxAF8AMwBfAF8ANwBfAE4AaQB0AHIAbwBnAGUAbgBUAHIAYQBuAHMAZgBlAHIAcgBlAGQAVABvAFMAdABhAGcAZQAyAE0ATQBTAF8AVgBhAHIAaQBhAGIAbABlAFwAbgAgACAAPQBMAEEATQBCAEQAQQAoAFwAIgBOAFQAXwBqAG0AVAAyAFwAIgApADsAXABuAFwAbgBWAEUARQBSAEcAXwA0AF8ANQBfADEAXwAzAF8AXwA3AF8ATgBpAHQAcgBvAGcAZQBuAFQAcgBhAG4AcwBmAGUAcgByAGUAZABUAG8AUwB0AGEAZwBlADIATQBNAFMAXwBVAG4AaQB0AFwAbgAgACAAPQBMAEEATQBCAEQAQQAoAFwAIgBrAGcAIABOAFwAIgApADsAXABuAFwAbgBWAEUARQBSAEcAXwA0AF8ANQBfADEAXwAzAF8AXwA3AF8ATgBpAHQAcgBvAGcAZQBuAFQAcgBhAG4AcwBmAGUAcgByAGUAZABUAG8AUwB0AGEAZwBlADIATQBNAFMAXwBTAG8AdQByAGMAZQBcAG4AIAAgAD0ATABBAE0AQgBEAEEAKABcACIAVgBFAEUAUgBHACAAMgAwADIANgA6ACAANAAuADUALgAxAC4AMwAsACAARQBxAHUAYQB0AGkAbwBuACAAKAA3ACkAXAAiACkAOwBcAG4AXABuAFYARQBFAFIARwBfADQAXwA1AF8AMQBfADMAXwBfADcAXwBOAGkAdAByAG8AZwBlAG4AVAByAGEAbgBzAGYAZQByAHIAZQBkAFQAbwBTAHQAYQBnAGUAMgBNAE0AUwBfAE4ASQBSAFIAZQBmAGUAcgBlAG4AYwBlAFwAbgAgACAAPQBMAEEATQBCAEQAQQAoAFwAIgBcACIAKQA7AFwAbgBcAG4AVgBFAEUAUgBHAF8ANABfADUAXwAxAF8AMwBfAF8ANwBfAE4AaQB0AHIAbwBnAGUAbgBUAHIAYQBuAHMAZgBlAHIAcgBlAGQAVABvAFMAdABhAGcAZQAyAE0ATQBTAF8ATABhAHQAZQB4AEUAcQB1AGEAdABpAG8AbgBcAG4AIAAgAD0ATABBAE0AQgBEAEEAKABcACIATgBUAF8AewBqAG0ALABUAD0AMgB9AD0ATQBOAF8AewBqAG0ALABUAD0AMQB9AFwAXAB0AGkAbQBlAHMAKAAxAC0ARgByAGEAYwBHAEEAUwBNAF8AewBtACwAVAA9ADEAfQAtAEUARgBfAHsAbQAsAFQAPQAxAH0AKQBcACIAKQA7AFwAbgBcAG4AVgBFAEUAUgBHAF8ANABfADU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bQBUADEAXAAiACwAIABcACIAbgBpAHQAcgBvAGcAZQBuACAAcABlAHIAIABzAHcAaQBuAGUAIABjAGwAYQBzAHMAIABpAG4AIAB0AHIAZQBhAHQAbQBlAG4AdAAgAHMAdABhAGcAZQAgADEAIABNAE0AUwBcACIALAAgAFwAIgBrAGcAIABOAFwAIgAsACAAXAAiAEMAYQBsAGMAdQBsAGEAdABlAGQAIABmAHIAbwBtACAANAAuADUALgAxAC4AMwAgACgAMgApACgANgApAFwAIgA7AFwAbgAgACAAIAAgACAAIAAgACAAIAAgAFwAIgBGAHIAYQBjAEcAQQBTAE0AbQBUADEAXAAiACwAIABcACIAZgByAGEAYwB0AGkAbwBuACAAbwBmACAATgAgAHYAbwBsAGEAdABpAGwAaQBzAGUAZAAgAGYAcgBvAG0AIABNAE0AUwAgAHQAcgBlAGEAdABtAGUAbgB0ACAAYQB0ACAAcwB0AGEAZwBlACAAMQBcACIALAAgAFwAIgBmAHIAYQBjAHQAaQBvAG4AXAAiACwAIABcACIATABvAG8AawB1AHAAXAAiADsAXABuACAAIAAgACAAIAAgACAAIAAgACAAXAAiAEUARgBfAG0AVAAxAFwAIgAsACAAXAAiAG4AaQB0AHIAbwB1AHMAIABvAHgAaQBkAGUAIABlAG0AaQBzAHMAaQBvAG4AIABmAGEAYwB0AG8AcgAgAGYAbwByACAATQBNAFMAIAB0AHIAZQBhAHQAbQBlAG4AdAAgAGEAdAAgAHMAdABhAGcAZQAgADEAXAAiACwAIABcACIAawBnACAATgAyAE8ALQBOAC8AawBnACAATgBcACIALAAgAFwAIgBMAG8AbwBrAHUAcABcACIAXABuACAAIAAgACAAIAAgACAAIAB9ACwAIAByACwAIABjACkAXABuACAAIAAgACAAIAAgACkAXABuACAAIAAgACAAKQBcAG4AIAAgACkAOwBcAG4AIgB9ACwAewAiAHAAYQB0AGgAIgA6ACIALwBwAHIAbwBqAGUAYwB0AHMALwBNAE0AUwBfAFMAdwBpAG4AZ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UAIABNAGUAdABoAG8AZAAgADEAIAAtACAATQBhAG4AdQByAGUAIABBAHQAbQBvAHMAcABoAGUAcgBpAGMAIABEAGUAcABvAHMAaQB0AGkAbwBu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YQBkAH0APQBNAE0AUwBfAHsAQQBUAE0ATwBTAH0AXABcAHQAaQBtAGUAcwAgAEUARgBfAHsATgAyAE8AfQBcAFwAdABpAG0AZQBzACAAQwBfAHsATgAyAE8AfQBcAFwAdABpAG0AZQBzACAAMQAwAF4AewAtADMAfQBcAG4ATQBNAFM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QBfADEAXwA1AF8AXwAxAF8AQQBuAG4AdQBhAGwAQQB0AG0AbwBzAHAAaABlAHIAaQBjAEQAZQBwAG8AcwBpAHQAaQBvAG4ARQBtAGkAcwBzAGkAbwBuAHMARgByAG8AbQBNAE0AUwBcAG4AIAAgAD0ATABBAE0AQgBEAEEAKABcAG4AIAAgACAAIABNAE0AUwBfAEEAVABNAE8AUwAsACAARQBGAF8ATgAyAE8ALAAgAEMAXwBOADIATwAsAFwAbgAgACAAIAAgAE0ATQBTAF8AQQBUAE0ATwBTACAAKgAgAEUARgBfAE4AMgBPACAAKgAgAEMAXwBOADIATwAgACoAIAAxADAAIABeACAALQAzAFwAbgAgACAAKQA7AFwAbgBcAG4AVgBFAEUAUgBHAF8ANABfADU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NQBfADEAXwA1AF8AXwAxAF8AQQBuAG4AdQBhAGwAQQB0AG0AbwBzAHAAaABlAHIAaQBjAEQAZQBwAG8AcwBpAHQAaQBvAG4ARQBtAGkAcwBzAGkAbwBuAHMARgByAG8AbQBNAE0AUwBfAFYAYQByAGkAYQBiAGwAZQBcAG4AIAAgAD0ATABBAE0AQgBEAEEAKABcACIARQBfAE4AMgBPAE0ATQBTAGEAZABcACIAKQA7AFwAbgBcAG4AVgBFAEUAUgBHAF8ANABfADUAXwAxAF8ANQBfAF8AMQBfAEEAbgBuAHUAYQBsAEEAdABtAG8AcwBwAGgAZQByAGkAYwBEAGUAcABvAHMAaQB0AGkAbwBuAEUAbQBpAHMAcwBpAG8AbgBzAEYAcgBvAG0ATQBNAFMAXwBVAG4AaQB0AFwAbgAgACAAPQBMAEEATQBCAEQAQQAoAFwAIgB0ACAATgAyAE8AXAAiACkAOwBcAG4AXABuAFYARQBFAFIARwBfADQAXwA1AF8AMQBfADUAXwBfADEAXwBBAG4AbgB1AGEAbABBAHQAbQBvAHMAcABoAGUAcgBpAGMARABlAHAAbwBzAGkAdABpAG8AbgBFAG0AaQBzAHMAaQBvAG4AcwBGAHIAbwBtAE0ATQBTAF8AUwBvAHUAcgBjAGUAXABuACAAIAA9AEwAQQBNAEIARABBACgAXAAiAFYARQBFAFIARwAgADIAMAAyADYAOgAgADQALgA1AC4AMQAuADEALAAgAEUAcQB1AGEAdABpAG8AbgAgACgAMQApAFwAIgApADsAXABuAFwAbgBWAEUARQBSAEcAXwA0AF8ANQBfADEAXwA1AF8AXwAxAF8AQQBuAG4AdQBhAGwAQQB0AG0AbwBzAHAAaABlAHIAaQBjAEQAZQBwAG8AcwBpAHQAaQBvAG4ARQBtAGkAcwBzAGkAbwBuAHMARgByAG8AbQBNAE0AUwBfAE4ASQBSAFIAZQBmAGUAcgBlAG4AYwBlAFwAbgAgACAAPQBMAEEATQBCAEQAQQAoAFwAIgBcACIAKQA7AFwAbgBcAG4AVgBFAEUAUgBHAF8ANABfADUAXwAxAF8ANQBfAF8AMQBfAEEAbgBuAHUAYQBsAEEAdABtAG8AcwBwAGgAZQByAGkAYwBEAGUAcABvAHMAaQB0AGkAbwBuAEUAbQBpAHMAcwBpAG8AbgBzAEYAcgBvAG0ATQBNAFMAXwBMAGEAdABlAHgARQBxAHUAYQB0AGkAbwBuAFwAbgAgACAAPQBMAEEATQBCAEQAQQAoAFwAIgBFAF8AewBOADIATwAsAGEAZAB9AD0ATQBNAFMAXwB7AEEAVABNAE8AUwB9AFwAXAB0AGkAbQBlAHMAIABFAEYAXwB7AE4AMgBPAH0AXABcAHQAaQBtAGUAcwAgAEMAXwB7AE4AMgBPAH0AXABcAHQAaQBtAGUAcwAgADEAMABeAHsALQAzAH0AXAAiACkAOwBcAG4AXABuAFYARQBFAFIARwBfADQAXwA1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CAAXAAiAG0AYQBzAHMAIABvAGYAIABOACAAdgBvAGwAYQB0AGkAbABpAHMAZQBkACAAZgByAG8AbQAgAE0ATQBTAFwAIgAsACAAXAAiAGsAZwAgAE4AXAAiACwAIABcACIAQwBhAGwAYwB1AGwAYQB0AGUAZAAgAGYAcgBvAG0AIAA0AC4ANQ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gByAGEAYwBHAEEAUwBNAG0AVABcACIALAAg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TAHcAaQBuAGU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wAgAE0AZQB0AGgAbwBkACAAMQAgAC0AIABNAGEAbgB1AHIAZQAgAEwAZQBhAGMAaABpAG4AZwAgAEEAbgBkACAAUgB1AG4AbwBmAGYAIABOADIATw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PQA1AH0AXABcAHQAaQBtAGUAcwAgAEUARgBfAHsAbABlAGEAYwBoAH0AXABcAHQAaQBtAGUAcwAgAEMAXwB7AE4AMgBPAH0AXABcAHQAaQBtAGUAcwAgADEAMABeAHsALQAzAH0AXABuAE0ATgBMAGUAYQBjAGgAXwBqAG0ANQAgAD0AIABtAGEAcwBzACAAbwBmACAATgAgAGwAbwBzAHQAIAB0AGgAcgBvAHUAZwBoACAAbABlAGEAYwBoAGkAbgBnACAAYQBuAGQAIAByAHUAbgBvAGYAZgAgAGYAcgBvAG0AIABkAHIAeQBsAG8AdAAgAE0ATQBT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QAdQBlACAAdABvACAAcwB0AHIAaQBjAHQAIABlAG4AdgBpAHIAbwBuAG0AZQBuAHQAYQBsACAAYwBvAG4AdAByAG8AbABzACwAIABlAG0AaQBzAHMAaQBvAG4AcwAgAGEAcgBlACAAZQBzAHQAaQBtAGEAdABlAGQAIABvAG4AbAB5ACAAZgBvAHIAIABkAHIAeQBsAG8AdAAgAE0ATQBTACAAKABtAD0ANQApAC4AXABuAC0ALQAtAC0ALQAtAC0ALQAtAC0ALQAtAC0ALQAtAC0ALQAtAC0ALQAtAC0ALQAtAC0ALQAtAC0ALQAtAC0ALQAtAC0ALQAtAC0ALQBcAG4AKgAvAFwAbgBcAG4AVgBFAEUAUgBHAF8ANABfADUAXwAxAF8ANwBfAF8AMQBfAEEAbgBuAHUAYQBsAEUAbQBpAHMAcwBpAG8AbgBzAEYAcgBvAG0ATABlAGEAYwBoAGkAbgBnAEEAbgBkAFIAdQBuAG8AZgBmAEYAcgBvAG0ATQBNAFMAXABuACAAIAA9AEwAQQBNAEIARABBACgAXABuACAAIAAgACAATQBOAEwAZQBhAGMAaABfAGoAbQA1ACwAIABFAEYAXwBsAGUAYQBjAGgALAAgAEMAXwBOADIATwAsAFwAbgAgACAAIAAgAE0ATgBMAGUAYQBjAGgAXwBqAG0ANQAgACoAIABFAEYAXwBsAGUAYQBjAGgAIAAqACAAQwBfAE4AMgBPACAAKgAgADEAMAAgAF4AIAAtADMAXABuACAAIAApADsAXABuAFwAbgBWAEUARQBSAEcAXwA0AF8ANQ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UAXwAxAF8ANwBfAF8AMQBfAEEAbgBuAHUAYQBsAEUAbQBpAHMAcwBpAG8AbgBzAEYAcgBvAG0ATABlAGEAYwBoAGkAbgBnAEEAbgBkAFIAdQBuAG8AZgBmAEYAcgBvAG0ATQBNAFMAXwBWAGEAcgBpAGEAYgBsAGUAXABuACAAIAA9AEwAQQBNAEIARABBACgAXAAiAEUAXwBOADIATwBsAGUAYQBjAGgAXAAiACkAOwBcAG4AXABuAFYARQBFAFIARwBfADQAXwA1AF8AMQBfADcAXwBfADEAXwBBAG4AbgB1AGEAbABFAG0AaQBzAHMAaQBvAG4AcwBGAHIAbwBtAEwAZQBhAGMAaABpAG4AZwBBAG4AZABSAHUAbgBvAGYAZgBGAHIAbwBtAE0ATQBTAF8AVQBuAGkAdABcAG4AIAAgAD0ATABBAE0AQgBEAEEAKABcACIAdAAgAE4AMgBPAFwAIgApADsAXABuAFwAbgBWAEUARQBSAEcAXwA0AF8ANQBfADEAXwA3AF8AXwAxAF8AQQBuAG4AdQBhAGwARQBtAGkAcwBzAGkAbwBuAHMARgByAG8AbQBMAGUAYQBjAGgAaQBuAGcAQQBuAGQAUgB1AG4AbwBmAGYARgByAG8AbQBNAE0AUwBfAFMAbwB1AHIAYwBlAFwAbgAgACAAPQBMAEEATQBCAEQAQQAoAFwAIgBWAEUARQBSAEcAIAAyADAAMgA2ADoAIAA0AC4ANQAuADEALgA3ACwAIABFAHEAdQBhAHQAaQBvAG4AIAAoADEAKQBcACIAKQA7AFwAbgBcAG4AVgBFAEUAUgBHAF8ANABfADUAXwAxAF8ANwBfAF8AMQBfAEEAbgBuAHUAYQBsAEUAbQBpAHMAcwBpAG8AbgBzAEYAcgBvAG0ATABlAGEAYwBoAGkAbgBnAEEAbgBkAFIAdQBuAG8AZgBmAEYAcgBvAG0ATQBNAFMAXwBOAEkAUgBSAGUAZgBlAHIAZQBuAGMAZQBcAG4AIAAgAD0ATABBAE0AQgBEAEEAKABcACIAXAAiACkAOwBcAG4AXABuAFYARQBFAFIARwBfADQAXwA1AF8AMQBfADcAXwBfADEAXwBBAG4AbgB1AGEAbABFAG0AaQBzAHMAaQBvAG4AcwBGAHIAbwBtAEwAZQBhAGMAaABpAG4AZwBBAG4AZABSAHUAbgBvAGYAZgBGAHIAbwBtAE0ATQBTAF8ATABhAHQAZQB4AEUAcQB1AGEAdABpAG8AbgBcAG4AIAAgAD0ATABBAE0AQgBEAEEAKABcACIARQBfAHsATgAyAE8ALABsAGUAYQBjAGgAfQA9AE0ATgBMAGUAYQBjAGgAXwB7AGoAbQA9ADUAfQBcAFwAdABpAG0AZQBzACAARQBGAF8AewBsAGUAYQBjAGgAfQBcAFwAdABpAG0AZQBzACAAQwBfAHsATgAyAE8AfQBcAFwAdABpAG0AZQBzACAAMQAwAF4AewAtADMAfQBcACIAKQA7AFwAbgBcAG4AVgBFAEUAUgBHAF8ANABfADU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A1AFwAIgAsACAAXAAiAG0AYQBzAHMAIABvAGYAIABOACAAbABvAHMAdAAgAHQAaAByAG8AdQBnAGgAIABsAGUAYQBjAGgAaQBuAGcAIABhAG4AZAAgAHIAdQBuAG8AZgBmACAAZgByAG8AbQAgAGQAcgB5AGwAbwB0ACAATQBNAFMAXAAiACwAIABcACIAawBnACAATgBcACIALAAgAFwAIgBDAGEAbABjAHUAbABhAHQAZQBkACAAZgByAG8AbQAgADQALgA1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NA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BcACIALAAgAFwAIgBrAGcAIABOAFwAIgAsACAAXAAiAEMAYQBsAGMAdQBsAGEAdABlAGQAIABmAHIAbwBtACAANAAuADUALgAxAC4AMwAgACgAMgApAFwAIgA7AFwAbgAgACAAIAAgACAAIAAgACAAIAAgAFwAIgBGAHIAYQBjAFcARQBU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Ag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BcAG4AXABuACIAfQAsAHsAIgBwAGEAdABoACIAOgAiAC8AcAByAG8AagBlAGMAdABzAC8ATQBNAFMAXwBTAHcAaQBuAGU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CgATQBOAF8AewBqAG0AVAA9ADIAfQBcAFwAdABpAG0AZQBzACgAMQAtAEUARgBfAHsAbQBUAD0AMgB9AC0ARgByAGEAYwBHAEEAUwBNAF8AewBtAFQAPQAyAH0AKQAtAE0ATgBMAGUAYQBjAGgAXwB7AGoAbQA9ADUAfQApAFwAXAB0AGkAbQBlAHMAIABQAEY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EAXwBNAGEAcwBzAE8AZgBOAGkAdAByAG8AZwBlAG4AQQBwAHAAbABpAGUAZABUAG8AUwBvAGkAbABzAFMAYwBvAHAAZQAx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UABGAFwAbgAgACAAKQA7AFwAbgBcAG4AVgBFAEUAUgBHAF8ANABfADU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1AF8AMQBfADkAXwBfADEAXwBNAGEAcwBzAE8AZgBOAGkAdAByAG8AZwBlAG4AQQBwAHAAbABpAGUAZABUAG8AUwBvAGkAbABzAFMAYwBvAHAAZQAxAF8AVgBhAHIAaQBhAGIAbABlAFwAbgAgACAAPQBMAEEATQBCAEQAQQAoAFwAIgBNAE4AUwBvAGkAbABfAHMAYwBvAHAAZQAxAFwAIgApADsAXABuAFwAbgBWAEUARQBSAEcAXwA0AF8ANQBfADEAXwA5AF8AXwAxAF8ATQBhAHMAcwBPAGYATgBpAHQAcgBvAGcAZQBuAEEAcABwAGwAaQBlAGQAVABvAFMAbwBpAGwAcwBTAGMAbwBwAGUAMQBfAFUAbgBpAHQAXABuACAAIAA9AEwAQQBNAEIARABBACgAXAAiAGsAZwAgAE4AXAAiACkAOwBcAG4AXABuAFYARQBFAFIARwBfADQAXwA1AF8AMQBfADkAXwBfADEAXwBNAGEAcwBzAE8AZgBOAGkAdAByAG8AZwBlAG4AQQBwAHAAbABpAGUAZABUAG8AUwBvAGkAbABzAFMAYwBvAHAAZQAxAF8AUwBvAHUAcgBjAGUAXABuACAAIAA9AEwAQQBNAEIARABBACgAXAAiAFYARQBFAFIARwAgADIAMAAyADYAOgAgADQALgA1AC4AMQAuADkALAAgAEUAcQB1AGEAdABpAG8AbgAgACgAMQApAFwAIgApADsAXABuAFwAbgBWAEUARQBSAEcAXwA0AF8ANQBfADEAXwA5AF8AXwAxAF8ATQBhAHMAcwBPAGYATgBpAHQAcgBvAGcAZQBuAEEAcABwAGwAaQBlAGQAVABvAFMAbwBpAGwAcwBTAGMAbwBwAGUAMQBfAE4ASQBSAFIAZQBmAGUAcgBlAG4AYwBlAFwAbgAgACAAPQBMAEEATQBCAEQAQQAoAFwAIgBcACIAKQA7AFwAbgBcAG4AVgBFAEUAUgBHAF8ANABfADU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VAA9ADIAfQBcAFwAdABpAG0AZQBzACgAMQAtAEUARgBfAHsAbQBUAD0AMgB9AC0ARgByAGEAYwBHAEEAUwBNAF8AewBtAFQAPQAyAH0AKQAtAE0ATgBMAGUAYQBjAGgAXwB7AGoAbQA9ADUAfQApAFwAXAB0AGkAbQBlAHMAIABQAEYAXAAiACkAOwBcAG4AXABuAFYARQBFAFIARwBfADQAXwA1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BUAD0AMgB9AFwAXAB0AGkAbQBlAHMAKAAxAC0ARQBGAF8AewBtAFQAPQAyAH0ALQBGAHIAYQBjAEcAQQBTAE0AXwB7AG0AVAA9ADIAfQApAC0ATQBOAEwAZQBhAGMAaABfAHsAagBtAD0ANQB9ACkAXABcAHQAaQBtAGUAcwAoADEALQBQAEYAKQ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gBfAE0AYQBzAHMATwBmAE4AaQB0AHIAbwBnAGUAbgBBAHAAcABsAGkAZQBkAFQAbwBTAG8AaQBsAHMAUwBjAG8AcABlADM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AoADEAIAAtACAAUABGACkAXABuACAAIAApADsAXABuAFwAbgBWAEUARQBSAEcAXwA0AF8AN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UAXwAxAF8AOQBfAF8AMgBfAE0AYQBzAHMATwBmAE4AaQB0AHIAbwBnAGUAbgBBAHAAcABsAGkAZQBkAFQAbwBTAG8AaQBsAHMAUwBjAG8AcABlADMAXwBWAGEAcgBpAGEAYgBsAGUAXABuACAAIAA9AEwAQQBNAEIARABBACgAXAAiAE0ATgBTAG8AaQBsAF8AcwBjAG8AcABlADMAXAAiACkAOwBcAG4AXABuAFYARQBFAFIARwBfADQAXwA1AF8AMQBfADkAXwBfADIAXwBNAGEAcwBzAE8AZgBOAGkAdAByAG8AZwBlAG4AQQBwAHAAbABpAGUAZABUAG8AUwBvAGkAbABzAFMAYwBvAHAAZQAzAF8AVQBuAGkAdABcAG4AIAAgAD0ATABBAE0AQgBEAEEAKABcACIAawBnACAATgBcACIAKQA7AFwAbgBcAG4AVgBFAEUAUgBHAF8ANABfADUAXwAxAF8AOQBfAF8AMgBfAE0AYQBzAHMATwBmAE4AaQB0AHIAbwBnAGUAbgBBAHAAcABsAGkAZQBkAFQAbwBTAG8AaQBsAHMAUwBjAG8AcABlADMAXwBTAG8AdQByAGMAZQBcAG4AIAAgAD0ATABBAE0AQgBEAEEAKABcACIAVgBFAEUAUgBHACAAMgAwADIANgA6ACAANAAuADUALgAxAC4AOQAsACAARQBxAHUAYQB0AGkAbwBuACAAKAAyACkAXAAiACkAOwBcAG4AXABuAFYARQBFAFIARwBfADQAXwA1AF8AMQBfADkAXwBfADIAXwBNAGEAcwBzAE8AZgBOAGkAdAByAG8AZwBlAG4AQQBwAHAAbABpAGUAZABUAG8AUwBvAGkAbABzAFMAYwBvAHAAZQAzAF8ATgBJAFIAUgBlAGYAZQByAGUAbgBjAGUAXABuACAAIAA9AEwAQQBNAEIARABBACgAXAAiAFwAIgApADsAXABuAFwAbgBWAEUARQBSAEcAXwA0AF8ANQBfADEAXwA5AF8AXwAyAF8ATQBhAHMAcwBPAGYATgBpAHQAcgBvAGcAZQBuAEEAcABwAGwAaQBlAGQAVABvAFMAbwBpAGwAcwBTAGMAbwBwAGUAMwBfAEwAYQB0AGUAeABFAHEAdQBhAHQAaQBvAG4AXABuACAAIAA9AEwAQQBNAEIARABBACgAXAAiAE0ATgBTAG8AaQBsAF8AewBzAGMAbwBwAGUAMwB9AD0AXABcAHMAdQBtAF8AewBqAH0AXABcAHMAdQBtAF8AewBtAH0AKABNAE4AXwB7AGoAbQBUAD0AMgB9AFwAXAB0AGkAbQBlAHMAKAAxAC0ARQBGAF8AewBtAFQAPQAyAH0ALQBGAHIAYQBjAEcAQQBTAE0AXwB7AG0AVAA9ADIAfQApAC0ATQBOAEwAZQBhAGMAaABfAHsAagBtAD0ANQB9ACkAXABcAHQAaQBtAGUAcwAoADEALQBQAEYAKQBcACIAKQA7AFwAbgBcAG4AVgBFAEUAUgBHAF8ANABfADUAXwAxAF8AOQ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IgB9ACwAewAiAHAAYQB0AGgAIgA6ACIALwBwAHIAbwBqAGUAYwB0AHMALwBJAG4AcAB1AHQARgB1AG4AYwB0AGkAbwBuAHMAXwBTAHcAaQBuAGUAIgAsACIAdABlAHgAdAAiADoAIgBDAGEAbABjAHUAbABhAHQAZQBBAGMAdAB1AGEAbABQAGUAcgBjAGUAbgB0AE0AYQBuAHUAcgBlAFMAbwBsAGQAXABuAD0ATABBAE0AQgBEAEEAKABcAG4AIAAgACAAIABTAHQAYQBnAGUAMQBNAE0AUwBQAGUAcgBjAGUAbgB0AHMALAAgAFAAZQByAGMAZQBuAHQAUwBlAHAAYQByAGEAdABlAGQALAAgAFMAdABhAGcAZQAyAE0ATQBTAFAAZQByAGMAZQBuAHQAcwAsACAAUABlAHIAYwBlAG4AdABNAGEAbgB1AHIAZQBTAG8AbABkACwAXABuACAAIAAgACAAKABcAG4AIAAgACAAIAAgACAAIAAgACgAKABTAFUATQAoAFMAdABhAGcAZQAxAE0ATQBTAFAAZQByAGMAZQBuAHQAcwApAC0AKABTAFUATQAoAFMAdABhAGcAZQAxAE0ATQBTAFAAZQByAGMAZQBuAHQAcwApACoAUABlAHIAYwBlAG4AdABTAGUAcABhAHIAYQB0AGUAZAApACkALwA0ACkAXABuACAAIAAgACAAIAAgACAAIAAqAFwAbgAgACAAIAAgACAAIAAgACAAKABTAFUATQAoAFMAdABhAGcAZQAyAE0ATQBTAFAAZQByAGMAZQBuAHQAcwApAC8ANAApAFwAbgAgACAAIAAgACkAXABuACAAIAAgACAAKgAgAFAAZQByAGMAZQBuAHQATQBhAG4AdQByAGUAUwBvAGwAZABcAG4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gBfAFMAdABhAGcAZQAyAE0AZQB0AGgAYQBuAGUAUAByAG8AZAB1AGMAdABpAG8AbgBfAEEAcgBnAHUAbQBlAG4AdABzAF8ATQBlAHQAaABvAGQAMgAiACwAIgBNAE0AUwBfAFMAdwBpAG4AZQBfAE0AZQB0AGgAYQBuAGUAXwBFAHEAdQBhAHQAaQBvAG4AcwAuAFYARQBFAFIARwBfADQAXwA1AF8AMQBfADEAXwBfADcAXwBWAG8AbABhAHQAaQBsAGUAUwBvAGwAaQBkAHMAVAByAGEAbgBzAGYAZQByAHIAZQBkAFMAdABhAGcAZQAyACIALAAiAE0ATQBTAF8AUwB3AGkAbgBlAF8ATQBlAHQAaABhAG4AZQBfAEUAcQB1AGEAdABpAG8AbgBzAC4AVgBFAEUAUgBHAF8ANABfADUAXwAxAF8AMQBfAF8ANwBfAFYAbwBsAGEAdABpAGwAZQBTAG8AbABpAGQAcwBUAHIAYQBuAHMAZgBlAHIAcgBlAGQAUwB0AGEAZwBlADIAXwBUAGkAdABsAGUAIgAsACIATQBNAFMAXwBTAHcAaQBuAGUAXwBNAGUAdABoAGEAbgBlAF8ARQBxAHUAYQB0AGkAbwBuAHMALgBWAEUARQBSAEcAXwA0AF8ANQBfADEAXwAxAF8AXwA3AF8AVgBvAGwAYQB0AGkAbABlAFMAbwBsAGkAZABzAFQAcgBhAG4AcwBmAGUAcgByAGUAZABTAHQAYQBnAGUAMgBfAFYAYQByAGkAYQBiAGwAZQAiACwAIgBNAE0AUwBfAFMAdwBpAG4AZQBfAE0AZQB0AGgAYQBuAGUAXwBFAHEAdQBhAHQAaQBvAG4AcwAuAFYARQBFAFIARwBfADQAXwA1AF8AMQBfADEAXwBfADcAXwBWAG8AbABhAHQAaQBsAGUAUwBvAGwAaQBkAHMAVAByAGEAbgBzAGYAZQByAHIAZQBkAFMAdABhAGcAZQAyAF8AVQBuAGkAdAAiACwAIgBNAE0AUwBfAFMAdwBpAG4AZQBfAE0AZQB0AGgAYQBuAGUAXwBFAHEAdQBhAHQAaQBvAG4AcwAuAFYARQBFAFIARwBfADQAXwA1AF8AMQBfADEAXwBfADcAXwBWAG8AbABhAHQAaQBsAGUAUwBvAGwAaQBkAHMAVAByAGEAbgBzAGYAZQByAHIAZQBkAFMAdABhAGcAZQAyAF8AUwBvAHUAcgBjAGUAIgAsACIATQBNAFMAXwBTAHcAaQBuAGUAXwBNAGUAdABoAGEAbgBlAF8ARQBxAHUAYQB0AGkAbwBuAHMALgBWAEUARQBSAEcAXwA0AF8ANQBfADEAXwAxAF8AXwA3AF8AVgBvAGwAYQB0AGkAbABlAFMAbwBsAGkAZABzAFQAcgBhAG4AcwBmAGUAcgByAGUAZABTAHQAYQBnAGUAMgBfAE4ASQBSAFIAZQBmAGUAcgBlAG4AYwBlACIALAAiAE0ATQBTAF8AUwB3AGkAbgBlAF8ATQBlAHQAaABhAG4AZQBfAEUAcQB1AGEAdABpAG8AbgBzAC4AVgBFAEUAUgBHAF8ANABfADUAXwAxAF8AMQBfAF8ANwBfAFYAbwBsAGEAdABpAGwAZQBTAG8AbABpAGQAcwBUAHIAYQBuAHMAZgBlAHIAcgBlAGQAUwB0AGEAZwBlADIAXwBMAGEAdABlAHgARQBxAHUAYQB0AGkAbwBuACIALAAiAE0ATQBTAF8AUwB3AGkAbgBlAF8ATQBlAHQAaABhAG4AZQBfAEUAcQB1AGEAdABpAG8AbgBzAC4AVgBFAEUAUgBHAF8ANABfADUAXwAxAF8AMQBfAF8ANwBfAFYAbwBsAGEAdABpAGwAZQBTAG8AbABpAGQAcwBUAHIAYQBuAHMAZgBlAHIAcgBlAGQAUwB0AGEAZwBlADIAXwBBAHIAZwB1AG0AZQBuAHQAcwAiACwAIgBNAE0AUwBfAFMAdwBpAG4AZQBfAE4AMgBPAEQAaQByAGUAYwB0AF8ARQBxAHUAYQB0AGkAbwBuAHMALgBWAEUARQBSAEcAXwA0AF8ANQBfADEAXwAzAF8AXwAxAF8AVABvAHQAYQBsAEEAbgBuAHUAYQBsAEQAaQByAGUAYwB0AE4AaQB0AHIAbwB1AHMATwB4AGkAZABlAEUAbQBpAHMAcwBpAG8AbgBzAEYAcgBvAG0ATQBNAFMAIgAsACIATQBNAFMAXwBTAHcAaQBuAGUAXwBOADIATwBEAGkAcgBlAGMAdABfAEUAcQB1AGEAdABpAG8AbgBzAC4AVgBFAEUAUgBHAF8ANABfADUAXwAxAF8AMwBfAF8AMQBfAFQAbwB0AGEAbABBAG4AbgB1AGEAbABEAGkAcgBlAGMAdABOAGkAdAByAG8AdQBzAE8AeABpAGQAZQBFAG0AaQBzAHMAaQBvAG4AcwBGAHIAbwBtAE0ATQBTAF8AVABpAHQAbABlACIALAAiAE0ATQBTAF8AUwB3AGkAbgBlAF8ATgAyAE8ARABpAHIAZQBjAHQAXwBFAHEAdQBhAHQAaQBvAG4AcwAuAFYARQBFAFIARwBfADQAXwA1AF8AMQBfADMAXwBfADEAXwBUAG8AdABhAGwAQQBuAG4AdQBhAGwARABpAHIAZQBjAHQATgBpAHQAcgBvAHUAcwBPAHgAaQBkAGUARQBtAGkAcwBzAGkAbwBuAHMARgByAG8AbQBNAE0AUwBfAFYAYQByAGkAYQBiAGwAZQAiACwAIgBNAE0AUwBfAFMAdwBpAG4AZQBfAE4AMgBPAEQAaQByAGUAYwB0AF8ARQBxAHUAYQB0AGkAbwBuAHMALgBWAEUARQBSAEcAXwA0AF8ANQBfADEAXwAzAF8AXwAxAF8AVABvAHQAYQBsAEEAbgBuAHUAYQBsAEQAaQByAGUAYwB0AE4AaQB0AHIAbwB1AHMATwB4AGkAZABlAEUAbQBpAHMAcwBpAG8AbgBzAEYAcgBvAG0ATQBNAFMAXwBVAG4AaQB0ACIALAAiAE0ATQBTAF8AUwB3AGkAbgBlAF8ATgAyAE8ARABpAHIAZQBjAHQAXwBFAHEAdQBhAHQAaQBvAG4AcwAuAFYARQBFAFIARwBfADQAXwA1AF8AMQBfADMAXwBfADEAXwBUAG8AdABhAGwAQQBuAG4AdQBhAGwARABpAHIAZQBjAHQATgBpAHQAcgBvAHUAcwBPAHgAaQBkAGUARQBtAGkAcwBzAGkAbwBuAHMARgByAG8AbQBNAE0AUwBfAFMAbwB1AHIAYwBlACIALAAiAE0ATQBTAF8AUwB3AGkAbgBlAF8ATgAyAE8ARABpAHIAZQBjAHQAXwBFAHEAdQBhAHQAaQBvAG4AcwAuAFYARQBFAFIARwBfADQAXwA1AF8AMQBfADMAXwBfADEAXwBUAG8AdABhAGwAQQBuAG4AdQBhAGwARABpAHIAZQBjAHQATgBpAHQAcgBvAHUAcwBPAHgAaQBkAGUARQBtAGkAcwBzAGkAbwBuAHMARgByAG8AbQBNAE0AUwBfAE4ASQBSAFIAZQBmAGUAcgBlAG4AYwBlACIALAAiAE0ATQBTAF8AUwB3AGkAbgBlAF8ATgAyAE8ARABpAHIAZQBjAHQAXwBFAHEAdQBhAHQAaQBvAG4AcwAuAFYARQBFAFIARwBfADQAXwA1AF8AMQBfADMAXwBfADEAXwBUAG8AdABhAGwAQQBuAG4AdQBhAGwARABpAHIAZQBjAHQATgBpAHQAcgBvAHUAcwBPAHgAaQBkAGUARQBtAGkAcwBzAGkAbwBuAHMARgByAG8AbQBNAE0AUwBfAEwAYQB0AGUAeABFAHEAdQBhAHQAaQBvAG4AIgAsACIATQBNAFMAXwBTAHcAaQBuAGUAXwBOADIATwBEAGkAcgBlAGMAdABfAEUAcQB1AGEAdABpAG8AbgBzAC4AVgBFAEUAUgBHAF8ANABfADUAXwAxAF8AMwBfAF8AMQBfAFQAbwB0AGEAbABBAG4AbgB1AGEAbABEAGkAcgBlAGMAdABOAGkAdAByAG8AdQBzAE8AeABpAGQAZQBFAG0AaQBzAHMAaQBvAG4AcwBGAHIAbwBtAE0ATQBTAF8AQQByAGcAdQBtAGUAbgB0AHMAIgAsACIATQBNAFMAXwBTAHcAaQBuAGUAXwBOADIATwBEAGkAcgBlAGMAdABfAEUAcQB1AGEAdABpAG8AbgBzAC4AVgBFAEUAUgBHAF8ANABfADUAXwAxAF8AMwBfAF8AMgBfAFMAdABhAGcAZQAxAE4AaQB0AHIAbwBnAGUAbgBJAG4ATQBNAFMAIgAsACIATQBNAFMAXwBTAHcAaQBuAGUAXwBOADIATwBEAGkAcgBlAGMAdABfAEUAcQB1AGEAdABpAG8AbgBzAC4AVgBFAEUAUgBHAF8ANABfADUAXwAxAF8AMwBfAF8AMgBfAFMAdABhAGcAZQAxAE4AaQB0AHIAbwBnAGUAbgBJAG4ATQBNAFMAXwBUAGkAdABsAGUAIgAsACIATQBNAFMAXwBTAHcAaQBuAGUAXwBOADIATwBEAGkAcgBlAGMAdABfAEUAcQB1AGEAdABpAG8AbgBzAC4AVgBFAEUAUgBHAF8ANABfADUAXwAxAF8AMwBfAF8AMgBfAFMAdABhAGcAZQAxAE4AaQB0AHIAbwBnAGUAbgBJAG4ATQBNAFMAXwBWAGEAcgBpAGEAYgBsAGUAIgAsACIATQBNAFMAXwBTAHcAaQBuAGUAXwBOADIATwBEAGkAcgBlAGMAdABfAEUAcQB1AGEAdABpAG8AbgBzAC4AVgBFAEUAUgBHAF8ANABfADUAXwAxAF8AMwBfAF8AMgBfAFMAdABhAGcAZQAxAE4AaQB0AHIAbwBnAGUAbgBJAG4ATQBNAFMAXwBVAG4AaQB0ACIALAAiAE0ATQBTAF8AUwB3AGkAbgBlAF8ATgAyAE8ARABpAHIAZQBjAHQAXwBFAHEAdQBhAHQAaQBvAG4AcwAuAFYARQBFAFIARwBfADQAXwA1AF8AMQBfADMAXwBfADIAXwBTAHQAYQBnAGUAMQBOAGkAdAByAG8AZwBlAG4ASQBuAE0ATQBTAF8AUwBvAHUAcgBjAGUAIgAsACIATQBNAFMAXwBTAHcAaQBuAGUAXwBOADIATwBEAGkAcgBlAGMAdABfAEUAcQB1AGEAdABpAG8AbgBzAC4AVgBFAEUAUgBHAF8ANABfADUAXwAxAF8AMwBfAF8AMgBfAFMAdABhAGcAZQAxAE4AaQB0AHIAbwBnAGUAbgBJAG4ATQBNAFMAXwBOAEkAUgBSAGUAZgBlAHIAZQBuAGMAZQAiACwAIgBNAE0AUwBfAFMAdwBpAG4AZQBfAE4AMgBPAEQAaQByAGUAYwB0AF8ARQBxAHUAYQB0AGkAbwBuAHMALgBWAEUARQBSAEcAXwA0AF8ANQBfADEAXwAzAF8AXwAyAF8AUwB0AGEAZwBlADEATgBpAHQAcgBvAGcAZQBuAEkAbgBNAE0AUwBfAEwAYQB0AGUAeABFAHEAdQBhAHQAaQBvAG4AIgAsACIATQBNAFMAXwBTAHcAaQBuAGUAXwBOADIATwBEAGkAcgBlAGMAdABfAEUAcQB1AGEAdABpAG8AbgBzAC4AVgBFAEUAUgBHAF8ANABfADUAXwAxAF8AMwBfAF8AMgBfAFMAdABhAGcAZQAxAE4AaQB0AHIAbwBnAGUAbgBJAG4ATQBNAFMAXwBBAHIAZwB1AG0AZQBuAHQAcwAiACwAIgBNAE0AUwBfAFMAdwBpAG4AZQBfAE4AMgBPAEQAaQByAGUAYwB0AF8ARQBxAHUAYQB0AGkAbwBuAHMALgBWAEUARQBSAEcAXwA0AF8ANQBfADEAXwAzAF8AXwAzAF8ARgByAGEAYwB0AGkAbwBuAE8AZgBOAGkAdAByAG8AZwBlAG4ASQBuAFAAcgBpAG0AYQByAHkATQBNAFMAIgAsACIATQBNAFMAXwBTAHcAaQBuAGUAXwBOADIATwBEAGkAcgBlAGMAdABfAEUAcQB1AGEAdABpAG8AbgBzAC4AVgBFAEUAUgBHAF8ANABfADUAXwAxAF8AMwBfAF8AMwBfAEYAcgBhAGMAdABpAG8AbgBPAGYATgBpAHQAcgBvAGcAZQBuAEkAbgBQAHIAaQBtAGEAcgB5AE0ATQBTAF8AVABpAHQAbABlACIALAAiAE0ATQBTAF8AUwB3AGkAbgBlAF8ATgAyAE8ARABpAHIAZQBjAHQAXwBFAHEAdQBhAHQAaQBvAG4AcwAuAFYARQBFAFIARwBfADQAXwA1AF8AMQBfADMAXwBfADMAXwBGAHIAYQBjAHQAaQBvAG4ATwBmAE4AaQB0AHIAbwBnAGUAbgBJAG4AUAByAGkAbQBhAHIAeQBNAE0AUwBfAFYAYQByAGkAYQBiAGwAZQAiACwAIgBNAE0AUwBfAFMAdwBpAG4AZQBfAE4AMgBPAEQAaQByAGUAYwB0AF8ARQBxAHUAYQB0AGkAbwBuAHMALgBWAEUARQBSAEcAXwA0AF8ANQBfADEAXwAzAF8AXwAzAF8ARgByAGEAYwB0AGkAbwBuAE8AZgBOAGkAdAByAG8AZwBlAG4ASQBuAFAAcgBpAG0AYQByAHkATQBNAFMAXwBVAG4AaQB0ACIALAAiAE0ATQBTAF8AUwB3AGkAbgBlAF8ATgAyAE8ARABpAHIAZQBjAHQAXwBFAHEAdQBhAHQAaQBvAG4AcwAuAFYARQBFAFIARwBfADQAXwA1AF8AMQBfADMAXwBfADMAXwBGAHIAYQBjAHQAaQBvAG4ATwBmAE4AaQB0AHIAbwBnAGUAbgBJAG4AUAByAGkAbQBhAHIAeQBNAE0AUwBfAFMAbwB1AHIAYwBlACIALAAiAE0ATQBTAF8AUwB3AGkAbgBlAF8ATgAyAE8ARABpAHIAZQBjAHQAXwBFAHEAdQBhAHQAaQBvAG4AcwAuAFYARQBFAFIARwBfADQAXwA1AF8AMQBfADMAXwBfADMAXwBGAHIAYQBjAHQAaQBvAG4ATwBmAE4AaQB0AHIAbwBnAGUAbgBJAG4AUAByAGkAbQBhAHIAeQBNAE0AUwBfAE4ASQBSAFIAZQBmAGUAcgBlAG4AYwBlACIALAAiAE0ATQBTAF8AUwB3AGkAbgBlAF8ATgAyAE8ARABpAHIAZQBjAHQAXwBFAHEAdQBhAHQAaQBvAG4AcwAuAFYARQBFAFIARwBfADQAXwA1AF8AMQBfADMAXwBfADMAXwBGAHIAYQBjAHQAaQBvAG4ATwBmAE4AaQB0AHIAbwBnAGUAbgBJAG4AUAByAGkAbQBhAHIAeQBNAE0AUwBfAEwAYQB0AGUAeABFAHEAdQBhAHQAaQBvAG4AIgAsACIATQBNAFMAXwBTAHcAaQBuAGUAXwBOADIATwBEAGkAcgBlAGMAdABfAEUAcQB1AGEAdABpAG8AbgBzAC4AVgBFAEUAUgBHAF8ANABfADUAXwAxAF8AMwBfAF8AMwBfAEYAcgBhAGMAdABpAG8AbgBPAGYATgBpAHQAcgBvAGcAZQBuAEkAbgBQAHIAaQBtAGEAcgB5AE0ATQBTAF8AQQByAGcAdQBtAGUAbgB0AHMAIgAsACIATQBNAFMAXwBTAHcAaQBuAGUAXwBOADIATwBEAGkAcgBlAGMAdABfAEUAcQB1AGEAdABpAG8AbgBzAC4AVgBFAEUAUgBHAF8ANABfADUAXwAxAF8AMwBfAF8ANABfAEYAcgBhAGMAdABpAG8AbgBPAGYATgBpAHQAcgBvAGcAZQBuAEkAbgBTAG8AbABpAGQAUwB0AG8AcgBhAGcAZQAiACwAIgBNAE0AUwBfAFMAdwBpAG4AZQBfAE4AMgBPAEQAaQByAGUAYwB0AF8ARQBxAHUAYQB0AGkAbwBuAHMALgBWAEUARQBSAEcAXwA0AF8ANQBfADEAXwAzAF8AXwA0AF8ARgByAGEAYwB0AGkAbwBuAE8AZgBOAGkAdAByAG8AZwBlAG4ASQBuAFMAbwBsAGkAZABTAHQAbwByAGEAZwBlAFYAYQByAGkAYQB0AGkAbwBuACIALAAiAE0ATQBTAF8AUwB3AGkAbgBlAF8ATgAyAE8ARABpAHIAZQBjAHQAXwBFAHEAdQBhAHQAaQBvAG4AcwAuAFYARQBFAFIARwBfADQAXwA1AF8AMQBfADMAXwBfADQAXwBGAHIAYQBjAHQAaQBvAG4ATwBmAE4AaQB0AHIAbwBnAGUAbgBJAG4AUwBvAGwAaQBkAFMAdABvAHIAYQBnAGUAXwBUAGkAdABsAGUAIgAsACIATQBNAFMAXwBTAHcAaQBuAGUAXwBOADIATwBEAGkAcgBlAGMAdABfAEUAcQB1AGEAdABpAG8AbgBzAC4AVgBFAEUAUgBHAF8ANABfADUAXwAxAF8AMwBfAF8ANABfAEYAcgBhAGMAdABpAG8AbgBPAGYATgBpAHQAcgBvAGcAZQBuAEkAbgBTAG8AbABpAGQAUwB0AG8AcgBhAGcAZQBfAFYAYQByAGkAYQBiAGwAZQAiACwAIgBNAE0AUwBfAFMAdwBpAG4AZQBfAE4AMgBPAEQAaQByAGUAYwB0AF8ARQBxAHUAYQB0AGkAbwBuAHMALgBWAEUARQBSAEcAXwA0AF8ANQBfADEAXwAzAF8AXwA0AF8ARgByAGEAYwB0AGkAbwBuAE8AZgBOAGkAdAByAG8AZwBlAG4ASQBuAFMAbwBsAGkAZABTAHQAbwByAGEAZwBlAF8AVQBuAGkAdAAiACwAIgBNAE0AUwBfAFMAdwBpAG4AZQBfAE4AMgBPAEQAaQByAGUAYwB0AF8ARQBxAHUAYQB0AGkAbwBuAHMALgBWAEUARQBSAEcAXwA0AF8ANQBfADEAXwAzAF8AXwA0AF8ARgByAGEAYwB0AGkAbwBuAE8AZgBOAGkAdAByAG8AZwBlAG4ASQBuAFMAbwBsAGkAZABTAHQAbwByAGEAZwBlAF8AUwBvAHUAcgBjAGUAIgAsACIATQBNAFMAXwBTAHcAaQBuAGUAXwBOADIATwBEAGkAcgBlAGMAdABfAEUAcQB1AGEAdABpAG8AbgBzAC4AVgBFAEUAUgBHAF8ANABfADUAXwAxAF8AMwBfAF8ANABfAEYAcgBhAGMAdABpAG8AbgBPAGYATgBpAHQAcgBvAGcAZQBuAEkAbgBTAG8AbABpAGQAUwB0AG8AcgBhAGcAZQBfAE4ASQBSAFIAZQBmAGUAcgBlAG4AYwBlACIALAAiAE0ATQBTAF8AUwB3AGkAbgBlAF8ATgAyAE8ARABpAHIAZQBjAHQAXwBFAHEAdQBhAHQAaQBvAG4AcwAuAFYARQBFAFIARwBfADQAXwA1AF8AMQBfADMAXwBfADQAXwBGAHIAYQBjAHQAaQBvAG4ATwBmAE4AaQB0AHIAbwBnAGUAbgBJAG4AUwBvAGwAaQBkAFMAdABvAHIAYQBnAGUAXwBMAGEAdABlAHgARQBxAHUAYQB0AGkAbwBuACIALAAiAE0ATQBTAF8AUwB3AGkAbgBlAF8ATgAyAE8ARABpAHIAZQBjAHQAXwBFAHEAdQBhAHQAaQBvAG4AcwAuAFYARQBFAFIARwBfADQAXwA1AF8AMQBfADMAXwBfADQAXwBGAHIAYQBjAHQAaQBvAG4ATwBmAE4AaQB0AHIAbwBnAGUAbgBJAG4AUwBvAGwAaQBkAFMAdABvAHIAYQBnAGUAXwBMAGEAdABlAHgARQBxAHUAYQB0AGkAbwBuAFYAYQByAGkAYQB0AGkAbwBuACIALAAiAE0ATQBTAF8AUwB3AGkAbgBlAF8ATgAyAE8ARABpAHIAZQBjAHQAXwBFAHEAdQBhAHQAaQBvAG4AcwAuAFYARQBFAFIARwBfADQAXwA1AF8AMQBfADMAXwBfADQAXwBGAHIAYQBjAHQAaQBvAG4ATwBmAE4AaQB0AHIAbwBnAGUAbgBJAG4AUwBvAGwAaQBkAFMAdABvAHIAYQBnAGUAXwBBAHIAZwB1AG0AZQBuAHQAcwAiACwAIgBNAE0AUwBfAFMAdwBpAG4AZQBfAE4AMgBPAEQAaQByAGUAYwB0AF8ARQBxAHUAYQB0AGkAbwBuAHMALgBWAEUARQBSAEcAXwA0AF8ANQBfADEAXwAzAF8AXwA0AF8ARgByAGEAYwB0AGkAbwBuAE8AZgBOAGkAdAByAG8AZwBlAG4ASQBuAFMAbwBsAGkAZABTAHQAbwByAGEAZwBlAF8AVgBhAHIAaQBhAHQAaQBvAG4AIgAsACIATQBNAFMAXwBTAHcAaQBuAGUAXwBOADIATwBEAGkAcgBlAGMAdABfAEUAcQB1AGEAdABpAG8AbgBzAC4AVgBFAEUAUgBHAF8ANABfADUAXwAxAF8AMwBfAF8ANQBfAEEAbgBuAHUAYQBsAE4AaQB0AHIAbwBnAGUAbgBFAHgAYwByAGUAdABpAG8AbgAiACwAIgBNAE0AUwBfAFMAdwBpAG4AZQBfAE4AMgBPAEQAaQByAGUAYwB0AF8ARQBxAHUAYQB0AGkAbwBuAHMALgBWAEUARQBSAEcAXwA0AF8ANQBfADEAXwAzAF8AXwA1AF8AQQBuAG4AdQBhAGwATgBpAHQAcgBvAGcAZQBuAEUAeABjAHIAZQB0AGkAbwBuAF8AVABpAHQAbABlACIALAAiAE0ATQBTAF8AUwB3AGkAbgBlAF8ATgAyAE8ARABpAHIAZQBjAHQAXwBFAHEAdQBhAHQAaQBvAG4AcwAuAFYARQBFAFIARwBfADQAXwA1AF8AMQBfADMAXwBfADUAXwBBAG4AbgB1AGEAbABOAGkAdAByAG8AZwBlAG4ARQB4AGMAcgBlAHQAaQBvAG4AXwBWAGEAcgBpAGEAYgBsAGUAIgAsACIATQBNAFMAXwBTAHcAaQBuAGUAXwBOADIATwBEAGkAcgBlAGMAdABfAEUAcQB1AGEAdABpAG8AbgBzAC4AVgBFAEUAUgBHAF8ANABfADUAXwAxAF8AMwBfAF8ANQBfAEEAbgBuAHUAYQBsAE4AaQB0AHIAbwBnAGUAbgBFAHgAYwByAGUAdABpAG8AbgBfAFUAbgBpAHQAIgAsACIATQBNAFMAXwBTAHcAaQBuAGUAXwBOADIATwBEAGkAcgBlAGMAdABfAEUAcQB1AGEAdABpAG8AbgBzAC4AVgBFAEUAUgBHAF8ANABfADUAXwAxAF8AMwBfAF8ANQBfAEEAbgBuAHUAYQBsAE4AaQB0AHIAbwBnAGUAbgBFAHgAYwByAGUAdABpAG8AbgBfAFMAbwB1AHIAYwBlACIALAAiAE0ATQBTAF8AUwB3AGkAbgBlAF8ATgAyAE8ARABpAHIAZQBjAHQAXwBFAHEAdQBhAHQAaQBvAG4AcwAuAFYARQBFAFIARwBfADQAXwA1AF8AMQBfADMAXwBfADUAXwBBAG4AbgB1AGEAbABOAGkAdAByAG8AZwBlAG4ARQB4AGMAcgBlAHQAaQBvAG4AXwBOAEkAUgBSAGUAZgBlAHIAZQBuAGMAZQAiACwAIgBNAE0AUwBfAFMAdwBpAG4AZQBfAE4AMgBPAEQAaQByAGUAYwB0AF8ARQBxAHUAYQB0AGkAbwBuAHMALgBWAEUARQBSAEcAXwA0AF8ANQBfADEAXwAzAF8AXwA1AF8AQQBuAG4AdQBhAGwATgBpAHQAcgBvAGcAZQBuAEUAeABjAHIAZQB0AGkAbwBuAF8ATABhAHQAZQB4AEUAcQB1AGEAdABpAG8AbgAiACwAIgBNAE0AUwBfAFMAdwBpAG4AZQBfAE4AMgBPAEQAaQByAGUAYwB0AF8ARQBxAHUAYQB0AGkAbwBuAHMALgBWAEUARQBSAEcAXwA0AF8ANQBfADEAXwAzAF8AXwA1AF8AQQBuAG4AdQBhAGwATgBpAHQAcgBvAGcAZQBuAEUAeABjAHIAZQB0AGkAbwBuAF8AQQByAGcAdQBtAGUAbgB0AHMAIgAsACIATQBNAFMAXwBTAHcAaQBuAGUAXwBOADIATwBEAGkAcgBlAGMAdABfAEUAcQB1AGEAdABpAG8AbgBzAC4AVgBFAEUAUgBHAF8ANABfADUAXwAxAF8AMwBfAF8ANgBfAFMAdABhAGcAZQAyAE4AaQB0AHIAbwBnAGUAbgBJAG4ATQBNAFMAIgAsACIATQBNAFMAXwBTAHcAaQBuAGUAXwBOADIATwBEAGkAcgBlAGMAdABfAEUAcQB1AGEAdABpAG8AbgBzAC4AVgBFAEUAUgBHAF8ANABfADUAXwAxAF8AMwBfAF8ANgBfAFMAdABhAGcAZQAyAE4AaQB0AHIAbwBnAGUAbgBJAG4ATQBNAFMAXwBUAGkAdABsAGUAIgAsACIATQBNAFMAXwBTAHcAaQBuAGUAXwBOADIATwBEAGkAcgBlAGMAdABfAEUAcQB1AGEAdABpAG8AbgBzAC4AVgBFAEUAUgBHAF8ANABfADUAXwAxAF8AMwBfAF8ANgBfAFMAdABhAGcAZQAyAE4AaQB0AHIAbwBnAGUAbgBJAG4ATQBNAFMAXwBWAGEAcgBpAGEAYgBsAGUAIgAsACIATQBNAFMAXwBTAHcAaQBuAGUAXwBOADIATwBEAGkAcgBlAGMAdABfAEUAcQB1AGEAdABpAG8AbgBzAC4AVgBFAEUAUgBHAF8ANABfADUAXwAxAF8AMwBfAF8ANgBfAFMAdABhAGcAZQAyAE4AaQB0AHIAbwBnAGUAbgBJAG4ATQBNAFMAXwBVAG4AaQB0ACIALAAiAE0ATQBTAF8AUwB3AGkAbgBlAF8ATgAyAE8ARABpAHIAZQBjAHQAXwBFAHEAdQBhAHQAaQBvAG4AcwAuAFYARQBFAFIARwBfADQAXwA1AF8AMQBfADMAXwBfADYAXwBTAHQAYQBnAGUAMgBOAGkAdAByAG8AZwBlAG4ASQBuAE0ATQBTAF8AUwBvAHUAcgBjAGUAIgAsACIATQBNAFMAXwBTAHcAaQBuAGUAXwBOADIATwBEAGkAcgBlAGMAdABfAEUAcQB1AGEAdABpAG8AbgBzAC4AVgBFAEUAUgBHAF8ANABfADUAXwAxAF8AMwBfAF8ANgBfAFMAdABhAGcAZQAyAE4AaQB0AHIAbwBnAGUAbgBJAG4ATQBNAFMAXwBOAEkAUgBSAGUAZgBlAHIAZQBuAGMAZQAiACwAIgBNAE0AUwBfAFMAdwBpAG4AZQBfAE4AMgBPAEQAaQByAGUAYwB0AF8ARQBxAHUAYQB0AGkAbwBuAHMALgBWAEUARQBSAEcAXwA0AF8ANQBfADEAXwAzAF8AXwA2AF8AUwB0AGEAZwBlADIATgBpAHQAcgBvAGcAZQBuAEkAbgBNAE0AUwBfAEwAYQB0AGUAeABFAHEAdQBhAHQAaQBvAG4AIgAsACIATQBNAFMAXwBTAHcAaQBuAGUAXwBOADIATwBEAGkAcgBlAGMAdABfAEUAcQB1AGEAdABpAG8AbgBzAC4AVgBFAEUAUgBHAF8ANABfADUAXwAxAF8AMwBfAF8ANgBfAFMAdABhAGcAZQAyAE4AaQB0AHIAbwBnAGUAbgBJAG4ATQBNAFMAXwBBAHIAZwB1AG0AZQBuAHQAcwAiACwAIgBNAE0AUwBfAFMAdwBpAG4AZQBfAE4AMgBPAEQAaQByAGUAYwB0AF8ARQBxAHUAYQB0AGkAbwBuAHMALgBWAEUARQBSAEcAXwA0AF8ANQBfADEAXwAzAF8AXwA3AF8ATgBpAHQAcgBvAGcAZQBuAFQAcgBhAG4AcwBmAGUAcgByAGUAZABUAG8AUwB0AGEAZwBlADIATQBNAFMAIgAsACIATQBNAFMAXwBTAHcAaQBuAGUAXwBOADIATwBEAGkAcgBlAGMAdABfAEUAcQB1AGEAdABpAG8AbgBzAC4AVgBFAEUAUgBHAF8ANABfADUAXwAxAF8AMwBfAF8ANwBfAE4AaQB0AHIAbwBnAGUAbgBUAHIAYQBuAHMAZgBlAHIAcgBlAGQAVABvAFMAdABhAGcAZQAyAE0ATQBTAF8AVABpAHQAbABlACIALAAiAE0ATQBTAF8AUwB3AGkAbgBlAF8ATgAyAE8ARABpAHIAZQBjAHQAXwBFAHEAdQBhAHQAaQBvAG4AcwAuAFYARQBFAFIARwBfADQAXwA1AF8AMQBfADMAXwBfADcAXwBOAGkAdAByAG8AZwBlAG4AVAByAGEAbgBzAGYAZQByAHIAZQBkAFQAbwBTAHQAYQBnAGUAMgBNAE0AUwBfAFYAYQByAGkAYQBiAGwAZQAiACwAIgBNAE0AUwBfAFMAdwBpAG4AZQBfAE4AMgBPAEQAaQByAGUAYwB0AF8ARQBxAHUAYQB0AGkAbwBuAHMALgBWAEUARQBSAEcAXwA0AF8ANQBfADEAXwAzAF8AXwA3AF8ATgBpAHQAcgBvAGcAZQBuAFQAcgBhAG4AcwBmAGUAcgByAGUAZABUAG8AUwB0AGEAZwBlADIATQBNAFMAXwBVAG4AaQB0ACIALAAiAE0ATQBTAF8AUwB3AGkAbgBlAF8ATgAyAE8ARABpAHIAZQBjAHQAXwBFAHEAdQBhAHQAaQBvAG4AcwAuAFYARQBFAFIARwBfADQAXwA1AF8AMQBfADMAXwBfADcAXwBOAGkAdAByAG8AZwBlAG4AVAByAGEAbgBzAGYAZQByAHIAZQBkAFQAbwBTAHQAYQBnAGUAMgBNAE0AUwBfAFMAbwB1AHIAYwBlACIALAAiAE0ATQBTAF8AUwB3AGkAbgBlAF8ATgAyAE8ARABpAHIAZQBjAHQAXwBFAHEAdQBhAHQAaQBvAG4AcwAuAFYARQBFAFIARwBfADQAXwA1AF8AMQBfADMAXwBfADcAXwBOAGkAdAByAG8AZwBlAG4AVAByAGEAbgBzAGYAZQByAHIAZQBkAFQAbwBTAHQAYQBnAGUAMgBNAE0AUwBfAE4ASQBSAFIAZQBmAGUAcgBlAG4AYwBlACIALAAiAE0ATQBTAF8AUwB3AGkAbgBlAF8ATgAyAE8ARABpAHIAZQBjAHQAXwBFAHEAdQBhAHQAaQBvAG4AcwAuAFYARQBFAFIARwBfADQAXwA1AF8AMQBfADMAXwBfADcAXwBOAGkAdAByAG8AZwBlAG4AVAByAGEAbgBzAGYAZQByAHIAZQBkAFQAbwBTAHQAYQBnAGUAMgBNAE0AUwBfAEwAYQB0AGUAeABFAHEAdQBhAHQAaQBvAG4AIgAsACIATQBNAFMAXwBTAHcAaQBuAGUAXwBOADIATwBEAGkAcgBlAGMAdABfAEUAcQB1AGEAdABpAG8AbgBzAC4AVgBFAEUAUgBHAF8ANABfADUAXwAxAF8AMwBfAF8ANwBfAE4AaQB0AHIAbwBnAGUAbgBUAHIAYQBuAHMAZgBlAHIAcgBlAGQAVABvAFMAdABhAGcAZQAyAE0ATQBTAF8AQQByAGcAdQBtAGUAbgB0AH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UAGkAdA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WAGEAcgBpAGEAYg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VAG4AaQB0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UwBvAHUAc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OAEkAUgBSAGUAZgBlAHIAZQBu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wAYQB0AGUAeABFAHEAdQBhAHQAaQBvAG4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BAHIAZwB1AG0AZQBuAHQAcwAiACwAIgBNAE0AUwBfAFMAdwBpAG4AZQBfAEEAdABtAG8AcwBwAGgAZQByAGkAYwBEAGUAcABvAHMAaQB0AGkAbwBuAF8ARQBxAHUAYQB0AGkAbwBuAHMALgBWAEUARQBSAEcAXwA0AF8ANQBfADEAXwA1AF8AXwAyAF8AVABvAHQAYQBsAE4AaQB0AHIAbwBnAGUAbgBWAG8AbABhAHQAaQBsAGkAcwBlAGQARgByAG8AbQBNAE0AUwAiACwAIgBNAE0AUwBfAFMAdwBpAG4AZQBfAEEAdABtAG8AcwBwAGgAZQByAGkAYwBEAGUAcABvAHMAaQB0AGkAbwBuAF8ARQBxAHUAYQB0AGkAbwBuAHMALgBWAEUARQBSAEcAXwA0AF8ANQBfADEAXwA1AF8AXwAyAF8AVABvAHQAYQBsAE4AaQB0AHIAbwBnAGUAbgBWAG8AbABhAHQAaQBsAGkAcwBlAGQARgByAG8AbQBNAE0AUwBfAFQAaQB0AGwAZQAiACwAIgBNAE0AUwBfAFMAdwBpAG4AZQBfAEEAdABtAG8AcwBwAGgAZQByAGkAYwBEAGUAcABvAHMAaQB0AGkAbwBuAF8ARQBxAHUAYQB0AGkAbwBuAHMALgBWAEUARQBSAEcAXwA0AF8ANQBfADEAXwA1AF8AXwAyAF8AVABvAHQAYQBsAE4AaQB0AHIAbwBnAGUAbgBWAG8AbABhAHQAaQBsAGkAcwBlAGQARgByAG8AbQBNAE0AUwBfAFYAYQByAGkAYQBiAGwAZQAiACwAIgBNAE0AUwBfAFMAdwBpAG4AZQBfAEEAdABtAG8AcwBwAGgAZQByAGkAYwBEAGUAcABvAHMAaQB0AGkAbwBuAF8ARQBxAHUAYQB0AGkAbwBuAHMALgBWAEUARQBSAEcAXwA0AF8ANQBfADEAXwA1AF8AXwAyAF8AVABvAHQAYQBsAE4AaQB0AHIAbwBnAGUAbgBWAG8AbABhAHQAaQBsAGkAcwBlAGQARgByAG8AbQBNAE0AUwBfAFUAbgBpAHQAIgAsACIATQBNAFMAXwBTAHcAaQBuAGUAXwBBAHQAbQBvAHMAcABoAGUAcgBpAGMARABlAHAAbwBzAGkAdABpAG8AbgBfAEUAcQB1AGEAdABpAG8AbgBzAC4AVgBFAEUAUgBHAF8ANABfADUAXwAxAF8ANQBfAF8AMgBfAFQAbwB0AGEAbABOAGkAdAByAG8AZwBlAG4AVgBvAGwAYQB0AGkAbABpAHMAZQBkAEYAcgBvAG0ATQBNAFMAXwBTAG8AdQByAGMAZQAiACwAIgBNAE0AUwBfAFMAdwBpAG4AZQBfAEEAdABtAG8AcwBwAGgAZQByAGkAYwBEAGUAcABvAHMAaQB0AGkAbwBuAF8ARQBxAHUAYQB0AGkAbwBuAHMALgBWAEUARQBSAEcAXwA0AF8ANQBfADEAXwA1AF8AXwAyAF8AVABvAHQAYQBsAE4AaQB0AHIAbwBnAGUAbgBWAG8AbABhAHQAaQBsAGkAcwBlAGQARgByAG8AbQBNAE0AUwBfAE4ASQBSAFIAZQBmAGUAcgBlAG4AYwBlACIALAAiAE0ATQBTAF8AUwB3AGkAbgBlAF8AQQB0AG0AbwBzAHAAaABlAHIAaQBjAEQAZQBwAG8AcwBpAHQAaQBvAG4AXwBFAHEAdQBhAHQAaQBvAG4AcwAuAFYARQBFAFIARwBfADQAXwA1AF8AMQBfADUAXwBfADIAXwBUAG8AdABhAGwATgBpAHQAcgBvAGcAZQBuAFYAbwBsAGEAdABpAGwAaQBzAGUAZABGAHIAbwBtAE0ATQBTAF8ATABhAHQAZQB4AEUAcQB1AGEAdABpAG8AbgAiACwAIgBNAE0AUwBfAFMAdwBpAG4AZQBfAEEAdABtAG8AcwBwAGgAZQByAGkAYwBEAGUAcABvAHMAaQB0AGkAbwBuAF8ARQBxAHUAYQB0AGkAbwBuAHMALgBWAEUARQBSAEcAXwA0AF8ANQBfADEAXwA1AF8AXwAyAF8AVABvAHQAYQBsAE4AaQB0AHIAbwBnAGUAbgBWAG8AbABhAHQAaQBsAGkAcwBlAGQARgByAG8AbQBNAE0AUwBfAEEAcgBnAHUAbQBlAG4AdABzACIALAAiAE0ATQBTAF8AUwB3AGkAbgBlAF8ATABlAGEAYwBoAGkAbgBnAEEAbgBkAFIAdQBuAG8AZgBmAF8ARQBxAHUAYQB0AGkAbwBuAHMALgBWAEUARQBSAEcAXwA0AF8ANQBfADEAXwA3AF8AXwAxAF8AQQBuAG4AdQBhAGwARQBtAGkAcwBzAGkAbwBuAHMARgByAG8AbQBMAGUAYQBjAGgAaQBuAGcAQQBuAGQAUgB1AG4AbwBmAGYARgByAG8AbQBNAE0AUwAiACwAIgBNAE0AUwBfAFMAdwBpAG4AZQBfAEwAZQBhAGMAaABpAG4AZwBBAG4AZABSAHUAbgBvAGYAZgBfAEUAcQB1AGEAdABpAG8AbgBzAC4AVgBFAEUAUgBHAF8ANABfADUAXwAxAF8ANwBfAF8AMQBfAEEAbgBuAHUAYQBsAEUAbQBpAHMAcwBpAG8AbgBzAEYAcgBvAG0ATABlAGEAYwBoAGkAbgBnAEEAbgBkAFIAdQBuAG8AZgBmAEYAcgBvAG0ATQBNAFMAXwBUAGkAdABsAGUAIgAsACIATQBNAFMAXwBTAHcAaQBuAGUAXwBMAGUAYQBjAGgAaQBuAGcAQQBuAGQAUgB1AG4AbwBmAGYAXwBFAHEAdQBhAHQAaQBvAG4AcwAuAFYARQBFAFIARwBfADQAXwA1AF8AMQBfADcAXwBfADEAXwBBAG4AbgB1AGEAbABFAG0AaQBzAHMAaQBvAG4AcwBGAHIAbwBtAEwAZQBhAGMAaABpAG4AZwBBAG4AZABSAHUAbgBvAGYAZgBGAHIAbwBtAE0ATQBTAF8AVgBhAHIAaQBhAGIAbABlACIALAAiAE0ATQBTAF8AUwB3AGkAbgBlAF8ATABlAGEAYwBoAGkAbgBnAEEAbgBkAFIAdQBuAG8AZgBmAF8ARQBxAHUAYQB0AGkAbwBuAHMALgBWAEUARQBSAEcAXwA0AF8ANQBfADEAXwA3AF8AXwAxAF8AQQBuAG4AdQBhAGwARQBtAGkAcwBzAGkAbwBuAHMARgByAG8AbQBMAGUAYQBjAGgAaQBuAGcAQQBuAGQAUgB1AG4AbwBmAGYARgByAG8AbQBNAE0AUwBfAFUAbgBpAHQAIgAsACIATQBNAFMAXwBTAHcAaQBuAGUAXwBMAGUAYQBjAGgAaQBuAGcAQQBuAGQAUgB1AG4AbwBmAGYAXwBFAHEAdQBhAHQAaQBvAG4AcwAuAFYARQBFAFIARwBfADQAXwA1AF8AMQBfADcAXwBfADEAXwBBAG4AbgB1AGEAbABFAG0AaQBzAHMAaQBvAG4AcwBGAHIAbwBtAEwAZQBhAGMAaABpAG4AZwBBAG4AZABSAHUAbgBvAGYAZgBGAHIAbwBtAE0ATQBTAF8AUwBvAHUAc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gBJAFIAUgBlAGYAZQByAGUAb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ABhAHQAZQB4AEUAcQB1AGEAdABpAG8AbgAiACwAIgBNAE0AUwBfAFMAdwBpAG4AZQBfAEwAZQBhAGMAaABpAG4AZwBBAG4AZABSAHUAbgBvAGYAZgBfAEUAcQB1AGEAdABpAG8AbgBzAC4AVgBFAEUAUgBHAF8ANABfADUAXwAxAF8ANwBfAF8AMQBfAEEAbgBuAHUAYQBsAEUAbQBpAHMAcwBpAG8AbgBzAEYAcgBvAG0ATABlAGEAYwBoAGkAbgBnAEEAbgBkAFIAdQBuAG8AZgBmAEYAcgBvAG0ATQBNAFMAXwBBAHIAZwB1AG0AZQBuAHQAc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QAaQB0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YAYQByAGkAYQBi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UAbgBpAHQ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TAG8AdQBy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4ASQBSAFIAZQBmAGUAcgBlAG4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ABhAHQAZQB4AEUAcQB1AGEAdABpAG8Abg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EAcgBnAHUAbQBlAG4AdABzACIALAAiAE0ATQBTAF8AUwB3AGkAbgBlAF8ATQBhAG4AdQByAGUAQQBwAHAAbABpAGUAZABUAG8AUwBvAGkAbABzAF8ARQBxAHUAYQB0AGkAbwBuAHMALgBWAEUARQBSAEcAXwA0AF8ANQBfADEAXwA5AF8AXwAxAF8ATQBhAHMAcwBPAGYATgBpAHQAcgBvAGcAZQBuAEEAcABwAGwAaQBlAGQAVABvAFMAbwBpAGwAcwBTAGMAbwBwAGUAMQAiACwAIgBNAE0AUwBfAFMAdwBpAG4AZQBfAE0AYQBuAHUAcgBlAEEAcABwAGwAaQBlAGQAVABvAFMAbwBpAGwAcwBfAEUAcQB1AGEAdABpAG8AbgBzAC4AVgBFAEUAUgBHAF8ANABfADUAXwAxAF8AOQBfAF8AMQBfAE0AYQBzAHMATwBmAE4AaQB0AHIAbwBnAGUAbgBBAHAAcABsAGkAZQBkAFQAbwBTAG8AaQBsAHMAUwBjAG8AcABlADEAXwBUAGkAdABsAGUAIgAsACIATQBNAFMAXwBTAHcAaQBuAGUAXwBNAGEAbgB1AHIAZQBBAHAAcABsAGkAZQBkAFQAbwBTAG8AaQBsAHMAXwBFAHEAdQBhAHQAaQBvAG4AcwAuAFYARQBFAFIARwBfADQAXwA1AF8AMQBfADkAXwBfADEAXwBNAGEAcwBzAE8AZgBOAGkAdAByAG8AZwBlAG4AQQBwAHAAbABpAGUAZABUAG8AUwBvAGkAbABzAFMAYwBvAHAAZQAxAF8AVgBhAHIAaQBhAGIAbABlACIALAAiAE0ATQBTAF8AUwB3AGkAbgBlAF8ATQBhAG4AdQByAGUAQQBwAHAAbABpAGUAZABUAG8AUwBvAGkAbABzAF8ARQBxAHUAYQB0AGkAbwBuAHMALgBWAEUARQBSAEcAXwA0AF8ANQBfADEAXwA5AF8AXwAxAF8ATQBhAHMAcwBPAGYATgBpAHQAcgBvAGcAZQBuAEEAcABwAGwAaQBlAGQAVABvAFMAbwBpAGwAcwBTAGMAbwBwAGUAMQBfAFUAbgBpAHQAIgAsACIATQBNAFMAXwBTAHcAaQBuAGUAXwBNAGEAbgB1AHIAZQBBAHAAcABsAGkAZQBkAFQAbwBTAG8AaQBsAHMAXwBFAHEAdQBhAHQAaQBvAG4AcwAuAFYARQBFAFIARwBfADQAXwA1AF8AMQBfADkAXwBfADEAXwBNAGEAcwBzAE8AZgBOAGkAdAByAG8AZwBlAG4AQQBwAHAAbABpAGUAZABUAG8AUwBvAGkAbABzAFMAYwBvAHAAZQAxAF8AUwBvAHUAcgBjAGUAIgAsACIATQBNAFMAXwBTAHcAaQBuAGUAXwBNAGEAbgB1AHIAZQBBAHAAcABsAGkAZQBkAFQAbwBTAG8AaQBsAHMAXwBFAHEAdQBhAHQAaQBvAG4AcwAuAFYARQBFAFIARwBfADQAXwA1AF8AMQBfADkAXwBfADEAXwBNAGEAcwBzAE8AZgBOAGkAdAByAG8AZwBlAG4AQQBwAHAAbABpAGUAZABUAG8AUwBvAGkAbABzAFMAYwBvAHAAZQAxAF8ATgBJAFIAUgBlAGYAZQByAGUAbgBjAGUAIgAsACIATQBNAFMAXwBTAHcAaQBuAGUAXwBNAGEAbgB1AHIAZQBBAHAAcABsAGkAZQBkAFQAbwBTAG8AaQBsAHMAXwBFAHEAdQBhAHQAaQBvAG4AcwAuAFYARQBFAFIARwBfADQAXwA1AF8AMQBfADkAXwBfADEAXwBNAGEAcwBzAE8AZgBOAGkAdAByAG8AZwBlAG4AQQBwAHAAbABpAGUAZABUAG8AUwBvAGkAbABzAFMAYwBvAHAAZQAxAF8ATABhAHQAZQB4AEUAcQB1AGEAdABpAG8AbgAiACwAIgBNAE0AUwBfAFMAdwBpAG4AZQBfAE0AYQBuAHUAcgBlAEEAcABwAGwAaQBlAGQAVABvAFMAbwBpAGwAcwBfAEUAcQB1AGEAdABpAG8AbgBzAC4AVgBFAEUAUgBHAF8ANABfADUAXwAxAF8AOQBfAF8AMQBfAE0AYQBzAHMATwBmAE4AaQB0AHIAbwBnAGUAbgBBAHAAcABsAGkAZQBkAFQAbwBTAG8AaQBsAHMAUwBjAG8AcABlADEAXwBBAHIAZwB1AG0AZQBuAHQAcwAiACwAIgBNAE0AUwBfAFMAdwBpAG4AZQBfAE0AYQBuAHUAcgBlAEEAcABwAGwAaQBlAGQAVABvAFMAbwBpAGwAcwBfAEUAcQB1AGEAdABpAG8AbgBzAC4AVgBFAEUAUgBHAF8ANABfADUAXwAxAF8AOQBfAF8AMgBfAE0AYQBzAHMATwBmAE4AaQB0AHIAbwBnAGUAbgBBAHAAcABsAGkAZQBkAFQAbwBTAG8AaQBsAHMAUwBjAG8AcABlADMAIgAsACIATQBNAFMAXwBTAHcAaQBuAGUAXwBNAGEAbgB1AHIAZQBBAHAAcABsAGkAZQBkAFQAbwBTAG8AaQBsAHMAXwBFAHEAdQBhAHQAaQBvAG4AcwAuAFYARQBFAFIARwBfADQAXwA1AF8AMQBfADkAXwBfADIAXwBNAGEAcwBzAE8AZgBOAGkAdAByAG8AZwBlAG4AQQBwAHAAbABpAGUAZABUAG8AUwBvAGkAbABzAFMAYwBvAHAAZQAzAF8AVABpAHQAbABlACIALAAiAE0ATQBTAF8AUwB3AGkAbgBlAF8ATQBhAG4AdQByAGUAQQBwAHAAbABpAGUAZABUAG8AUwBvAGkAbABzAF8ARQBxAHUAYQB0AGkAbwBuAHMALgBWAEUARQBSAEcAXwA0AF8ANQBfADEAXwA5AF8AXwAyAF8ATQBhAHMAcwBPAGYATgBpAHQAcgBvAGcAZQBuAEEAcABwAGwAaQBlAGQAVABvAFMAbwBpAGwAcwBTAGMAbwBwAGUAMwBfAFYAYQByAGkAYQBiAGwAZQAiACwAIgBNAE0AUwBfAFMAdwBpAG4AZQBfAE0AYQBuAHUAcgBlAEEAcABwAGwAaQBlAGQAVABvAFMAbwBpAGwAcwBfAEUAcQB1AGEAdABpAG8AbgBzAC4AVgBFAEUAUgBHAF8ANABfADUAXwAxAF8AOQBfAF8AMgBfAE0AYQBzAHMATwBmAE4AaQB0AHIAbwBnAGUAbgBBAHAAcABsAGkAZQBkAFQAbwBTAG8AaQBsAHMAUwBjAG8AcABlADMAXwBVAG4AaQB0ACIALAAiAE0ATQBTAF8AUwB3AGkAbgBlAF8ATQBhAG4AdQByAGUAQQBwAHAAbABpAGUAZABUAG8AUwBvAGkAbABzAF8ARQBxAHUAYQB0AGkAbwBuAHMALgBWAEUARQBSAEcAXwA0AF8ANQBfADEAXwA5AF8AXwAyAF8ATQBhAHMAcwBPAGYATgBpAHQAcgBvAGcAZQBuAEEAcABwAGwAaQBlAGQAVABvAFMAbwBpAGwAcwBTAGMAbwBwAGUAMwBfAFMAbwB1AHIAYwBlACIALAAiAE0ATQBTAF8AUwB3AGkAbgBlAF8ATQBhAG4AdQByAGUAQQBwAHAAbABpAGUAZABUAG8AUwBvAGkAbABzAF8ARQBxAHUAYQB0AGkAbwBuAHMALgBWAEUARQBSAEcAXwA0AF8ANQBfADEAXwA5AF8AXwAyAF8ATQBhAHMAcwBPAGYATgBpAHQAcgBvAGcAZQBuAEEAcABwAGwAaQBlAGQAVABvAFMAbwBpAGwAcwBTAGMAbwBwAGUAMwBfAE4ASQBSAFIAZQBmAGUAcgBlAG4AYwBlACIALAAiAE0ATQBTAF8AUwB3AGkAbgBlAF8ATQBhAG4AdQByAGUAQQBwAHAAbABpAGUAZABUAG8AUwBvAGkAbABzAF8ARQBxAHUAYQB0AGkAbwBuAHMALgBWAEUARQBSAEcAXwA0AF8ANQBfADEAXwA5AF8AXwAyAF8ATQBhAHMAcwBPAGYATgBpAHQAcgBvAGcAZQBuAEEAcABwAGwAaQBlAGQAVABvAFMAbwBpAGwAcwBTAGMAbwBwAGUAMwBfAEwAYQB0AGUAeABFAHEAdQBhAHQAaQBvAG4AIgAsACIATQBNAFMAXwBTAHcAaQBuAGUAXwBNAGEAbgB1AHIAZQBBAHAAcABsAGkAZQBkAFQAbwBTAG8AaQBsAHMAXwBFAHEAdQBhAHQAaQBvAG4AcwAuAFYARQBFAFIARwBfADQAXwA1AF8AMQBfADkAXwBfADIAXwBNAGEAcwBzAE8AZgBOAGkAdAByAG8AZwBlAG4AQQBwAHAAbABpAGUAZABUAG8AUwBvAGkAbABzAFMAYwBvAHAAZQAzAF8AQQByAGcAdQBtAGUAbgB0AHMAIgAsACIASQBuAHAAdQB0AEYAdQBuAGMAdABpAG8AbgBzAF8AUwB3AGkAbgBlAC4AQwBhAGwAYwB1AGwAYQB0AGUAQQBjAHQAdQBhAGwAUABlAHIAYwBlAG4AdABNAGEAbgB1AHIAZQBTAG8AbABk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75</vt:i4>
      </vt:variant>
    </vt:vector>
  </HeadingPairs>
  <TitlesOfParts>
    <vt:vector size="90"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Common livestock</vt:lpstr>
      <vt:lpstr>Acknowledgements</vt:lpstr>
      <vt:lpstr>Tab template</vt:lpstr>
      <vt:lpstr>Common_SourceData_DensityOfMethane_Data</vt:lpstr>
      <vt:lpstr>M1_Table_E_N2O_leach</vt:lpstr>
      <vt:lpstr>M1_Table_MN_j_m5_T1</vt:lpstr>
      <vt:lpstr>M1_Table_MN_leach_j_m5</vt:lpstr>
      <vt:lpstr>M1_Table_MN_leach_j_m5_Consumer_1</vt:lpstr>
      <vt:lpstr>M2_Table_E_N2O_leach</vt:lpstr>
      <vt:lpstr>M2_Table_MN_j_m5_T1</vt:lpstr>
      <vt:lpstr>SourceData_Swine_FracLEACH_DrylotMMS_Data</vt:lpstr>
      <vt:lpstr>SourceData_Swine_MethaneVolatileSolidsEmissionsPotential_Data</vt:lpstr>
      <vt:lpstr>VEERG_4_5_1_1__1_TotalAnnualMethaneEmissions_Result_Method1</vt:lpstr>
      <vt:lpstr>VEERG_4_5_1_1__1_TotalAnnualMethaneEmissions_Result_Method2</vt:lpstr>
      <vt:lpstr>VEERG_4_5_1_3__1_TotalAnnualDirectNitrousOxideEmissionsFromMMS_Result_Method1</vt:lpstr>
      <vt:lpstr>VEERG_4_5_1_3__1_TotalAnnualDirectNitrousOxideEmissionsFromMMS_Result_Method2</vt:lpstr>
      <vt:lpstr>VEERG_4_5_1_5__1_AnnualAtmosphericDepositionEmissionsFromMMS_Result_Method1</vt:lpstr>
      <vt:lpstr>VEERG_4_5_1_5__1_AnnualAtmosphericDepositionEmissionsFromMMS_Result_Method2</vt:lpstr>
      <vt:lpstr>VEERG_4_5_1_7__1_AnnualEmissionsFromLeachingAndRunoffFromMMS_Result_Method1</vt:lpstr>
      <vt:lpstr>VEERG_4_5_1_7__1_AnnualEmissionsFromLeachingAndRunoffFromMMS_Result_Method2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X_Table_Swine_FeedIntake_Method1</vt:lpstr>
      <vt:lpstr>X_Table_Swine_FeedIntake_Method2</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2026-08-28T05:40:10Z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2026-09-02T17:27:09; rename=True resize=True scope=all</vt:lpwstr>
  </property>
</Properties>
</file>