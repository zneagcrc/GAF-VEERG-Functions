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43E3DFF-EA19-41A1-BB7E-A7B2463FE898}" xr6:coauthVersionLast="47" xr6:coauthVersionMax="47" xr10:uidLastSave="{00000000-0000-0000-0000-000000000000}"/>
  <bookViews>
    <workbookView xWindow="1170" yWindow="1170" windowWidth="36060" windowHeight="19710" firstSheet="2" activeTab="5"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4" r:id="rId12"/>
    <sheet name="Constants - Common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Swine.CalculateActualPercentManureSold">_xlfn.LAMBDA(_xlpm.Stage1MMSPercents,_xlpm.PercentSeparated,_xlpm.Stage2MMSPercents,_xlpm.PercentManureSold, (((SUM(_xlpm.Stage1MMSPercents) - (SUM(_xlpm.Stage1MMSPercents) * _xlpm.PercentSeparated)) / 4) * (SUM(_xlpm.Stage2MMSPercents) / 4)) * _xlpm.PercentManureSold)</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VEERG_4_5_1_3__1_TotalAnnualDirectNitrousOxideEmissionsFromMMS_Result_Method1">'4.5.1.3-4 Direct N2O'!$E$297</definedName>
    <definedName name="VEERG_4_5_1_3__1_TotalAnnualDirectNitrousOxideEmissionsFromMMS_Result_Method2">'4.5.1.3-4 Direct N2O'!$O$297</definedName>
    <definedName name="VEERG_4_5_1_5__1_AnnualAtmosphericDepositionEmissionsFromMMS_Result_Method1">'4.5.1.5-6 Atmos Dep'!$E$125</definedName>
    <definedName name="VEERG_4_5_1_5__1_AnnualAtmosphericDepositionEmissionsFromMMS_Result_Method2">'4.5.1.5-6 Atmos Dep'!$O$125</definedName>
    <definedName name="VEERG_4_5_1_7__1_AnnualEmissionsFromLeachingAndRunoffFromMMS_Result_Method1">'4.5.1.7-8 Leaching and runoff'!$E$49</definedName>
    <definedName name="VEERG_4_5_1_7__1_AnnualEmissionsFromLeachingAndRunoffFromMMS_Result_Method2">'4.5.1.7-8 Leaching and runoff'!$N$49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Swine'!$E$117</definedName>
    <definedName name="X_Cell_Swine_ManureAppliedProductionSystem">'Input - Swine'!$E$116</definedName>
    <definedName name="X_Cell_Swine_ProductionSystem">'Input - Swine'!$E$32</definedName>
    <definedName name="X_Cell_Swine_Stage1MMS_AnaerobicLagoon_AmountSeparated_Method1">'Input - Swine'!$E$38</definedName>
    <definedName name="X_Cell_Swine_Stage1MMS_AnaerobicLagoon_AmountSeparated_Method2">'Input - Swine'!$E$39</definedName>
    <definedName name="X_Cell_Swine_Stage1MMS_AnaerobicLagoon_SolidsSeparated">'Input - Swine'!$E$37</definedName>
    <definedName name="X_Cell_Swine_Stage1MMS_DeepLitter_AmountSeparated_Method1">'Input - Swine'!$E$55</definedName>
    <definedName name="X_Cell_Swine_Stage1MMS_DeepLitter_AmountSeparated_Method2">'Input - Swine'!$E$56</definedName>
    <definedName name="X_Cell_Swine_Stage1MMS_DeepLitter_SolidsSeparated">'Input - Swine'!$E$54</definedName>
    <definedName name="X_Cell_Swine_Stage1MMS_DigesterCoveredLagoons_AmountSeparated_Method1">'Input - Swine'!$E$49</definedName>
    <definedName name="X_Cell_Swine_Stage1MMS_DigesterCoveredLagoons_AmountSeparated_Method2">'Input - Swine'!$E$50</definedName>
    <definedName name="X_Cell_Swine_Stage1MMS_DigesterCoveredLagoons_SolidsSeparated">'Input - Swine'!$E$48</definedName>
    <definedName name="X_Cell_Swine_Stage1MMS_Drylot_AmountSeparated_Method1">'Input - Swine'!$E$43</definedName>
    <definedName name="X_Cell_Swine_Stage1MMS_Drylot_AmountSeparated_Method2">'Input - Swine'!$E$44</definedName>
    <definedName name="X_Cell_Swine_Stage1MMS_Drylot_SolidsSeparated">'Input - Swine'!$E$42</definedName>
    <definedName name="X_Cell_Swine_Stage1MMS_PitStorage_AmountSeparated_Method1">'Input - Swine'!$E$61</definedName>
    <definedName name="X_Cell_Swine_Stage1MMS_PitStorage_AmountSeparated_Method2">'Input - Swine'!$E$62</definedName>
    <definedName name="X_Cell_Swine_Stage1MMS_PitStorage_SolidsSeparated">'Input - Swine'!$E$60</definedName>
    <definedName name="X_Table_Swine_FeedIntake_Method1">'Input - Swine'!$D$12:$H$13</definedName>
    <definedName name="X_Table_Swine_FeedIntake_Method2">'Input - Swine'!$D$15:$H$16</definedName>
    <definedName name="X_Table_Swine_HerdMovement">'Input - Swine'!$D$5:$H$7</definedName>
    <definedName name="X_Table_Swine_ManureProduction_Method1">'Input - Swine'!$D$21:$H$23</definedName>
    <definedName name="X_Table_Swine_ManureProduction_Method2">'Input - Swine'!$D$25:$H$27</definedName>
    <definedName name="X_Table_Swine_Stage1MMS_AnaerobicLagoon">'Input - Swine'!$D$35:$H$36</definedName>
    <definedName name="X_Table_Swine_Stage1MMS_DeepLitter">'Input - Swine'!$D$52:$H$53</definedName>
    <definedName name="X_Table_Swine_Stage1MMS_DigesterCoveredLagoons">'Input - Swine'!$D$46:$H$47</definedName>
    <definedName name="X_Table_Swine_Stage1MMS_Drylot">'Input - Swine'!$D$40:$H$41</definedName>
    <definedName name="X_Table_Swine_Stage1MMS_PitStorage">'Input - Swine'!$D$58:$H$59</definedName>
    <definedName name="X_Table_Swine_Stage1MMS_SolidStorage">'Input - Swine'!$D$63:$H$64</definedName>
    <definedName name="X_Table_Swine_Stage2MMS_From_AnaerobicLagoon">'Input - Swine'!$D$72:$H$76</definedName>
    <definedName name="X_Table_Swine_Stage2MMS_From_AnaerobicLagoon_Destinations">'Input - Swine'!$J$72:$M$76</definedName>
    <definedName name="X_Table_Swine_Stage2MMS_From_DeepLitter">'Input - Swine'!$D$94:$H$98</definedName>
    <definedName name="X_Table_Swine_Stage2MMS_From_DeepLitter_Destinations">'Input - Swine'!$J$94:$M$98</definedName>
    <definedName name="X_Table_Swine_Stage2MMS_From_DigesterCoveredLagoons">'Input - Swine'!$D$87:$H$91</definedName>
    <definedName name="X_Table_Swine_Stage2MMS_From_DigesterCoveredLagoons_Destinations">'Input - Swine'!$J$87:$M$91</definedName>
    <definedName name="X_Table_Swine_Stage2MMS_From_Drylot">'Input - Swine'!$D$79:$H$84</definedName>
    <definedName name="X_Table_Swine_Stage2MMS_From_Drylot_Destinations">'Input - Swine'!$J$79:$M$84</definedName>
    <definedName name="X_Table_Swine_Stage2MMS_From_PitStorage">'Input - Swine'!$D$101:$H$105</definedName>
    <definedName name="X_Table_Swine_Stage2MMS_From_PitStorage_Destinations">'Input - Swine'!$J$101:$M$105</definedName>
    <definedName name="X_Table_Swine_Stage2MMS_From_SolidStorage">'Input - Swine'!$D$108:$H$113</definedName>
    <definedName name="X_Table_Swine_Stage2MMS_From_SolidStorage_Destinations">'Input - Swine'!$J$108:$M$113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70" l="1" a="1"/>
  <c r="H13" i="70" s="1"/>
  <c r="G13" i="70" a="1"/>
  <c r="G13" i="70" s="1"/>
  <c r="F13" i="70" a="1"/>
  <c r="F13" i="70" s="1"/>
  <c r="E13" i="70" a="1"/>
  <c r="E13" i="70" s="1"/>
  <c r="H16" i="70" a="1"/>
  <c r="H16" i="70" s="1"/>
  <c r="G16" i="70" a="1"/>
  <c r="G16" i="70" s="1"/>
  <c r="F16" i="70" a="1"/>
  <c r="F16" i="70" s="1"/>
  <c r="E16" i="70" a="1"/>
  <c r="E16" i="70" s="1"/>
  <c r="A24" i="74" l="1"/>
  <c r="A24" i="79"/>
  <c r="A24" i="105"/>
  <c r="A24" i="98"/>
  <c r="A24" i="97"/>
  <c r="A24" i="76"/>
  <c r="A24" i="69"/>
  <c r="A24" i="70"/>
  <c r="A24" i="15"/>
  <c r="A24" i="13"/>
  <c r="A24" i="109"/>
  <c r="A24" i="43"/>
  <c r="I49" i="15"/>
  <c r="I48" i="15"/>
  <c r="I47" i="15"/>
  <c r="I46" i="15"/>
  <c r="I45" i="15"/>
  <c r="I44" i="15"/>
  <c r="I43" i="15"/>
  <c r="I42" i="15"/>
  <c r="I41" i="15"/>
  <c r="I40" i="15"/>
  <c r="D7" i="70" l="1"/>
  <c r="D6" i="70"/>
  <c r="A8" i="72"/>
  <c r="A7" i="72"/>
  <c r="A3" i="72"/>
  <c r="I41" i="98"/>
  <c r="P52" i="98"/>
  <c r="G52" i="98"/>
  <c r="I42" i="98"/>
  <c r="I14" i="98"/>
  <c r="Q128" i="97"/>
  <c r="G128" i="97"/>
  <c r="I120" i="97"/>
  <c r="Q300" i="76"/>
  <c r="G300" i="76"/>
  <c r="I256" i="76"/>
  <c r="Q264" i="69"/>
  <c r="G264" i="69"/>
  <c r="O160" i="69"/>
  <c r="E33" i="15"/>
  <c r="E32" i="15"/>
  <c r="E31" i="15"/>
  <c r="E30" i="15"/>
  <c r="E259" i="114" a="1"/>
  <c r="E259" i="114" s="1"/>
  <c r="D259" i="114" a="1"/>
  <c r="D259" i="114" s="1"/>
  <c r="E258" i="114" a="1"/>
  <c r="E258" i="114" s="1"/>
  <c r="D258" i="114" a="1"/>
  <c r="D258" i="114" s="1"/>
  <c r="D256" i="114" a="1"/>
  <c r="D256" i="114" s="1"/>
  <c r="D255" i="114" a="1"/>
  <c r="D255" i="114" s="1"/>
  <c r="D254" i="114" a="1"/>
  <c r="D254" i="114" s="1"/>
  <c r="D253" i="114" a="1"/>
  <c r="D253" i="114" s="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a="1"/>
  <c r="D179" i="114" s="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c r="E54" i="114" a="1"/>
  <c r="D54" i="114" a="1"/>
  <c r="D54" i="114" s="1"/>
  <c r="G53" i="114" a="1"/>
  <c r="G53" i="114" s="1"/>
  <c r="F53" i="114" a="1"/>
  <c r="F53" i="114" s="1"/>
  <c r="H53" i="114" s="1"/>
  <c r="E53" i="114" a="1"/>
  <c r="E53" i="114" s="1"/>
  <c r="D53" i="114" a="1"/>
  <c r="D53" i="114" s="1"/>
  <c r="G52" i="114" a="1"/>
  <c r="G52" i="114" s="1"/>
  <c r="F52" i="114" a="1"/>
  <c r="F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E48" i="114" a="1"/>
  <c r="E48" i="114" s="1"/>
  <c r="D48" i="114" a="1"/>
  <c r="D48" i="114" s="1"/>
  <c r="D46" i="114"/>
  <c r="D46" i="114" a="1"/>
  <c r="D45" i="114"/>
  <c r="D45" i="114" a="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a="1"/>
  <c r="D35" i="114" s="1"/>
  <c r="D34" i="114" a="1"/>
  <c r="D34" i="114" s="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c r="D19" i="114" a="1"/>
  <c r="D18" i="114" a="1"/>
  <c r="D18" i="114" s="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A8" i="114"/>
  <c r="F7" i="114" a="1"/>
  <c r="F7" i="114" s="1"/>
  <c r="E7" i="114" a="1"/>
  <c r="E7" i="114" s="1"/>
  <c r="D7" i="114" a="1"/>
  <c r="D7" i="114" s="1"/>
  <c r="A7" i="114"/>
  <c r="D5" i="114"/>
  <c r="D5" i="114" a="1"/>
  <c r="A3" i="114"/>
  <c r="A8" i="71"/>
  <c r="A7" i="71"/>
  <c r="A3" i="71"/>
  <c r="E101" i="70"/>
  <c r="E94" i="70"/>
  <c r="E87" i="70"/>
  <c r="E79" i="70"/>
  <c r="E72" i="70"/>
  <c r="E132" i="79" a="1"/>
  <c r="E132" i="79" s="1"/>
  <c r="D132" i="79" a="1"/>
  <c r="D132" i="79" s="1"/>
  <c r="E131" i="79" a="1"/>
  <c r="E131" i="79" s="1"/>
  <c r="D131" i="79" a="1"/>
  <c r="D131" i="79" s="1"/>
  <c r="E130" i="79" a="1"/>
  <c r="E130" i="79" s="1"/>
  <c r="D130" i="79" a="1"/>
  <c r="D130" i="79" s="1"/>
  <c r="E129" i="79" a="1"/>
  <c r="E129" i="79" s="1"/>
  <c r="D129" i="79" a="1"/>
  <c r="D129" i="79" s="1"/>
  <c r="E128" i="79" a="1"/>
  <c r="E128" i="79" s="1"/>
  <c r="D128" i="79" a="1"/>
  <c r="D128" i="79" s="1"/>
  <c r="D126" i="79" a="1"/>
  <c r="D126" i="79" s="1"/>
  <c r="D125" i="79" a="1"/>
  <c r="D125" i="79" s="1"/>
  <c r="F122" i="79" a="1"/>
  <c r="F122" i="79" s="1"/>
  <c r="E122" i="79" a="1"/>
  <c r="E122" i="79" s="1"/>
  <c r="D122" i="79" a="1"/>
  <c r="D122" i="79" s="1"/>
  <c r="D121" i="79" a="1"/>
  <c r="D121" i="79" s="1"/>
  <c r="D120" i="79" a="1"/>
  <c r="D120" i="79" s="1"/>
  <c r="H66" i="70"/>
  <c r="G66" i="70"/>
  <c r="F66" i="70"/>
  <c r="E66" i="70"/>
  <c r="H65" i="70"/>
  <c r="G65" i="70"/>
  <c r="F65" i="70"/>
  <c r="E65" i="70"/>
  <c r="E33" i="70"/>
  <c r="E29" i="15"/>
  <c r="E13" i="15"/>
  <c r="A26" i="74"/>
  <c r="A25" i="74"/>
  <c r="A23" i="74"/>
  <c r="A22" i="74"/>
  <c r="A18" i="74"/>
  <c r="A17" i="74"/>
  <c r="A16" i="74"/>
  <c r="A15" i="74"/>
  <c r="A14" i="74"/>
  <c r="A10" i="74"/>
  <c r="A9" i="74"/>
  <c r="A5" i="74"/>
  <c r="A4" i="74"/>
  <c r="A3" i="74"/>
  <c r="A26" i="43"/>
  <c r="A25" i="43"/>
  <c r="A23" i="43"/>
  <c r="A22" i="43"/>
  <c r="A18" i="43"/>
  <c r="A17" i="43"/>
  <c r="A16" i="43"/>
  <c r="A15" i="43"/>
  <c r="A14" i="43"/>
  <c r="A10" i="43"/>
  <c r="A9" i="43"/>
  <c r="A5" i="43"/>
  <c r="A4" i="43"/>
  <c r="A3" i="43"/>
  <c r="A26" i="79"/>
  <c r="A25" i="79"/>
  <c r="A23" i="79"/>
  <c r="A22" i="79"/>
  <c r="A18" i="79"/>
  <c r="A17" i="79"/>
  <c r="A16" i="79"/>
  <c r="A15" i="79"/>
  <c r="A14" i="79"/>
  <c r="A10" i="79"/>
  <c r="A9" i="79"/>
  <c r="A5" i="79"/>
  <c r="A4" i="79"/>
  <c r="A3" i="79"/>
  <c r="A26" i="105"/>
  <c r="A25" i="105"/>
  <c r="A23" i="105"/>
  <c r="A22" i="105"/>
  <c r="A18" i="105"/>
  <c r="A17" i="105"/>
  <c r="A16" i="105"/>
  <c r="A15" i="105"/>
  <c r="A14" i="105"/>
  <c r="A10" i="105"/>
  <c r="A9" i="105"/>
  <c r="A5" i="105"/>
  <c r="A4" i="105"/>
  <c r="A3" i="105"/>
  <c r="A26" i="98"/>
  <c r="A25" i="98"/>
  <c r="A23" i="98"/>
  <c r="A22" i="98"/>
  <c r="A18" i="98"/>
  <c r="A17" i="98"/>
  <c r="A16" i="98"/>
  <c r="A15" i="98"/>
  <c r="A14" i="98"/>
  <c r="A10" i="98"/>
  <c r="A9" i="98"/>
  <c r="A5" i="98"/>
  <c r="A4" i="98"/>
  <c r="A3" i="98"/>
  <c r="A26" i="97"/>
  <c r="A25" i="97"/>
  <c r="A23" i="97"/>
  <c r="A22" i="97"/>
  <c r="A18" i="97"/>
  <c r="A17" i="97"/>
  <c r="A16" i="97"/>
  <c r="A15" i="97"/>
  <c r="A14" i="97"/>
  <c r="A10" i="97"/>
  <c r="A9" i="97"/>
  <c r="A5" i="97"/>
  <c r="A4" i="97"/>
  <c r="A3" i="97"/>
  <c r="A26" i="76"/>
  <c r="A25" i="76"/>
  <c r="A23" i="76"/>
  <c r="A22" i="76"/>
  <c r="A18" i="76"/>
  <c r="A17" i="76"/>
  <c r="A16" i="76"/>
  <c r="A15" i="76"/>
  <c r="A14" i="76"/>
  <c r="A10" i="76"/>
  <c r="A9" i="76"/>
  <c r="A5" i="76"/>
  <c r="A4" i="76"/>
  <c r="A3" i="76"/>
  <c r="A26" i="69"/>
  <c r="A25" i="69"/>
  <c r="A23" i="69"/>
  <c r="A22" i="69"/>
  <c r="A18" i="69"/>
  <c r="A17" i="69"/>
  <c r="A16" i="69"/>
  <c r="A15" i="69"/>
  <c r="A14" i="69"/>
  <c r="A10" i="69"/>
  <c r="A9" i="69"/>
  <c r="A5" i="69"/>
  <c r="A4" i="69"/>
  <c r="A3" i="69"/>
  <c r="A26" i="70"/>
  <c r="A25" i="70"/>
  <c r="A23" i="70"/>
  <c r="A22" i="70"/>
  <c r="A18" i="70"/>
  <c r="A17" i="70"/>
  <c r="A16" i="70"/>
  <c r="A15" i="70"/>
  <c r="A14" i="70"/>
  <c r="A10" i="70"/>
  <c r="A9" i="70"/>
  <c r="A5" i="70"/>
  <c r="A4" i="70"/>
  <c r="A3" i="70"/>
  <c r="A26" i="15"/>
  <c r="A25" i="15"/>
  <c r="A23" i="15"/>
  <c r="A22" i="15"/>
  <c r="A18" i="15"/>
  <c r="A17" i="15"/>
  <c r="A16" i="15"/>
  <c r="A15" i="15"/>
  <c r="A14" i="15"/>
  <c r="A10" i="15"/>
  <c r="A9" i="15"/>
  <c r="A5" i="15"/>
  <c r="A4" i="15"/>
  <c r="A3" i="15"/>
  <c r="A26" i="13"/>
  <c r="A25" i="13"/>
  <c r="A23" i="13"/>
  <c r="A22" i="13"/>
  <c r="A18" i="13"/>
  <c r="A17" i="13"/>
  <c r="A16" i="13"/>
  <c r="A15" i="13"/>
  <c r="A14" i="13"/>
  <c r="A10" i="13"/>
  <c r="A9" i="13"/>
  <c r="A5" i="13"/>
  <c r="A4" i="13"/>
  <c r="A3" i="13"/>
  <c r="A26" i="109"/>
  <c r="A25" i="109"/>
  <c r="A23" i="109"/>
  <c r="A22" i="109"/>
  <c r="A18" i="109"/>
  <c r="A17" i="109"/>
  <c r="A16" i="109"/>
  <c r="A15" i="109"/>
  <c r="A14" i="109"/>
  <c r="A10" i="109"/>
  <c r="A9" i="109"/>
  <c r="A5" i="109"/>
  <c r="A4" i="109"/>
  <c r="A3" i="109"/>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I18" i="98"/>
  <c r="I17" i="98"/>
  <c r="I16" i="98"/>
  <c r="H50" i="114" l="1"/>
  <c r="H52" i="114"/>
  <c r="H54" i="114"/>
  <c r="H48" i="114"/>
  <c r="H49" i="114"/>
  <c r="H51" i="114"/>
  <c r="I122" i="97"/>
  <c r="I119" i="97" s="1"/>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6" i="70"/>
  <c r="M84" i="70"/>
  <c r="M91" i="70"/>
  <c r="M98" i="70"/>
  <c r="M105" i="70"/>
  <c r="M113"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34" i="98" a="1"/>
  <c r="E112" i="97" a="1"/>
  <c r="E7" i="105" a="1"/>
  <c r="E7" i="97" a="1"/>
  <c r="E248" i="76" a="1"/>
  <c r="E7" i="98" a="1"/>
  <c r="O112" i="97"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41" i="76" a="1"/>
  <c r="E7" i="76" a="1"/>
  <c r="E106" i="76" a="1"/>
  <c r="E82" i="76" a="1"/>
  <c r="E129" i="76" a="1"/>
  <c r="E71" i="76" l="1" a="1"/>
  <c r="E71" i="76" s="1"/>
  <c r="H35" i="76"/>
  <c r="R35" i="76"/>
  <c r="G27" i="70" a="1"/>
  <c r="G27" i="70" s="1"/>
  <c r="G23" i="70" a="1"/>
  <c r="G23" i="70" s="1"/>
  <c r="H23" i="70" a="1"/>
  <c r="H23" i="70" s="1"/>
  <c r="H27" i="70" a="1"/>
  <c r="H27" i="70" s="1"/>
  <c r="E27" i="70" a="1"/>
  <c r="E27" i="70" s="1"/>
  <c r="E23" i="70" a="1"/>
  <c r="E23" i="70" s="1"/>
  <c r="F23" i="70" a="1"/>
  <c r="F23" i="70" s="1"/>
  <c r="F27" i="70" a="1"/>
  <c r="F27"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6" i="70"/>
  <c r="G76" i="70"/>
  <c r="F76" i="70"/>
  <c r="H105" i="70"/>
  <c r="G105" i="70"/>
  <c r="F105" i="70"/>
  <c r="H98" i="70"/>
  <c r="G98" i="70"/>
  <c r="F98" i="70"/>
  <c r="H91" i="70"/>
  <c r="G91" i="70"/>
  <c r="F91" i="70"/>
  <c r="H84" i="70"/>
  <c r="G84" i="70"/>
  <c r="F84"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105" i="70"/>
  <c r="E98" i="70"/>
  <c r="E91" i="70"/>
  <c r="E84" i="70"/>
  <c r="E76" i="70"/>
  <c r="H113" i="70"/>
  <c r="G113" i="70"/>
  <c r="F113" i="70"/>
  <c r="E113" i="70"/>
  <c r="M75" i="70"/>
  <c r="M74" i="70"/>
  <c r="M73" i="70"/>
  <c r="M83" i="70"/>
  <c r="M82" i="70"/>
  <c r="M81" i="70"/>
  <c r="M80" i="70"/>
  <c r="M90" i="70"/>
  <c r="M89" i="70"/>
  <c r="M88" i="70"/>
  <c r="F91" i="105" s="1" a="1"/>
  <c r="F91" i="105" s="1"/>
  <c r="M97" i="70"/>
  <c r="M96" i="70"/>
  <c r="M95" i="70"/>
  <c r="F95" i="105" s="1" a="1"/>
  <c r="F95" i="105" s="1"/>
  <c r="M104" i="70"/>
  <c r="M103" i="70"/>
  <c r="M102" i="70"/>
  <c r="M112" i="70"/>
  <c r="M111" i="70"/>
  <c r="M110" i="70"/>
  <c r="M109" i="70"/>
  <c r="H68" i="70"/>
  <c r="G68" i="70"/>
  <c r="F68" i="70"/>
  <c r="E68" i="70"/>
  <c r="E108" i="70" s="1"/>
  <c r="F82" i="105" l="1" a="1"/>
  <c r="F82" i="105" s="1"/>
  <c r="F99" i="105" a="1"/>
  <c r="F99" i="105" s="1"/>
  <c r="F86" i="105" a="1"/>
  <c r="F86" i="105" s="1"/>
  <c r="F103" i="105" a="1"/>
  <c r="F103" i="105" s="1"/>
  <c r="P23" i="98"/>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18" i="69" a="1"/>
  <c r="E190" i="69" a="1"/>
  <c r="E74" i="69" a="1"/>
  <c r="E235" i="69" a="1"/>
  <c r="E160" i="69" l="1"/>
  <c r="S122" i="69"/>
  <c r="I122" i="69"/>
  <c r="I200" i="69"/>
  <c r="I68" i="69"/>
  <c r="S68" i="69"/>
  <c r="T165" i="69"/>
  <c r="S37" i="69"/>
  <c r="S103" i="69"/>
  <c r="P261" i="69"/>
  <c r="F261" i="69"/>
  <c r="R259" i="69"/>
  <c r="S206" i="69"/>
  <c r="H26" i="70" a="1"/>
  <c r="H26" i="70" s="1"/>
  <c r="G26" i="70" a="1"/>
  <c r="G26" i="70" s="1"/>
  <c r="F26" i="70" a="1"/>
  <c r="F26" i="70" s="1"/>
  <c r="E26" i="70" a="1"/>
  <c r="E26" i="70" s="1"/>
  <c r="G22" i="70" a="1"/>
  <c r="G22" i="70" s="1"/>
  <c r="H22" i="70" a="1"/>
  <c r="H22" i="70" s="1"/>
  <c r="F22" i="70" a="1"/>
  <c r="F22" i="70" s="1"/>
  <c r="E22" i="70" a="1"/>
  <c r="E22"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F10" i="13" s="1"/>
  <c r="E49" i="98"/>
  <c r="E10" i="13" s="1"/>
  <c r="G51" i="98" l="1"/>
  <c r="E54" i="98" s="1" a="1"/>
  <c r="E54" i="98" s="1"/>
  <c r="H10" i="13" s="1"/>
  <c r="P51" i="98"/>
  <c r="N54" i="98" s="1" a="1"/>
  <c r="N54" i="98" s="1"/>
  <c r="I10" i="13" s="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53" i="70" s="1"/>
  <c r="D58" i="79"/>
  <c r="K41" i="79"/>
  <c r="G41" i="79"/>
  <c r="D36" i="70" s="1"/>
  <c r="D41" i="79"/>
  <c r="D54" i="79"/>
  <c r="E45" i="79"/>
  <c r="L45" i="79"/>
  <c r="H44" i="79"/>
  <c r="D42" i="79"/>
  <c r="K42" i="79"/>
  <c r="D55" i="79"/>
  <c r="E42" i="79"/>
  <c r="L42" i="79"/>
  <c r="G45" i="79"/>
  <c r="D59" i="70" s="1"/>
  <c r="K46" i="79"/>
  <c r="D46" i="79"/>
  <c r="D59" i="79"/>
  <c r="G43" i="79"/>
  <c r="D47" i="70" s="1"/>
  <c r="K44" i="79"/>
  <c r="D57" i="79"/>
  <c r="D44" i="79"/>
  <c r="L41" i="79"/>
  <c r="H41" i="79"/>
  <c r="E41" i="79"/>
  <c r="E46" i="79"/>
  <c r="H45" i="79"/>
  <c r="L46" i="79"/>
  <c r="D43" i="79"/>
  <c r="G42" i="79"/>
  <c r="D41"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O157" i="69" s="1"/>
  <c r="D105" i="69"/>
  <c r="D39" i="69"/>
  <c r="D55" i="76"/>
  <c r="D157" i="69"/>
  <c r="E157" i="69" s="1"/>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O155" i="69" s="1"/>
  <c r="D28" i="69"/>
  <c r="N270" i="76"/>
  <c r="D142" i="76"/>
  <c r="E142" i="76" s="1" a="1"/>
  <c r="E142" i="76" s="1"/>
  <c r="N251" i="105"/>
  <c r="D79" i="97"/>
  <c r="N32" i="97"/>
  <c r="D165" i="69"/>
  <c r="N206" i="69"/>
  <c r="D221" i="105"/>
  <c r="D112" i="105"/>
  <c r="E112" i="105" s="1" a="1"/>
  <c r="E112" i="105" s="1"/>
  <c r="D217" i="76"/>
  <c r="D155" i="69"/>
  <c r="E155" i="69" s="1"/>
  <c r="N217" i="76"/>
  <c r="D93" i="69"/>
  <c r="E93" i="69" s="1" a="1"/>
  <c r="E93" i="69" s="1"/>
  <c r="D64" i="70"/>
  <c r="N147" i="105"/>
  <c r="D267" i="76"/>
  <c r="D200" i="76"/>
  <c r="D56" i="76"/>
  <c r="D106" i="69"/>
  <c r="N264" i="105"/>
  <c r="D147" i="105"/>
  <c r="D35" i="105"/>
  <c r="D25" i="97"/>
  <c r="N230" i="76"/>
  <c r="D22" i="69"/>
  <c r="D141" i="69"/>
  <c r="N65" i="105"/>
  <c r="D65" i="97"/>
  <c r="N267" i="76"/>
  <c r="D230" i="76"/>
  <c r="D158" i="69"/>
  <c r="E158" i="69" s="1"/>
  <c r="D74" i="76"/>
  <c r="D145" i="76"/>
  <c r="E145" i="76" s="1" a="1"/>
  <c r="E145" i="76" s="1"/>
  <c r="N175" i="69"/>
  <c r="D264" i="105"/>
  <c r="D126" i="105"/>
  <c r="E126" i="105" s="1" a="1"/>
  <c r="E126" i="105" s="1"/>
  <c r="D65" i="105"/>
  <c r="N74" i="76"/>
  <c r="D167" i="76"/>
  <c r="N40" i="69"/>
  <c r="D92" i="97"/>
  <c r="N283" i="76"/>
  <c r="D156" i="76"/>
  <c r="E156" i="76" s="1" a="1"/>
  <c r="E156" i="76" s="1"/>
  <c r="N25" i="97"/>
  <c r="D234" i="105"/>
  <c r="D209" i="69"/>
  <c r="D95" i="105"/>
  <c r="N92" i="97"/>
  <c r="N209" i="69"/>
  <c r="D40" i="69"/>
  <c r="D115" i="105"/>
  <c r="E115" i="105" s="1" a="1"/>
  <c r="E115" i="105" s="1"/>
  <c r="D283" i="76"/>
  <c r="N106" i="69"/>
  <c r="D31" i="69"/>
  <c r="N45" i="97"/>
  <c r="D175" i="69"/>
  <c r="N31" i="69"/>
  <c r="N195" i="105"/>
  <c r="N76" i="97"/>
  <c r="D121" i="76"/>
  <c r="N158" i="69"/>
  <c r="O158" i="69" s="1"/>
  <c r="D76" i="97"/>
  <c r="D195" i="105"/>
  <c r="N167" i="76"/>
  <c r="D65" i="76"/>
  <c r="N121" i="76"/>
  <c r="N35" i="105"/>
  <c r="D45" i="97"/>
  <c r="D96" i="69"/>
  <c r="E96" i="69" s="1" a="1"/>
  <c r="E96" i="69" s="1"/>
  <c r="N65" i="76"/>
  <c r="D86" i="105"/>
  <c r="D274" i="76"/>
  <c r="N221" i="76"/>
  <c r="D72" i="76"/>
  <c r="N156" i="69"/>
  <c r="O156" i="69" s="1"/>
  <c r="D265" i="76"/>
  <c r="N38" i="69"/>
  <c r="N74" i="97"/>
  <c r="D36" i="97"/>
  <c r="N165" i="76"/>
  <c r="D38" i="69"/>
  <c r="N255" i="105"/>
  <c r="N23" i="97"/>
  <c r="D63" i="76"/>
  <c r="D20" i="69"/>
  <c r="N56" i="105"/>
  <c r="N265" i="76"/>
  <c r="N168" i="69"/>
  <c r="D104" i="69"/>
  <c r="D63" i="97"/>
  <c r="E63" i="97" s="1" a="1"/>
  <c r="E63" i="97" s="1"/>
  <c r="N36" i="97"/>
  <c r="D23" i="97"/>
  <c r="D191" i="76"/>
  <c r="N274" i="76"/>
  <c r="D255" i="105"/>
  <c r="N104" i="69"/>
  <c r="D54" i="76"/>
  <c r="D156" i="69"/>
  <c r="E156" i="69" s="1"/>
  <c r="M28" i="98"/>
  <c r="D74" i="97"/>
  <c r="D119" i="76"/>
  <c r="M23" i="98"/>
  <c r="D221" i="76"/>
  <c r="D165" i="76"/>
  <c r="D83" i="97"/>
  <c r="D28" i="98"/>
  <c r="D134" i="69"/>
  <c r="D225" i="105"/>
  <c r="D124" i="105"/>
  <c r="E124" i="105" s="1" a="1"/>
  <c r="E124" i="105" s="1"/>
  <c r="N72" i="76"/>
  <c r="D23" i="98"/>
  <c r="N83" i="97"/>
  <c r="D168" i="69"/>
  <c r="D154" i="76"/>
  <c r="E154" i="76" s="1" a="1"/>
  <c r="E154" i="76" s="1"/>
  <c r="N207" i="69"/>
  <c r="N186" i="105"/>
  <c r="N26" i="105"/>
  <c r="D138" i="105"/>
  <c r="D56" i="105"/>
  <c r="M47" i="98"/>
  <c r="D94" i="69"/>
  <c r="E94" i="69" s="1" a="1"/>
  <c r="E94" i="69" s="1"/>
  <c r="D47" i="98"/>
  <c r="N29" i="69"/>
  <c r="D26" i="105"/>
  <c r="D186" i="105"/>
  <c r="N63" i="76"/>
  <c r="N138" i="105"/>
  <c r="D143" i="76"/>
  <c r="E143" i="76" s="1" a="1"/>
  <c r="E143" i="76" s="1"/>
  <c r="D29" i="69"/>
  <c r="D113" i="105"/>
  <c r="E113" i="105" s="1" a="1"/>
  <c r="E113" i="105" s="1"/>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O159" i="69" s="1"/>
  <c r="D151" i="105"/>
  <c r="N26" i="97"/>
  <c r="D77" i="97"/>
  <c r="D66" i="76"/>
  <c r="D159" i="69"/>
  <c r="E159" i="69" s="1"/>
  <c r="D234" i="76"/>
  <c r="D44" i="70"/>
  <c r="D42" i="70"/>
  <c r="D43" i="70"/>
  <c r="D49" i="70"/>
  <c r="D48" i="70"/>
  <c r="D50" i="70"/>
  <c r="D62" i="70"/>
  <c r="D60" i="70"/>
  <c r="D61" i="70"/>
  <c r="D39" i="70"/>
  <c r="D38" i="70"/>
  <c r="D55" i="70"/>
  <c r="D56" i="70"/>
  <c r="D54" i="70"/>
  <c r="D37" i="70"/>
  <c r="D159" i="76"/>
  <c r="E159" i="76" s="1" a="1"/>
  <c r="E159" i="76" s="1"/>
  <c r="D148" i="76"/>
  <c r="E148" i="76" s="1" a="1"/>
  <c r="E148" i="76" s="1"/>
  <c r="D68" i="97"/>
  <c r="E68" i="97" s="1" a="1"/>
  <c r="E68" i="97" s="1"/>
  <c r="D129" i="105"/>
  <c r="E129" i="105" s="1" a="1"/>
  <c r="E129" i="105" s="1"/>
  <c r="D118" i="105"/>
  <c r="E118" i="105" s="1" a="1"/>
  <c r="E118" i="105" s="1"/>
  <c r="D76" i="70"/>
  <c r="E128" i="105" a="1"/>
  <c r="E128" i="105" s="1"/>
  <c r="E117" i="105" a="1"/>
  <c r="E117" i="105" s="1"/>
  <c r="E67" i="97" a="1"/>
  <c r="E67" i="97" s="1"/>
  <c r="E147" i="76" a="1"/>
  <c r="E147" i="76" s="1"/>
  <c r="E158" i="76" a="1"/>
  <c r="E158" i="76" s="1"/>
  <c r="D72" i="70"/>
  <c r="D87" i="70"/>
  <c r="D79" i="70"/>
  <c r="D101" i="70"/>
  <c r="D94" i="70"/>
  <c r="E114" i="105" a="1"/>
  <c r="E114" i="105" s="1"/>
  <c r="E116" i="105" a="1"/>
  <c r="E116" i="105" s="1"/>
  <c r="D73" i="70"/>
  <c r="E64" i="97" a="1"/>
  <c r="E64" i="97" s="1"/>
  <c r="E155" i="76" a="1"/>
  <c r="E155" i="76" s="1"/>
  <c r="E144" i="76" a="1"/>
  <c r="E144" i="76" s="1"/>
  <c r="D74" i="70"/>
  <c r="E65" i="97" a="1"/>
  <c r="E65" i="97" s="1"/>
  <c r="D75"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H108" i="69" s="1" a="1"/>
  <c r="H108" i="69" s="1"/>
  <c r="D108"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F108" i="69" a="1"/>
  <c r="F108" i="69" s="1"/>
  <c r="R108" i="69" a="1"/>
  <c r="R108" i="69" s="1"/>
  <c r="O108" i="69" a="1"/>
  <c r="O108" i="69" s="1"/>
  <c r="P181" i="69" l="1" a="1"/>
  <c r="P181" i="69" s="1"/>
  <c r="P183" i="69" a="1"/>
  <c r="P183" i="69" s="1"/>
  <c r="P184" i="69" a="1"/>
  <c r="P184" i="69" s="1"/>
  <c r="P182" i="69" a="1"/>
  <c r="P182" i="69" s="1"/>
  <c r="S181" i="69" a="1"/>
  <c r="S181" i="69" s="1"/>
  <c r="S184" i="69" a="1"/>
  <c r="S184" i="69" s="1"/>
  <c r="S182" i="69" a="1"/>
  <c r="S182" i="69" s="1"/>
  <c r="S183" i="69" a="1"/>
  <c r="S183" i="69" s="1"/>
  <c r="R180" i="69" a="1"/>
  <c r="R180" i="69" s="1"/>
  <c r="R179" i="69" a="1"/>
  <c r="R179" i="69" s="1"/>
  <c r="Q178" i="69" a="1"/>
  <c r="Q178" i="69" s="1"/>
  <c r="Q180" i="69" a="1"/>
  <c r="Q180" i="69" s="1"/>
  <c r="Q179" i="69" a="1"/>
  <c r="Q179" i="69" s="1"/>
  <c r="P179" i="69" a="1"/>
  <c r="P179" i="69" s="1"/>
  <c r="P180" i="69" a="1"/>
  <c r="P180" i="69" s="1"/>
  <c r="S178" i="69" a="1"/>
  <c r="S178" i="69" s="1"/>
  <c r="S180" i="69" a="1"/>
  <c r="S180" i="69" s="1"/>
  <c r="S179" i="69" a="1"/>
  <c r="S179" i="69" s="1"/>
  <c r="R178" i="69" a="1"/>
  <c r="R178" i="69" s="1"/>
  <c r="P178" i="69" a="1"/>
  <c r="P178" i="69" s="1"/>
  <c r="R177" i="69" a="1"/>
  <c r="R177" i="69" s="1"/>
  <c r="R176" i="69" a="1"/>
  <c r="R176" i="69" s="1"/>
  <c r="Q177" i="69" a="1"/>
  <c r="Q177" i="69" s="1"/>
  <c r="Q176" i="69" a="1"/>
  <c r="Q176" i="69" s="1"/>
  <c r="S177" i="69" a="1"/>
  <c r="S177" i="69" s="1"/>
  <c r="S176" i="69" a="1"/>
  <c r="S176" i="69" s="1"/>
  <c r="P177" i="69" a="1"/>
  <c r="P177" i="69" s="1"/>
  <c r="P176" i="69" a="1"/>
  <c r="P176" i="69" s="1"/>
  <c r="S175" i="69" a="1"/>
  <c r="S175" i="69" s="1"/>
  <c r="P175" i="69" a="1"/>
  <c r="P175" i="69" s="1"/>
  <c r="R175" i="69" a="1"/>
  <c r="R175" i="69" s="1"/>
  <c r="Q175" i="69" a="1"/>
  <c r="Q175" i="69" s="1"/>
  <c r="R174" i="69" a="1"/>
  <c r="R174" i="69" s="1"/>
  <c r="R173" i="69" a="1"/>
  <c r="R173" i="69" s="1"/>
  <c r="S173" i="69" a="1"/>
  <c r="S173" i="69" s="1"/>
  <c r="S174" i="69" a="1"/>
  <c r="S174" i="69" s="1"/>
  <c r="P174" i="69" a="1"/>
  <c r="P174" i="69" s="1"/>
  <c r="P173" i="69" a="1"/>
  <c r="P173" i="69" s="1"/>
  <c r="Q172" i="69" a="1"/>
  <c r="Q172" i="69" s="1"/>
  <c r="Q173" i="69" a="1"/>
  <c r="Q173" i="69" s="1"/>
  <c r="Q174" i="69" a="1"/>
  <c r="Q174" i="69" s="1"/>
  <c r="R172" i="69" a="1"/>
  <c r="R172" i="69" s="1"/>
  <c r="S172" i="69" a="1"/>
  <c r="S172" i="69" s="1"/>
  <c r="P172" i="69" a="1"/>
  <c r="P172" i="69" s="1"/>
  <c r="R168" i="69" a="1"/>
  <c r="R168" i="69" s="1"/>
  <c r="R171" i="69" a="1"/>
  <c r="R171" i="69" s="1"/>
  <c r="R169" i="69" a="1"/>
  <c r="R169" i="69" s="1"/>
  <c r="R170" i="69" a="1"/>
  <c r="R170" i="69" s="1"/>
  <c r="S168" i="69" a="1"/>
  <c r="S168" i="69" s="1"/>
  <c r="S171" i="69" a="1"/>
  <c r="S171" i="69" s="1"/>
  <c r="S169" i="69" a="1"/>
  <c r="S169" i="69" s="1"/>
  <c r="S170" i="69" a="1"/>
  <c r="S170" i="69" s="1"/>
  <c r="Q169" i="69" a="1"/>
  <c r="Q169" i="69" s="1"/>
  <c r="Q171" i="69" a="1"/>
  <c r="Q171" i="69" s="1"/>
  <c r="Q170" i="69" a="1"/>
  <c r="Q170" i="69" s="1"/>
  <c r="P168" i="69" a="1"/>
  <c r="P168" i="69" s="1"/>
  <c r="P169" i="69" a="1"/>
  <c r="P169" i="69" s="1"/>
  <c r="P170" i="69" a="1"/>
  <c r="P170" i="69" s="1"/>
  <c r="P171" i="69" a="1"/>
  <c r="P171" i="69" s="1"/>
  <c r="Q168" i="69" a="1"/>
  <c r="Q168" i="69" s="1"/>
  <c r="Q165" i="69" a="1"/>
  <c r="Q165" i="69" s="1"/>
  <c r="Q167" i="69" a="1"/>
  <c r="Q167" i="69" s="1"/>
  <c r="Q166" i="69" a="1"/>
  <c r="Q166" i="69" s="1"/>
  <c r="P165" i="69" a="1"/>
  <c r="P165" i="69" s="1"/>
  <c r="P166" i="69" a="1"/>
  <c r="P166" i="69" s="1"/>
  <c r="P167" i="69" a="1"/>
  <c r="P167" i="69" s="1"/>
  <c r="R165" i="69" a="1"/>
  <c r="R165" i="69" s="1"/>
  <c r="R166" i="69" a="1"/>
  <c r="R166" i="69" s="1"/>
  <c r="R167" i="69" a="1"/>
  <c r="R167" i="69" s="1"/>
  <c r="S165" i="69" a="1"/>
  <c r="S165" i="69" s="1"/>
  <c r="S167" i="69" a="1"/>
  <c r="S167" i="69" s="1"/>
  <c r="S166" i="69" a="1"/>
  <c r="S166" i="69" s="1"/>
  <c r="G181" i="69" a="1"/>
  <c r="G181" i="69" s="1"/>
  <c r="G184" i="69" a="1"/>
  <c r="G184" i="69" s="1"/>
  <c r="G182" i="69" a="1"/>
  <c r="G182" i="69" s="1"/>
  <c r="G183" i="69" a="1"/>
  <c r="G183" i="69" s="1"/>
  <c r="I181" i="69" a="1"/>
  <c r="I181" i="69" s="1"/>
  <c r="I184" i="69" a="1"/>
  <c r="I184" i="69" s="1"/>
  <c r="I182" i="69" a="1"/>
  <c r="I182" i="69" s="1"/>
  <c r="I183" i="69" a="1"/>
  <c r="I183" i="69" s="1"/>
  <c r="I178" i="69" a="1"/>
  <c r="I178" i="69" s="1"/>
  <c r="I180" i="69" a="1"/>
  <c r="I180" i="69" s="1"/>
  <c r="I179" i="69" a="1"/>
  <c r="I179" i="69" s="1"/>
  <c r="G180" i="69" a="1"/>
  <c r="G180" i="69" s="1"/>
  <c r="G179" i="69" a="1"/>
  <c r="G179" i="69" s="1"/>
  <c r="F178" i="69" a="1"/>
  <c r="F178" i="69" s="1"/>
  <c r="F179" i="69" a="1"/>
  <c r="F179" i="69" s="1"/>
  <c r="F180" i="69" a="1"/>
  <c r="F180" i="69" s="1"/>
  <c r="H178" i="69" a="1"/>
  <c r="H178" i="69" s="1"/>
  <c r="H180" i="69" a="1"/>
  <c r="H180" i="69" s="1"/>
  <c r="H179" i="69" a="1"/>
  <c r="H179" i="69" s="1"/>
  <c r="G178" i="69" a="1"/>
  <c r="G178" i="69" s="1"/>
  <c r="F176" i="69" a="1"/>
  <c r="F176" i="69" s="1"/>
  <c r="F177" i="69" a="1"/>
  <c r="F177" i="69" s="1"/>
  <c r="I175" i="69" a="1"/>
  <c r="I175" i="69" s="1"/>
  <c r="I176" i="69" a="1"/>
  <c r="I176" i="69" s="1"/>
  <c r="I177" i="69" a="1"/>
  <c r="I177" i="69" s="1"/>
  <c r="H177" i="69" a="1"/>
  <c r="H177" i="69" s="1"/>
  <c r="H176" i="69" a="1"/>
  <c r="H176" i="69" s="1"/>
  <c r="G176" i="69" a="1"/>
  <c r="G176" i="69" s="1"/>
  <c r="G177" i="69" a="1"/>
  <c r="G177" i="69" s="1"/>
  <c r="H175" i="69" a="1"/>
  <c r="H175" i="69" s="1"/>
  <c r="G175" i="69" a="1"/>
  <c r="G175" i="69" s="1"/>
  <c r="F175" i="69" a="1"/>
  <c r="F175" i="69" s="1"/>
  <c r="H172" i="69" a="1"/>
  <c r="H172" i="69" s="1"/>
  <c r="H174" i="69" a="1"/>
  <c r="H174" i="69" s="1"/>
  <c r="H173" i="69" a="1"/>
  <c r="H173" i="69" s="1"/>
  <c r="G172" i="69" a="1"/>
  <c r="G172" i="69" s="1"/>
  <c r="G173" i="69" a="1"/>
  <c r="G173" i="69" s="1"/>
  <c r="G174" i="69" a="1"/>
  <c r="G174" i="69" s="1"/>
  <c r="F172" i="69" a="1"/>
  <c r="F172" i="69" s="1"/>
  <c r="F174" i="69" a="1"/>
  <c r="F174" i="69" s="1"/>
  <c r="F173" i="69" a="1"/>
  <c r="F173" i="69" s="1"/>
  <c r="I174" i="69" a="1"/>
  <c r="I174" i="69" s="1"/>
  <c r="I173" i="69" a="1"/>
  <c r="I173" i="69" s="1"/>
  <c r="I172" i="69" a="1"/>
  <c r="I172" i="69" s="1"/>
  <c r="I171" i="69" a="1"/>
  <c r="I171" i="69" s="1"/>
  <c r="I170" i="69" a="1"/>
  <c r="I170" i="69" s="1"/>
  <c r="I169" i="69" a="1"/>
  <c r="I169" i="69" s="1"/>
  <c r="F170" i="69" a="1"/>
  <c r="F170" i="69" s="1"/>
  <c r="F169" i="69" a="1"/>
  <c r="F169" i="69" s="1"/>
  <c r="F171" i="69" a="1"/>
  <c r="F171" i="69" s="1"/>
  <c r="G170" i="69" a="1"/>
  <c r="G170" i="69" s="1"/>
  <c r="G171" i="69" a="1"/>
  <c r="G171" i="69" s="1"/>
  <c r="G169" i="69" a="1"/>
  <c r="G169" i="69" s="1"/>
  <c r="H169" i="69" a="1"/>
  <c r="H169" i="69" s="1"/>
  <c r="H171" i="69" a="1"/>
  <c r="H171" i="69" s="1"/>
  <c r="H170" i="69" a="1"/>
  <c r="H170" i="69" s="1"/>
  <c r="H168" i="69" a="1"/>
  <c r="H168" i="69" s="1"/>
  <c r="I168" i="69" a="1"/>
  <c r="I168" i="69" s="1"/>
  <c r="G168" i="69" a="1"/>
  <c r="G168" i="69" s="1"/>
  <c r="F168" i="69" a="1"/>
  <c r="F168" i="69" s="1"/>
  <c r="G166" i="69" a="1"/>
  <c r="G166" i="69" s="1"/>
  <c r="G167" i="69" a="1"/>
  <c r="G167" i="69" s="1"/>
  <c r="H167" i="69" a="1"/>
  <c r="H167" i="69" s="1"/>
  <c r="H166" i="69" a="1"/>
  <c r="H166" i="69" s="1"/>
  <c r="I167" i="69" a="1"/>
  <c r="I167" i="69" s="1"/>
  <c r="I166" i="69" a="1"/>
  <c r="I166" i="69" s="1"/>
  <c r="F166" i="69" a="1"/>
  <c r="F166" i="69" s="1"/>
  <c r="F167" i="69" a="1"/>
  <c r="F167" i="69" s="1"/>
  <c r="I165" i="69" a="1"/>
  <c r="I165" i="69" s="1"/>
  <c r="H165" i="69" a="1"/>
  <c r="H165" i="69" s="1"/>
  <c r="G165" i="69" a="1"/>
  <c r="G165" i="69" s="1"/>
  <c r="F165" i="69" a="1"/>
  <c r="F165" i="69" s="1"/>
  <c r="E108" i="69" a="1"/>
  <c r="E108" i="69" s="1"/>
  <c r="P108" i="69" a="1"/>
  <c r="P108" i="69" s="1"/>
  <c r="Q108" i="69" a="1"/>
  <c r="Q108" i="69" s="1"/>
  <c r="G108" i="69" a="1"/>
  <c r="G108" i="69" s="1"/>
  <c r="H233" i="76"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Q264" i="76" a="1"/>
  <c r="Q264" i="76" s="1"/>
  <c r="R264" i="76" a="1"/>
  <c r="R264" i="76" s="1"/>
  <c r="H206" i="69" a="1"/>
  <c r="H206" i="69" s="1"/>
  <c r="F206" i="69" a="1"/>
  <c r="F206"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S264" i="76" a="1"/>
  <c r="S264" i="76" s="1"/>
  <c r="G239" i="76" a="1"/>
  <c r="G239" i="76" s="1"/>
  <c r="G292" i="76" s="1" a="1"/>
  <c r="G292" i="76" s="1"/>
  <c r="G238" i="76" a="1"/>
  <c r="G238" i="76" s="1"/>
  <c r="G242" i="76" a="1"/>
  <c r="G242" i="76" s="1"/>
  <c r="G241" i="76" a="1"/>
  <c r="G241" i="76" s="1"/>
  <c r="G240" i="76" a="1"/>
  <c r="G240" i="76"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R184" i="69" l="1" a="1"/>
  <c r="R184" i="69" s="1"/>
  <c r="R182" i="69" a="1"/>
  <c r="R182" i="69" s="1"/>
  <c r="R183" i="69" a="1"/>
  <c r="R183" i="69" s="1"/>
  <c r="Q181" i="69" a="1"/>
  <c r="Q181" i="69" s="1"/>
  <c r="Q184" i="69" a="1"/>
  <c r="Q184" i="69" s="1"/>
  <c r="Q182" i="69" a="1"/>
  <c r="Q182" i="69" s="1"/>
  <c r="Q183" i="69" a="1"/>
  <c r="Q183" i="69" s="1"/>
  <c r="R181" i="69" a="1"/>
  <c r="R181" i="69" s="1"/>
  <c r="H184" i="69" a="1"/>
  <c r="H184" i="69" s="1"/>
  <c r="H182" i="69" a="1"/>
  <c r="H182" i="69" s="1"/>
  <c r="H183" i="69" a="1"/>
  <c r="H183" i="69" s="1"/>
  <c r="F183" i="69" a="1"/>
  <c r="F183" i="69" s="1"/>
  <c r="F182" i="69" a="1"/>
  <c r="F182" i="69" s="1"/>
  <c r="F184" i="69" a="1"/>
  <c r="F184" i="69" s="1"/>
  <c r="F181" i="69" a="1"/>
  <c r="F181" i="69" s="1"/>
  <c r="H181" i="69" a="1"/>
  <c r="H181" i="69" s="1"/>
  <c r="H38" i="105"/>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G229" i="69" a="1"/>
  <c r="G229" i="69" s="1"/>
  <c r="G259" i="69" s="1" a="1"/>
  <c r="G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D229" i="69" l="1" a="1"/>
  <c r="D229" i="69" s="1"/>
  <c r="D259" i="69" s="1" a="1"/>
  <c r="D259" i="69" s="1"/>
  <c r="O229" i="69" a="1"/>
  <c r="O229" i="69" s="1"/>
  <c r="O259" i="69" s="1" a="1"/>
  <c r="O259" i="69" s="1"/>
  <c r="P229" i="69" a="1"/>
  <c r="P229" i="69" s="1"/>
  <c r="P259" i="69" s="1" a="1"/>
  <c r="P259" i="69" s="1"/>
  <c r="F229" i="69" a="1"/>
  <c r="F229" i="69" s="1"/>
  <c r="F259" i="69" s="1" a="1"/>
  <c r="F259" i="69" s="1"/>
  <c r="H150" i="105"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F33" i="97"/>
  <c r="F80" i="97" s="1" a="1"/>
  <c r="F80" i="97" s="1"/>
  <c r="F34" i="97"/>
  <c r="F81" i="97" s="1" a="1"/>
  <c r="F81" i="97" s="1"/>
  <c r="R32" i="97"/>
  <c r="R79" i="97" s="1" a="1"/>
  <c r="R79" i="97" s="1"/>
  <c r="R34" i="97"/>
  <c r="R81" i="97" s="1" a="1"/>
  <c r="R81" i="97" s="1"/>
  <c r="G32" i="97"/>
  <c r="G79" i="97" s="1" a="1"/>
  <c r="G79" i="97" s="1"/>
  <c r="S34" i="97"/>
  <c r="S81" i="97" s="1" a="1"/>
  <c r="S81" i="97" s="1"/>
  <c r="F32" i="97"/>
  <c r="F79" i="97" s="1" a="1"/>
  <c r="F79" i="97" s="1"/>
  <c r="E261" i="69" l="1"/>
  <c r="E7" i="13" s="1"/>
  <c r="O261" i="69"/>
  <c r="F7" i="13" s="1"/>
  <c r="O297" i="76"/>
  <c r="F8" i="13" s="1"/>
  <c r="E297" i="76"/>
  <c r="E8" i="13" s="1"/>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G263" i="69" l="1"/>
  <c r="E266" i="69" s="1" a="1"/>
  <c r="E266" i="69" s="1"/>
  <c r="H7" i="13" s="1"/>
  <c r="Q263" i="69"/>
  <c r="O266" i="69" s="1" a="1"/>
  <c r="O266" i="69" s="1"/>
  <c r="I7" i="13" s="1"/>
  <c r="O209" i="105"/>
  <c r="O161" i="105"/>
  <c r="E278" i="105"/>
  <c r="E18" i="13" s="1"/>
  <c r="E161" i="105"/>
  <c r="E17" i="13" s="1"/>
  <c r="E209" i="105"/>
  <c r="E19" i="13" s="1"/>
  <c r="O278" i="105"/>
  <c r="Q299" i="76"/>
  <c r="O302" i="76" s="1" a="1"/>
  <c r="O302" i="76" s="1"/>
  <c r="I8" i="13" s="1"/>
  <c r="G299" i="76"/>
  <c r="E302" i="76" s="1" a="1"/>
  <c r="E302" i="76" s="1"/>
  <c r="H8" i="13" s="1"/>
  <c r="I118" i="97"/>
  <c r="E125" i="97" s="1" a="1"/>
  <c r="E125" i="97" s="1"/>
  <c r="E9" i="13" s="1"/>
  <c r="S118" i="97"/>
  <c r="O125" i="97" s="1" a="1"/>
  <c r="O125" i="97" s="1"/>
  <c r="F9" i="13" s="1"/>
  <c r="Q127" i="97" l="1"/>
  <c r="O130" i="97" s="1" a="1"/>
  <c r="O130" i="97" s="1"/>
  <c r="I9" i="13" s="1"/>
  <c r="I11" i="13" s="1"/>
  <c r="G127" i="97"/>
  <c r="E130" i="97" s="1" a="1"/>
  <c r="E130" i="97" s="1"/>
  <c r="H9" i="13" s="1"/>
  <c r="H11"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<sst xmlns="http://schemas.openxmlformats.org/spreadsheetml/2006/main" count="1276" uniqueCount="423">
  <si>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</si>
  <si>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</si>
  <si>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</si>
  <si>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</si>
  <si>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</si>
  <si>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</si>
  <si>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</si>
  <si>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</si>
  <si>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</si>
  <si>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</si>
  <si>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</si>
  <si>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</si>
  <si>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</si>
  <si>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</si>
  <si>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</si>
  <si>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</si>
  <si>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</si>
  <si>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</si>
  <si>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</si>
  <si>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</si>
  <si>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</si>
  <si>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</si>
  <si>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</si>
  <si>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</si>
  <si>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</si>
  <si>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</si>
  <si>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</si>
  <si>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</si>
  <si>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</si>
  <si>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</si>
  <si>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</si>
  <si>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</si>
  <si>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</si>
  <si>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</si>
  <si>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</si>
  <si>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</si>
  <si>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</si>
  <si>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</si>
  <si>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</si>
  <si>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</si>
  <si>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</si>
  <si>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</si>
  <si>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</si>
  <si>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</si>
  <si>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</si>
  <si>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</si>
  <si>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</si>
  <si>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</si>
  <si>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</si>
  <si>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</si>
  <si>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</si>
  <si>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</si>
  <si>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</si>
  <si>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</si>
  <si>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</si>
  <si>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</si>
  <si>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</si>
  <si>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</si>
  <si>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</si>
  <si>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</si>
  <si>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</si>
  <si>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</si>
  <si>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</si>
  <si>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</si>
  <si>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</si>
  <si>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</si>
  <si>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</si>
  <si>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</si>
  <si>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</si>
  <si>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</si>
  <si>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</si>
  <si>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</si>
  <si>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</si>
  <si>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</si>
  <si>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</si>
  <si>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</si>
  <si>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</si>
  <si>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</si>
  <si>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</si>
  <si>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</si>
  <si>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</si>
  <si>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</si>
  <si>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</si>
  <si>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</si>
  <si>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</si>
  <si>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</si>
  <si>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</si>
  <si>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</si>
  <si>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</si>
  <si>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</si>
  <si>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</si>
  <si>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</si>
  <si>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</si>
  <si>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</si>
  <si>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</si>
  <si>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</si>
  <si>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</si>
  <si>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</si>
  <si>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</si>
  <si>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</si>
  <si>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</si>
  <si>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</si>
  <si>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</si>
  <si>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</si>
  <si>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</si>
  <si>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</si>
  <si>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</si>
  <si>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</si>
  <si>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</si>
  <si>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</si>
  <si>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</si>
  <si>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</si>
  <si>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</si>
  <si>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</si>
  <si>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</si>
  <si>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</si>
  <si>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</si>
  <si>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</si>
  <si>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</si>
  <si>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</si>
  <si>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</si>
  <si>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</si>
  <si>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</si>
  <si>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</si>
  <si>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</si>
  <si>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</si>
  <si>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</si>
  <si>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</si>
  <si>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</si>
  <si>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</si>
  <si>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</si>
  <si>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</si>
  <si>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</si>
  <si>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</si>
  <si>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</si>
  <si>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</si>
  <si>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</si>
  <si>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</si>
  <si>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</si>
  <si>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</si>
  <si>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</si>
  <si>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</si>
  <si>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</si>
  <si>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</si>
  <si>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</si>
  <si>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</si>
  <si>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</si>
  <si>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</si>
  <si>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</si>
  <si>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</si>
  <si>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</si>
  <si>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</si>
  <si>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</si>
  <si>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</si>
  <si>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</si>
  <si>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</si>
  <si>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</si>
  <si>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</si>
  <si>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</si>
  <si>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</si>
  <si>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</si>
  <si>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</si>
  <si>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</si>
  <si>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</si>
  <si>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</si>
  <si>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</si>
  <si>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</si>
  <si>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</si>
  <si>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</si>
  <si>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</si>
  <si>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</si>
  <si>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</si>
  <si>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</si>
  <si>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</si>
  <si>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</si>
  <si>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</si>
  <si>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</si>
  <si>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</si>
  <si>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</si>
  <si>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</si>
  <si>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</si>
  <si>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</si>
  <si>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</si>
  <si>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</si>
  <si>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</si>
  <si>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</si>
  <si>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</si>
  <si>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</si>
  <si>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</si>
  <si>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</si>
  <si>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</si>
  <si>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</si>
  <si>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</si>
  <si>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</si>
  <si>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</si>
  <si>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</si>
  <si>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</si>
  <si>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</si>
  <si>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</si>
  <si>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</si>
  <si>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</si>
  <si>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</si>
  <si>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</si>
  <si>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</si>
  <si>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</si>
  <si>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</si>
  <si>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</si>
  <si>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</si>
  <si>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</si>
  <si>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</si>
  <si>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</si>
  <si>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</si>
  <si>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</si>
  <si>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</si>
  <si>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</si>
  <si>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</si>
  <si>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</si>
  <si>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</si>
  <si>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</si>
  <si>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</si>
  <si>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</si>
  <si>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</si>
  <si>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</si>
  <si>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</si>
  <si>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</si>
  <si>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</si>
  <si>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</si>
  <si>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</si>
  <si>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</si>
  <si>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</si>
  <si>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</si>
  <si>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</si>
  <si>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</si>
  <si>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</si>
  <si>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</si>
  <si>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</si>
  <si>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</si>
  <si>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</si>
  <si>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</si>
  <si>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</si>
  <si>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</si>
  <si>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</si>
  <si>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</si>
  <si>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</si>
  <si>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</si>
  <si>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</si>
  <si>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</si>
  <si>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</si>
  <si>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</si>
  <si>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</si>
  <si>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</si>
  <si>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</si>
  <si>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</si>
  <si>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</si>
  <si>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</si>
  <si>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</si>
  <si>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</si>
  <si>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</si>
  <si>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</si>
  <si>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</si>
  <si>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</si>
  <si>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</si>
  <si>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</si>
  <si>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</si>
  <si>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</si>
  <si>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</si>
  <si>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</si>
  <si>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</si>
  <si>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</si>
  <si>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</si>
  <si>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</si>
  <si>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</si>
  <si>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</si>
  <si>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</si>
  <si>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</si>
  <si>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</si>
  <si>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</si>
  <si>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</si>
  <si>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</si>
  <si>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</si>
  <si>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</si>
  <si>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</si>
  <si>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</si>
  <si>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</si>
  <si>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</si>
  <si>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</si>
  <si>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</si>
  <si>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</si>
  <si>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</si>
  <si>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</si>
  <si>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</si>
  <si>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</si>
  <si>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</si>
  <si>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</si>
  <si>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</si>
  <si>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</si>
  <si>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</si>
  <si>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</si>
  <si>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</si>
  <si>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</si>
  <si>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</si>
  <si>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</si>
  <si>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</si>
  <si>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</si>
  <si>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</si>
  <si>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</si>
  <si>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</si>
  <si>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</si>
  <si>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</si>
  <si>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</si>
  <si>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</si>
  <si>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</si>
  <si>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</si>
  <si>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</si>
  <si>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</si>
  <si>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</si>
  <si>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</si>
  <si>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</si>
  <si>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</si>
  <si>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</si>
  <si>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</si>
  <si>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</si>
  <si>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</si>
  <si>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</si>
  <si>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</si>
  <si>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</si>
  <si>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</si>
  <si>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</si>
  <si>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</si>
  <si>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</si>
  <si>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</si>
  <si>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</si>
  <si>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</si>
  <si>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</si>
  <si>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</si>
  <si>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</si>
  <si>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</si>
  <si>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</si>
  <si>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</si>
  <si>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</si>
  <si>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</si>
  <si>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</si>
  <si>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</si>
  <si>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</si>
  <si>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</si>
  <si>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</si>
  <si>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</si>
  <si>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</si>
  <si>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</si>
  <si>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</si>
  <si>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</si>
  <si>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</si>
  <si>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</si>
  <si>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</si>
  <si>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</si>
  <si>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</si>
  <si>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</si>
  <si>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</si>
  <si>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</si>
  <si>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</si>
  <si>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</si>
  <si>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</si>
  <si>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</si>
  <si>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</si>
  <si>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</si>
  <si>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</si>
  <si>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</si>
  <si>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</si>
  <si>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</si>
  <si>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</si>
  <si>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</si>
  <si>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</si>
  <si>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</si>
  <si>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</si>
  <si>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</si>
  <si>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</si>
  <si>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</si>
  <si>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</si>
  <si>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</si>
  <si>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</si>
  <si>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</si>
  <si>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</si>
  <si>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</si>
  <si>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</si>
  <si>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</si>
  <si>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</si>
  <si>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</si>
  <si>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</si>
  <si>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</si>
  <si>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</si>
  <si>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</si>
  <si>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</si>
  <si>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</si>
  <si>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</si>
  <si>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</si>
  <si>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</si>
  <si>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</si>
  <si>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</si>
  <si>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</si>
  <si>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</si>
  <si>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</si>
  <si>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</si>
  <si>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</si>
  <si>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</si>
  <si>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</si>
  <si>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</si>
  <si>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</si>
  <si>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</si>
  <si>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</si>
  <si>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</si>
  <si>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</si>
  <si>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</si>
  <si>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</si>
  <si>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</si>
  <si>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</si>
  <si>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</si>
  <si>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</si>
  <si>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</si>
  <si>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Livestock classes</t>
  </si>
  <si>
    <t>Livestock class</t>
  </si>
  <si>
    <t>Table_LivestockClasses_Swine</t>
  </si>
  <si>
    <t>Constants - Common livestock</t>
  </si>
  <si>
    <t>Feed intake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</si>
</sst>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 numFmtId="171" formatCode="[$-F800]dddd\,\ mmmm\ dd\,\ yyyy"/>
  </numFmts>
  <fonts count="6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4" fillId="4" borderId="0">
      <alignment horizontal="left" vertical="center"/>
    </xf>
    <xf numFmtId="0" fontId="40" fillId="4" borderId="0">
      <alignment vertical="center"/>
    </xf>
    <xf numFmtId="0" fontId="3" fillId="4" borderId="0">
      <alignment horizontal="left" vertical="center"/>
    </xf>
    <xf numFmtId="0" fontId="3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5"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2" fillId="4" borderId="2">
      <alignment horizontal="center" vertical="center"/>
    </xf>
    <xf numFmtId="168" fontId="2" fillId="0" borderId="2">
      <alignment horizontal="center" vertical="center"/>
    </xf>
    <xf numFmtId="0" fontId="33" fillId="0" borderId="0"/>
    <xf numFmtId="0" fontId="10" fillId="0" borderId="0"/>
    <xf numFmtId="0" fontId="33" fillId="0" borderId="0"/>
    <xf numFmtId="166" fontId="32" fillId="4" borderId="2">
      <alignment horizontal="center" vertical="center"/>
    </xf>
    <xf numFmtId="4" fontId="32" fillId="4" borderId="2">
      <alignment horizontal="center" vertical="center"/>
    </xf>
    <xf numFmtId="0" fontId="50" fillId="4" borderId="0">
      <alignment horizontal="left" vertical="center"/>
    </xf>
    <xf numFmtId="0" fontId="35" fillId="4" borderId="0" applyNumberFormat="0">
      <alignment horizontal="center" vertical="center"/>
    </xf>
    <xf numFmtId="165" fontId="32" fillId="4" borderId="2">
      <alignment horizontal="center" vertical="center"/>
    </xf>
    <xf numFmtId="0" fontId="31" fillId="4" borderId="0">
      <alignment horizontal="left" vertical="center"/>
    </xf>
    <xf numFmtId="169" fontId="32" fillId="4" borderId="2">
      <alignment horizontal="center" vertical="center"/>
    </xf>
    <xf numFmtId="0" fontId="32"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1" fillId="4" borderId="0">
      <alignment horizontal="left" vertical="center"/>
    </xf>
    <xf numFmtId="0" fontId="43" fillId="11" borderId="0">
      <alignment horizontal="center" vertical="center"/>
    </xf>
    <xf numFmtId="0" fontId="21" fillId="11" borderId="0">
      <alignment horizontal="left" vertical="center" indent="1"/>
    </xf>
    <xf numFmtId="0" fontId="61" fillId="15" borderId="2">
      <alignment horizontal="center" vertical="center"/>
    </xf>
    <xf numFmtId="0" fontId="62" fillId="16" borderId="2">
      <alignment horizontal="center" vertical="center"/>
    </xf>
    <xf numFmtId="0" fontId="65" fillId="0" borderId="0" applyNumberFormat="0" applyFill="0" applyBorder="0" applyAlignment="0" applyProtection="0"/>
    <xf numFmtId="0" fontId="63" fillId="4" borderId="2">
      <alignment horizontal="left" vertical="center"/>
    </xf>
    <xf numFmtId="0" fontId="32" fillId="4" borderId="2">
      <alignment horizontal="left" vertical="center"/>
    </xf>
    <xf numFmtId="0" fontId="66" fillId="0" borderId="0"/>
  </cellStyleXfs>
  <cellXfs count="147">
    <xf numFmtId="0" fontId="0" fillId="0" borderId="0" xfId="0"/>
    <xf numFmtId="0" fontId="36"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4"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1" fillId="13" borderId="8" xfId="41">
      <alignment horizontal="left" vertical="center"/>
    </xf>
    <xf numFmtId="0" fontId="0" fillId="4" borderId="0" xfId="0" applyFill="1"/>
    <xf numFmtId="2" fontId="29"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8" fillId="4" borderId="0" xfId="0" applyFont="1" applyFill="1"/>
    <xf numFmtId="2" fontId="29" fillId="4" borderId="0" xfId="0" applyNumberFormat="1" applyFont="1" applyFill="1"/>
    <xf numFmtId="0" fontId="6" fillId="4" borderId="0" xfId="12" applyAlignment="1">
      <alignment horizontal="left" indent="1"/>
    </xf>
    <xf numFmtId="0" fontId="29" fillId="4" borderId="1" xfId="0" applyFont="1" applyFill="1" applyBorder="1"/>
    <xf numFmtId="0" fontId="36"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6" fillId="4" borderId="0" xfId="7" applyFont="1" applyAlignment="1">
      <alignment horizontal="center" vertical="center"/>
    </xf>
    <xf numFmtId="166" fontId="26"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4" fillId="0" borderId="0" xfId="5" applyFill="1">
      <alignment horizontal="left" vertical="center"/>
    </xf>
    <xf numFmtId="0" fontId="40" fillId="0" borderId="0" xfId="6" applyFill="1">
      <alignment vertical="center"/>
    </xf>
    <xf numFmtId="0" fontId="36" fillId="0" borderId="0" xfId="8" applyFill="1">
      <alignment horizontal="left" vertical="center"/>
    </xf>
    <xf numFmtId="0" fontId="9" fillId="0" borderId="0" xfId="12" applyFont="1" applyFill="1" applyAlignment="1">
      <alignment horizontal="left" vertical="center"/>
    </xf>
    <xf numFmtId="0" fontId="36"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0"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2" fillId="4" borderId="2" xfId="55">
      <alignment horizontal="center" vertical="center"/>
    </xf>
    <xf numFmtId="0" fontId="38" fillId="4" borderId="0" xfId="8" applyFont="1">
      <alignment horizontal="left" vertical="center"/>
    </xf>
    <xf numFmtId="0" fontId="6" fillId="4" borderId="0" xfId="56">
      <alignment horizontal="left" vertical="center"/>
    </xf>
    <xf numFmtId="0" fontId="39" fillId="4" borderId="0" xfId="57">
      <alignment horizontal="left" vertical="center"/>
    </xf>
    <xf numFmtId="0" fontId="10" fillId="0" borderId="0" xfId="58"/>
    <xf numFmtId="0" fontId="32" fillId="4" borderId="2" xfId="55" applyAlignment="1">
      <alignment horizontal="left" vertical="center"/>
    </xf>
    <xf numFmtId="0" fontId="32" fillId="4" borderId="7" xfId="55" applyBorder="1" applyAlignment="1">
      <alignment horizontal="left" vertical="center"/>
    </xf>
    <xf numFmtId="0" fontId="32"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2"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5" fillId="4" borderId="0" xfId="0" applyFont="1" applyFill="1"/>
    <xf numFmtId="0" fontId="26" fillId="4" borderId="0" xfId="0" applyFont="1" applyFill="1" applyAlignment="1">
      <alignment horizontal="center" vertical="center"/>
    </xf>
    <xf numFmtId="0" fontId="27" fillId="4" borderId="0" xfId="0" applyFont="1" applyFill="1" applyAlignment="1">
      <alignment horizontal="center" vertical="center"/>
    </xf>
    <xf numFmtId="0" fontId="27" fillId="4" borderId="0" xfId="0" applyFont="1" applyFill="1" applyAlignment="1">
      <alignment horizontal="left" vertical="center"/>
    </xf>
    <xf numFmtId="14" fontId="3" fillId="4" borderId="0" xfId="7" applyNumberFormat="1">
      <alignment horizontal="left" vertical="center"/>
    </xf>
    <xf numFmtId="0" fontId="65"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0" fillId="4" borderId="0" xfId="0" applyFont="1" applyFill="1"/>
    <xf numFmtId="0" fontId="41" fillId="13" borderId="10" xfId="41" applyBorder="1">
      <alignment horizontal="left" vertical="center"/>
    </xf>
    <xf numFmtId="0" fontId="41" fillId="13" borderId="12" xfId="41" applyBorder="1">
      <alignment horizontal="left" vertical="center"/>
    </xf>
    <xf numFmtId="0" fontId="41" fillId="13" borderId="14" xfId="41" applyBorder="1">
      <alignment horizontal="left" vertical="center"/>
    </xf>
    <xf numFmtId="0" fontId="41" fillId="13" borderId="13" xfId="41" applyBorder="1">
      <alignment horizontal="left" vertical="center"/>
    </xf>
    <xf numFmtId="0" fontId="41" fillId="13" borderId="15" xfId="41" applyBorder="1">
      <alignment horizontal="left" vertical="center"/>
    </xf>
    <xf numFmtId="0" fontId="41" fillId="13" borderId="17" xfId="41" applyBorder="1">
      <alignment horizontal="left" vertical="center"/>
    </xf>
    <xf numFmtId="0" fontId="41" fillId="13" borderId="11" xfId="41" applyBorder="1">
      <alignment horizontal="left" vertical="center"/>
    </xf>
    <xf numFmtId="0" fontId="41" fillId="13" borderId="16" xfId="41" applyBorder="1">
      <alignment horizontal="left" vertical="center"/>
    </xf>
    <xf numFmtId="0" fontId="41" fillId="13" borderId="18" xfId="41" applyBorder="1">
      <alignment horizontal="left" vertical="center"/>
    </xf>
    <xf numFmtId="0" fontId="42" fillId="13" borderId="9" xfId="41" applyFont="1" applyBorder="1">
      <alignment horizontal="left" vertical="center"/>
    </xf>
    <xf numFmtId="9" fontId="32" fillId="4" borderId="2" xfId="14" applyFont="1" applyFill="1" applyBorder="1" applyAlignment="1">
      <alignment horizontal="center" vertical="center"/>
    </xf>
    <xf numFmtId="0" fontId="45" fillId="4" borderId="0" xfId="61">
      <alignment horizontal="left" vertical="center"/>
    </xf>
    <xf numFmtId="0" fontId="44" fillId="4" borderId="0" xfId="60">
      <alignment horizontal="left" vertical="center"/>
    </xf>
    <xf numFmtId="0" fontId="32" fillId="4" borderId="19" xfId="55" applyBorder="1" applyAlignment="1">
      <alignment horizontal="left" vertical="center"/>
    </xf>
    <xf numFmtId="0" fontId="46" fillId="4" borderId="1" xfId="8" applyFont="1" applyBorder="1">
      <alignment horizontal="left" vertical="center"/>
    </xf>
    <xf numFmtId="0" fontId="47" fillId="4" borderId="1" xfId="8" applyFont="1" applyBorder="1">
      <alignment horizontal="left" vertical="center"/>
    </xf>
    <xf numFmtId="0" fontId="48" fillId="4" borderId="1" xfId="56" applyFont="1" applyBorder="1">
      <alignment horizontal="left" vertical="center"/>
    </xf>
    <xf numFmtId="0" fontId="32"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6" fillId="14" borderId="0" xfId="8" applyFill="1">
      <alignment horizontal="left" vertical="center"/>
    </xf>
    <xf numFmtId="0" fontId="32" fillId="4" borderId="2" xfId="55" applyAlignment="1">
      <alignment vertical="center"/>
    </xf>
    <xf numFmtId="0" fontId="32" fillId="4" borderId="6" xfId="55" applyBorder="1" applyAlignment="1">
      <alignment vertical="center"/>
    </xf>
    <xf numFmtId="0" fontId="32"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38" fillId="4" borderId="1" xfId="8" applyFont="1" applyBorder="1">
      <alignment horizontal="left" vertical="center"/>
    </xf>
    <xf numFmtId="2" fontId="29" fillId="4" borderId="1" xfId="0" applyNumberFormat="1" applyFont="1" applyFill="1" applyBorder="1" applyAlignment="1">
      <alignment horizontal="center"/>
    </xf>
    <xf numFmtId="0" fontId="43" fillId="11" borderId="0" xfId="63">
      <alignment horizontal="center" vertical="center"/>
    </xf>
    <xf numFmtId="0" fontId="54" fillId="0" borderId="0" xfId="2" applyFont="1"/>
    <xf numFmtId="0" fontId="55"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6" fillId="4" borderId="0" xfId="8" applyFont="1">
      <alignment horizontal="left" vertical="center"/>
    </xf>
    <xf numFmtId="0" fontId="57" fillId="4" borderId="0" xfId="8" applyFont="1">
      <alignment horizontal="left" vertical="center"/>
    </xf>
    <xf numFmtId="3" fontId="32" fillId="4" borderId="2" xfId="55" applyNumberFormat="1">
      <alignment horizontal="center" vertical="center"/>
    </xf>
    <xf numFmtId="0" fontId="36" fillId="4" borderId="0" xfId="8" applyAlignment="1">
      <alignment horizontal="left" vertical="center" indent="3"/>
    </xf>
    <xf numFmtId="0" fontId="38" fillId="4" borderId="0" xfId="8" applyFont="1" applyAlignment="1">
      <alignment horizontal="left" vertical="center" indent="3"/>
    </xf>
    <xf numFmtId="0" fontId="36" fillId="4" borderId="0" xfId="8" applyAlignment="1">
      <alignment horizontal="left" vertical="center" indent="6"/>
    </xf>
    <xf numFmtId="0" fontId="13" fillId="6" borderId="0" xfId="29" applyAlignment="1">
      <alignment horizontal="left" vertical="center" indent="3"/>
    </xf>
    <xf numFmtId="0" fontId="55" fillId="6" borderId="0" xfId="30" applyFont="1" applyAlignment="1" applyProtection="1">
      <alignment horizontal="left" vertical="center"/>
    </xf>
    <xf numFmtId="0" fontId="36" fillId="4" borderId="0" xfId="8" applyAlignment="1">
      <alignment horizontal="center" vertical="center"/>
    </xf>
    <xf numFmtId="0" fontId="59" fillId="4" borderId="0" xfId="62" applyFont="1" applyAlignment="1">
      <alignment horizontal="left" vertical="center" indent="2"/>
    </xf>
    <xf numFmtId="0" fontId="59" fillId="4" borderId="0" xfId="62" applyFont="1">
      <alignment horizontal="left" vertical="center"/>
    </xf>
    <xf numFmtId="0" fontId="41" fillId="13" borderId="9" xfId="41" applyBorder="1">
      <alignment horizontal="left" vertical="center"/>
    </xf>
    <xf numFmtId="0" fontId="60" fillId="4" borderId="0" xfId="62" applyFont="1">
      <alignment horizontal="left" vertical="center"/>
    </xf>
    <xf numFmtId="170" fontId="8" fillId="4" borderId="0" xfId="10" applyNumberFormat="1">
      <alignment horizontal="center" vertical="center"/>
    </xf>
    <xf numFmtId="0" fontId="61" fillId="15" borderId="2" xfId="65">
      <alignment horizontal="center" vertical="center"/>
    </xf>
    <xf numFmtId="0" fontId="62" fillId="16" borderId="2" xfId="66">
      <alignment horizontal="center" vertical="center"/>
    </xf>
    <xf numFmtId="0" fontId="63" fillId="4" borderId="2" xfId="55" applyFont="1" applyAlignment="1">
      <alignment horizontal="left" vertical="center"/>
    </xf>
    <xf numFmtId="0" fontId="62" fillId="16" borderId="6" xfId="66" applyBorder="1">
      <alignment horizontal="center" vertical="center"/>
    </xf>
    <xf numFmtId="0" fontId="63" fillId="4" borderId="2" xfId="68">
      <alignment horizontal="left" vertical="center"/>
    </xf>
    <xf numFmtId="0" fontId="32" fillId="4" borderId="2" xfId="69">
      <alignment horizontal="left" vertical="center"/>
    </xf>
    <xf numFmtId="0" fontId="32" fillId="4" borderId="6" xfId="69" applyBorder="1">
      <alignment horizontal="left" vertical="center"/>
    </xf>
    <xf numFmtId="0" fontId="32" fillId="4" borderId="7" xfId="69" applyBorder="1">
      <alignment horizontal="left" vertical="center"/>
    </xf>
    <xf numFmtId="0" fontId="63" fillId="4" borderId="6" xfId="68" applyBorder="1">
      <alignment horizontal="left" vertical="center"/>
    </xf>
    <xf numFmtId="0" fontId="63" fillId="4" borderId="7" xfId="68" applyBorder="1">
      <alignment horizontal="left" vertical="center"/>
    </xf>
    <xf numFmtId="0" fontId="66" fillId="0" borderId="0" xfId="70"/>
    <xf numFmtId="0" fontId="0" fillId="0" borderId="20" xfId="0" applyBorder="1"/>
    <xf numFmtId="0" fontId="0" fillId="4" borderId="20" xfId="0" applyFill="1" applyBorder="1"/>
    <xf numFmtId="0" fontId="21" fillId="11" borderId="0" xfId="64">
      <alignment horizontal="left" vertical="center" indent="1"/>
    </xf>
    <xf numFmtId="0" fontId="67"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5" fillId="0" borderId="0" xfId="34"/>
    <xf numFmtId="171" fontId="0" fillId="0" borderId="0" xfId="8" applyNumberFormat="1" applyFont="1" applyFill="1">
      <alignment horizontal="left" vertical="center"/>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8"/>
      <tableStyleElement type="headerRow" dxfId="97"/>
      <tableStyleElement type="totalRow" dxfId="96"/>
      <tableStyleElement type="firstColumn" dxfId="95"/>
      <tableStyleElement type="firstRowStripe" dxfId="94"/>
      <tableStyleElement type="secondRowStripe" dxfId="93"/>
    </tableStyle>
    <tableStyle name="Equation table" pivot="0" count="6" xr9:uid="{B247698E-E41D-4CCD-AA0A-C14817E9DE65}">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8D19AA0-5FCF-4F1B-9B46-EF0EC1DC236E}" name="Table_Input_LivestockSales" displayName="Table_Input_LivestockSales" ref="D39:I49" totalsRowShown="0">
  <autoFilter ref="D39:I49"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86"/>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G40*H40</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4"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3"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2"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1"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0"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9"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8"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7"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5"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4"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3"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2"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0" dataCellStyle="Content normal">
  <autoFilter ref="D78:E82" xr:uid="{E34928EB-73E5-43B2-830B-089F30DA4EF0}">
    <filterColumn colId="0" hiddenButton="1"/>
    <filterColumn colId="1" hiddenButton="1"/>
  </autoFilter>
  <tableColumns count="2">
    <tableColumn id="1" xr3:uid="{CAC8EB28-568F-4E9F-8E36-EBDFF74A58D3}" name="Class" dataDxfId="69"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7"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6"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5"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63"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C4DD910-502A-46D7-A478-ED538841D3A4}" name="Table_LivestockClasses_Swine" displayName="Table_LivestockClasses_Swine" ref="I8:I12" totalsRowShown="0">
  <autoFilter ref="I8:I12" xr:uid="{AC4DD910-502A-46D7-A478-ED538841D3A4}"/>
  <tableColumns count="1">
    <tableColumn id="1" xr3:uid="{50B043B6-3013-49F5-82E3-ECECE565F3A7}"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A01096E-99A2-4146-AC44-88858A50B9F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C4EA083-BFD4-4695-B7CC-7A998070026F}" name="State/Territory">
      <calculatedColumnFormula array="1">Common_InputFunctions.Utility_DisplayArrayInTable(Common_SourceData.Common_SourceData_AustralianStatesTerritories_Data(),Table_AustralianStates[[#Headers],[State/Territory]],0)</calculatedColumnFormula>
    </tableColumn>
    <tableColumn id="2" xr3:uid="{EB92EBE5-C6A0-4E0E-858C-6494C3063999}" name="Common Name">
      <calculatedColumnFormula array="1">Common_InputFunctions.Utility_DisplayArrayInTable(Common_SourceData.Common_SourceData_AustralianStatesTerritories_Data(),Table_AustralianStates[[#Headers],[State/Territory]],0)</calculatedColumnFormula>
    </tableColumn>
    <tableColumn id="3" xr3:uid="{4221FD88-8BE6-4DCF-9089-B6CD2911BE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38A6856-B227-4D0F-B37A-B48921F7454C}" name="Table_WASA4Areas" displayName="Table_WASA4Areas" ref="D20:D30" totalsRowShown="0">
  <autoFilter ref="D20:D30" xr:uid="{5FA81339-C6C8-4D36-BEEA-6C4AEDD9E676}">
    <filterColumn colId="0" hiddenButton="1"/>
  </autoFilter>
  <tableColumns count="1">
    <tableColumn id="1" xr3:uid="{1A6F81F4-D9B6-460B-B6E3-2B5AC507FDE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16197CA-0BD7-462D-B86B-2B5F4D31F40F}" name="Table_GWPData" displayName="Table_GWPData" ref="D36:E43" totalsRowShown="0">
  <autoFilter ref="D36:E43" xr:uid="{B8E87A66-3E41-4AD3-925D-01EE21B43D7A}">
    <filterColumn colId="0" hiddenButton="1"/>
    <filterColumn colId="1" hiddenButton="1"/>
  </autoFilter>
  <tableColumns count="2">
    <tableColumn id="1" xr3:uid="{2F024C54-3E21-44E9-A982-14840A5DDA28}" name="Gas">
      <calculatedColumnFormula array="1">Common_InputFunctions.Utility_DisplayArrayInTable(Common_SourceData.Common_SourceData_GWP_Data(), Table_GWPData[[#Headers],[Gas]], 0)</calculatedColumnFormula>
    </tableColumn>
    <tableColumn id="2" xr3:uid="{0CD7FCC0-904D-468B-A16D-D75D4465E09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CEE54BB-BAC2-4380-B8B3-F4658FD4080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DEB724-D063-44D3-AE22-6708EE9EE3C0}" name="Gas">
      <calculatedColumnFormula array="1">Common_InputFunctions.Utility_DisplayArrayInTable(Common_SourceData.Common_SourceData_ConvertGasElementalToMolecular_Data(),Table_GasToMolecularConversionFactor[[#Headers],[Gas]], 0)</calculatedColumnFormula>
    </tableColumn>
    <tableColumn id="5" xr3:uid="{0CC2F75F-F17A-461E-9738-770F6749DAFD}" name="Conversion factor">
      <calculatedColumnFormula array="1">Common_InputFunctions.Utility_DisplayArrayInTable(Common_SourceData.Common_SourceData_ConvertGasElementalToMolecular_Data(),Table_GasToMolecularConversionFactor[[#Headers],[Gas]], 0)</calculatedColumnFormula>
    </tableColumn>
    <tableColumn id="2" xr3:uid="{D73C9402-3418-46F6-968F-BE3C3E9CDFD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5291CFE-768B-481D-A716-2BD027CEC4A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6A37C60-6075-4ECE-9E05-9ED95ED022D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CAFE06-7FD1-4B29-A6DB-655629817A3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1F613D2-D8A8-45A5-93CD-064251DCD2D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9878F40-269B-4DAC-A6D2-415FFE4D629F}" name="MA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3" xr3:uid="{F6DCCB7A-48B2-43AE-B3BA-AAEEC02BF40D}" name="MA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4" xr3:uid="{18C0B670-3990-4842-BE4C-AB190A5ECFA7}" name="Frost days per year"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5" xr3:uid="{0F0458B4-79D8-4E84-A55F-AE8E9FBFDF5F}" name="Elevation"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6" xr3:uid="{7EDB9159-17B8-4D1C-BC76-9BCCB0FE283E}" name="MAP:PE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7" xr3:uid="{E41F554B-2698-4225-8233-E0B32D03588F}" name="Min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8" xr3:uid="{1EE95BBB-4CCA-4CAD-BE77-2B221A752B2B}" name="Max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9" xr3:uid="{7AB05A7D-BE53-4228-B24D-7D8A16297DEE}" name="Min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0" xr3:uid="{E644564A-56FB-485E-AF54-2A612933924E}" name="Max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1" xr3:uid="{8E4042DC-E819-4E2C-A56C-FAB0C5C5684E}" name="Min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5" xr3:uid="{F777F060-DB54-494F-8D7D-EDBD6D348187}" name="Max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2" xr3:uid="{D789D45B-3342-40CA-9DC1-7023974584FE}" name="Min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6" xr3:uid="{E4AA8218-5C2A-4C32-B1B1-8C0F86BB962B}" name="Max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3" xr3:uid="{FFD001CF-5F65-4D10-9EED-9DDDF295F903}" name="Min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7" xr3:uid="{46383F2A-4CA7-4288-9404-8B2B6B2F3F33}" name="Max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530E9B0-274B-43A2-8E8F-A6B1F832C01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2CA3987-C754-4440-95B6-BF8014E91B0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62C9C6A-7090-4355-A081-EA2D93D7A870}" name="Wet or Dry Zone" totalsRowDxfId="4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637251-D7D1-4A58-96CC-5599310411A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C42C69B-BEAA-4AE3-BC6E-14B1A4925183}" name="Temperature Zone">
      <calculatedColumnFormula array="1">Common_InputFunctions.Utility_DisplayArrayInTable(Common_SourceData.Common_SourceData_TemperatureZones_Data(),Table_SourceData_TemperatureZones[[#Headers],[Temperature Zone]],0)</calculatedColumnFormula>
    </tableColumn>
    <tableColumn id="2" xr3:uid="{EC665EB0-D01B-4683-8853-6872A431CA58}" name="MAT">
      <calculatedColumnFormula array="1">Common_InputFunctions.Utility_DisplayArrayInTable(Common_SourceData.Common_SourceData_TemperatureZones_Data(),Table_SourceData_TemperatureZones[[#Headers],[Temperature Zone]],0)</calculatedColumnFormula>
    </tableColumn>
    <tableColumn id="3" xr3:uid="{A56CFB9C-8D2E-4291-8F6B-AD6FB570E7C9}" name="Min MAT">
      <calculatedColumnFormula array="1">Common_InputFunctions.Utility_DisplayArrayInTable(Common_SourceData.Common_SourceData_TemperatureZones_Data(),Table_SourceData_TemperatureZones[[#Headers],[Temperature Zone]],0)</calculatedColumnFormula>
    </tableColumn>
    <tableColumn id="4" xr3:uid="{5BF6A887-264D-4D07-9EE0-51413F89831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73C2DE-E4AA-4956-9E19-ED6AC0D2057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83B16FC-40C8-4071-BA79-82548874272A}" name="Rainfall Zone">
      <calculatedColumnFormula array="1">Common_InputFunctions.Utility_DisplayArrayInTable(Common_SourceData.Common_SourceData_RainfallZones_Data(),Table_SourceData_RainfallZones[[#Headers],[Rainfall Zone]],0)</calculatedColumnFormula>
    </tableColumn>
    <tableColumn id="2" xr3:uid="{1E4D6B40-226A-4A10-8E99-7ED5D810A5ED}" name="Annual rainfall">
      <calculatedColumnFormula array="1">Common_InputFunctions.Utility_DisplayArrayInTable(Common_SourceData.Common_SourceData_RainfallZones_Data(),Table_SourceData_RainfallZones[[#Headers],[Rainfall Zone]],0)</calculatedColumnFormula>
    </tableColumn>
    <tableColumn id="3" xr3:uid="{A96B69CA-6B2D-4CB3-8DF8-B6F9B2E546BE}" name="Min rainfall">
      <calculatedColumnFormula array="1">Common_InputFunctions.Utility_DisplayArrayInTable(Common_SourceData.Common_SourceData_RainfallZones_Data(),Table_SourceData_RainfallZones[[#Headers],[Rainfall Zone]],0)</calculatedColumnFormula>
    </tableColumn>
    <tableColumn id="4" xr3:uid="{547FF238-BFB2-4C73-93CC-79A1229CFC8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F217059-2D7D-4795-B438-41404EF195B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9E9A28F-ECAE-42B9-A68F-789D617974D5}" name="Leaching Zone">
      <calculatedColumnFormula array="1">Common_InputFunctions.Utility_DisplayArrayInTable(Common_SourceData.Common_SourceData_LeachingZones_Data(), Table_SourceData_LeachingZones[[#Headers],[Leaching Zone]], 0)</calculatedColumnFormula>
    </tableColumn>
    <tableColumn id="2" xr3:uid="{60134C7B-D14E-4373-ACE2-ECF28746D3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2C858F-E682-45A6-94A9-14DC40E662E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5229F5-6B56-4CC8-9C07-7499A856A215}" name="Data source">
      <calculatedColumnFormula array="1">Common_InputFunctions.Utility_DisplayArrayInTable(Common_SourceData.Common_SourceData_DataScores_Scope3_Data(), Table_SourceData_DataScores_Scope3[[#Headers],[Data source]], 0)</calculatedColumnFormula>
    </tableColumn>
    <tableColumn id="2" xr3:uid="{1EE66D37-CE50-4EAD-9BD8-CE06184D967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D0B85E1-6FF4-403F-B320-BD0D7AF4935D}" name="Table_SourceData_FracWET" displayName="Table_SourceData_FracWET" ref="D134:E136" totalsRowShown="0">
  <autoFilter ref="D134:E136" xr:uid="{308E99BE-FE1F-47A4-B2CA-97217277C4E9}">
    <filterColumn colId="0" hiddenButton="1"/>
    <filterColumn colId="1" hiddenButton="1"/>
  </autoFilter>
  <tableColumns count="2">
    <tableColumn id="1" xr3:uid="{54D258CE-B4A4-4803-8241-9B636DDF2389}" name="Is in leaching zone">
      <calculatedColumnFormula array="1">Common_InputFunctions.Utility_DisplayArrayInTable(Common_SourceData.Common_SourceData_FracWET_Data(),Table_SourceData_FracWET[[#Headers],[Is in leaching zone]],0)</calculatedColumnFormula>
    </tableColumn>
    <tableColumn id="2" xr3:uid="{D8708E43-EBE8-48B8-BB9F-AFC84AC40FE7}" name="FracWET" dataDxfId="4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2FD37B6-B943-40DE-8AE3-9D0A185B8FB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565D3A3-A381-4A5D-89B7-BB6437C3D447}" name="Production system j">
      <calculatedColumnFormula array="1">Common_InputFunctions.Utility_DisplayArrayInTable(Common_SourceData.Common_SourceData_EFN2O_Data(), Table_SourceData_Common_EFN2O[[#Headers],[Production system j]], 0)</calculatedColumnFormula>
    </tableColumn>
    <tableColumn id="2" xr3:uid="{D3BB0652-38D4-4D5B-B1B7-B475DB6530E9}" name="EFN2O">
      <calculatedColumnFormula array="1">Common_InputFunctions.Utility_DisplayArrayInTable(Common_SourceData.Common_SourceData_EFN2O_Data(), Table_SourceData_Common_EFN2O[[#Headers],[Production system j]], 0)</calculatedColumnFormula>
    </tableColumn>
    <tableColumn id="3" xr3:uid="{2514AC7C-E226-4F00-9F8D-C6011D95CB5C}" name="Production system only">
      <calculatedColumnFormula array="1">Common_InputFunctions.Utility_DisplayArrayInTable(Common_SourceData.Common_SourceData_EFN2O_Data(), Table_SourceData_Common_EFN2O[[#Headers],[Production system j]], 0)</calculatedColumnFormula>
    </tableColumn>
    <tableColumn id="4" xr3:uid="{B551FAB0-9F38-488A-82F1-70CDC6236A53}" name="Irrigation method">
      <calculatedColumnFormula array="1">Common_InputFunctions.Utility_DisplayArrayInTable(Common_SourceData.Common_SourceData_EFN2O_Data(), Table_SourceData_Common_EFN2O[[#Headers],[Production system j]], 0)</calculatedColumnFormula>
    </tableColumn>
    <tableColumn id="5" xr3:uid="{07E4D250-A672-4098-90AA-A3E16EE9B90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F2A6219-274B-4314-8EA6-1DC614E86C8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EB7345B-6141-430A-A941-52985CA5EAA4}" name="Irrigation type i">
      <calculatedColumnFormula array="1">Common_InputFunctions.Utility_DisplayArrayInTable(Common_SourceData.Common_SourceData_FracWETIrrigation_Data(), Table_SourceData_FracWETIrrigation[[#Headers],[Irrigation type i]], 0)</calculatedColumnFormula>
    </tableColumn>
    <tableColumn id="2" xr3:uid="{EF7E44A6-D30A-4869-ADA1-3E08CF63A7DE}" name="FracWET" dataDxfId="4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A6C734-C418-4324-80DB-52FF2C39B0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898AE92-12EF-48ED-ADAF-19D67519BDF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256D221-4F15-40E6-ACF4-8EC179F5C7A8}" name="EFPRP" dataDxfId="4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F5ACE4-7CBC-45E9-9888-07B19AEAA5C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73F77BA-685B-4194-BD56-E50FCF13B4FF}" name="Month">
      <calculatedColumnFormula array="1">Common_InputFunctions.Utility_DisplayArrayInTable(Common_SourceData.Common_SourceData_MonthsToSeasons_Data(), Table_SourceData_Common_MonthToSeason[[#Headers],[Month]], 0)</calculatedColumnFormula>
    </tableColumn>
    <tableColumn id="2" xr3:uid="{95A984B7-7198-4C2D-9205-49325842E2A0}" name="Season" dataDxfId="4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ECA3341-2C7F-4738-B94B-D8F9ACDADB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D4B56A-13A4-4DD1-A7DA-6E39EC80CE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BB4F5F1-9940-49A4-A84F-03D02E9A3C16}" name="MAT (ºC)"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91D415-1C13-4465-B7BD-E0EFD5F1E3C2}" name="Anaerobic lagoon"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AFD5E43-DBF8-4E7F-9B11-60CEEEA1AD5A}" name="Digester / covered lagoon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F494E2B-2BDA-40E8-8F06-2C65BE679EBF}" name="Liquid system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8DC92F4-EEA3-4B4C-9F3B-40CE374CF3E2}" name="Daily spread"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C9825-22A9-4F52-AFE2-FD344A99B501}" name="Composting (passive windrow)"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CA6E17B-9681-4E19-9B0F-7F002C20FF04}" name="Solid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B8BBF7-67D7-4F4A-81FC-126EE1705387}" name="Pit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4FA310C-0E53-4CDC-8F9E-F91F3CF5EAE3}" name="Deep litter"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2B8AD91-3DAF-4273-9166-07670BB55ADF}" name="Poultry manure with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14CBC30-FA8D-4B9C-9110-5C610F50A30A}" name="Poultry manure without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1BD3185-8883-40C8-9656-B5BCA61BDD44}" name="Direct process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FB58E4D-50EA-41B6-856D-E543882720E6}" name="Direct application"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FCDB17A-F853-4577-B465-1F7C67E3012C}" name="Pasture range and paddock"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D2033CC-B4B6-4321-AE00-659E24A7B480}" name="MAT ra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BA5B631-E142-490F-87C1-5C3B4D19C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0910914-598D-4DDD-8346-46880EF5F30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B3D9B4A-369A-46C0-B9E3-60A3BDEBCA04}" name="EFNi &amp; EFN2Oi" dataDxfId="2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334E7BB-2DD9-4D93-ABC8-AB0E3B8F920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207AC0D-B5DD-493A-9CDE-9C48152FFC06}" name="Description" dataDxfId="26" dataCellStyle="Content normal"/>
    <tableColumn id="1" xr3:uid="{A9450AE6-6563-43ED-B0A3-83F3FF3D40F2}" name="ID"/>
    <tableColumn id="3" xr3:uid="{9DF97174-8BB1-46C8-890F-745E307526DF}"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BCDF31D-1DA3-4089-88E9-6A40C17858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3213F9-5FC6-4FC3-B9C6-2D1E0A19ED0F}" name="Description"/>
    <tableColumn id="2" xr3:uid="{F8107467-4252-42B7-9B0B-12315E2B7D8C}" name="ID"/>
    <tableColumn id="3" xr3:uid="{CCE0999E-920D-4F3C-869B-0433DBE791C3}"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592C623-1616-4FCE-904D-DE4820195A7D}"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F9F79B1-2853-4B0B-92FC-61405887ABA0}" name="Description"/>
    <tableColumn id="2" xr3:uid="{89C902CE-5237-4133-ACDB-3D830D88D88E}" name="ID"/>
    <tableColumn id="3" xr3:uid="{6EDDF7C1-A920-4D0E-ADA2-0168B906D3AF}"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9D6EA8E-40D1-4279-AF37-42CFE4717AF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FDF2C95E-1AFE-47A0-A87D-52934615A581}" name="Description"/>
    <tableColumn id="2" xr3:uid="{CED05DBE-44E8-4BB2-A136-7C09BEA9860F}" name="ID"/>
    <tableColumn id="3" xr3:uid="{7514C76B-0E5C-4217-A6EB-A71BA6EA4792}"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0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5.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361</v>
      </c>
    </row>
    <row r="3" spans="1:1" x14ac:dyDescent="0.25">
      <c r="A3" s="145" t="str">
        <f>HYPERLINK("#'Home'!A1", "Home")</f>
        <v>Home</v>
      </c>
    </row>
    <row r="6" spans="1:1" x14ac:dyDescent="0.25">
      <c r="A6" s="14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sheetPr>
    <tabColor rgb="FF0C769E"/>
  </sheetPr>
  <dimension ref="A1:BV64"/>
  <sheetViews>
    <sheetView showGridLines="0" zoomScaleNormal="100" workbookViewId="0">
      <selection activeCell="A24" sqref="A24"/>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0"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38"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1"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Common livestock'!A1", "Constants - Common livestock")</f>
        <v>Constants - Common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354</v>
      </c>
    </row>
    <row r="37" spans="1:74" s="139"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38"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E7" sqref="E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09" t="s">
        <v>130</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0" t="str">
        <f>HYPERLINK("#'Results'!A1", "Results")</f>
        <v>Results</v>
      </c>
      <c r="C5" s="21"/>
      <c r="D5" s="25"/>
      <c r="E5" s="26"/>
      <c r="F5" s="26"/>
      <c r="G5" s="26"/>
      <c r="H5" s="23"/>
      <c r="I5" s="21"/>
      <c r="J5" s="21"/>
      <c r="K5" s="21"/>
    </row>
    <row r="6" spans="1:11" ht="20.100000000000001" customHeight="1" x14ac:dyDescent="0.25">
      <c r="C6" s="21"/>
      <c r="D6" s="108" t="s">
        <v>97</v>
      </c>
      <c r="E6" s="108" t="s">
        <v>121</v>
      </c>
      <c r="F6" s="108" t="s">
        <v>122</v>
      </c>
      <c r="G6" s="108" t="s">
        <v>110</v>
      </c>
      <c r="H6" s="108" t="s">
        <v>123</v>
      </c>
      <c r="I6" s="108" t="s">
        <v>124</v>
      </c>
      <c r="J6" s="108" t="s">
        <v>111</v>
      </c>
      <c r="K6" s="21"/>
    </row>
    <row r="7" spans="1:11" ht="20.100000000000001" customHeight="1" x14ac:dyDescent="0.25">
      <c r="C7" s="21"/>
      <c r="D7" s="1" t="s">
        <v>329</v>
      </c>
      <c r="E7" s="126">
        <f ca="1">VEERG_4_5_1_1__1_TotalAnnualMethaneEmissions_Result_Method1</f>
        <v>2.3840372404992007</v>
      </c>
      <c r="F7" s="126">
        <f ca="1">VEERG_4_5_1_1__1_TotalAnnualMethaneEmissions_Result_Method2</f>
        <v>2.4087425821440007</v>
      </c>
      <c r="G7" s="52" t="s">
        <v>117</v>
      </c>
      <c r="H7" s="105">
        <f ca="1">'4.5.1.1-2 Methane'!E266</f>
        <v>66.753042733977622</v>
      </c>
      <c r="I7" s="105">
        <f ca="1">'4.5.1.1-2 Methane'!O266</f>
        <v>67.44479230003202</v>
      </c>
      <c r="J7" s="52" t="s">
        <v>119</v>
      </c>
      <c r="K7" s="21"/>
    </row>
    <row r="8" spans="1:11" ht="20.100000000000001" customHeight="1" x14ac:dyDescent="0.25">
      <c r="A8" s="19" t="s">
        <v>0</v>
      </c>
      <c r="C8" s="21"/>
      <c r="D8" s="1" t="s">
        <v>330</v>
      </c>
      <c r="E8" s="126">
        <f ca="1">VEERG_4_5_1_3__1_TotalAnnualDirectNitrousOxideEmissionsFromMMS_Result_Method1</f>
        <v>7.4343140661428567E-2</v>
      </c>
      <c r="F8" s="126">
        <f ca="1">VEERG_4_5_1_3__1_TotalAnnualDirectNitrousOxideEmissionsFromMMS_Result_Method2</f>
        <v>7.4343140661428567E-2</v>
      </c>
      <c r="G8" s="52" t="s">
        <v>128</v>
      </c>
      <c r="H8" s="105">
        <f ca="1">'4.5.1.3-4 Direct N2O'!E302</f>
        <v>19.700932275278571</v>
      </c>
      <c r="I8" s="105">
        <f ca="1">'4.5.1.3-4 Direct N2O'!O302</f>
        <v>19.700932275278571</v>
      </c>
      <c r="J8" s="52" t="s">
        <v>119</v>
      </c>
      <c r="K8" s="21"/>
    </row>
    <row r="9" spans="1:11" ht="20.100000000000001" customHeight="1" x14ac:dyDescent="0.25">
      <c r="A9" s="17" t="str">
        <f>HYPERLINK("#'Input - Site'!A1", "Site")</f>
        <v>Site</v>
      </c>
      <c r="C9" s="21"/>
      <c r="D9" s="1" t="s">
        <v>331</v>
      </c>
      <c r="E9" s="126">
        <f ca="1">VEERG_4_5_1_5__1_AnnualAtmosphericDepositionEmissionsFromMMS_Result_Method1</f>
        <v>2.4944401836750004E-2</v>
      </c>
      <c r="F9" s="126">
        <f ca="1">VEERG_4_5_1_5__1_AnnualAtmosphericDepositionEmissionsFromMMS_Result_Method2</f>
        <v>2.4944401836750004E-2</v>
      </c>
      <c r="G9" s="52" t="s">
        <v>128</v>
      </c>
      <c r="H9" s="105">
        <f ca="1">'4.5.1.5-6 Atmos Dep'!E130</f>
        <v>6.6102664867387508</v>
      </c>
      <c r="I9" s="105">
        <f ca="1">'4.5.1.5-6 Atmos Dep'!O130</f>
        <v>6.6102664867387508</v>
      </c>
      <c r="J9" s="52" t="s">
        <v>119</v>
      </c>
      <c r="K9" s="21"/>
    </row>
    <row r="10" spans="1:11" ht="20.100000000000001" customHeight="1" x14ac:dyDescent="0.25">
      <c r="A10" s="17" t="str">
        <f>HYPERLINK("#'Input - Swine'!A1", "Swine")</f>
        <v>Swine</v>
      </c>
      <c r="C10" s="21"/>
      <c r="D10" s="1" t="s">
        <v>262</v>
      </c>
      <c r="E10" s="126">
        <f ca="1">VEERG_4_5_1_7__1_AnnualEmissionsFromLeachingAndRunoffFromMMS_Result_Method1</f>
        <v>2.6075015999999998E-4</v>
      </c>
      <c r="F10" s="126">
        <f ca="1">VEERG_4_5_1_7__1_AnnualEmissionsFromLeachingAndRunoffFromMMS_Result_Method2</f>
        <v>2.6075015999999998E-4</v>
      </c>
      <c r="G10" s="52" t="s">
        <v>128</v>
      </c>
      <c r="H10" s="105">
        <f ca="1">'4.5.1.7-8 Leaching and runoff'!E54</f>
        <v>6.9098792399999998E-2</v>
      </c>
      <c r="I10" s="105">
        <f ca="1">'4.5.1.7-8 Leaching and runoff'!N54</f>
        <v>6.9098792399999998E-2</v>
      </c>
      <c r="J10" s="52" t="s">
        <v>119</v>
      </c>
      <c r="K10" s="21"/>
    </row>
    <row r="11" spans="1:11" ht="20.100000000000001" customHeight="1" x14ac:dyDescent="0.3">
      <c r="C11" s="21"/>
      <c r="D11" s="28" t="s">
        <v>109</v>
      </c>
      <c r="E11" s="22"/>
      <c r="F11" s="22"/>
      <c r="G11" s="28"/>
      <c r="H11" s="107">
        <f ca="1">SUM(H7:H10)</f>
        <v>93.133340288394947</v>
      </c>
      <c r="I11" s="107">
        <f ca="1">SUM(I7:I10)</f>
        <v>93.825089854449345</v>
      </c>
      <c r="J11" s="98" t="s">
        <v>119</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278</v>
      </c>
      <c r="E13" s="1"/>
      <c r="F13" s="1"/>
      <c r="G13" s="1"/>
      <c r="H13" s="23"/>
      <c r="I13" s="1"/>
      <c r="J13" s="21"/>
      <c r="K13" s="21"/>
    </row>
    <row r="14" spans="1:11" ht="20.100000000000001" customHeight="1" x14ac:dyDescent="0.25">
      <c r="A14" s="17" t="str">
        <f>HYPERLINK("#'4.5.1.1-2 Methane'!A1", "4.5.1.1-2 Methane")</f>
        <v>4.5.1.1-2 Methane</v>
      </c>
      <c r="C14" s="21"/>
      <c r="D14" s="99" t="s">
        <v>315</v>
      </c>
      <c r="E14" s="1"/>
      <c r="F14" s="1"/>
      <c r="G14" s="1"/>
      <c r="H14" s="1"/>
      <c r="I14" s="1"/>
      <c r="J14" s="21"/>
      <c r="K14" s="21"/>
    </row>
    <row r="15" spans="1:11" ht="20.100000000000001" customHeight="1" x14ac:dyDescent="0.25">
      <c r="A15" s="17" t="str">
        <f>HYPERLINK("#'4.5.1.3-4 Direct N2O'!A1", "4.5.1.3-4 Direct N2O")</f>
        <v>4.5.1.3-4 Direct N2O</v>
      </c>
      <c r="C15" s="21"/>
      <c r="D15" s="125" t="s">
        <v>316</v>
      </c>
      <c r="E15" s="1"/>
      <c r="F15" s="1"/>
      <c r="G15" s="1"/>
      <c r="H15" s="1"/>
      <c r="I15" s="1"/>
      <c r="J15" s="21"/>
      <c r="K15" s="21"/>
    </row>
    <row r="16" spans="1:11" ht="20.100000000000001" customHeight="1" x14ac:dyDescent="0.25">
      <c r="A16" s="17" t="str">
        <f>HYPERLINK("#'4.5.1.5-6 Atmos Dep'!A1", "4.5.1.5-6 Atmos Dep")</f>
        <v>4.5.1.5-6 Atmos Dep</v>
      </c>
      <c r="C16" s="21"/>
      <c r="D16" s="108" t="s">
        <v>317</v>
      </c>
      <c r="E16" s="108" t="s">
        <v>318</v>
      </c>
      <c r="F16" s="108" t="s">
        <v>319</v>
      </c>
      <c r="G16" s="108" t="s">
        <v>320</v>
      </c>
      <c r="H16" s="108" t="s">
        <v>321</v>
      </c>
      <c r="I16" s="1"/>
      <c r="J16" s="21"/>
      <c r="K16" s="21"/>
    </row>
    <row r="17" spans="1:11" ht="20.100000000000001" customHeight="1" x14ac:dyDescent="0.25">
      <c r="A17" s="17" t="str">
        <f>HYPERLINK("#'4.5.1.7-8 Leaching and runoff'!A1", "4.5.1.7-8 Leaching and runoff")</f>
        <v>4.5.1.7-8 Leaching and runoff</v>
      </c>
      <c r="C17" s="21"/>
      <c r="D17" s="1" t="s">
        <v>322</v>
      </c>
      <c r="E17" s="121">
        <f ca="1">'4.5.1.9 Manure applied to soils'!E161</f>
        <v>3256.7704915650011</v>
      </c>
      <c r="F17" s="52" t="str">
        <f>'4.5.1.9 Manure applied to soils'!F161</f>
        <v>kg N</v>
      </c>
      <c r="G17" s="1" t="s">
        <v>328</v>
      </c>
      <c r="H17" s="1" t="s">
        <v>323</v>
      </c>
      <c r="I17" s="1"/>
      <c r="J17" s="21"/>
      <c r="K17" s="21"/>
    </row>
    <row r="18" spans="1:11" ht="20.100000000000001" customHeight="1" x14ac:dyDescent="0.25">
      <c r="A18" s="17" t="str">
        <f>HYPERLINK("#'4.5.1.9 Manure applied to soils'!A1", "4.5.1.9 Manure applied to soils")</f>
        <v>4.5.1.9 Manure applied to soils</v>
      </c>
      <c r="C18" s="21"/>
      <c r="D18" s="1" t="s">
        <v>324</v>
      </c>
      <c r="E18" s="121">
        <f ca="1">'4.5.1.9 Manure applied to soils'!E278</f>
        <v>653.20846285499988</v>
      </c>
      <c r="F18" s="52" t="str">
        <f>'4.5.1.9 Manure applied to soils'!F278</f>
        <v>kg N</v>
      </c>
      <c r="G18" s="1" t="s">
        <v>328</v>
      </c>
      <c r="H18" s="1" t="s">
        <v>323</v>
      </c>
      <c r="I18" s="21"/>
      <c r="J18" s="21"/>
      <c r="K18" s="21"/>
    </row>
    <row r="19" spans="1:11" ht="20.100000000000001" customHeight="1" x14ac:dyDescent="0.25">
      <c r="C19" s="21"/>
      <c r="D19" s="1" t="s">
        <v>325</v>
      </c>
      <c r="E19" s="121">
        <f ca="1">'4.5.1.9 Manure applied to soils'!E209</f>
        <v>653.20846285499988</v>
      </c>
      <c r="F19" s="52" t="str">
        <f>'4.5.1.9 Manure applied to soils'!F209</f>
        <v>kg N</v>
      </c>
      <c r="G19" s="1" t="s">
        <v>326</v>
      </c>
      <c r="H19" s="1" t="s">
        <v>327</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1"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Common livestock'!A1", "Constants - Common livestock")</f>
        <v>Constants - Common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4"/>
      <c r="J38" s="104"/>
      <c r="K38" s="21"/>
    </row>
    <row r="39" spans="3:11" ht="20.100000000000001" customHeight="1" x14ac:dyDescent="0.25">
      <c r="C39" s="21"/>
      <c r="D39" s="1"/>
      <c r="E39" s="1"/>
      <c r="F39" s="1"/>
      <c r="G39" s="1"/>
      <c r="H39" s="1"/>
      <c r="I39" s="104"/>
      <c r="J39" s="104"/>
      <c r="K39" s="21"/>
    </row>
    <row r="40" spans="3:11" ht="20.100000000000001" customHeight="1" x14ac:dyDescent="0.25">
      <c r="C40" s="21"/>
      <c r="D40" s="1"/>
      <c r="E40" s="1"/>
      <c r="F40" s="1"/>
      <c r="G40" s="1"/>
      <c r="H40" s="1"/>
      <c r="I40" s="104"/>
      <c r="J40" s="104"/>
      <c r="K40" s="21"/>
    </row>
    <row r="41" spans="3:11" ht="20.100000000000001" customHeight="1" x14ac:dyDescent="0.25">
      <c r="C41" s="21"/>
      <c r="D41" s="1"/>
      <c r="E41" s="1"/>
      <c r="F41" s="1"/>
      <c r="G41" s="1"/>
      <c r="H41" s="1"/>
      <c r="I41" s="104"/>
      <c r="J41" s="104"/>
      <c r="K41" s="21"/>
    </row>
    <row r="42" spans="3:11" ht="20.100000000000001" customHeight="1" x14ac:dyDescent="0.25">
      <c r="C42" s="21"/>
      <c r="D42" s="1"/>
      <c r="E42" s="1"/>
      <c r="F42" s="1"/>
      <c r="G42" s="1"/>
      <c r="H42" s="1"/>
      <c r="I42" s="104"/>
      <c r="J42" s="104"/>
      <c r="K42" s="21"/>
    </row>
    <row r="43" spans="3:11" ht="20.100000000000001" customHeight="1" x14ac:dyDescent="0.25">
      <c r="C43" s="21"/>
      <c r="D43" s="1"/>
      <c r="E43" s="1"/>
      <c r="F43" s="1"/>
      <c r="G43" s="1"/>
      <c r="H43" s="1"/>
      <c r="I43" s="104"/>
      <c r="J43" s="104"/>
      <c r="K43" s="21"/>
    </row>
    <row r="44" spans="3:11" ht="20.100000000000001" customHeight="1" x14ac:dyDescent="0.25">
      <c r="C44" s="21"/>
      <c r="D44" s="1"/>
      <c r="E44" s="1"/>
      <c r="F44" s="1"/>
      <c r="G44" s="1"/>
      <c r="H44" s="1"/>
      <c r="I44" s="104"/>
      <c r="J44" s="104"/>
      <c r="K44" s="21"/>
    </row>
    <row r="45" spans="3:11" ht="20.100000000000001" customHeight="1" x14ac:dyDescent="0.25">
      <c r="C45" s="21"/>
      <c r="D45" s="1"/>
      <c r="E45" s="1"/>
      <c r="F45" s="1"/>
      <c r="G45" s="1"/>
      <c r="H45" s="1"/>
      <c r="I45" s="104"/>
      <c r="J45" s="104"/>
      <c r="K45" s="21"/>
    </row>
    <row r="46" spans="3:11" ht="20.100000000000001" customHeight="1" x14ac:dyDescent="0.25">
      <c r="C46" s="21"/>
      <c r="D46" s="1"/>
      <c r="E46" s="1"/>
      <c r="F46" s="1"/>
      <c r="G46" s="1"/>
      <c r="H46" s="1"/>
      <c r="I46" s="104"/>
      <c r="J46" s="104"/>
      <c r="K46" s="21"/>
    </row>
    <row r="47" spans="3:11" ht="20.100000000000001" customHeight="1" x14ac:dyDescent="0.25">
      <c r="C47" s="21"/>
      <c r="D47" s="1"/>
      <c r="E47" s="1"/>
      <c r="F47" s="1"/>
      <c r="G47" s="1"/>
      <c r="H47" s="1"/>
      <c r="I47" s="104"/>
      <c r="J47" s="104"/>
      <c r="K47" s="21"/>
    </row>
    <row r="48" spans="3:11" ht="20.100000000000001" customHeight="1" x14ac:dyDescent="0.25">
      <c r="C48" s="21"/>
      <c r="D48" s="1"/>
      <c r="E48" s="1"/>
      <c r="F48" s="1"/>
      <c r="G48" s="1"/>
      <c r="H48" s="1"/>
      <c r="I48" s="104"/>
      <c r="J48" s="104"/>
      <c r="K48" s="21"/>
    </row>
    <row r="49" spans="3:11" ht="20.100000000000001" customHeight="1" x14ac:dyDescent="0.25">
      <c r="C49" s="21"/>
      <c r="D49" s="1"/>
      <c r="E49" s="1"/>
      <c r="F49" s="1"/>
      <c r="G49" s="1"/>
      <c r="H49" s="104"/>
      <c r="I49" s="104"/>
      <c r="J49" s="104"/>
      <c r="K49" s="21"/>
    </row>
    <row r="50" spans="3:11" ht="20.100000000000001" customHeight="1" x14ac:dyDescent="0.25">
      <c r="C50" s="21"/>
      <c r="D50" s="1"/>
      <c r="E50" s="1"/>
      <c r="F50" s="1"/>
      <c r="G50" s="1"/>
      <c r="H50" s="104"/>
      <c r="I50" s="104"/>
      <c r="J50" s="104"/>
      <c r="K50" s="21"/>
    </row>
    <row r="51" spans="3:11" ht="20.100000000000001" customHeight="1" x14ac:dyDescent="0.25">
      <c r="C51" s="21"/>
      <c r="D51" s="1"/>
      <c r="E51" s="1"/>
      <c r="F51" s="1"/>
      <c r="G51" s="1"/>
      <c r="H51" s="104"/>
      <c r="I51" s="104"/>
      <c r="J51" s="104"/>
      <c r="K51" s="21"/>
    </row>
    <row r="52" spans="3:11" ht="20.100000000000001" customHeight="1" x14ac:dyDescent="0.25">
      <c r="C52" s="21"/>
      <c r="D52" s="1"/>
      <c r="E52" s="1"/>
      <c r="F52" s="1"/>
      <c r="G52" s="1"/>
      <c r="H52" s="104"/>
      <c r="I52" s="104"/>
      <c r="J52" s="104"/>
      <c r="K52" s="21"/>
    </row>
    <row r="53" spans="3:11" ht="20.100000000000001" customHeight="1" x14ac:dyDescent="0.25">
      <c r="C53" s="21"/>
      <c r="D53" s="1"/>
      <c r="E53" s="1"/>
      <c r="F53" s="1"/>
      <c r="G53" s="1"/>
      <c r="H53" s="104"/>
      <c r="I53" s="104"/>
      <c r="J53" s="104"/>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2" t="str">
        <f>HYPERLINK("#'Input - Site'!A1", "Site")</f>
        <v>Site</v>
      </c>
      <c r="N9" s="41"/>
    </row>
    <row r="10" spans="1:24" ht="20.100000000000001" customHeight="1" x14ac:dyDescent="0.25">
      <c r="A10" s="17" t="str">
        <f>HYPERLINK("#'Input - Swine'!A1", "Swine")</f>
        <v>Swine</v>
      </c>
      <c r="D10" s="87" t="s">
        <v>83</v>
      </c>
      <c r="E10" s="85"/>
      <c r="F10" s="88"/>
      <c r="G10" s="82"/>
      <c r="N10" s="41"/>
    </row>
    <row r="11" spans="1:24" ht="20.100000000000001" customHeight="1" x14ac:dyDescent="0.25">
      <c r="A11"/>
      <c r="N11" s="42"/>
    </row>
    <row r="12" spans="1:24" ht="20.100000000000001" customHeight="1" x14ac:dyDescent="0.25">
      <c r="A12"/>
      <c r="D12" s="10" t="s">
        <v>89</v>
      </c>
      <c r="E12" s="62">
        <v>45292</v>
      </c>
      <c r="F12" s="2" t="s">
        <v>67</v>
      </c>
    </row>
    <row r="13" spans="1:24" ht="20.100000000000001" customHeight="1" x14ac:dyDescent="0.25">
      <c r="A13" s="18" t="s">
        <v>71</v>
      </c>
      <c r="D13" s="10" t="s">
        <v>90</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89" t="s">
        <v>13</v>
      </c>
      <c r="E18" s="84"/>
      <c r="F18" s="84"/>
      <c r="G18" s="80"/>
    </row>
    <row r="19" spans="1:25" ht="20.100000000000001" customHeight="1" x14ac:dyDescent="0.25">
      <c r="A19"/>
      <c r="D19" s="86" t="s">
        <v>68</v>
      </c>
      <c r="E19" s="83"/>
      <c r="F19" s="83"/>
      <c r="G19" s="81"/>
      <c r="N19" s="39"/>
    </row>
    <row r="20" spans="1:25" ht="20.100000000000001" customHeight="1" x14ac:dyDescent="0.25">
      <c r="A20"/>
      <c r="D20" s="1"/>
      <c r="E20" s="30"/>
      <c r="F20" s="2"/>
      <c r="N20" s="40"/>
    </row>
    <row r="21" spans="1:25" ht="20.100000000000001" customHeight="1" x14ac:dyDescent="0.25">
      <c r="A21" s="141" t="s">
        <v>1</v>
      </c>
      <c r="D21" s="1" t="s">
        <v>5</v>
      </c>
      <c r="E21" s="38" t="s">
        <v>126</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88</v>
      </c>
      <c r="F23" s="2" t="s">
        <v>8</v>
      </c>
    </row>
    <row r="24" spans="1:25" ht="20.100000000000001" customHeight="1" x14ac:dyDescent="0.25">
      <c r="A24" s="17" t="str">
        <f>HYPERLINK("#'Constants - Common livestock'!A1", "Constants - Common livestock")</f>
        <v>Constants - Common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85</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99" t="s">
        <v>411</v>
      </c>
      <c r="E38" s="1"/>
      <c r="F38" s="1"/>
      <c r="G38" s="1"/>
      <c r="H38" s="1"/>
      <c r="I38" s="1"/>
      <c r="J38" s="59"/>
      <c r="K38" s="70"/>
      <c r="L38" s="45"/>
      <c r="M38" s="45"/>
      <c r="N38" s="45"/>
      <c r="O38" s="45"/>
      <c r="P38" s="45"/>
      <c r="Q38" s="45"/>
      <c r="R38" s="45"/>
      <c r="S38" s="45"/>
      <c r="T38" s="45"/>
      <c r="U38" s="45"/>
      <c r="V38" s="45"/>
      <c r="W38" s="45"/>
      <c r="X38" s="45"/>
      <c r="Y38" s="45"/>
    </row>
    <row r="39" spans="1:25" ht="20.100000000000001" customHeight="1" x14ac:dyDescent="0.25">
      <c r="A39"/>
      <c r="D39" s="36" t="s">
        <v>412</v>
      </c>
      <c r="E39" s="36" t="s">
        <v>413</v>
      </c>
      <c r="F39" s="36" t="s">
        <v>414</v>
      </c>
      <c r="G39" s="36" t="s">
        <v>415</v>
      </c>
      <c r="H39" s="36" t="s">
        <v>416</v>
      </c>
      <c r="I39" s="36" t="s">
        <v>417</v>
      </c>
      <c r="J39" s="59"/>
      <c r="K39" s="70"/>
      <c r="L39" s="45"/>
      <c r="M39" s="45"/>
      <c r="N39" s="45"/>
      <c r="O39" s="45"/>
      <c r="P39" s="45"/>
      <c r="Q39" s="45"/>
      <c r="R39" s="45"/>
      <c r="S39" s="45"/>
      <c r="T39" s="45"/>
      <c r="U39" s="45"/>
      <c r="V39" s="45"/>
      <c r="W39" s="45"/>
      <c r="X39" s="45"/>
      <c r="Y39" s="45"/>
    </row>
    <row r="40" spans="1:25" ht="20.100000000000001" customHeight="1" x14ac:dyDescent="0.25">
      <c r="A40"/>
      <c r="D40" s="32"/>
      <c r="E40" s="38"/>
      <c r="F40" s="146">
        <v>45566</v>
      </c>
      <c r="G40" s="36">
        <v>10</v>
      </c>
      <c r="H40" s="36">
        <v>500</v>
      </c>
      <c r="I40" s="50">
        <f t="shared" ref="I40:I49" si="0">G40*H40</f>
        <v>5000</v>
      </c>
      <c r="J40" s="71"/>
      <c r="K40" s="71"/>
      <c r="L40" s="48"/>
      <c r="M40" s="48"/>
      <c r="N40" s="48"/>
      <c r="O40" s="48"/>
      <c r="P40" s="48"/>
      <c r="Q40" s="48"/>
      <c r="R40" s="48"/>
      <c r="S40" s="48"/>
      <c r="T40" s="48"/>
      <c r="U40" s="48"/>
      <c r="V40" s="48"/>
      <c r="W40" s="48"/>
      <c r="X40" s="48"/>
      <c r="Y40" s="48"/>
    </row>
    <row r="41" spans="1:25" ht="20.100000000000001" customHeight="1" x14ac:dyDescent="0.25">
      <c r="A41"/>
      <c r="D41" s="32"/>
      <c r="E41" s="38"/>
      <c r="F41" s="146"/>
      <c r="G41" s="36"/>
      <c r="H41" s="36"/>
      <c r="I41" s="50">
        <f t="shared" si="0"/>
        <v>0</v>
      </c>
    </row>
    <row r="42" spans="1:25" ht="20.100000000000001" customHeight="1" x14ac:dyDescent="0.25">
      <c r="A42"/>
      <c r="D42" s="32"/>
      <c r="E42" s="38"/>
      <c r="F42" s="146"/>
      <c r="G42" s="36"/>
      <c r="H42" s="36"/>
      <c r="I42" s="50">
        <f t="shared" si="0"/>
        <v>0</v>
      </c>
    </row>
    <row r="43" spans="1:25" ht="20.100000000000001" customHeight="1" x14ac:dyDescent="0.25">
      <c r="A43"/>
      <c r="D43" s="32"/>
      <c r="E43" s="38"/>
      <c r="F43" s="146"/>
      <c r="G43" s="36"/>
      <c r="H43" s="36"/>
      <c r="I43" s="50">
        <f t="shared" si="0"/>
        <v>0</v>
      </c>
    </row>
    <row r="44" spans="1:25" ht="20.100000000000001" customHeight="1" x14ac:dyDescent="0.25">
      <c r="A44"/>
      <c r="D44" s="32"/>
      <c r="E44" s="38"/>
      <c r="F44" s="146"/>
      <c r="G44" s="36"/>
      <c r="H44" s="36"/>
      <c r="I44" s="50">
        <f t="shared" si="0"/>
        <v>0</v>
      </c>
    </row>
    <row r="45" spans="1:25" ht="20.100000000000001" customHeight="1" x14ac:dyDescent="0.25">
      <c r="A45"/>
      <c r="D45" s="32"/>
      <c r="E45" s="38"/>
      <c r="F45" s="146"/>
      <c r="G45" s="36"/>
      <c r="H45" s="36"/>
      <c r="I45" s="50">
        <f t="shared" si="0"/>
        <v>0</v>
      </c>
    </row>
    <row r="46" spans="1:25" ht="20.100000000000001" customHeight="1" x14ac:dyDescent="0.25">
      <c r="A46"/>
      <c r="D46" s="32"/>
      <c r="E46" s="38"/>
      <c r="F46" s="146"/>
      <c r="G46" s="36"/>
      <c r="H46" s="36"/>
      <c r="I46" s="50">
        <f t="shared" si="0"/>
        <v>0</v>
      </c>
    </row>
    <row r="47" spans="1:25" ht="20.100000000000001" customHeight="1" x14ac:dyDescent="0.25">
      <c r="A47"/>
      <c r="D47" s="32"/>
      <c r="E47" s="38"/>
      <c r="F47" s="146"/>
      <c r="G47" s="36"/>
      <c r="H47" s="36"/>
      <c r="I47" s="50">
        <f t="shared" si="0"/>
        <v>0</v>
      </c>
    </row>
    <row r="48" spans="1:25" ht="20.100000000000001" customHeight="1" x14ac:dyDescent="0.25">
      <c r="A48"/>
      <c r="D48" s="32"/>
      <c r="E48" s="38"/>
      <c r="F48" s="146"/>
      <c r="G48" s="36"/>
      <c r="H48" s="36"/>
      <c r="I48" s="50">
        <f t="shared" si="0"/>
        <v>0</v>
      </c>
    </row>
    <row r="49" spans="1:9" ht="20.100000000000001" customHeight="1" x14ac:dyDescent="0.25">
      <c r="A49"/>
      <c r="D49" s="32"/>
      <c r="E49" s="38"/>
      <c r="F49" s="146"/>
      <c r="G49" s="36"/>
      <c r="H49" s="36"/>
      <c r="I49" s="50">
        <f t="shared" si="0"/>
        <v>0</v>
      </c>
    </row>
    <row r="50" spans="1:9" ht="20.100000000000001" customHeight="1" x14ac:dyDescent="0.25">
      <c r="A50"/>
      <c r="D50" s="33"/>
      <c r="E50" s="33"/>
      <c r="F50" s="34"/>
      <c r="G50" s="34"/>
      <c r="H50" s="33"/>
    </row>
    <row r="51" spans="1:9" ht="20.100000000000001" customHeight="1" x14ac:dyDescent="0.25">
      <c r="A51"/>
      <c r="D51" s="72"/>
      <c r="E51" s="73"/>
      <c r="F51" s="73"/>
      <c r="G51" s="73"/>
      <c r="H51" s="74"/>
    </row>
    <row r="52" spans="1:9" ht="20.100000000000001" customHeight="1" x14ac:dyDescent="0.25">
      <c r="A52"/>
    </row>
    <row r="53" spans="1:9" ht="20.100000000000001" customHeight="1" x14ac:dyDescent="0.25">
      <c r="A53"/>
    </row>
    <row r="54" spans="1:9" ht="20.100000000000001" customHeight="1" x14ac:dyDescent="0.25">
      <c r="A54"/>
      <c r="D54" s="77"/>
      <c r="G54" s="75"/>
    </row>
    <row r="55" spans="1:9" ht="20.100000000000001" customHeight="1" x14ac:dyDescent="0.25">
      <c r="A55"/>
      <c r="D55" s="77"/>
    </row>
    <row r="56" spans="1:9" ht="20.100000000000001" customHeight="1" x14ac:dyDescent="0.25">
      <c r="A56"/>
      <c r="D56" s="77"/>
    </row>
    <row r="57" spans="1:9" ht="20.100000000000001" customHeight="1" x14ac:dyDescent="0.25">
      <c r="A57"/>
      <c r="D57" s="77"/>
      <c r="F57" s="76"/>
    </row>
    <row r="58" spans="1:9" ht="20.100000000000001" customHeight="1" x14ac:dyDescent="0.25">
      <c r="A58"/>
      <c r="D58" s="77"/>
      <c r="E58" s="77"/>
    </row>
    <row r="59" spans="1:9" ht="20.100000000000001" customHeight="1" x14ac:dyDescent="0.25">
      <c r="A59"/>
      <c r="D59" s="77"/>
      <c r="E59" s="77"/>
    </row>
    <row r="60" spans="1:9" ht="20.100000000000001" customHeight="1" x14ac:dyDescent="0.25">
      <c r="A60"/>
      <c r="D60" s="77"/>
      <c r="E60" s="78"/>
    </row>
    <row r="61" spans="1:9" ht="20.100000000000001" customHeight="1" x14ac:dyDescent="0.25">
      <c r="A61"/>
      <c r="D61" s="77"/>
    </row>
    <row r="62" spans="1:9" ht="20.100000000000001" customHeight="1" x14ac:dyDescent="0.25">
      <c r="A62"/>
      <c r="D62" s="77"/>
    </row>
    <row r="63" spans="1:9" ht="20.100000000000001" customHeight="1" x14ac:dyDescent="0.25">
      <c r="A63"/>
      <c r="D63" s="77"/>
    </row>
    <row r="64" spans="1:9" ht="20.100000000000001" customHeight="1" x14ac:dyDescent="0.25">
      <c r="A64"/>
      <c r="D64" s="77"/>
      <c r="E64" s="77"/>
    </row>
    <row r="65" spans="1:9" ht="20.100000000000001" customHeight="1" x14ac:dyDescent="0.25">
      <c r="A65"/>
      <c r="D65" s="77"/>
      <c r="E65" s="77"/>
    </row>
    <row r="66" spans="1:9" ht="20.100000000000001" customHeight="1" x14ac:dyDescent="0.25">
      <c r="A66"/>
      <c r="D66" s="77"/>
      <c r="E66" s="78"/>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5">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7"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 type="list" allowBlank="1" showInputMessage="1" showErrorMessage="1" sqref="E40:E49"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W356"/>
  <sheetViews>
    <sheetView showGridLines="0" topLeftCell="A85" zoomScaleNormal="100" workbookViewId="0">
      <selection activeCell="D109" sqref="D109:D113"/>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17" width="38.42578125" style="54" customWidth="1"/>
    <col min="18" max="22" width="30.7109375" style="54" customWidth="1"/>
    <col min="23" max="23" width="4.7109375" style="54" customWidth="1"/>
  </cols>
  <sheetData>
    <row r="1" spans="1:23" s="64" customFormat="1" ht="30" customHeight="1" x14ac:dyDescent="0.35">
      <c r="A1" s="64" t="e" vm="1">
        <v>#VALUE!</v>
      </c>
      <c r="C1" s="64" t="s">
        <v>131</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E5" s="110" t="s">
        <v>134</v>
      </c>
      <c r="F5" s="110" t="s">
        <v>135</v>
      </c>
      <c r="G5" s="110" t="s">
        <v>136</v>
      </c>
      <c r="H5" s="110" t="s">
        <v>192</v>
      </c>
      <c r="R5" s="7"/>
    </row>
    <row r="6" spans="1:23" ht="20.100000000000001" customHeight="1" x14ac:dyDescent="0.25">
      <c r="D6" s="1" t="str">
        <f>"Average duration of stay between " &amp; TEXT(X_Cell_Site_StartDate, "dd mmm yy") &amp; " and " &amp; TEXT(X_Cell_Site_EndDate, "dd mmm yy")</f>
        <v>Average duration of stay between 01 Jan 24 and 31 Dec 24</v>
      </c>
      <c r="E6" s="63">
        <v>365</v>
      </c>
      <c r="F6" s="63">
        <v>365</v>
      </c>
      <c r="G6" s="63">
        <v>365</v>
      </c>
      <c r="H6" s="63">
        <v>365</v>
      </c>
      <c r="I6" s="2" t="s">
        <v>51</v>
      </c>
      <c r="J6" s="2"/>
      <c r="R6" s="7"/>
    </row>
    <row r="7" spans="1:23" ht="20.100000000000001" customHeight="1" x14ac:dyDescent="0.25">
      <c r="D7" s="1" t="str">
        <f>"Average number of head between " &amp; TEXT(X_Cell_Site_StartDate, "dd mmm yy") &amp; " and " &amp; TEXT(X_Cell_Site_EndDate, "dd mmm yy")</f>
        <v>Average number of head between 01 Jan 24 and 31 Dec 24</v>
      </c>
      <c r="E7" s="63">
        <v>100</v>
      </c>
      <c r="F7" s="63">
        <v>100</v>
      </c>
      <c r="G7" s="63">
        <v>100</v>
      </c>
      <c r="H7" s="63">
        <v>100</v>
      </c>
      <c r="I7" s="2" t="s">
        <v>92</v>
      </c>
      <c r="J7" s="2"/>
      <c r="R7" s="7"/>
    </row>
    <row r="8" spans="1:23" ht="20.100000000000001" customHeight="1" x14ac:dyDescent="0.25">
      <c r="A8" s="19" t="s">
        <v>0</v>
      </c>
      <c r="R8" s="7"/>
    </row>
    <row r="9" spans="1:23" ht="20.100000000000001" customHeight="1" x14ac:dyDescent="0.25">
      <c r="A9" s="17" t="str">
        <f>HYPERLINK("#'Input - Site'!A1", "Site")</f>
        <v>Site</v>
      </c>
      <c r="R9" s="7"/>
    </row>
    <row r="10" spans="1:23" ht="20.100000000000001" customHeight="1" x14ac:dyDescent="0.25">
      <c r="A10" s="142" t="str">
        <f>HYPERLINK("#'Input - Swine'!A1", "Swine")</f>
        <v>Swine</v>
      </c>
      <c r="D10" s="6" t="s">
        <v>422</v>
      </c>
      <c r="R10" s="7"/>
    </row>
    <row r="11" spans="1:23" ht="20.100000000000001" customHeight="1" x14ac:dyDescent="0.25">
      <c r="R11" s="7"/>
    </row>
    <row r="12" spans="1:23" ht="20.100000000000001" customHeight="1" x14ac:dyDescent="0.25">
      <c r="D12" s="61" t="s">
        <v>189</v>
      </c>
      <c r="E12" s="110" t="s">
        <v>134</v>
      </c>
      <c r="F12" s="110" t="s">
        <v>135</v>
      </c>
      <c r="G12" s="110" t="s">
        <v>136</v>
      </c>
      <c r="H12" s="110" t="s">
        <v>192</v>
      </c>
      <c r="R12" s="7"/>
    </row>
    <row r="13" spans="1:23" ht="20.100000000000001" customHeight="1" x14ac:dyDescent="0.25">
      <c r="A13" s="18" t="s">
        <v>71</v>
      </c>
      <c r="D13" s="1" t="s">
        <v>422</v>
      </c>
      <c r="E13" s="50" cm="1">
        <f t="array" ref="E13">Common_InputFunctions.Utility_LookupValueInTableNumber(E12, Table_SourceData_Swine_FeedIntake[Class],Table_SourceData_Swine_FeedIntake[Ij])</f>
        <v>2.62</v>
      </c>
      <c r="F13" s="50" cm="1">
        <f t="array" ref="F13">Common_InputFunctions.Utility_LookupValueInTableNumber(F12, Table_SourceData_Swine_FeedIntake[Class],Table_SourceData_Swine_FeedIntake[Ij])</f>
        <v>2.2999999999999998</v>
      </c>
      <c r="G13" s="50" cm="1">
        <f t="array" ref="G13">Common_InputFunctions.Utility_LookupValueInTableNumber(G12, Table_SourceData_Swine_FeedIntake[Class],Table_SourceData_Swine_FeedIntake[Ij])</f>
        <v>2.5</v>
      </c>
      <c r="H13" s="50" cm="1">
        <f t="array" ref="H13">Common_InputFunctions.Utility_LookupValueInTableNumber(H12, Table_SourceData_Swine_FeedIntake[Class],Table_SourceData_Swine_FeedIntake[Ij])</f>
        <v>1.71</v>
      </c>
      <c r="I13" s="2" t="s">
        <v>113</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190</v>
      </c>
      <c r="E15" s="110" t="s">
        <v>134</v>
      </c>
      <c r="F15" s="110" t="s">
        <v>135</v>
      </c>
      <c r="G15" s="110" t="s">
        <v>136</v>
      </c>
      <c r="H15" s="110" t="s">
        <v>192</v>
      </c>
      <c r="R15" s="37"/>
    </row>
    <row r="16" spans="1:23" ht="20.100000000000001" customHeight="1" x14ac:dyDescent="0.25">
      <c r="A16" s="17" t="str">
        <f>HYPERLINK("#'4.5.1.5-6 Atmos Dep'!A1", "4.5.1.5-6 Atmos Dep")</f>
        <v>4.5.1.5-6 Atmos Dep</v>
      </c>
      <c r="D16" s="1" t="s">
        <v>422</v>
      </c>
      <c r="E16" s="63" cm="1">
        <f t="array" ref="E16">Common_InputFunctions.Utility_LookupValueInTableNumber(E15, Table_SourceData_Swine_FeedIntake[Class],Table_SourceData_Swine_FeedIntake[Ij])</f>
        <v>2.62</v>
      </c>
      <c r="F16" s="63" cm="1">
        <f t="array" ref="F16">Common_InputFunctions.Utility_LookupValueInTableNumber(F15, Table_SourceData_Swine_FeedIntake[Class],Table_SourceData_Swine_FeedIntake[Ij])</f>
        <v>2.2999999999999998</v>
      </c>
      <c r="G16" s="63" cm="1">
        <f t="array" ref="G16">Common_InputFunctions.Utility_LookupValueInTableNumber(G15, Table_SourceData_Swine_FeedIntake[Class],Table_SourceData_Swine_FeedIntake[Ij])</f>
        <v>2.5</v>
      </c>
      <c r="H16" s="63" cm="1">
        <f t="array" ref="H16">Common_InputFunctions.Utility_LookupValueInTableNumber(H15, Table_SourceData_Swine_FeedIntake[Class],Table_SourceData_Swine_FeedIntake[Ij])</f>
        <v>1.71</v>
      </c>
      <c r="I16" s="2" t="s">
        <v>113</v>
      </c>
      <c r="R16" s="37"/>
    </row>
    <row r="17" spans="1:18" ht="20.100000000000001" customHeight="1" x14ac:dyDescent="0.25">
      <c r="A17" s="17" t="str">
        <f>HYPERLINK("#'4.5.1.7-8 Leaching and runoff'!A1", "4.5.1.7-8 Leaching and runoff")</f>
        <v>4.5.1.7-8 Leaching and runoff</v>
      </c>
      <c r="R17" s="7"/>
    </row>
    <row r="18" spans="1:18" ht="20.100000000000001" customHeight="1" x14ac:dyDescent="0.25">
      <c r="A18" s="17" t="str">
        <f>HYPERLINK("#'4.5.1.9 Manure applied to soils'!A1", "4.5.1.9 Manure applied to soils")</f>
        <v>4.5.1.9 Manure applied to soils</v>
      </c>
      <c r="R18" s="7"/>
    </row>
    <row r="19" spans="1:18" ht="20.100000000000001" customHeight="1" x14ac:dyDescent="0.25">
      <c r="D19" s="6" t="s">
        <v>133</v>
      </c>
      <c r="R19" s="7"/>
    </row>
    <row r="20" spans="1:18" ht="20.100000000000001" customHeight="1" x14ac:dyDescent="0.25">
      <c r="R20" s="7"/>
    </row>
    <row r="21" spans="1:18" ht="20.100000000000001" customHeight="1" x14ac:dyDescent="0.25">
      <c r="A21" s="141" t="s">
        <v>1</v>
      </c>
      <c r="D21" s="61" t="s">
        <v>189</v>
      </c>
      <c r="E21" s="110" t="s">
        <v>134</v>
      </c>
      <c r="F21" s="110" t="s">
        <v>135</v>
      </c>
      <c r="G21" s="110" t="s">
        <v>136</v>
      </c>
      <c r="H21" s="110" t="s">
        <v>192</v>
      </c>
      <c r="R21" s="7"/>
    </row>
    <row r="22" spans="1:18" ht="20.100000000000001" customHeight="1" x14ac:dyDescent="0.25">
      <c r="A22" s="17" t="str">
        <f>HYPERLINK("#'Constants - Swine'!A1", "Constants - Swine")</f>
        <v>Constants - Swine</v>
      </c>
      <c r="D22" s="1" t="s">
        <v>137</v>
      </c>
      <c r="E22" s="50" cm="1">
        <f t="array" ref="E22">Common_InputFunctions.Utility_LookupValueInTableNumber(E21, Table_SourceData_Swine_VolatileSolids[Class], Table_SourceData_Swine_VolatileSolids[VSj])</f>
        <v>0.4</v>
      </c>
      <c r="F22" s="50" cm="1">
        <f t="array" ref="F22">Common_InputFunctions.Utility_LookupValueInTableNumber(F21, Table_SourceData_Swine_VolatileSolids[Class], Table_SourceData_Swine_VolatileSolids[VSj])</f>
        <v>0.46</v>
      </c>
      <c r="G22" s="50" cm="1">
        <f t="array" ref="G22">Common_InputFunctions.Utility_LookupValueInTableNumber(G21, Table_SourceData_Swine_VolatileSolids[Class], Table_SourceData_Swine_VolatileSolids[VSj])</f>
        <v>0.55000000000000004</v>
      </c>
      <c r="H22" s="50" cm="1">
        <f t="array" ref="H22">Common_InputFunctions.Utility_LookupValueInTableNumber(H21, Table_SourceData_Swine_VolatileSolids[Class], Table_SourceData_Swine_VolatileSolids[VSj])</f>
        <v>0.39</v>
      </c>
      <c r="I22" s="2" t="s">
        <v>113</v>
      </c>
      <c r="J22" s="2"/>
      <c r="R22" s="7"/>
    </row>
    <row r="23" spans="1:18" ht="20.100000000000001" customHeight="1" x14ac:dyDescent="0.25">
      <c r="A23" s="17" t="str">
        <f>HYPERLINK("#'Constants - Common'!A1", "Constants - Common")</f>
        <v>Constants - Common</v>
      </c>
      <c r="D23" s="1" t="s">
        <v>138</v>
      </c>
      <c r="E23" s="50" cm="1">
        <f t="array" ref="E23">Common_InputFunctions.Utility_LookupValueInTableNumber(E21, Table_SourceData_Swine_NitrogenInWaste[Class name], Table_SourceData_Swine_NitrogenInWaste[NWj Daily])</f>
        <v>4.5999999999999999E-2</v>
      </c>
      <c r="F23" s="50" cm="1">
        <f t="array" ref="F23">Common_InputFunctions.Utility_LookupValueInTableNumber(F21, Table_SourceData_Swine_NitrogenInWaste[Class name], Table_SourceData_Swine_NitrogenInWaste[NWj Daily])</f>
        <v>4.9000000000000002E-2</v>
      </c>
      <c r="G23" s="50" cm="1">
        <f t="array" ref="G23">Common_InputFunctions.Utility_LookupValueInTableNumber(G21, Table_SourceData_Swine_NitrogenInWaste[Class name], Table_SourceData_Swine_NitrogenInWaste[NWj Daily])</f>
        <v>4.5999999999999999E-2</v>
      </c>
      <c r="H23" s="50" cm="1">
        <f t="array" ref="H23">Common_InputFunctions.Utility_LookupValueInTableNumber(H21, Table_SourceData_Swine_NitrogenInWaste[Class name], Table_SourceData_Swine_NitrogenInWaste[NWj Daily])</f>
        <v>3.1199999999999999E-2</v>
      </c>
      <c r="I23" s="2" t="s">
        <v>139</v>
      </c>
      <c r="J23" s="2"/>
      <c r="R23" s="7"/>
    </row>
    <row r="24" spans="1:18" ht="20.100000000000001" customHeight="1" x14ac:dyDescent="0.25">
      <c r="A24" s="17" t="str">
        <f>HYPERLINK("#'Constants - Common livestock'!A1", "Constants - Common livestock")</f>
        <v>Constants - Common livestock</v>
      </c>
      <c r="K24" s="2"/>
      <c r="R24" s="7"/>
    </row>
    <row r="25" spans="1:18" ht="20.100000000000001" customHeight="1" x14ac:dyDescent="0.25">
      <c r="A25" s="17" t="str">
        <f>HYPERLINK("#'Acknowledgements'!A1", "Acknowledgements")</f>
        <v>Acknowledgements</v>
      </c>
      <c r="D25" s="61" t="s">
        <v>190</v>
      </c>
      <c r="E25" s="110" t="s">
        <v>134</v>
      </c>
      <c r="F25" s="110" t="s">
        <v>135</v>
      </c>
      <c r="G25" s="110" t="s">
        <v>136</v>
      </c>
      <c r="H25" s="110" t="s">
        <v>192</v>
      </c>
      <c r="R25" s="7"/>
    </row>
    <row r="26" spans="1:18" ht="20.100000000000001" customHeight="1" x14ac:dyDescent="0.25">
      <c r="A26" s="17" t="str">
        <f>HYPERLINK("#'Tab template'!A1", "Tab template")</f>
        <v>Tab template</v>
      </c>
      <c r="D26" s="1" t="s">
        <v>137</v>
      </c>
      <c r="E26" s="63" cm="1">
        <f t="array" ref="E26">Common_InputFunctions.Utility_LookupValueInTableNumber(E25, Table_SourceData_Swine_VolatileSolids[Class], Table_SourceData_Swine_VolatileSolids[VSj])</f>
        <v>0.4</v>
      </c>
      <c r="F26" s="63" cm="1">
        <f t="array" ref="F26">Common_InputFunctions.Utility_LookupValueInTableNumber(F25, Table_SourceData_Swine_VolatileSolids[Class], Table_SourceData_Swine_VolatileSolids[VSj])</f>
        <v>0.46</v>
      </c>
      <c r="G26" s="63" cm="1">
        <f t="array" ref="G26">Common_InputFunctions.Utility_LookupValueInTableNumber(G25, Table_SourceData_Swine_VolatileSolids[Class], Table_SourceData_Swine_VolatileSolids[VSj])</f>
        <v>0.55000000000000004</v>
      </c>
      <c r="H26" s="63" cm="1">
        <f t="array" ref="H26">Common_InputFunctions.Utility_LookupValueInTableNumber(H25, Table_SourceData_Swine_VolatileSolids[Class], Table_SourceData_Swine_VolatileSolids[VSj])</f>
        <v>0.39</v>
      </c>
      <c r="I26" s="2" t="s">
        <v>113</v>
      </c>
      <c r="J26" s="2"/>
      <c r="R26" s="7"/>
    </row>
    <row r="27" spans="1:18" ht="20.100000000000001" customHeight="1" x14ac:dyDescent="0.25">
      <c r="D27" s="1" t="s">
        <v>138</v>
      </c>
      <c r="E27" s="63" cm="1">
        <f t="array" ref="E27">Common_InputFunctions.Utility_LookupValueInTableNumber(E25, Table_SourceData_Swine_NitrogenInWaste[Class name], Table_SourceData_Swine_NitrogenInWaste[NWj Daily])</f>
        <v>4.5999999999999999E-2</v>
      </c>
      <c r="F27" s="63" cm="1">
        <f t="array" ref="F27">Common_InputFunctions.Utility_LookupValueInTableNumber(F25, Table_SourceData_Swine_NitrogenInWaste[Class name], Table_SourceData_Swine_NitrogenInWaste[NWj Daily])</f>
        <v>4.9000000000000002E-2</v>
      </c>
      <c r="G27" s="63" cm="1">
        <f t="array" ref="G27">Common_InputFunctions.Utility_LookupValueInTableNumber(G25, Table_SourceData_Swine_NitrogenInWaste[Class name], Table_SourceData_Swine_NitrogenInWaste[NWj Daily])</f>
        <v>4.5999999999999999E-2</v>
      </c>
      <c r="H27" s="63" cm="1">
        <f t="array" ref="H27">Common_InputFunctions.Utility_LookupValueInTableNumber(H25, Table_SourceData_Swine_NitrogenInWaste[Class name], Table_SourceData_Swine_NitrogenInWaste[NWj Daily])</f>
        <v>3.1199999999999999E-2</v>
      </c>
      <c r="I27" s="2" t="s">
        <v>139</v>
      </c>
      <c r="J27" s="2"/>
      <c r="R27" s="7"/>
    </row>
    <row r="28" spans="1:18" ht="20.100000000000001" customHeight="1" x14ac:dyDescent="0.25">
      <c r="R28" s="7"/>
    </row>
    <row r="29" spans="1:18" ht="20.100000000000001" customHeight="1" x14ac:dyDescent="0.25">
      <c r="R29" s="7"/>
    </row>
    <row r="30" spans="1:18" ht="20.100000000000001" customHeight="1" x14ac:dyDescent="0.25">
      <c r="D30" s="6" t="s">
        <v>170</v>
      </c>
      <c r="R30" s="7"/>
    </row>
    <row r="31" spans="1:18" ht="20.100000000000001" customHeight="1" x14ac:dyDescent="0.25">
      <c r="R31" s="7"/>
    </row>
    <row r="32" spans="1:18" ht="20.100000000000001" customHeight="1" x14ac:dyDescent="0.25">
      <c r="D32" s="1" t="s">
        <v>102</v>
      </c>
      <c r="E32" s="38" t="s">
        <v>333</v>
      </c>
      <c r="F32" s="2" t="s">
        <v>8</v>
      </c>
      <c r="R32" s="7"/>
    </row>
    <row r="33" spans="4:18" ht="20.100000000000001" customHeight="1" x14ac:dyDescent="0.25">
      <c r="E33" s="99" t="str">
        <f>IF(X_Cell_Swine_ProductionSystem="Outdoor/free range", "In an outdoor/free range system the only likely stage 1 MMS is 'Drylot (feed pad)'", "")</f>
        <v>In an outdoor/free range system the only likely stage 1 MMS is 'Drylot (feed pad)'</v>
      </c>
      <c r="R33" s="7"/>
    </row>
    <row r="34" spans="4:18" ht="20.100000000000001" customHeight="1" x14ac:dyDescent="0.25">
      <c r="D34" s="61" t="s">
        <v>171</v>
      </c>
      <c r="E34" s="110" t="s">
        <v>134</v>
      </c>
      <c r="F34" s="110" t="s">
        <v>135</v>
      </c>
      <c r="G34" s="110" t="s">
        <v>136</v>
      </c>
      <c r="H34" s="110" t="s">
        <v>192</v>
      </c>
      <c r="R34" s="7"/>
    </row>
    <row r="35" spans="4:18" ht="20.100000000000001" customHeight="1" x14ac:dyDescent="0.25">
      <c r="R35" s="7"/>
    </row>
    <row r="36" spans="4:18" ht="20.100000000000001" customHeight="1" x14ac:dyDescent="0.25">
      <c r="D36" s="51" t="str">
        <f>'Constants - Swine'!$G$41</f>
        <v>Anaerobic lagoon</v>
      </c>
      <c r="E36" s="44">
        <v>0.15</v>
      </c>
      <c r="F36" s="44">
        <v>0.15</v>
      </c>
      <c r="G36" s="44">
        <v>0.15</v>
      </c>
      <c r="H36" s="44">
        <v>0.15</v>
      </c>
      <c r="I36" s="2" t="s">
        <v>15</v>
      </c>
      <c r="J36" s="2"/>
      <c r="R36" s="7"/>
    </row>
    <row r="37" spans="4:18" ht="20.100000000000001" customHeight="1" x14ac:dyDescent="0.25">
      <c r="D37" s="116" t="str">
        <f>"Were solids separated from " &amp; $D$36 &amp; "?"</f>
        <v>Were solids separated from Anaerobic lagoon?</v>
      </c>
      <c r="E37" s="38" t="s">
        <v>140</v>
      </c>
      <c r="R37" s="7"/>
    </row>
    <row r="38" spans="4:18" ht="20.100000000000001" customHeight="1" x14ac:dyDescent="0.25">
      <c r="D38" s="116" t="str">
        <f>"Percent solids separated from " &amp; D36 &amp; " (Method 1)"</f>
        <v>Percent solids separated from Anaerobic lagoon (Method 1)</v>
      </c>
      <c r="E38" s="90">
        <v>0.2</v>
      </c>
      <c r="R38" s="7"/>
    </row>
    <row r="39" spans="4:18" ht="20.100000000000001" customHeight="1" x14ac:dyDescent="0.25">
      <c r="D39" s="116" t="str">
        <f>"Percent solids separated from " &amp; D36 &amp; " (Method 2)"</f>
        <v>Percent solids separated from Anaerobic lagoon (Method 2)</v>
      </c>
      <c r="E39" s="44">
        <v>0.2</v>
      </c>
      <c r="R39" s="7"/>
    </row>
    <row r="40" spans="4:18" ht="20.100000000000001" customHeight="1" x14ac:dyDescent="0.25">
      <c r="R40" s="7"/>
    </row>
    <row r="41" spans="4:18" ht="20.100000000000001" customHeight="1" x14ac:dyDescent="0.25">
      <c r="D41" s="51" t="str">
        <f>'Constants - Swine'!$G$42</f>
        <v>Drylot (feed pad)</v>
      </c>
      <c r="E41" s="44">
        <v>0.15</v>
      </c>
      <c r="F41" s="44">
        <v>0.15</v>
      </c>
      <c r="G41" s="44">
        <v>0.15</v>
      </c>
      <c r="H41" s="44">
        <v>0.15</v>
      </c>
      <c r="I41" s="2" t="s">
        <v>15</v>
      </c>
      <c r="J41" s="2"/>
      <c r="R41" s="7"/>
    </row>
    <row r="42" spans="4:18" ht="20.100000000000001" customHeight="1" x14ac:dyDescent="0.25">
      <c r="D42" s="116" t="str">
        <f>"Were solids separated from " &amp; $D$41 &amp; "?"</f>
        <v>Were solids separated from Drylot (feed pad)?</v>
      </c>
      <c r="E42" s="38" t="s">
        <v>140</v>
      </c>
      <c r="R42" s="7"/>
    </row>
    <row r="43" spans="4:18" ht="20.100000000000001" customHeight="1" x14ac:dyDescent="0.25">
      <c r="D43" s="116" t="str">
        <f>"Percent solids separated from " &amp; D41 &amp; " (Method 1)"</f>
        <v>Percent solids separated from Drylot (feed pad) (Method 1)</v>
      </c>
      <c r="E43" s="90">
        <v>0.2</v>
      </c>
      <c r="R43" s="7"/>
    </row>
    <row r="44" spans="4:18" ht="20.100000000000001" customHeight="1" x14ac:dyDescent="0.25">
      <c r="D44" s="116" t="str">
        <f>"Percent solids separated from " &amp; D41 &amp; " (Method 2)"</f>
        <v>Percent solids separated from Drylot (feed pad)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Swine'!$G$43</f>
        <v>Digester / covered lagoons</v>
      </c>
      <c r="E47" s="44">
        <v>0.15</v>
      </c>
      <c r="F47" s="44">
        <v>0.15</v>
      </c>
      <c r="G47" s="44">
        <v>0.15</v>
      </c>
      <c r="H47" s="44">
        <v>0.15</v>
      </c>
      <c r="I47" s="2" t="s">
        <v>15</v>
      </c>
      <c r="J47" s="2"/>
      <c r="R47" s="7"/>
    </row>
    <row r="48" spans="4:18" ht="20.100000000000001" customHeight="1" x14ac:dyDescent="0.25">
      <c r="D48" s="116" t="str">
        <f>"Were solids separated from " &amp; $D$47 &amp; "?"</f>
        <v>Were solids separated from Digester / covered lagoons?</v>
      </c>
      <c r="E48" s="38" t="s">
        <v>140</v>
      </c>
      <c r="R48" s="7"/>
    </row>
    <row r="49" spans="4:18" ht="20.100000000000001" customHeight="1" x14ac:dyDescent="0.25">
      <c r="D49" s="116" t="str">
        <f>"Percent solids separated from " &amp; D47 &amp; " (Method 1)"</f>
        <v>Percent solids separated from Digester / covered lagoons (Method 1)</v>
      </c>
      <c r="E49" s="90">
        <v>0.2</v>
      </c>
      <c r="R49" s="7"/>
    </row>
    <row r="50" spans="4:18" ht="20.100000000000001" customHeight="1" x14ac:dyDescent="0.25">
      <c r="D50" s="116" t="str">
        <f>"Percent solids separated from " &amp; D47 &amp; " (Method 2)"</f>
        <v>Percent solids separated from Digester / covered lagoons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Swine'!$G$44</f>
        <v>Deep litter</v>
      </c>
      <c r="E53" s="44">
        <v>0.15</v>
      </c>
      <c r="F53" s="44">
        <v>0.15</v>
      </c>
      <c r="G53" s="44">
        <v>0.15</v>
      </c>
      <c r="H53" s="44">
        <v>0.15</v>
      </c>
      <c r="I53" s="2" t="s">
        <v>15</v>
      </c>
      <c r="J53" s="2"/>
      <c r="R53" s="7"/>
    </row>
    <row r="54" spans="4:18" ht="20.100000000000001" customHeight="1" x14ac:dyDescent="0.25">
      <c r="D54" s="116" t="str">
        <f>"Were solids separated from " &amp; $D$53 &amp; "?"</f>
        <v>Were solids separated from Deep litter?</v>
      </c>
      <c r="E54" s="38" t="s">
        <v>140</v>
      </c>
      <c r="R54" s="7"/>
    </row>
    <row r="55" spans="4:18" ht="20.100000000000001" customHeight="1" x14ac:dyDescent="0.25">
      <c r="D55" s="116" t="str">
        <f>"Percent solids separated from " &amp; D53 &amp; " (Method 1)"</f>
        <v>Percent solids separated from Deep litter (Method 1)</v>
      </c>
      <c r="E55" s="90">
        <v>0.2</v>
      </c>
      <c r="R55" s="7"/>
    </row>
    <row r="56" spans="4:18" ht="20.100000000000001" customHeight="1" x14ac:dyDescent="0.25">
      <c r="D56" s="116" t="str">
        <f>"Percent solids separated from " &amp; D53 &amp; " (Method 2)"</f>
        <v>Percent solids separated from Deep litter (Method 2)</v>
      </c>
      <c r="E56" s="44">
        <v>0.2</v>
      </c>
      <c r="R56" s="7"/>
    </row>
    <row r="57" spans="4:18" ht="20.100000000000001" customHeight="1" x14ac:dyDescent="0.25">
      <c r="R57" s="7"/>
    </row>
    <row r="58" spans="4:18" ht="20.100000000000001" customHeight="1" x14ac:dyDescent="0.25">
      <c r="R58" s="7"/>
    </row>
    <row r="59" spans="4:18" ht="20.100000000000001" customHeight="1" x14ac:dyDescent="0.25">
      <c r="D59" s="51" t="str">
        <f>'Constants - Swine'!$G$45</f>
        <v>Pit storage</v>
      </c>
      <c r="E59" s="44">
        <v>0.15</v>
      </c>
      <c r="F59" s="44">
        <v>0.15</v>
      </c>
      <c r="G59" s="44">
        <v>0.15</v>
      </c>
      <c r="H59" s="44">
        <v>0.15</v>
      </c>
      <c r="I59" s="2" t="s">
        <v>15</v>
      </c>
      <c r="J59" s="2"/>
      <c r="R59" s="7"/>
    </row>
    <row r="60" spans="4:18" ht="20.100000000000001" customHeight="1" x14ac:dyDescent="0.25">
      <c r="D60" s="116" t="str">
        <f>"Were solids separated from " &amp; $D$59 &amp; "?"</f>
        <v>Were solids separated from Pit storage?</v>
      </c>
      <c r="E60" s="38" t="s">
        <v>140</v>
      </c>
      <c r="R60" s="7"/>
    </row>
    <row r="61" spans="4:18" ht="20.100000000000001" customHeight="1" x14ac:dyDescent="0.25">
      <c r="D61" s="116" t="str">
        <f>"Percent solids separated from " &amp; D59 &amp; " (Method 1)"</f>
        <v>Percent solids separated from Pit storage (Method 1)</v>
      </c>
      <c r="E61" s="90">
        <v>0.2</v>
      </c>
      <c r="R61" s="7"/>
    </row>
    <row r="62" spans="4:18" ht="20.100000000000001" customHeight="1" x14ac:dyDescent="0.25">
      <c r="D62" s="116" t="str">
        <f>"Percent solids separated from " &amp; D59 &amp; " (Method 2)"</f>
        <v>Percent solids separated from Pit storage (Method 2)</v>
      </c>
      <c r="E62" s="44">
        <v>0.2</v>
      </c>
      <c r="R62" s="7"/>
    </row>
    <row r="63" spans="4:18" ht="20.100000000000001" customHeight="1" x14ac:dyDescent="0.25">
      <c r="R63" s="7"/>
    </row>
    <row r="64" spans="4:18" ht="20.100000000000001" customHeight="1" x14ac:dyDescent="0.25">
      <c r="D64" s="51" t="str">
        <f>'Constants - Swine'!$D$42 &amp; " (before solid separation)"</f>
        <v>Solid storage (before solid separation)</v>
      </c>
      <c r="E64" s="44">
        <v>0.25</v>
      </c>
      <c r="F64" s="44">
        <v>0.25</v>
      </c>
      <c r="G64" s="44">
        <v>0.25</v>
      </c>
      <c r="H64" s="44">
        <v>0.25</v>
      </c>
      <c r="I64" s="2" t="s">
        <v>15</v>
      </c>
      <c r="J64" s="2"/>
      <c r="R64" s="7"/>
    </row>
    <row r="65" spans="4:18" ht="20.100000000000001" customHeight="1" x14ac:dyDescent="0.25">
      <c r="D65" s="1" t="s">
        <v>357</v>
      </c>
      <c r="E65" s="90">
        <f>E64+(E36*X_Cell_Swine_Stage1MMS_AnaerobicLagoon_AmountSeparated_Method1)+(E41*X_Cell_Swine_Stage1MMS_Drylot_AmountSeparated_Method1)+(E47*X_Cell_Swine_Stage1MMS_DigesterCoveredLagoons_AmountSeparated_Method1)+(E53*X_Cell_Swine_Stage1MMS_DeepLitter_AmountSeparated_Method1)+(E59*X_Cell_Swine_Stage1MMS_PitStorage_AmountSeparated_Method1)</f>
        <v>0.40000000000000013</v>
      </c>
      <c r="F65" s="90">
        <f>F64+(F36*X_Cell_Swine_Stage1MMS_AnaerobicLagoon_AmountSeparated_Method1)+(F41*X_Cell_Swine_Stage1MMS_Drylot_AmountSeparated_Method1)+(F47*X_Cell_Swine_Stage1MMS_DigesterCoveredLagoons_AmountSeparated_Method1)+(F53*X_Cell_Swine_Stage1MMS_DeepLitter_AmountSeparated_Method1)+(F59*X_Cell_Swine_Stage1MMS_PitStorage_AmountSeparated_Method1)</f>
        <v>0.40000000000000013</v>
      </c>
      <c r="G65" s="90">
        <f>G64+(G36*X_Cell_Swine_Stage1MMS_AnaerobicLagoon_AmountSeparated_Method1)+(G41*X_Cell_Swine_Stage1MMS_Drylot_AmountSeparated_Method1)+(G47*X_Cell_Swine_Stage1MMS_DigesterCoveredLagoons_AmountSeparated_Method1)+(G53*X_Cell_Swine_Stage1MMS_DeepLitter_AmountSeparated_Method1)+(G59*X_Cell_Swine_Stage1MMS_PitStorage_AmountSeparated_Method1)</f>
        <v>0.40000000000000013</v>
      </c>
      <c r="H65" s="90">
        <f>H64+(H36*X_Cell_Swine_Stage1MMS_AnaerobicLagoon_AmountSeparated_Method1)+(H41*X_Cell_Swine_Stage1MMS_Drylot_AmountSeparated_Method1)+(H47*X_Cell_Swine_Stage1MMS_DigesterCoveredLagoons_AmountSeparated_Method1)+(H53*X_Cell_Swine_Stage1MMS_DeepLitter_AmountSeparated_Method1)+(H59*X_Cell_Swine_Stage1MMS_PitStorage_AmountSeparated_Method1)</f>
        <v>0.40000000000000013</v>
      </c>
      <c r="R65" s="7"/>
    </row>
    <row r="66" spans="4:18" ht="20.100000000000001" customHeight="1" x14ac:dyDescent="0.25">
      <c r="D66" s="1" t="s">
        <v>358</v>
      </c>
      <c r="E66" s="90">
        <f>E64+(E36*X_Cell_Swine_Stage1MMS_AnaerobicLagoon_AmountSeparated_Method2)+(E41*X_Cell_Swine_Stage1MMS_Drylot_AmountSeparated_Method2)+(E47*X_Cell_Swine_Stage1MMS_DigesterCoveredLagoons_AmountSeparated_Method2)+(E53*X_Cell_Swine_Stage1MMS_DeepLitter_AmountSeparated_Method2)+(E59*X_Cell_Swine_Stage1MMS_PitStorage_AmountSeparated_Method2)</f>
        <v>0.40000000000000013</v>
      </c>
      <c r="F66" s="90">
        <f>F64+(F36*X_Cell_Swine_Stage1MMS_AnaerobicLagoon_AmountSeparated_Method2)+(F41*X_Cell_Swine_Stage1MMS_Drylot_AmountSeparated_Method2)+(F47*X_Cell_Swine_Stage1MMS_DigesterCoveredLagoons_AmountSeparated_Method2)+(F53*X_Cell_Swine_Stage1MMS_DeepLitter_AmountSeparated_Method2)+(F59*X_Cell_Swine_Stage1MMS_PitStorage_AmountSeparated_Method2)</f>
        <v>0.40000000000000013</v>
      </c>
      <c r="G66" s="90">
        <f>G64+(G36*X_Cell_Swine_Stage1MMS_AnaerobicLagoon_AmountSeparated_Method2)+(G41*X_Cell_Swine_Stage1MMS_Drylot_AmountSeparated_Method2)+(G47*X_Cell_Swine_Stage1MMS_DigesterCoveredLagoons_AmountSeparated_Method2)+(G53*X_Cell_Swine_Stage1MMS_DeepLitter_AmountSeparated_Method2)+(G59*X_Cell_Swine_Stage1MMS_PitStorage_AmountSeparated_Method2)</f>
        <v>0.40000000000000013</v>
      </c>
      <c r="H66" s="90">
        <f>H64+(H36*X_Cell_Swine_Stage1MMS_AnaerobicLagoon_AmountSeparated_Method2)+(H41*X_Cell_Swine_Stage1MMS_Drylot_AmountSeparated_Method2)+(H47*X_Cell_Swine_Stage1MMS_DigesterCoveredLagoons_AmountSeparated_Method2)+(H53*X_Cell_Swine_Stage1MMS_DeepLitter_AmountSeparated_Method2)+(H59*X_Cell_Swine_Stage1MMS_PitStorage_AmountSeparated_Method2)</f>
        <v>0.40000000000000013</v>
      </c>
    </row>
    <row r="67" spans="4:18" ht="20.100000000000001" customHeight="1" x14ac:dyDescent="0.25"/>
    <row r="68" spans="4:18" ht="20.100000000000001" customHeight="1" x14ac:dyDescent="0.25">
      <c r="D68" s="1" t="s">
        <v>172</v>
      </c>
      <c r="E68" s="90">
        <f>SUM(E36,E41,E47,E53,E59,E64)</f>
        <v>1</v>
      </c>
      <c r="F68" s="90">
        <f>SUM(F36,F41,F47,F53,F59,F64)</f>
        <v>1</v>
      </c>
      <c r="G68" s="90">
        <f>SUM(G36,G41,G47,G53,G59,G64)</f>
        <v>1</v>
      </c>
      <c r="H68" s="90">
        <f>SUM(H36,H41,H47,H53,H59,H64)</f>
        <v>1</v>
      </c>
    </row>
    <row r="69" spans="4:18" ht="20.100000000000001" customHeight="1" x14ac:dyDescent="0.25"/>
    <row r="70" spans="4:18" ht="20.100000000000001" customHeight="1" x14ac:dyDescent="0.25">
      <c r="D70" s="122" t="s">
        <v>178</v>
      </c>
      <c r="R70" s="7"/>
    </row>
    <row r="71" spans="4:18" ht="20.100000000000001" customHeight="1" x14ac:dyDescent="0.25">
      <c r="D71" s="119" t="s">
        <v>173</v>
      </c>
      <c r="E71" s="120" t="s">
        <v>134</v>
      </c>
      <c r="F71" s="120" t="s">
        <v>135</v>
      </c>
      <c r="G71" s="120" t="s">
        <v>136</v>
      </c>
      <c r="H71" s="120" t="s">
        <v>192</v>
      </c>
      <c r="I71" s="123" t="s">
        <v>179</v>
      </c>
      <c r="J71" s="123"/>
      <c r="K71" s="61" t="s">
        <v>174</v>
      </c>
      <c r="L71" s="61"/>
      <c r="M71" s="111"/>
      <c r="R71" s="7"/>
    </row>
    <row r="72" spans="4:18" ht="20.100000000000001" customHeight="1" x14ac:dyDescent="0.25">
      <c r="D72" s="117" t="str">
        <f>"From stage 1: " &amp; $D$36</f>
        <v>From stage 1: Anaerobic lagoon</v>
      </c>
      <c r="E72" s="99" t="str">
        <f>IF(SUM(E36:H36)&gt;0,"Manure was sent to this MMS, please complete this section.","NO manure was sent to this MMS. Leave this section blank.")</f>
        <v>Manure was sent to this MMS, please complete this section.</v>
      </c>
      <c r="K72" s="121" t="s">
        <v>175</v>
      </c>
      <c r="L72" s="121" t="s">
        <v>176</v>
      </c>
      <c r="M72" s="121" t="s">
        <v>177</v>
      </c>
      <c r="R72" s="7"/>
    </row>
    <row r="73" spans="4:18" ht="20.100000000000001" customHeight="1" x14ac:dyDescent="0.25">
      <c r="D73" s="118" t="str">
        <f>$D$47</f>
        <v>Digester / covered lagoons</v>
      </c>
      <c r="E73" s="44">
        <v>0.2</v>
      </c>
      <c r="F73" s="44">
        <v>0.25</v>
      </c>
      <c r="G73" s="44">
        <v>0.25</v>
      </c>
      <c r="H73" s="44">
        <v>0.25</v>
      </c>
      <c r="I73" s="2" t="s">
        <v>15</v>
      </c>
      <c r="J73" s="2"/>
      <c r="K73" s="44">
        <v>0.25</v>
      </c>
      <c r="L73" s="44">
        <v>0.25</v>
      </c>
      <c r="M73" s="90">
        <f t="shared" ref="M73:M75" si="0">1-SUM(K73:L73)</f>
        <v>0.5</v>
      </c>
      <c r="R73" s="7"/>
    </row>
    <row r="74" spans="4:18" ht="20.100000000000001" customHeight="1" x14ac:dyDescent="0.25">
      <c r="D74" s="118" t="str">
        <f>$D$53</f>
        <v>Deep litter</v>
      </c>
      <c r="E74" s="44">
        <v>0.2</v>
      </c>
      <c r="F74" s="44">
        <v>0.25</v>
      </c>
      <c r="G74" s="44">
        <v>0.25</v>
      </c>
      <c r="H74" s="44">
        <v>0.25</v>
      </c>
      <c r="I74" s="2" t="s">
        <v>15</v>
      </c>
      <c r="J74" s="2"/>
      <c r="K74" s="44">
        <v>0.25</v>
      </c>
      <c r="L74" s="44">
        <v>0.25</v>
      </c>
      <c r="M74" s="90">
        <f t="shared" si="0"/>
        <v>0.5</v>
      </c>
    </row>
    <row r="75" spans="4:18" ht="20.100000000000001" customHeight="1" x14ac:dyDescent="0.25">
      <c r="D75" s="118" t="str">
        <f>$D$59</f>
        <v>Pit storage</v>
      </c>
      <c r="E75" s="44">
        <v>0.2</v>
      </c>
      <c r="F75" s="44">
        <v>0.25</v>
      </c>
      <c r="G75" s="44">
        <v>0.25</v>
      </c>
      <c r="H75" s="44">
        <v>0.25</v>
      </c>
      <c r="I75" s="2" t="s">
        <v>15</v>
      </c>
      <c r="J75" s="2"/>
      <c r="K75" s="44">
        <v>0.25</v>
      </c>
      <c r="L75" s="44">
        <v>0.25</v>
      </c>
      <c r="M75" s="90">
        <f t="shared" si="0"/>
        <v>0.5</v>
      </c>
    </row>
    <row r="76" spans="4:18" ht="20.100000000000001" customHeight="1" x14ac:dyDescent="0.25">
      <c r="D76" s="118" t="str">
        <f>'Constants - Swine'!$D$47</f>
        <v>Direct application</v>
      </c>
      <c r="E76" s="90">
        <f>1-SUM(E73:E75)</f>
        <v>0.39999999999999991</v>
      </c>
      <c r="F76" s="90">
        <f>1-SUM(F73:F75)</f>
        <v>0.25</v>
      </c>
      <c r="G76" s="90">
        <f>1-SUM(G73:G75)</f>
        <v>0.25</v>
      </c>
      <c r="H76" s="90">
        <f>1-SUM(H73:H75)</f>
        <v>0.25</v>
      </c>
      <c r="I76" s="2" t="s">
        <v>15</v>
      </c>
      <c r="J76" s="2"/>
      <c r="K76" s="90">
        <v>0</v>
      </c>
      <c r="L76" s="90">
        <v>0</v>
      </c>
      <c r="M76" s="90">
        <f>1-SUM(K76:L76)</f>
        <v>1</v>
      </c>
    </row>
    <row r="77" spans="4:18" ht="20.100000000000001" customHeight="1" x14ac:dyDescent="0.25"/>
    <row r="78" spans="4:18" ht="20.100000000000001" customHeight="1" x14ac:dyDescent="0.25">
      <c r="D78" s="118"/>
      <c r="F78" s="2"/>
      <c r="R78" s="7"/>
    </row>
    <row r="79" spans="4:18" ht="20.100000000000001" customHeight="1" x14ac:dyDescent="0.25">
      <c r="D79" s="117" t="str">
        <f>"From stage 1: " &amp; $D$41</f>
        <v>From stage 1: Drylot (feed pad)</v>
      </c>
      <c r="E79" s="99" t="str">
        <f>IF(SUM(E41:H41)&gt;0,"Manure was sent to this MMS, please complete this section.","NO manure was sent to this MMS. Leave this section blank.")</f>
        <v>Manure was sent to this MMS, please complete this section.</v>
      </c>
      <c r="K79" s="121" t="s">
        <v>175</v>
      </c>
      <c r="L79" s="121" t="s">
        <v>176</v>
      </c>
      <c r="M79" s="121" t="s">
        <v>177</v>
      </c>
      <c r="R79" s="7"/>
    </row>
    <row r="80" spans="4:18" ht="20.100000000000001" customHeight="1" x14ac:dyDescent="0.25">
      <c r="D80" s="118" t="s">
        <v>338</v>
      </c>
      <c r="E80" s="44">
        <v>0.2</v>
      </c>
      <c r="F80" s="44">
        <v>0.25</v>
      </c>
      <c r="G80" s="44">
        <v>0.25</v>
      </c>
      <c r="H80" s="44">
        <v>0.25</v>
      </c>
      <c r="I80" s="2" t="s">
        <v>15</v>
      </c>
      <c r="J80" s="2"/>
      <c r="K80" s="44">
        <v>0.25</v>
      </c>
      <c r="L80" s="44">
        <v>0.25</v>
      </c>
      <c r="M80" s="90">
        <f>1-SUM(K80:L80)</f>
        <v>0.5</v>
      </c>
      <c r="R80" s="7"/>
    </row>
    <row r="81" spans="4:18" ht="20.100000000000001" customHeight="1" x14ac:dyDescent="0.25">
      <c r="D81" s="118" t="s">
        <v>339</v>
      </c>
      <c r="E81" s="44">
        <v>0.2</v>
      </c>
      <c r="F81" s="44">
        <v>0.25</v>
      </c>
      <c r="G81" s="44">
        <v>0.25</v>
      </c>
      <c r="H81" s="44">
        <v>0.25</v>
      </c>
      <c r="I81" s="2" t="s">
        <v>15</v>
      </c>
      <c r="J81" s="2"/>
      <c r="K81" s="44">
        <v>0.25</v>
      </c>
      <c r="L81" s="44">
        <v>0.25</v>
      </c>
      <c r="M81" s="90">
        <f t="shared" ref="M81:M83" si="1">1-SUM(K81:L81)</f>
        <v>0.5</v>
      </c>
      <c r="R81" s="7"/>
    </row>
    <row r="82" spans="4:18" ht="20.100000000000001" customHeight="1" x14ac:dyDescent="0.25">
      <c r="D82" s="118" t="s">
        <v>345</v>
      </c>
      <c r="E82" s="44">
        <v>0.2</v>
      </c>
      <c r="F82" s="44">
        <v>0.25</v>
      </c>
      <c r="G82" s="44">
        <v>0.25</v>
      </c>
      <c r="H82" s="44">
        <v>0.25</v>
      </c>
      <c r="I82" s="2" t="s">
        <v>15</v>
      </c>
      <c r="J82" s="2"/>
      <c r="K82" s="44">
        <v>0.25</v>
      </c>
      <c r="L82" s="44">
        <v>0.25</v>
      </c>
      <c r="M82" s="90">
        <f t="shared" si="1"/>
        <v>0.5</v>
      </c>
    </row>
    <row r="83" spans="4:18" ht="20.100000000000001" customHeight="1" x14ac:dyDescent="0.25">
      <c r="D83" s="118" t="s">
        <v>344</v>
      </c>
      <c r="E83" s="44">
        <v>0.2</v>
      </c>
      <c r="F83" s="44">
        <v>0.25</v>
      </c>
      <c r="G83" s="44">
        <v>0.25</v>
      </c>
      <c r="H83" s="44">
        <v>0.25</v>
      </c>
      <c r="I83" s="2" t="s">
        <v>15</v>
      </c>
      <c r="J83" s="2"/>
      <c r="K83" s="44">
        <v>0.25</v>
      </c>
      <c r="L83" s="44">
        <v>0.25</v>
      </c>
      <c r="M83" s="90">
        <f t="shared" si="1"/>
        <v>0.5</v>
      </c>
    </row>
    <row r="84" spans="4:18" ht="20.100000000000001" customHeight="1" x14ac:dyDescent="0.25">
      <c r="D84" s="118" t="s">
        <v>349</v>
      </c>
      <c r="E84" s="90">
        <f>1-SUM(E80:E83)</f>
        <v>0.19999999999999996</v>
      </c>
      <c r="F84" s="90">
        <f t="shared" ref="F84:H84" si="2">1-SUM(F80:F83)</f>
        <v>0</v>
      </c>
      <c r="G84" s="90">
        <f t="shared" si="2"/>
        <v>0</v>
      </c>
      <c r="H84" s="90">
        <f t="shared" si="2"/>
        <v>0</v>
      </c>
      <c r="K84" s="90">
        <v>0</v>
      </c>
      <c r="L84" s="90">
        <v>0</v>
      </c>
      <c r="M84" s="90">
        <f>1-SUM(K84:L84)</f>
        <v>1</v>
      </c>
    </row>
    <row r="85" spans="4:18" ht="20.100000000000001" customHeight="1" x14ac:dyDescent="0.25">
      <c r="R85" s="7"/>
    </row>
    <row r="86" spans="4:18" ht="20.100000000000001" customHeight="1" x14ac:dyDescent="0.25">
      <c r="R86" s="7"/>
    </row>
    <row r="87" spans="4:18" ht="20.100000000000001" customHeight="1" x14ac:dyDescent="0.25">
      <c r="D87" s="117" t="str">
        <f>"From stage 1: " &amp; $D$47</f>
        <v>From stage 1: Digester / covered lagoons</v>
      </c>
      <c r="E87" s="99" t="str">
        <f>IF(SUM(E47:H47)&gt;0,"Manure was sent to this MMS, please complete this section.","NO manure was sent to this MMS. Leave this section blank.")</f>
        <v>Manure was sent to this MMS, please complete this section.</v>
      </c>
      <c r="K87" s="121" t="s">
        <v>175</v>
      </c>
      <c r="L87" s="121" t="s">
        <v>176</v>
      </c>
      <c r="M87" s="121" t="s">
        <v>177</v>
      </c>
      <c r="R87" s="7"/>
    </row>
    <row r="88" spans="4:18" ht="20.100000000000001" customHeight="1" x14ac:dyDescent="0.25">
      <c r="D88" s="118" t="s">
        <v>338</v>
      </c>
      <c r="E88" s="44">
        <v>0.2</v>
      </c>
      <c r="F88" s="44">
        <v>0.25</v>
      </c>
      <c r="G88" s="44">
        <v>0.25</v>
      </c>
      <c r="H88" s="44">
        <v>0.25</v>
      </c>
      <c r="I88" s="2" t="s">
        <v>15</v>
      </c>
      <c r="J88" s="2"/>
      <c r="K88" s="44">
        <v>0.25</v>
      </c>
      <c r="L88" s="44">
        <v>0.25</v>
      </c>
      <c r="M88" s="90">
        <f>1-SUM(K88:L88)</f>
        <v>0.5</v>
      </c>
      <c r="R88" s="7"/>
    </row>
    <row r="89" spans="4:18" ht="20.100000000000001" customHeight="1" x14ac:dyDescent="0.25">
      <c r="D89" s="118" t="s">
        <v>345</v>
      </c>
      <c r="E89" s="44">
        <v>0.2</v>
      </c>
      <c r="F89" s="44">
        <v>0.25</v>
      </c>
      <c r="G89" s="44">
        <v>0.25</v>
      </c>
      <c r="H89" s="44">
        <v>0.25</v>
      </c>
      <c r="I89" s="2" t="s">
        <v>15</v>
      </c>
      <c r="J89" s="2"/>
      <c r="K89" s="44">
        <v>0.25</v>
      </c>
      <c r="L89" s="44">
        <v>0.25</v>
      </c>
      <c r="M89" s="90">
        <f>1-SUM(K89:L89)</f>
        <v>0.5</v>
      </c>
    </row>
    <row r="90" spans="4:18" ht="20.100000000000001" customHeight="1" x14ac:dyDescent="0.25">
      <c r="D90" s="118" t="s">
        <v>344</v>
      </c>
      <c r="E90" s="44">
        <v>0.2</v>
      </c>
      <c r="F90" s="44">
        <v>0.25</v>
      </c>
      <c r="G90" s="44">
        <v>0.25</v>
      </c>
      <c r="H90" s="44">
        <v>0.25</v>
      </c>
      <c r="I90" s="2" t="s">
        <v>15</v>
      </c>
      <c r="J90" s="2"/>
      <c r="K90" s="44">
        <v>0.25</v>
      </c>
      <c r="L90" s="44">
        <v>0.25</v>
      </c>
      <c r="M90" s="90">
        <f>1-SUM(K90:L90)</f>
        <v>0.5</v>
      </c>
    </row>
    <row r="91" spans="4:18" ht="20.100000000000001" customHeight="1" x14ac:dyDescent="0.25">
      <c r="D91" s="118" t="s">
        <v>349</v>
      </c>
      <c r="E91" s="90">
        <f>1-SUM(E88:E90)</f>
        <v>0.39999999999999991</v>
      </c>
      <c r="F91" s="90">
        <f>1-SUM(F88:F90)</f>
        <v>0.25</v>
      </c>
      <c r="G91" s="90">
        <f>1-SUM(G88:G90)</f>
        <v>0.25</v>
      </c>
      <c r="H91" s="90">
        <f>1-SUM(H88:H90)</f>
        <v>0.25</v>
      </c>
      <c r="I91" s="2" t="s">
        <v>15</v>
      </c>
      <c r="J91" s="2"/>
      <c r="K91" s="90">
        <v>0</v>
      </c>
      <c r="L91" s="90">
        <v>0</v>
      </c>
      <c r="M91" s="90">
        <f>1-SUM(K91:L91)</f>
        <v>1</v>
      </c>
    </row>
    <row r="92" spans="4:18" ht="20.100000000000001" customHeight="1" x14ac:dyDescent="0.25">
      <c r="R92" s="7"/>
    </row>
    <row r="93" spans="4:18" ht="20.100000000000001" customHeight="1" x14ac:dyDescent="0.25">
      <c r="D93" s="116"/>
      <c r="R93" s="7"/>
    </row>
    <row r="94" spans="4:18" ht="20.100000000000001" customHeight="1" x14ac:dyDescent="0.25">
      <c r="D94" s="117" t="str">
        <f>"From stage 1: " &amp; $D$53</f>
        <v>From stage 1: Deep litter</v>
      </c>
      <c r="E94" s="99" t="str">
        <f>IF(SUM(E53:H53)&gt;0,"Manure was sent to this MMS, please complete this section.","NO manure was sent to this MMS. Leave this section blank.")</f>
        <v>Manure was sent to this MMS, please complete this section.</v>
      </c>
      <c r="K94" s="121" t="s">
        <v>175</v>
      </c>
      <c r="L94" s="121" t="s">
        <v>176</v>
      </c>
      <c r="M94" s="121" t="s">
        <v>177</v>
      </c>
      <c r="R94" s="7"/>
    </row>
    <row r="95" spans="4:18" ht="20.100000000000001" customHeight="1" x14ac:dyDescent="0.25">
      <c r="D95" s="118" t="s">
        <v>338</v>
      </c>
      <c r="E95" s="44">
        <v>0.2</v>
      </c>
      <c r="F95" s="44">
        <v>0.25</v>
      </c>
      <c r="G95" s="44">
        <v>0.25</v>
      </c>
      <c r="H95" s="44">
        <v>0.25</v>
      </c>
      <c r="I95" s="2" t="s">
        <v>15</v>
      </c>
      <c r="J95" s="2"/>
      <c r="K95" s="44">
        <v>0.25</v>
      </c>
      <c r="L95" s="44">
        <v>0.25</v>
      </c>
      <c r="M95" s="90">
        <f>1-SUM(K95:L95)</f>
        <v>0.5</v>
      </c>
      <c r="R95" s="7"/>
    </row>
    <row r="96" spans="4:18" ht="20.100000000000001" customHeight="1" x14ac:dyDescent="0.25">
      <c r="D96" s="118" t="s">
        <v>339</v>
      </c>
      <c r="E96" s="44">
        <v>0.2</v>
      </c>
      <c r="F96" s="44">
        <v>0.25</v>
      </c>
      <c r="G96" s="44">
        <v>0.25</v>
      </c>
      <c r="H96" s="44">
        <v>0.25</v>
      </c>
      <c r="I96" s="2" t="s">
        <v>15</v>
      </c>
      <c r="J96" s="2"/>
      <c r="K96" s="44">
        <v>0.25</v>
      </c>
      <c r="L96" s="44">
        <v>0.25</v>
      </c>
      <c r="M96" s="90">
        <f>1-SUM(K96:L96)</f>
        <v>0.5</v>
      </c>
    </row>
    <row r="97" spans="4:18" ht="20.100000000000001" customHeight="1" x14ac:dyDescent="0.25">
      <c r="D97" s="118" t="s">
        <v>344</v>
      </c>
      <c r="E97" s="44">
        <v>0.2</v>
      </c>
      <c r="F97" s="44">
        <v>0.25</v>
      </c>
      <c r="G97" s="44">
        <v>0.25</v>
      </c>
      <c r="H97" s="44">
        <v>0.25</v>
      </c>
      <c r="I97" s="2" t="s">
        <v>15</v>
      </c>
      <c r="J97" s="2"/>
      <c r="K97" s="44">
        <v>0.25</v>
      </c>
      <c r="L97" s="44">
        <v>0.25</v>
      </c>
      <c r="M97" s="90">
        <f>1-SUM(K97:L97)</f>
        <v>0.5</v>
      </c>
    </row>
    <row r="98" spans="4:18" ht="20.100000000000001" customHeight="1" x14ac:dyDescent="0.25">
      <c r="D98" s="118" t="s">
        <v>349</v>
      </c>
      <c r="E98" s="90">
        <f>1-SUM(E95:E97)</f>
        <v>0.39999999999999991</v>
      </c>
      <c r="F98" s="90">
        <f>1-SUM(F95:F97)</f>
        <v>0.25</v>
      </c>
      <c r="G98" s="90">
        <f>1-SUM(G95:G97)</f>
        <v>0.25</v>
      </c>
      <c r="H98" s="90">
        <f>1-SUM(H95:H97)</f>
        <v>0.25</v>
      </c>
      <c r="I98" s="2" t="s">
        <v>15</v>
      </c>
      <c r="J98" s="2"/>
      <c r="K98" s="90">
        <v>0</v>
      </c>
      <c r="L98" s="90">
        <v>0</v>
      </c>
      <c r="M98" s="90">
        <f>1-SUM(K98:L98)</f>
        <v>1</v>
      </c>
    </row>
    <row r="99" spans="4:18" ht="20.100000000000001" customHeight="1" x14ac:dyDescent="0.25">
      <c r="R99" s="7"/>
    </row>
    <row r="100" spans="4:18" ht="20.100000000000001" customHeight="1" x14ac:dyDescent="0.25">
      <c r="R100" s="7"/>
    </row>
    <row r="101" spans="4:18" ht="20.100000000000001" customHeight="1" x14ac:dyDescent="0.25">
      <c r="D101" s="117" t="str">
        <f>"From stage 1: " &amp; $D$59</f>
        <v>From stage 1: Pit storage</v>
      </c>
      <c r="E101" s="99" t="str">
        <f>IF(SUM(E59:H59)&gt;0,"Manure was sent to this MMS, please complete this section.","NO manure was sent to this MMS. Leave this section blank.")</f>
        <v>Manure was sent to this MMS, please complete this section.</v>
      </c>
      <c r="K101" s="121" t="s">
        <v>175</v>
      </c>
      <c r="L101" s="121" t="s">
        <v>176</v>
      </c>
      <c r="M101" s="121" t="s">
        <v>177</v>
      </c>
      <c r="R101" s="7"/>
    </row>
    <row r="102" spans="4:18" ht="20.100000000000001" customHeight="1" x14ac:dyDescent="0.25">
      <c r="D102" s="118" t="s">
        <v>338</v>
      </c>
      <c r="E102" s="44">
        <v>0.2</v>
      </c>
      <c r="F102" s="44">
        <v>0.25</v>
      </c>
      <c r="G102" s="44">
        <v>0.25</v>
      </c>
      <c r="H102" s="44">
        <v>0.25</v>
      </c>
      <c r="I102" s="2" t="s">
        <v>15</v>
      </c>
      <c r="J102" s="2"/>
      <c r="K102" s="44">
        <v>0.25</v>
      </c>
      <c r="L102" s="44">
        <v>0.25</v>
      </c>
      <c r="M102" s="90">
        <f>1-SUM(K102:L102)</f>
        <v>0.5</v>
      </c>
      <c r="R102" s="7"/>
    </row>
    <row r="103" spans="4:18" ht="20.100000000000001" customHeight="1" x14ac:dyDescent="0.25">
      <c r="D103" s="118" t="s">
        <v>339</v>
      </c>
      <c r="E103" s="44">
        <v>0.2</v>
      </c>
      <c r="F103" s="44">
        <v>0.25</v>
      </c>
      <c r="G103" s="44">
        <v>0.25</v>
      </c>
      <c r="H103" s="44">
        <v>0.25</v>
      </c>
      <c r="I103" s="2" t="s">
        <v>15</v>
      </c>
      <c r="J103" s="2"/>
      <c r="K103" s="44">
        <v>0.25</v>
      </c>
      <c r="L103" s="44">
        <v>0.25</v>
      </c>
      <c r="M103" s="90">
        <f>1-SUM(K103:L103)</f>
        <v>0.5</v>
      </c>
    </row>
    <row r="104" spans="4:18" ht="20.100000000000001" customHeight="1" x14ac:dyDescent="0.25">
      <c r="D104" s="118" t="s">
        <v>345</v>
      </c>
      <c r="E104" s="44">
        <v>0.2</v>
      </c>
      <c r="F104" s="44">
        <v>0.25</v>
      </c>
      <c r="G104" s="44">
        <v>0.25</v>
      </c>
      <c r="H104" s="44">
        <v>0.25</v>
      </c>
      <c r="I104" s="2" t="s">
        <v>15</v>
      </c>
      <c r="J104" s="2"/>
      <c r="K104" s="44">
        <v>0.25</v>
      </c>
      <c r="L104" s="44">
        <v>0.25</v>
      </c>
      <c r="M104" s="90">
        <f>1-SUM(K104:L104)</f>
        <v>0.5</v>
      </c>
      <c r="N104" s="3"/>
    </row>
    <row r="105" spans="4:18" ht="20.100000000000001" customHeight="1" x14ac:dyDescent="0.25">
      <c r="D105" s="118" t="s">
        <v>349</v>
      </c>
      <c r="E105" s="90">
        <f>1-SUM(E102:E104)</f>
        <v>0.39999999999999991</v>
      </c>
      <c r="F105" s="90">
        <f>1-SUM(F102:F104)</f>
        <v>0.25</v>
      </c>
      <c r="G105" s="90">
        <f>1-SUM(G102:G104)</f>
        <v>0.25</v>
      </c>
      <c r="H105" s="90">
        <f>1-SUM(H102:H104)</f>
        <v>0.25</v>
      </c>
      <c r="I105" s="2" t="s">
        <v>15</v>
      </c>
      <c r="J105" s="2"/>
      <c r="K105" s="90">
        <v>0</v>
      </c>
      <c r="L105" s="90">
        <v>0</v>
      </c>
      <c r="M105" s="90">
        <f>1-SUM(K105:L105)</f>
        <v>1</v>
      </c>
      <c r="N105" s="3"/>
    </row>
    <row r="106" spans="4:18" ht="20.100000000000001" customHeight="1" x14ac:dyDescent="0.25">
      <c r="N106" s="3"/>
    </row>
    <row r="107" spans="4:18" ht="20.100000000000001" customHeight="1" x14ac:dyDescent="0.25">
      <c r="N107" s="3"/>
    </row>
    <row r="108" spans="4:18" ht="20.100000000000001" customHeight="1" x14ac:dyDescent="0.25">
      <c r="D108" s="117" t="str">
        <f>"From stage 1: " &amp; SUBSTITUTE($D$64, " (before solid separation)", "")</f>
        <v>From stage 1: Solid storage</v>
      </c>
      <c r="E108" s="99" t="str">
        <f>IF(OR(SUM(E64:H64)&gt;0,COUNTIF(E36:E68,"Yes")&gt;0),"Manure was sent to this MMS, please complete this section.","NO manure was sent to this MMS. Leave this section blank.")</f>
        <v>Manure was sent to this MMS, please complete this section.</v>
      </c>
      <c r="K108" s="121" t="s">
        <v>175</v>
      </c>
      <c r="L108" s="121" t="s">
        <v>176</v>
      </c>
      <c r="M108" s="121" t="s">
        <v>177</v>
      </c>
      <c r="N108" s="3"/>
    </row>
    <row r="109" spans="4:18" ht="20.100000000000001" customHeight="1" x14ac:dyDescent="0.25">
      <c r="D109" s="118" t="s">
        <v>338</v>
      </c>
      <c r="E109" s="44">
        <v>0.2</v>
      </c>
      <c r="F109" s="44">
        <v>0.2</v>
      </c>
      <c r="G109" s="44">
        <v>0.2</v>
      </c>
      <c r="H109" s="44">
        <v>0.2</v>
      </c>
      <c r="I109" s="2" t="s">
        <v>15</v>
      </c>
      <c r="J109" s="2"/>
      <c r="K109" s="44">
        <v>0.25</v>
      </c>
      <c r="L109" s="44">
        <v>0.25</v>
      </c>
      <c r="M109" s="90">
        <f>1-SUM(K109:L109)</f>
        <v>0.5</v>
      </c>
      <c r="N109" s="3"/>
    </row>
    <row r="110" spans="4:18" ht="20.100000000000001" customHeight="1" x14ac:dyDescent="0.25">
      <c r="D110" s="118" t="s">
        <v>339</v>
      </c>
      <c r="E110" s="44">
        <v>0.2</v>
      </c>
      <c r="F110" s="44">
        <v>0.2</v>
      </c>
      <c r="G110" s="44">
        <v>0.2</v>
      </c>
      <c r="H110" s="44">
        <v>0.2</v>
      </c>
      <c r="I110" s="2" t="s">
        <v>15</v>
      </c>
      <c r="J110" s="2"/>
      <c r="K110" s="44">
        <v>0.25</v>
      </c>
      <c r="L110" s="44">
        <v>0.25</v>
      </c>
      <c r="M110" s="90">
        <f>1-SUM(K110:L110)</f>
        <v>0.5</v>
      </c>
      <c r="N110" s="3"/>
    </row>
    <row r="111" spans="4:18" ht="20.100000000000001" customHeight="1" x14ac:dyDescent="0.25">
      <c r="D111" s="118" t="s">
        <v>345</v>
      </c>
      <c r="E111" s="44">
        <v>0.2</v>
      </c>
      <c r="F111" s="44">
        <v>0.2</v>
      </c>
      <c r="G111" s="44">
        <v>0.2</v>
      </c>
      <c r="H111" s="44">
        <v>0.2</v>
      </c>
      <c r="I111" s="2" t="s">
        <v>15</v>
      </c>
      <c r="J111" s="2"/>
      <c r="K111" s="44">
        <v>0.25</v>
      </c>
      <c r="L111" s="44">
        <v>0.25</v>
      </c>
      <c r="M111" s="90">
        <f>1-SUM(K111:L111)</f>
        <v>0.5</v>
      </c>
      <c r="N111" s="3"/>
    </row>
    <row r="112" spans="4:18" ht="20.100000000000001" customHeight="1" x14ac:dyDescent="0.25">
      <c r="D112" s="118" t="s">
        <v>344</v>
      </c>
      <c r="E112" s="44">
        <v>0.1</v>
      </c>
      <c r="F112" s="44">
        <v>0.1</v>
      </c>
      <c r="G112" s="44">
        <v>0.1</v>
      </c>
      <c r="H112" s="44">
        <v>0.1</v>
      </c>
      <c r="I112" s="2" t="s">
        <v>15</v>
      </c>
      <c r="J112" s="2"/>
      <c r="K112" s="44">
        <v>0.25</v>
      </c>
      <c r="L112" s="44">
        <v>0.25</v>
      </c>
      <c r="M112" s="90">
        <f>1-SUM(K112:L112)</f>
        <v>0.5</v>
      </c>
      <c r="N112" s="3"/>
    </row>
    <row r="113" spans="4:14" ht="20.100000000000001" customHeight="1" x14ac:dyDescent="0.25">
      <c r="D113" s="118" t="s">
        <v>349</v>
      </c>
      <c r="E113" s="90">
        <f>1-SUM(E109:E112)</f>
        <v>0.29999999999999993</v>
      </c>
      <c r="F113" s="90">
        <f>1-SUM(F109:F112)</f>
        <v>0.29999999999999993</v>
      </c>
      <c r="G113" s="90">
        <f>1-SUM(G109:G112)</f>
        <v>0.29999999999999993</v>
      </c>
      <c r="H113" s="90">
        <f>1-SUM(H109:H112)</f>
        <v>0.29999999999999993</v>
      </c>
      <c r="I113" s="2" t="s">
        <v>15</v>
      </c>
      <c r="J113" s="2"/>
      <c r="K113" s="90">
        <v>0</v>
      </c>
      <c r="L113" s="90">
        <v>0</v>
      </c>
      <c r="M113" s="90">
        <f>1-SUM(K113:L113)</f>
        <v>1</v>
      </c>
      <c r="N113" s="3"/>
    </row>
    <row r="114" spans="4:14" ht="20.100000000000001" customHeight="1" x14ac:dyDescent="0.25">
      <c r="N114" s="3"/>
    </row>
    <row r="115" spans="4:14" ht="20.100000000000001" customHeight="1" x14ac:dyDescent="0.25">
      <c r="N115" s="3"/>
    </row>
    <row r="116" spans="4:14" ht="20.100000000000001" customHeight="1" x14ac:dyDescent="0.25">
      <c r="D116" s="1" t="s">
        <v>249</v>
      </c>
      <c r="E116" s="38" t="s">
        <v>129</v>
      </c>
      <c r="F116" s="2" t="s">
        <v>8</v>
      </c>
      <c r="N116" s="3"/>
    </row>
    <row r="117" spans="4:14" ht="20.100000000000001" customHeight="1" x14ac:dyDescent="0.25">
      <c r="D117" s="1" t="s">
        <v>101</v>
      </c>
      <c r="E117" s="38" t="s">
        <v>106</v>
      </c>
      <c r="F117" s="2" t="s">
        <v>8</v>
      </c>
      <c r="N117" s="3"/>
    </row>
    <row r="118" spans="4:14" ht="20.100000000000001" customHeight="1" x14ac:dyDescent="0.25">
      <c r="N118" s="3"/>
    </row>
    <row r="119" spans="4:14" ht="20.100000000000001" customHeight="1" x14ac:dyDescent="0.25"/>
    <row r="120" spans="4:14" ht="20.100000000000001" customHeight="1" x14ac:dyDescent="0.25"/>
    <row r="121" spans="4:14" ht="20.100000000000001" customHeight="1" x14ac:dyDescent="0.25"/>
    <row r="122" spans="4:14" ht="20.100000000000001" customHeight="1" x14ac:dyDescent="0.25"/>
    <row r="123" spans="4:14" ht="20.100000000000001" customHeight="1" x14ac:dyDescent="0.25">
      <c r="N123" s="3"/>
    </row>
    <row r="124" spans="4:14" ht="20.100000000000001" customHeight="1" x14ac:dyDescent="0.25">
      <c r="N124" s="3"/>
    </row>
    <row r="125" spans="4:14" ht="20.100000000000001" customHeight="1" x14ac:dyDescent="0.25">
      <c r="N125" s="3"/>
    </row>
    <row r="126" spans="4:14" ht="20.100000000000001" customHeight="1" x14ac:dyDescent="0.25">
      <c r="N126" s="3"/>
    </row>
    <row r="127" spans="4:14" ht="20.100000000000001" customHeight="1" x14ac:dyDescent="0.25">
      <c r="N127" s="3"/>
    </row>
    <row r="128" spans="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99"/>
    </row>
  </sheetData>
  <conditionalFormatting sqref="F78">
    <cfRule type="cellIs" dxfId="25" priority="62" operator="lessThan">
      <formula>0</formula>
    </cfRule>
  </conditionalFormatting>
  <conditionalFormatting sqref="F133:F134">
    <cfRule type="cellIs" dxfId="24" priority="20" operator="lessThan">
      <formula>0</formula>
    </cfRule>
  </conditionalFormatting>
  <conditionalFormatting sqref="F145:F146">
    <cfRule type="cellIs" dxfId="23" priority="19" operator="lessThan">
      <formula>0</formula>
    </cfRule>
  </conditionalFormatting>
  <conditionalFormatting sqref="F157:F158">
    <cfRule type="cellIs" dxfId="22" priority="18" operator="lessThan">
      <formula>0</formula>
    </cfRule>
  </conditionalFormatting>
  <conditionalFormatting sqref="F245:F246">
    <cfRule type="cellIs" dxfId="21" priority="93" operator="lessThan">
      <formula>0</formula>
    </cfRule>
  </conditionalFormatting>
  <conditionalFormatting sqref="F250:F251">
    <cfRule type="cellIs" dxfId="20" priority="92" operator="lessThan">
      <formula>0</formula>
    </cfRule>
  </conditionalFormatting>
  <conditionalFormatting sqref="F255:F256">
    <cfRule type="cellIs" dxfId="19" priority="91" operator="lessThan">
      <formula>0</formula>
    </cfRule>
  </conditionalFormatting>
  <conditionalFormatting sqref="F279:F280">
    <cfRule type="cellIs" dxfId="18" priority="85" operator="lessThan">
      <formula>0</formula>
    </cfRule>
  </conditionalFormatting>
  <conditionalFormatting sqref="F284:F285">
    <cfRule type="cellIs" dxfId="17" priority="84" operator="lessThan">
      <formula>0</formula>
    </cfRule>
  </conditionalFormatting>
  <conditionalFormatting sqref="F289:F290">
    <cfRule type="cellIs" dxfId="16" priority="83" operator="lessThan">
      <formula>0</formula>
    </cfRule>
  </conditionalFormatting>
  <conditionalFormatting sqref="I36:J36 I41:J41 E43 I47:J47 E49 I53:J53 I59:J59 I64:J64 E205:G205">
    <cfRule type="cellIs" dxfId="15" priority="79" operator="lessThan">
      <formula>0</formula>
    </cfRule>
  </conditionalFormatting>
  <conditionalFormatting sqref="I80:J84">
    <cfRule type="cellIs" dxfId="14" priority="6" operator="lessThan">
      <formula>0</formula>
    </cfRule>
  </conditionalFormatting>
  <conditionalFormatting sqref="I88:J91">
    <cfRule type="cellIs" dxfId="13" priority="5" operator="lessThan">
      <formula>0</formula>
    </cfRule>
  </conditionalFormatting>
  <conditionalFormatting sqref="I95:J98">
    <cfRule type="cellIs" dxfId="12" priority="4" operator="lessThan">
      <formula>0</formula>
    </cfRule>
  </conditionalFormatting>
  <conditionalFormatting sqref="I102:J105">
    <cfRule type="cellIs" dxfId="11" priority="3" operator="lessThan">
      <formula>0</formula>
    </cfRule>
  </conditionalFormatting>
  <conditionalFormatting sqref="I109:J113">
    <cfRule type="cellIs" dxfId="10" priority="1" operator="lessThan">
      <formula>0</formula>
    </cfRule>
  </conditionalFormatting>
  <conditionalFormatting sqref="K147">
    <cfRule type="cellIs" dxfId="9" priority="24"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73:J76 N97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37 E42 E48 E54 E60" xr:uid="{00A4EA4C-90D3-4150-979D-4D71C7F37A31}">
      <formula1>"Yes, No"</formula1>
    </dataValidation>
    <dataValidation type="list" allowBlank="1" showInputMessage="1" showErrorMessage="1" sqref="E32" xr:uid="{7CE3F3B3-74F0-4147-9434-E417CDC75C10}">
      <formula1>INDIRECT("Table_SourceData_Swine_ProductionSystems[Production system]")</formula1>
    </dataValidation>
    <dataValidation type="list" allowBlank="1" showInputMessage="1" showErrorMessage="1" sqref="E117" xr:uid="{DBA884B0-B52E-420E-8FD2-21B082EB75E2}">
      <formula1>INDIRECT("Table_SourceData_Swine_IrrigationMethods[Irrigation method]")</formula1>
    </dataValidation>
    <dataValidation type="list" allowBlank="1" showInputMessage="1" showErrorMessage="1" sqref="E116"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abSelected="1" topLeftCell="G160" zoomScaleNormal="100" workbookViewId="0">
      <selection activeCell="S181" sqref="P181:S1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152</v>
      </c>
    </row>
    <row r="2" spans="1:21" s="9" customFormat="1" ht="20.100000000000001" customHeight="1" x14ac:dyDescent="0.25">
      <c r="A2"/>
    </row>
    <row r="3" spans="1:21" ht="20.100000000000001" customHeight="1" x14ac:dyDescent="0.25">
      <c r="A3" s="17" t="str">
        <f>HYPERLINK("#'Home'!A1", "Home")</f>
        <v>Home</v>
      </c>
      <c r="C3" s="4"/>
      <c r="D3" s="4" t="s">
        <v>94</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3"/>
      <c r="G13" s="55" t="str" cm="1">
        <f t="array" ref="G13:H14">Common_InputFunctions.Utility_DisplayArguments_3_4(MMS_Swine_Methane_Equations.VEERG_4_5_1_1__4_FractionVolatileSolidsPrimarySystem_Arguments())</f>
        <v>fraction</v>
      </c>
      <c r="H13" s="130" t="str">
        <v>Input</v>
      </c>
      <c r="I13" s="131" t="str" cm="1">
        <f t="array" aca="1" ref="I13" ca="1">HYPERLINK(Common_InputFunctions.Utility_SourceHyperlink($D$16), $D$16)</f>
        <v>Table_MMS_j_m_T-1</v>
      </c>
    </row>
    <row r="14" spans="1:21" ht="20.100000000000001" customHeight="1" x14ac:dyDescent="0.25">
      <c r="A14" s="143" t="str">
        <f>HYPERLINK("#'4.5.1.1-2 Methane'!A1", "4.5.1.1-2 Methane")</f>
        <v>4.5.1.1-2 Methane</v>
      </c>
      <c r="D14" s="55" t="str">
        <v>SSm</v>
      </c>
      <c r="E14" s="56" t="str">
        <v>fraction of volatile solids separated to solid storage for each MMS</v>
      </c>
      <c r="F14" s="93"/>
      <c r="G14" s="55" t="str">
        <v>fraction</v>
      </c>
      <c r="H14" s="130" t="str">
        <v>Input</v>
      </c>
      <c r="I14" s="131"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3" t="s">
        <v>230</v>
      </c>
    </row>
    <row r="17" spans="1:19" ht="20.100000000000001" customHeight="1" x14ac:dyDescent="0.25">
      <c r="A17" s="17" t="str">
        <f>HYPERLINK("#'4.5.1.7-8 Leaching and runoff'!A1", "4.5.1.7-8 Leaching and runoff")</f>
        <v>4.5.1.7-8 Leaching and runoff</v>
      </c>
      <c r="D17" s="114" t="s">
        <v>154</v>
      </c>
    </row>
    <row r="18" spans="1:19" ht="20.100000000000001" customHeight="1" x14ac:dyDescent="0.25">
      <c r="A18" s="17" t="str">
        <f>HYPERLINK("#'4.5.1.9 Manure applied to soils'!A1", "4.5.1.9 Manure applied to soils")</f>
        <v>4.5.1.9 Manure applied to soils</v>
      </c>
      <c r="D18" s="111" t="s">
        <v>155</v>
      </c>
      <c r="E18" s="111" t="s">
        <v>134</v>
      </c>
      <c r="F18" s="111" t="s">
        <v>135</v>
      </c>
      <c r="G18" s="111" t="s">
        <v>136</v>
      </c>
      <c r="H18" s="111" t="s">
        <v>192</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1"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Common livestock'!A1", "Constants - Common livestock")</f>
        <v>Constants - Common livestock</v>
      </c>
    </row>
    <row r="25" spans="1:19" ht="20.100000000000001" customHeight="1" x14ac:dyDescent="0.25">
      <c r="A25" s="17" t="str">
        <f>HYPERLINK("#'Acknowledgements'!A1", "Acknowledgements")</f>
        <v>Acknowledgements</v>
      </c>
      <c r="D25" s="113" t="s">
        <v>231</v>
      </c>
      <c r="N25" s="113" t="s">
        <v>193</v>
      </c>
    </row>
    <row r="26" spans="1:19" ht="20.100000000000001" customHeight="1" x14ac:dyDescent="0.25">
      <c r="A26" s="17" t="str">
        <f>HYPERLINK("#'Tab template'!A1", "Tab template")</f>
        <v>Tab template</v>
      </c>
      <c r="D26" s="114" t="s">
        <v>180</v>
      </c>
      <c r="N26" s="114" t="s">
        <v>194</v>
      </c>
    </row>
    <row r="27" spans="1:19" ht="20.100000000000001" customHeight="1" x14ac:dyDescent="0.25">
      <c r="D27" s="111" t="s">
        <v>155</v>
      </c>
      <c r="E27" s="111" t="s">
        <v>134</v>
      </c>
      <c r="F27" s="111" t="s">
        <v>135</v>
      </c>
      <c r="G27" s="111" t="s">
        <v>136</v>
      </c>
      <c r="H27" s="111" t="s">
        <v>192</v>
      </c>
      <c r="N27" s="111" t="s">
        <v>155</v>
      </c>
      <c r="O27" s="111" t="s">
        <v>134</v>
      </c>
      <c r="P27" s="111" t="s">
        <v>135</v>
      </c>
      <c r="Q27" s="111" t="s">
        <v>136</v>
      </c>
      <c r="R27" s="111" t="s">
        <v>192</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3" t="s">
        <v>228</v>
      </c>
      <c r="N34" s="113" t="s">
        <v>229</v>
      </c>
    </row>
    <row r="35" spans="3:21" ht="20.100000000000001" customHeight="1" x14ac:dyDescent="0.25">
      <c r="D35" s="114" t="s">
        <v>181</v>
      </c>
      <c r="N35" s="114" t="s">
        <v>195</v>
      </c>
    </row>
    <row r="36" spans="3:21" ht="20.100000000000001" customHeight="1" x14ac:dyDescent="0.25">
      <c r="D36" s="49" t="s">
        <v>155</v>
      </c>
      <c r="E36" s="49" t="s">
        <v>134</v>
      </c>
      <c r="F36" s="49" t="s">
        <v>135</v>
      </c>
      <c r="G36" s="49" t="s">
        <v>136</v>
      </c>
      <c r="H36" s="49" t="s">
        <v>192</v>
      </c>
      <c r="N36" s="49" t="s">
        <v>155</v>
      </c>
      <c r="O36" s="49" t="s">
        <v>134</v>
      </c>
      <c r="P36" s="49" t="s">
        <v>135</v>
      </c>
      <c r="Q36" s="49" t="s">
        <v>136</v>
      </c>
      <c r="R36" s="49" t="s">
        <v>192</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1" t="str" cm="1">
        <f t="array" ref="D56:E58">Common_InputFunctions.Utility_DisplayArguments_1_2(MMS_Swine_Methane_Equations.VEERG_4_5_1_1__5_FractionVolatileSolidsSolidStorage_Arguments())</f>
        <v>MMSjm4T1</v>
      </c>
      <c r="E56" s="103" t="str">
        <v>fraction of manure in solid storage primary system</v>
      </c>
      <c r="F56" s="102"/>
      <c r="G56" s="101" t="str" cm="1">
        <f t="array" ref="G56:H58">Common_InputFunctions.Utility_DisplayArguments_3_4(MMS_Swine_Methane_Equations.VEERG_4_5_1_1__5_FractionVolatileSolidsSolidStorage_Arguments())</f>
        <v>fraction</v>
      </c>
      <c r="H56" s="128" t="str">
        <v>Input</v>
      </c>
      <c r="I56" s="131" t="str" cm="1">
        <f t="array" aca="1" ref="I56" ca="1">HYPERLINK(Common_InputFunctions.Utility_SourceHyperlink($D$60), $D$60)</f>
        <v>Table_MMS_j_m-4_T-1</v>
      </c>
    </row>
    <row r="57" spans="4:9" ht="20.100000000000001" customHeight="1" x14ac:dyDescent="0.25">
      <c r="D57" s="101" t="str">
        <v>MMSjm179T1</v>
      </c>
      <c r="E57" s="103" t="str">
        <v>fraction of manure in MMS 1, 7, and 9 in treatment stage 1</v>
      </c>
      <c r="F57" s="102"/>
      <c r="G57" s="101" t="str">
        <v>fraction</v>
      </c>
      <c r="H57" s="128" t="str">
        <v>Input</v>
      </c>
      <c r="I57" s="131" t="str" cm="1">
        <f t="array" aca="1" ref="I57" ca="1">HYPERLINK(Common_InputFunctions.Utility_SourceHyperlink($D$16), $D$16)</f>
        <v>Table_MMS_j_m_T-1</v>
      </c>
    </row>
    <row r="58" spans="4:9" ht="20.100000000000001" customHeight="1" x14ac:dyDescent="0.25">
      <c r="D58" s="101" t="str">
        <v>SSm</v>
      </c>
      <c r="E58" s="103" t="str">
        <v>fraction of volatile solids separated to solid storage for each MMS</v>
      </c>
      <c r="F58" s="102"/>
      <c r="G58" s="101" t="str">
        <v>fraction</v>
      </c>
      <c r="H58" s="128" t="str">
        <v>Input</v>
      </c>
      <c r="I58" s="131" t="str" cm="1">
        <f t="array" aca="1" ref="I58" ca="1">HYPERLINK(Common_InputFunctions.Utility_SourceHyperlink($D$25), $D$25)</f>
        <v>M1_Table_SS_m</v>
      </c>
    </row>
    <row r="59" spans="4:9" ht="20.100000000000001" customHeight="1" x14ac:dyDescent="0.25"/>
    <row r="60" spans="4:9" ht="20.100000000000001" customHeight="1" x14ac:dyDescent="0.25">
      <c r="D60" s="113" t="s">
        <v>156</v>
      </c>
    </row>
    <row r="61" spans="4:9" ht="20.100000000000001" customHeight="1" x14ac:dyDescent="0.25">
      <c r="D61" s="114" t="s">
        <v>157</v>
      </c>
    </row>
    <row r="62" spans="4:9" ht="20.100000000000001" customHeight="1" x14ac:dyDescent="0.25">
      <c r="D62" s="111" t="s">
        <v>155</v>
      </c>
      <c r="E62" s="111" t="s">
        <v>134</v>
      </c>
      <c r="F62" s="111" t="s">
        <v>135</v>
      </c>
      <c r="G62" s="111" t="s">
        <v>136</v>
      </c>
      <c r="H62" s="111" t="s">
        <v>192</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3" t="s">
        <v>182</v>
      </c>
      <c r="N65" s="113" t="s">
        <v>196</v>
      </c>
    </row>
    <row r="66" spans="3:21" ht="20.100000000000001" customHeight="1" x14ac:dyDescent="0.25">
      <c r="D66" s="114" t="s">
        <v>183</v>
      </c>
      <c r="N66" s="114" t="s">
        <v>197</v>
      </c>
    </row>
    <row r="67" spans="3:21" ht="20.100000000000001" customHeight="1" x14ac:dyDescent="0.25">
      <c r="D67" s="49" t="s">
        <v>155</v>
      </c>
      <c r="E67" s="49" t="s">
        <v>134</v>
      </c>
      <c r="F67" s="49" t="s">
        <v>135</v>
      </c>
      <c r="G67" s="49" t="s">
        <v>136</v>
      </c>
      <c r="H67" s="49" t="s">
        <v>192</v>
      </c>
      <c r="N67" s="49" t="s">
        <v>155</v>
      </c>
      <c r="O67" s="49" t="s">
        <v>134</v>
      </c>
      <c r="P67" s="49" t="s">
        <v>135</v>
      </c>
      <c r="Q67" s="49" t="s">
        <v>136</v>
      </c>
      <c r="R67" s="49" t="s">
        <v>192</v>
      </c>
    </row>
    <row r="68" spans="3:21" ht="20.100000000000001" customHeight="1" x14ac:dyDescent="0.25">
      <c r="D68" s="55" t="s">
        <v>343</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343</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28" t="str">
        <v>Input</v>
      </c>
      <c r="I81" s="131" t="str" cm="1">
        <f t="array" aca="1" ref="I81" ca="1">HYPERLINK(Common_InputFunctions.Utility_SourceHyperlink(D85), D85)</f>
        <v>M1_Table_VS_j</v>
      </c>
      <c r="J81" s="131"/>
    </row>
    <row r="82" spans="4:18" ht="20.100000000000001" customHeight="1" x14ac:dyDescent="0.25">
      <c r="D82" s="55" t="str">
        <v>FVSjmT1</v>
      </c>
      <c r="E82" s="56" t="str">
        <v>fraction of volatile solids in each primary system</v>
      </c>
      <c r="F82" s="57"/>
      <c r="G82" s="55" t="str">
        <v>fraction</v>
      </c>
      <c r="H82" s="127" t="str">
        <v>Calculated from 4.5.1.1 (4)(5)</v>
      </c>
      <c r="I82" s="131" t="str" cm="1">
        <f t="array" aca="1" ref="I82" ca="1">HYPERLINK(Common_InputFunctions.Utility_SourceHyperlink($D$34), $D$34)</f>
        <v>M1_Table_FVS_j_m_T-1</v>
      </c>
      <c r="J82" s="131"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27" t="str">
        <v>Lookup</v>
      </c>
      <c r="I83" s="131" t="str" cm="1">
        <f t="array" aca="1" ref="I83" ca="1">HYPERLINK(Common_InputFunctions.Utility_SourceHyperlink($D$90), $D$90)</f>
        <v>Table_VSL_m_T-1</v>
      </c>
      <c r="J83" s="131"/>
    </row>
    <row r="84" spans="4:18" ht="20.100000000000001" customHeight="1" x14ac:dyDescent="0.25"/>
    <row r="85" spans="4:18" ht="20.100000000000001" customHeight="1" x14ac:dyDescent="0.25">
      <c r="D85" s="113" t="s">
        <v>198</v>
      </c>
      <c r="N85" s="113" t="s">
        <v>200</v>
      </c>
    </row>
    <row r="86" spans="4:18" ht="20.100000000000001" customHeight="1" x14ac:dyDescent="0.25">
      <c r="D86" s="114" t="s">
        <v>199</v>
      </c>
      <c r="N86" s="114" t="s">
        <v>201</v>
      </c>
    </row>
    <row r="87" spans="4:18" ht="20.100000000000001" customHeight="1" x14ac:dyDescent="0.25">
      <c r="D87" s="111" t="s">
        <v>134</v>
      </c>
      <c r="E87" s="111" t="s">
        <v>135</v>
      </c>
      <c r="F87" s="111" t="s">
        <v>136</v>
      </c>
      <c r="G87" s="111" t="s">
        <v>192</v>
      </c>
      <c r="I87" s="2"/>
      <c r="J87" s="2"/>
      <c r="N87" s="111" t="s">
        <v>134</v>
      </c>
      <c r="O87" s="111" t="s">
        <v>135</v>
      </c>
      <c r="P87" s="111" t="s">
        <v>136</v>
      </c>
      <c r="Q87" s="111" t="s">
        <v>192</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3" t="s">
        <v>158</v>
      </c>
    </row>
    <row r="91" spans="4:18" ht="20.100000000000001" customHeight="1" x14ac:dyDescent="0.25">
      <c r="D91" s="114" t="s">
        <v>149</v>
      </c>
    </row>
    <row r="92" spans="4:18" ht="20.100000000000001" customHeight="1" x14ac:dyDescent="0.25">
      <c r="D92" s="49" t="s">
        <v>155</v>
      </c>
      <c r="E92" s="49" t="s">
        <v>159</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0" t="s">
        <v>160</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3" t="s">
        <v>187</v>
      </c>
      <c r="N100" s="113" t="s">
        <v>202</v>
      </c>
    </row>
    <row r="101" spans="3:21" ht="20.100000000000001" customHeight="1" x14ac:dyDescent="0.25">
      <c r="D101" s="114" t="s">
        <v>188</v>
      </c>
      <c r="N101" s="114" t="s">
        <v>203</v>
      </c>
    </row>
    <row r="102" spans="3:21" ht="20.100000000000001" customHeight="1" x14ac:dyDescent="0.25">
      <c r="D102" s="49" t="s">
        <v>155</v>
      </c>
      <c r="E102" s="49" t="s">
        <v>134</v>
      </c>
      <c r="F102" s="49" t="s">
        <v>135</v>
      </c>
      <c r="G102" s="49" t="s">
        <v>136</v>
      </c>
      <c r="H102" s="49" t="s">
        <v>192</v>
      </c>
      <c r="N102" s="49" t="s">
        <v>155</v>
      </c>
      <c r="O102" s="49" t="s">
        <v>134</v>
      </c>
      <c r="P102" s="49" t="s">
        <v>135</v>
      </c>
      <c r="Q102" s="49" t="s">
        <v>136</v>
      </c>
      <c r="R102" s="49" t="s">
        <v>192</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343</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343</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2" t="str" cm="1">
        <f t="array" ref="D121:E126">Common_InputFunctions.Utility_DisplayArguments_1_2(MMS_Swine_Methane_Equations.VEERG_4_5_1_1__6_Stage2MethaneProduction_Arguments())</f>
        <v>VSTjmT2</v>
      </c>
      <c r="E121" s="134" t="str">
        <v>volatile solids transferred to treatment stage 2 MMS</v>
      </c>
      <c r="F121" s="133"/>
      <c r="G121" s="132" t="str" cm="1">
        <f t="array" ref="G121:H126">Common_InputFunctions.Utility_DisplayArguments_3_4(MMS_Swine_Methane_Equations.VEERG_4_5_1_1__6_Stage2MethaneProduction_Arguments())</f>
        <v>kg/head/day</v>
      </c>
      <c r="H121" s="127" t="str">
        <v>Calculated from 4.5.1.1 (7)</v>
      </c>
      <c r="I121" s="131"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27" t="str">
        <v>Calculated from 4.5.1.1 (7)</v>
      </c>
      <c r="S121" s="131"/>
    </row>
    <row r="122" spans="4:19" ht="20.100000000000001" customHeight="1" x14ac:dyDescent="0.25">
      <c r="D122" s="132" t="str">
        <v>BO</v>
      </c>
      <c r="E122" s="134" t="str">
        <v>emissions potential</v>
      </c>
      <c r="F122" s="133"/>
      <c r="G122" s="132" t="str">
        <v>m3 CH4/kg VS</v>
      </c>
      <c r="H122" s="127" t="str">
        <v>Constant</v>
      </c>
      <c r="I122" s="132">
        <f>SourceData_Swine_MethaneVolatileSolidsEmissionsPotential_Data</f>
        <v>0.19</v>
      </c>
      <c r="N122" s="55" t="str">
        <v>BO</v>
      </c>
      <c r="O122" s="56" t="str">
        <v>emissions potential</v>
      </c>
      <c r="P122" s="57"/>
      <c r="Q122" s="55" t="str">
        <v>m3 CH4/kg VS</v>
      </c>
      <c r="R122" s="127" t="str">
        <v>Constant</v>
      </c>
      <c r="S122" s="55">
        <f>SourceData_Swine_MethaneVolatileSolidsEmissionsPotential_Data</f>
        <v>0.19</v>
      </c>
    </row>
    <row r="123" spans="4:19" ht="20.100000000000001" customHeight="1" x14ac:dyDescent="0.25">
      <c r="D123" s="132" t="str">
        <v>MMSjmT2</v>
      </c>
      <c r="E123" s="134" t="str">
        <v>fraction of manure in each secondary system</v>
      </c>
      <c r="F123" s="133"/>
      <c r="G123" s="132" t="str">
        <v>fraction</v>
      </c>
      <c r="H123" s="128" t="str">
        <v>Input</v>
      </c>
      <c r="I123" s="131" t="str" cm="1">
        <f t="array" aca="1" ref="I123" ca="1">HYPERLINK(Common_InputFunctions.Utility_SourceHyperlink($D$128), $D$128)</f>
        <v>Table_MMS_j_m_T-2</v>
      </c>
      <c r="N123" s="55" t="str">
        <v>MMSjmT2</v>
      </c>
      <c r="O123" s="56" t="str">
        <v>fraction of manure in each secondary system</v>
      </c>
      <c r="P123" s="57"/>
      <c r="Q123" s="55" t="str">
        <v>fraction</v>
      </c>
      <c r="R123" s="128" t="str">
        <v>Input</v>
      </c>
      <c r="S123" s="131"/>
    </row>
    <row r="124" spans="4:19" ht="20.100000000000001" customHeight="1" x14ac:dyDescent="0.25">
      <c r="D124" s="132" t="str">
        <v>MCFim</v>
      </c>
      <c r="E124" s="134" t="str">
        <v>methane conversion factor for temperate zone and system</v>
      </c>
      <c r="F124" s="133"/>
      <c r="G124" s="132" t="str">
        <v>fraction</v>
      </c>
      <c r="H124" s="127" t="str">
        <v>Constant</v>
      </c>
      <c r="I124" s="131" t="str" cm="1">
        <f t="array" aca="1" ref="I124" ca="1">HYPERLINK(Common_InputFunctions.Utility_SourceHyperlink($D$152), $D$152)</f>
        <v>M1_Table_MCF_i_m</v>
      </c>
      <c r="N124" s="55" t="str">
        <v>MCFim</v>
      </c>
      <c r="O124" s="56" t="str">
        <v>methane conversion factor for temperate zone and system</v>
      </c>
      <c r="P124" s="57"/>
      <c r="Q124" s="55" t="str">
        <v>fraction</v>
      </c>
      <c r="R124" s="127" t="str">
        <v>Constant</v>
      </c>
      <c r="S124" s="131"/>
    </row>
    <row r="125" spans="4:19" ht="20.100000000000001" customHeight="1" x14ac:dyDescent="0.25">
      <c r="D125" s="132" t="str">
        <v>rho</v>
      </c>
      <c r="E125" s="134" t="str">
        <v>density of methane</v>
      </c>
      <c r="F125" s="133"/>
      <c r="G125" s="132" t="str">
        <v>kg/m3</v>
      </c>
      <c r="H125" s="127" t="str">
        <v>Constant</v>
      </c>
      <c r="I125" s="132">
        <f>Common_SourceData_DensityOfMethane_Data</f>
        <v>0.6784</v>
      </c>
      <c r="N125" s="55" t="str">
        <v>rho</v>
      </c>
      <c r="O125" s="56" t="str">
        <v>density of methane</v>
      </c>
      <c r="P125" s="57"/>
      <c r="Q125" s="55" t="str">
        <v>kg/m3</v>
      </c>
      <c r="R125" s="127" t="str">
        <v>Constant</v>
      </c>
      <c r="S125" s="55"/>
    </row>
    <row r="126" spans="4:19" ht="20.100000000000001" customHeight="1" x14ac:dyDescent="0.25">
      <c r="D126" s="132" t="str">
        <v>i</v>
      </c>
      <c r="E126" s="134" t="str">
        <v>state</v>
      </c>
      <c r="F126" s="133"/>
      <c r="G126" s="132" t="str">
        <v/>
      </c>
      <c r="H126" s="128" t="str">
        <v>Input</v>
      </c>
      <c r="I126" s="132" t="str">
        <f>X_Cell_Site_State</f>
        <v>Western Australia</v>
      </c>
      <c r="N126" s="55" t="str">
        <v>MAT</v>
      </c>
      <c r="O126" s="56" t="str">
        <v>Mean annual temperature</v>
      </c>
      <c r="P126" s="57"/>
      <c r="Q126" s="55" t="str">
        <v>°C</v>
      </c>
      <c r="R126" s="128" t="str">
        <v>Input</v>
      </c>
      <c r="S126" s="55">
        <f>X_Cell_Site_AverageTemperature</f>
        <v>18</v>
      </c>
    </row>
    <row r="127" spans="4:19" ht="20.100000000000001" customHeight="1" x14ac:dyDescent="0.25"/>
    <row r="128" spans="4:19" ht="20.100000000000001" customHeight="1" x14ac:dyDescent="0.25">
      <c r="D128" s="113" t="s">
        <v>161</v>
      </c>
    </row>
    <row r="129" spans="4:10" ht="20.100000000000001" customHeight="1" x14ac:dyDescent="0.25">
      <c r="D129" s="114" t="s">
        <v>162</v>
      </c>
    </row>
    <row r="130" spans="4:10" ht="20.100000000000001" customHeight="1" x14ac:dyDescent="0.25">
      <c r="D130" s="111" t="s">
        <v>155</v>
      </c>
      <c r="E130" s="111" t="s">
        <v>163</v>
      </c>
      <c r="F130" s="111" t="s">
        <v>134</v>
      </c>
      <c r="G130" s="111" t="s">
        <v>135</v>
      </c>
      <c r="H130" s="111" t="s">
        <v>136</v>
      </c>
      <c r="I130" s="111" t="s">
        <v>192</v>
      </c>
    </row>
    <row r="131" spans="4:10" ht="20.100000000000001" customHeight="1" x14ac:dyDescent="0.25">
      <c r="D131" s="55" t="str">
        <f>INDEX(X_Table_Swine_Stage1MMS_AnaerobicLagoon,2,1)</f>
        <v>Anaerobic lagoon</v>
      </c>
      <c r="E131" s="101"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1" t="str">
        <f ca="1"/>
        <v>Deep litter</v>
      </c>
      <c r="F132" s="50">
        <f ca="1"/>
        <v>0.2</v>
      </c>
      <c r="G132" s="50">
        <f ca="1"/>
        <v>0.25</v>
      </c>
      <c r="H132" s="50">
        <f ca="1"/>
        <v>0.25</v>
      </c>
      <c r="I132" s="50">
        <f ca="1"/>
        <v>0.25</v>
      </c>
      <c r="J132" s="2"/>
    </row>
    <row r="133" spans="4:10" ht="20.100000000000001" customHeight="1" x14ac:dyDescent="0.25">
      <c r="D133" s="55"/>
      <c r="E133" s="101"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1"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1" t="str">
        <f ca="1"/>
        <v>Digester / covered lagoons</v>
      </c>
      <c r="F135" s="50">
        <f ca="1"/>
        <v>0.2</v>
      </c>
      <c r="G135" s="50">
        <f ca="1"/>
        <v>0.25</v>
      </c>
      <c r="H135" s="50">
        <f ca="1"/>
        <v>0.25</v>
      </c>
      <c r="I135" s="50">
        <f ca="1"/>
        <v>0.25</v>
      </c>
      <c r="J135" s="2"/>
    </row>
    <row r="136" spans="4:10" ht="20.100000000000001" customHeight="1" x14ac:dyDescent="0.25">
      <c r="D136" s="55"/>
      <c r="E136" s="101" t="str">
        <f ca="1"/>
        <v>Deep litter</v>
      </c>
      <c r="F136" s="50">
        <f ca="1"/>
        <v>0.2</v>
      </c>
      <c r="G136" s="50">
        <f ca="1"/>
        <v>0.25</v>
      </c>
      <c r="H136" s="50">
        <f ca="1"/>
        <v>0.25</v>
      </c>
      <c r="I136" s="50">
        <f ca="1"/>
        <v>0.25</v>
      </c>
      <c r="J136" s="2"/>
    </row>
    <row r="137" spans="4:10" ht="20.100000000000001" customHeight="1" x14ac:dyDescent="0.25">
      <c r="D137" s="55"/>
      <c r="E137" s="101"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1"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1" t="str">
        <f ca="1"/>
        <v>Deep litter</v>
      </c>
      <c r="F139" s="50">
        <f ca="1"/>
        <v>0.2</v>
      </c>
      <c r="G139" s="50">
        <f ca="1"/>
        <v>0.25</v>
      </c>
      <c r="H139" s="50">
        <f ca="1"/>
        <v>0.25</v>
      </c>
      <c r="I139" s="50">
        <f ca="1"/>
        <v>0.25</v>
      </c>
      <c r="J139" s="2"/>
    </row>
    <row r="140" spans="4:10" ht="20.100000000000001" customHeight="1" x14ac:dyDescent="0.25">
      <c r="D140" s="55"/>
      <c r="E140" s="101"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1"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1" t="str">
        <f ca="1"/>
        <v>Digester / covered lagoons</v>
      </c>
      <c r="F142" s="50">
        <f ca="1"/>
        <v>0.2</v>
      </c>
      <c r="G142" s="50">
        <f ca="1"/>
        <v>0.25</v>
      </c>
      <c r="H142" s="50">
        <f ca="1"/>
        <v>0.25</v>
      </c>
      <c r="I142" s="50">
        <f ca="1"/>
        <v>0.25</v>
      </c>
      <c r="J142" s="2"/>
    </row>
    <row r="143" spans="4:10" ht="20.100000000000001" customHeight="1" x14ac:dyDescent="0.25">
      <c r="D143" s="55"/>
      <c r="E143" s="101"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1"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1" t="str">
        <f ca="1"/>
        <v>Digester / covered lagoons</v>
      </c>
      <c r="F145" s="50">
        <f ca="1"/>
        <v>0.2</v>
      </c>
      <c r="G145" s="50">
        <f ca="1"/>
        <v>0.25</v>
      </c>
      <c r="H145" s="50">
        <f ca="1"/>
        <v>0.25</v>
      </c>
      <c r="I145" s="50">
        <f ca="1"/>
        <v>0.25</v>
      </c>
      <c r="J145" s="2"/>
    </row>
    <row r="146" spans="4:16" ht="20.100000000000001" customHeight="1" x14ac:dyDescent="0.25">
      <c r="D146" s="55"/>
      <c r="E146" s="101" t="str">
        <f ca="1"/>
        <v>Deep litter</v>
      </c>
      <c r="F146" s="50">
        <f ca="1"/>
        <v>0.2</v>
      </c>
      <c r="G146" s="50">
        <f ca="1"/>
        <v>0.25</v>
      </c>
      <c r="H146" s="50">
        <f ca="1"/>
        <v>0.25</v>
      </c>
      <c r="I146" s="50">
        <f ca="1"/>
        <v>0.25</v>
      </c>
      <c r="J146" s="2"/>
    </row>
    <row r="147" spans="4:16" ht="20.100000000000001" customHeight="1" x14ac:dyDescent="0.25">
      <c r="D147" s="55" t="s">
        <v>343</v>
      </c>
      <c r="E147" s="101"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1" t="str">
        <f ca="1"/>
        <v>Digester / covered lagoons</v>
      </c>
      <c r="F148" s="50">
        <f ca="1"/>
        <v>0.2</v>
      </c>
      <c r="G148" s="50">
        <f ca="1"/>
        <v>0.2</v>
      </c>
      <c r="H148" s="50">
        <f ca="1"/>
        <v>0.2</v>
      </c>
      <c r="I148" s="50">
        <f ca="1"/>
        <v>0.2</v>
      </c>
      <c r="J148" s="2"/>
    </row>
    <row r="149" spans="4:16" ht="20.100000000000001" customHeight="1" x14ac:dyDescent="0.25">
      <c r="D149" s="55"/>
      <c r="E149" s="101" t="str">
        <f ca="1"/>
        <v>Deep litter</v>
      </c>
      <c r="F149" s="50">
        <f ca="1"/>
        <v>0.2</v>
      </c>
      <c r="G149" s="50">
        <f ca="1"/>
        <v>0.2</v>
      </c>
      <c r="H149" s="50">
        <f ca="1"/>
        <v>0.2</v>
      </c>
      <c r="I149" s="50">
        <f ca="1"/>
        <v>0.2</v>
      </c>
      <c r="J149" s="2"/>
    </row>
    <row r="150" spans="4:16" ht="20.100000000000001" customHeight="1" x14ac:dyDescent="0.25">
      <c r="D150" s="55"/>
      <c r="E150" s="101" t="str">
        <f ca="1"/>
        <v>Pit storage</v>
      </c>
      <c r="F150" s="50">
        <f ca="1"/>
        <v>0.1</v>
      </c>
      <c r="G150" s="50">
        <f ca="1"/>
        <v>0.1</v>
      </c>
      <c r="H150" s="50">
        <f ca="1"/>
        <v>0.1</v>
      </c>
      <c r="I150" s="50">
        <f ca="1"/>
        <v>0.1</v>
      </c>
      <c r="J150" s="2"/>
      <c r="N150" s="20" t="s">
        <v>353</v>
      </c>
      <c r="O150" s="20"/>
      <c r="P150" s="20"/>
    </row>
    <row r="151" spans="4:16" ht="20.100000000000001" customHeight="1" x14ac:dyDescent="0.25"/>
    <row r="152" spans="4:16" ht="20.100000000000001" customHeight="1" x14ac:dyDescent="0.25">
      <c r="D152" s="113" t="s">
        <v>115</v>
      </c>
      <c r="N152" s="113" t="s">
        <v>115</v>
      </c>
    </row>
    <row r="153" spans="4:16" ht="20.100000000000001" customHeight="1" x14ac:dyDescent="0.25">
      <c r="D153" s="114" t="s">
        <v>184</v>
      </c>
      <c r="N153" s="114" t="s">
        <v>352</v>
      </c>
    </row>
    <row r="154" spans="4:16" ht="20.100000000000001" customHeight="1" x14ac:dyDescent="0.25">
      <c r="D154" s="49" t="s">
        <v>64</v>
      </c>
      <c r="E154" s="49" t="s">
        <v>91</v>
      </c>
      <c r="N154" s="49" t="s">
        <v>64</v>
      </c>
      <c r="O154" s="49" t="s">
        <v>91</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343</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343</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3" t="s">
        <v>185</v>
      </c>
      <c r="N162" s="113" t="s">
        <v>204</v>
      </c>
    </row>
    <row r="163" spans="4:20" ht="20.100000000000001" customHeight="1" x14ac:dyDescent="0.25">
      <c r="D163" s="114" t="s">
        <v>186</v>
      </c>
      <c r="N163" s="114" t="s">
        <v>205</v>
      </c>
    </row>
    <row r="164" spans="4:20" ht="20.100000000000001" customHeight="1" x14ac:dyDescent="0.25">
      <c r="D164" s="49" t="s">
        <v>155</v>
      </c>
      <c r="E164" s="49" t="s">
        <v>163</v>
      </c>
      <c r="F164" s="49" t="s">
        <v>134</v>
      </c>
      <c r="G164" s="49" t="s">
        <v>135</v>
      </c>
      <c r="H164" s="49" t="s">
        <v>136</v>
      </c>
      <c r="I164" s="49" t="s">
        <v>192</v>
      </c>
      <c r="N164" s="49" t="s">
        <v>155</v>
      </c>
      <c r="O164" s="49" t="s">
        <v>163</v>
      </c>
      <c r="P164" s="49" t="s">
        <v>134</v>
      </c>
      <c r="Q164" s="49" t="s">
        <v>135</v>
      </c>
      <c r="R164" s="49" t="s">
        <v>136</v>
      </c>
      <c r="S164" s="49" t="s">
        <v>192</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343</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343</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37"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2" t="str" cm="1">
        <f t="array" ref="D197:E201">Common_InputFunctions.Utility_DisplayArguments_1_2(MMS_Swine_Methane_Equations.VEERG_4_5_1_1__3_Stage1MethaneProduction_Arguments())</f>
        <v>VSj</v>
      </c>
      <c r="E197" s="134" t="str">
        <v>volatile solid production from swine in each class</v>
      </c>
      <c r="F197" s="133"/>
      <c r="G197" s="132" t="str" cm="1">
        <f t="array" ref="G197:H201">Common_InputFunctions.Utility_DisplayArguments_3_4(MMS_Swine_Methane_Equations.VEERG_4_5_1_1__3_Stage1MethaneProduction_Arguments())</f>
        <v>kg/head/day</v>
      </c>
      <c r="H197" s="128" t="str">
        <v>Input</v>
      </c>
      <c r="I197" s="131" t="str" cm="1">
        <f t="array" aca="1" ref="I197" ca="1">HYPERLINK(Common_InputFunctions.Utility_SourceHyperlink($D$85), $D$85)</f>
        <v>M1_Table_VS_j</v>
      </c>
      <c r="J197" s="131"/>
    </row>
    <row r="198" spans="4:19" ht="20.100000000000001" customHeight="1" x14ac:dyDescent="0.25">
      <c r="D198" s="132" t="str">
        <v>FVSjmT1</v>
      </c>
      <c r="E198" s="134" t="str">
        <v>fraction of volatile solids in each primary system</v>
      </c>
      <c r="F198" s="133"/>
      <c r="G198" s="132" t="str">
        <v>fraction</v>
      </c>
      <c r="H198" s="127" t="str">
        <v>Calculated from 4.5.1.1 (4)(5)</v>
      </c>
      <c r="I198" s="131" t="str" cm="1">
        <f t="array" aca="1" ref="I198" ca="1">HYPERLINK(Common_InputFunctions.Utility_SourceHyperlink($D$34), $D$34)</f>
        <v>M1_Table_FVS_j_m_T-1</v>
      </c>
      <c r="J198" s="131" t="str" cm="1">
        <f t="array" aca="1" ref="J198" ca="1">HYPERLINK(Common_InputFunctions.Utility_SourceHyperlink($D$65), $D$65)</f>
        <v>M1_Table_FVS_j_m-4_T-1</v>
      </c>
    </row>
    <row r="199" spans="4:19" ht="20.100000000000001" customHeight="1" x14ac:dyDescent="0.25">
      <c r="D199" s="132" t="str">
        <v>MCFim</v>
      </c>
      <c r="E199" s="134" t="str">
        <v>methane conversion factor for temperate zone and system</v>
      </c>
      <c r="F199" s="133"/>
      <c r="G199" s="132" t="str">
        <v>fraction</v>
      </c>
      <c r="H199" s="127" t="str">
        <v>Constant</v>
      </c>
      <c r="I199" s="131" t="str" cm="1">
        <f t="array" aca="1" ref="I199" ca="1">HYPERLINK(Common_InputFunctions.Utility_SourceHyperlink($D$152), $D$152)</f>
        <v>M1_Table_MCF_i_m</v>
      </c>
      <c r="J199" s="131"/>
    </row>
    <row r="200" spans="4:19" ht="20.100000000000001" customHeight="1" x14ac:dyDescent="0.25">
      <c r="D200" s="132" t="str">
        <v>BO</v>
      </c>
      <c r="E200" s="134" t="str">
        <v>emissions potential</v>
      </c>
      <c r="F200" s="133"/>
      <c r="G200" s="132" t="str">
        <v>m3 CH4/kg VS</v>
      </c>
      <c r="H200" s="127" t="str">
        <v>Constant</v>
      </c>
      <c r="I200" s="132">
        <f>SourceData_Swine_MethaneVolatileSolidsEmissionsPotential_Data</f>
        <v>0.19</v>
      </c>
      <c r="J200" s="57"/>
    </row>
    <row r="201" spans="4:19" ht="20.100000000000001" customHeight="1" x14ac:dyDescent="0.25">
      <c r="D201" s="132" t="str">
        <v>rho</v>
      </c>
      <c r="E201" s="134" t="str">
        <v>density of methane</v>
      </c>
      <c r="F201" s="133"/>
      <c r="G201" s="132" t="str">
        <v>kg/m3</v>
      </c>
      <c r="H201" s="127" t="str">
        <v>Constant</v>
      </c>
      <c r="I201" s="132">
        <f>Common_SourceData_DensityOfMethane_Data</f>
        <v>0.6784</v>
      </c>
      <c r="J201" s="57"/>
    </row>
    <row r="202" spans="4:19" ht="20.100000000000001" customHeight="1" x14ac:dyDescent="0.25"/>
    <row r="203" spans="4:19" ht="20.100000000000001" customHeight="1" x14ac:dyDescent="0.25">
      <c r="D203" s="113" t="s">
        <v>208</v>
      </c>
      <c r="N203" s="113" t="s">
        <v>206</v>
      </c>
    </row>
    <row r="204" spans="4:19" ht="20.100000000000001" customHeight="1" x14ac:dyDescent="0.25">
      <c r="D204" s="114" t="s">
        <v>209</v>
      </c>
      <c r="N204" s="114" t="s">
        <v>207</v>
      </c>
    </row>
    <row r="205" spans="4:19" ht="20.100000000000001" customHeight="1" x14ac:dyDescent="0.25">
      <c r="D205" s="49" t="s">
        <v>155</v>
      </c>
      <c r="E205" s="49" t="s">
        <v>134</v>
      </c>
      <c r="F205" s="49" t="s">
        <v>135</v>
      </c>
      <c r="G205" s="49" t="s">
        <v>136</v>
      </c>
      <c r="H205" s="49" t="s">
        <v>192</v>
      </c>
      <c r="N205" s="49" t="s">
        <v>155</v>
      </c>
      <c r="O205" s="49" t="s">
        <v>134</v>
      </c>
      <c r="P205" s="49" t="s">
        <v>135</v>
      </c>
      <c r="Q205" s="49" t="s">
        <v>136</v>
      </c>
      <c r="R205" s="49" t="s">
        <v>192</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343</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343</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37"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3"/>
      <c r="G224" s="55" t="str" cm="1">
        <f t="array" ref="G224:H224">_xlfn.CHOOSECOLS(MMS_Swine_Methane_Equations.VEERG_4_5_1_1__2_MethaneProductionPerClass_Arguments(), 3,4)</f>
        <v>kg CH4/head/day</v>
      </c>
      <c r="H224" s="127" t="str">
        <v>Calculated from 4.5.1.1 (3) and (6)</v>
      </c>
      <c r="I224" s="131" t="str" cm="1">
        <f t="array" aca="1" ref="I224" ca="1">HYPERLINK(Common_InputFunctions.Utility_SourceHyperlink(D203), D203)</f>
        <v>M1_Table_M_i_j_m_T-1</v>
      </c>
      <c r="J224" s="131" t="str" cm="1">
        <f t="array" aca="1" ref="J224" ca="1">HYPERLINK(Common_InputFunctions.Utility_SourceHyperlink(D162), D162)</f>
        <v>M1_Table_M_i_j_m_T-2</v>
      </c>
    </row>
    <row r="225" spans="1:21" ht="20.100000000000001" customHeight="1" x14ac:dyDescent="0.25"/>
    <row r="226" spans="1:21" ht="20.100000000000001" customHeight="1" x14ac:dyDescent="0.25">
      <c r="D226" s="113" t="s">
        <v>210</v>
      </c>
      <c r="N226" s="113" t="s">
        <v>212</v>
      </c>
    </row>
    <row r="227" spans="1:21" ht="20.100000000000001" customHeight="1" x14ac:dyDescent="0.25">
      <c r="D227" s="114" t="s">
        <v>211</v>
      </c>
      <c r="N227" s="114" t="s">
        <v>213</v>
      </c>
    </row>
    <row r="228" spans="1:21" ht="20.100000000000001" customHeight="1" x14ac:dyDescent="0.25">
      <c r="D228" s="49" t="s">
        <v>134</v>
      </c>
      <c r="E228" s="49" t="s">
        <v>135</v>
      </c>
      <c r="F228" s="49" t="s">
        <v>136</v>
      </c>
      <c r="G228" s="49" t="s">
        <v>192</v>
      </c>
      <c r="N228" s="49" t="s">
        <v>134</v>
      </c>
      <c r="O228" s="49" t="s">
        <v>135</v>
      </c>
      <c r="P228" s="49" t="s">
        <v>136</v>
      </c>
      <c r="Q228" s="49" t="s">
        <v>192</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37"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28" t="str">
        <v>Input</v>
      </c>
      <c r="I242" s="131"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27" t="str">
        <v>Calculated from 4.5.1.1 (2)</v>
      </c>
      <c r="I243" s="131"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28" t="str">
        <v>Input</v>
      </c>
      <c r="I244" s="131" t="str" cm="1">
        <f t="array" aca="1" ref="I244" ca="1">HYPERLINK(Common_InputFunctions.Utility_SourceHyperlink(D226), D226)</f>
        <v>M1_Table_M_m_j</v>
      </c>
    </row>
    <row r="245" spans="4:14" ht="20.100000000000001" customHeight="1" x14ac:dyDescent="0.25"/>
    <row r="246" spans="4:14" ht="20.100000000000001" customHeight="1" x14ac:dyDescent="0.25">
      <c r="D246" s="113" t="s">
        <v>165</v>
      </c>
    </row>
    <row r="247" spans="4:14" ht="20.100000000000001" customHeight="1" x14ac:dyDescent="0.25">
      <c r="D247" s="114" t="s">
        <v>166</v>
      </c>
    </row>
    <row r="248" spans="4:14" ht="20.100000000000001" customHeight="1" x14ac:dyDescent="0.25">
      <c r="D248" s="111" t="s">
        <v>134</v>
      </c>
      <c r="E248" s="111" t="s">
        <v>135</v>
      </c>
      <c r="F248" s="111" t="s">
        <v>136</v>
      </c>
      <c r="G248" s="111" t="s">
        <v>192</v>
      </c>
    </row>
    <row r="249" spans="4:14" ht="20.100000000000001" customHeight="1" x14ac:dyDescent="0.25">
      <c r="D249" s="50" cm="1">
        <f t="array" aca="1" ref="D249:G249" ca="1">OFFSET(X_Table_Swine_HerdMovement,1,1,1,4)</f>
        <v>365</v>
      </c>
      <c r="E249" s="115">
        <f ca="1"/>
        <v>365</v>
      </c>
      <c r="F249" s="115">
        <f ca="1"/>
        <v>365</v>
      </c>
      <c r="G249" s="115">
        <f ca="1"/>
        <v>365</v>
      </c>
      <c r="H249" s="2" t="str">
        <f>G242</f>
        <v>days</v>
      </c>
    </row>
    <row r="250" spans="4:14" ht="20.100000000000001" customHeight="1" x14ac:dyDescent="0.25"/>
    <row r="251" spans="4:14" ht="20.100000000000001" customHeight="1" x14ac:dyDescent="0.25">
      <c r="D251" s="113" t="s">
        <v>167</v>
      </c>
    </row>
    <row r="252" spans="4:14" ht="20.100000000000001" customHeight="1" x14ac:dyDescent="0.25">
      <c r="D252" s="114" t="s">
        <v>168</v>
      </c>
    </row>
    <row r="253" spans="4:14" ht="20.100000000000001" customHeight="1" x14ac:dyDescent="0.25">
      <c r="D253" s="111" t="s">
        <v>134</v>
      </c>
      <c r="E253" s="111" t="s">
        <v>135</v>
      </c>
      <c r="F253" s="111" t="s">
        <v>136</v>
      </c>
      <c r="G253" s="111" t="s">
        <v>192</v>
      </c>
    </row>
    <row r="254" spans="4:14" ht="20.100000000000001" customHeight="1" x14ac:dyDescent="0.25">
      <c r="D254" s="50" cm="1">
        <f t="array" aca="1" ref="D254:G254" ca="1">OFFSET(X_Table_Swine_HerdMovement,2,1,1,4)</f>
        <v>100</v>
      </c>
      <c r="E254" s="115">
        <f ca="1"/>
        <v>100</v>
      </c>
      <c r="F254" s="115">
        <f ca="1"/>
        <v>100</v>
      </c>
      <c r="G254" s="115">
        <f ca="1"/>
        <v>100</v>
      </c>
      <c r="H254" s="2" t="str">
        <f>G244</f>
        <v>head</v>
      </c>
    </row>
    <row r="255" spans="4:14" ht="20.100000000000001" customHeight="1" x14ac:dyDescent="0.25"/>
    <row r="256" spans="4:14" ht="20.100000000000001" customHeight="1" x14ac:dyDescent="0.25">
      <c r="D256" s="113" t="s">
        <v>116</v>
      </c>
      <c r="N256" s="113" t="s">
        <v>127</v>
      </c>
    </row>
    <row r="257" spans="1:18" ht="20.100000000000001" customHeight="1" x14ac:dyDescent="0.25">
      <c r="D257" s="114" t="s">
        <v>191</v>
      </c>
      <c r="N257" s="114" t="s">
        <v>214</v>
      </c>
    </row>
    <row r="258" spans="1:18" ht="20.100000000000001" customHeight="1" x14ac:dyDescent="0.25">
      <c r="D258" s="49" t="s">
        <v>134</v>
      </c>
      <c r="E258" s="49" t="s">
        <v>135</v>
      </c>
      <c r="F258" s="49" t="s">
        <v>136</v>
      </c>
      <c r="G258" s="49" t="s">
        <v>192</v>
      </c>
      <c r="N258" s="49" t="s">
        <v>134</v>
      </c>
      <c r="O258" s="49" t="s">
        <v>135</v>
      </c>
      <c r="P258" s="49" t="s">
        <v>136</v>
      </c>
      <c r="Q258" s="49" t="s">
        <v>192</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4" t="s">
        <v>169</v>
      </c>
      <c r="E261" s="95">
        <f ca="1">SUM(D259:G259)</f>
        <v>2.3840372404992007</v>
      </c>
      <c r="F261" s="96" t="str">
        <f>$E$240</f>
        <v>t CH4</v>
      </c>
      <c r="N261" s="94" t="s">
        <v>169</v>
      </c>
      <c r="O261" s="95">
        <f ca="1">SUM(N259:Q259)</f>
        <v>2.4087425821440007</v>
      </c>
      <c r="P261" s="96"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97"/>
      <c r="G263" s="50">
        <f ca="1">VEERG_4_5_1_1__1_TotalAnnualMethaneEmissions_Result_Method1</f>
        <v>2.3840372404992007</v>
      </c>
      <c r="N263" s="55" t="str" cm="1">
        <f t="array" ref="N263:O264">Common_Equations.Common_ConvertCH4ToCO2e_Arguments()</f>
        <v>ECH4</v>
      </c>
      <c r="O263" s="56" t="str">
        <v>Methane emissions (t CH4)</v>
      </c>
      <c r="P263" s="97"/>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97"/>
      <c r="G264" s="50">
        <f>Common_InputFunctions.Utility_LookupValueInTableNumber("CH4",Table_GWPData[Gas],Table_GWPData[CO2-e factor])</f>
        <v>28</v>
      </c>
      <c r="N264" s="55" t="str">
        <v>GWPCH4</v>
      </c>
      <c r="O264" s="56" t="str">
        <v>Global warming potential for methane (t CO2-e / t CH4)</v>
      </c>
      <c r="P264" s="97"/>
      <c r="Q264" s="50">
        <f>Common_InputFunctions.Utility_LookupValueInTableNumber("CH4",Table_GWPData[Gas],Table_GWPData[CO2-e factor])</f>
        <v>28</v>
      </c>
    </row>
    <row r="265" spans="1:18" ht="20.100000000000001" customHeight="1" x14ac:dyDescent="0.25"/>
    <row r="266" spans="1:18" ht="20.100000000000001" customHeight="1" x14ac:dyDescent="0.25">
      <c r="A266" s="137" t="str">
        <f>HYPERLINK("#A1", "▲ Back to top")</f>
        <v>▲ Back to top</v>
      </c>
      <c r="D266" s="43" t="s">
        <v>93</v>
      </c>
      <c r="E266" s="43" cm="1">
        <f t="array" aca="1" ref="E266" ca="1">Common_Equations.Common_ConvertCH4ToCO2e(G263,G264)</f>
        <v>66.753042733977622</v>
      </c>
      <c r="F266" s="98" t="str" cm="1">
        <f t="array" ref="F266">Common_Equations.Common_ConvertN2OToCO2e_Unit()</f>
        <v>t CO2e</v>
      </c>
      <c r="N266" s="43" t="s">
        <v>93</v>
      </c>
      <c r="O266" s="43" cm="1">
        <f t="array" aca="1" ref="O266" ca="1">Common_Equations.Common_ConvertCH4ToCO2e(Q263,Q264)</f>
        <v>67.44479230003202</v>
      </c>
      <c r="P266" s="98"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304"/>
  <sheetViews>
    <sheetView showGridLines="0" topLeftCell="A187" zoomScaleNormal="100" workbookViewId="0">
      <selection activeCell="D24" sqref="D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215</v>
      </c>
      <c r="L1"/>
    </row>
    <row r="2" spans="1:21" s="9" customFormat="1" ht="20.100000000000001" customHeight="1" x14ac:dyDescent="0.25">
      <c r="A2"/>
      <c r="L2"/>
    </row>
    <row r="3" spans="1:21" ht="20.100000000000001" customHeight="1" x14ac:dyDescent="0.25">
      <c r="A3" s="17" t="str">
        <f>HYPERLINK("#'Home'!A1", "Home")</f>
        <v>Home</v>
      </c>
      <c r="C3" s="4"/>
      <c r="D3" s="4" t="s">
        <v>94</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2" t="str" cm="1">
        <f t="array" ref="D13:E15">Common_InputFunctions.Utility_DisplayArguments_1_2(MMS_Swine_N2ODirect_Equations.VEERG_4_5_1_3__5_AnnualNitrogenExcretion_Arguments())</f>
        <v>N_j</v>
      </c>
      <c r="E13" s="134" t="str">
        <v>number of swine in each group</v>
      </c>
      <c r="F13" s="133"/>
      <c r="G13" s="132" t="str" cm="1">
        <f t="array" ref="G13:H15">Common_InputFunctions.Utility_DisplayArguments_3_4(MMS_Swine_N2ODirect_Equations.VEERG_4_5_1_3__5_AnnualNitrogenExcretion_Arguments())</f>
        <v>head</v>
      </c>
      <c r="H13" s="128" t="str">
        <v>Input</v>
      </c>
      <c r="I13" s="131" t="str" cm="1">
        <f t="array" aca="1" ref="I13" ca="1">HYPERLINK(Common_InputFunctions.Utility_SourceHyperlink(D17), D17)</f>
        <v>Table_N_j</v>
      </c>
    </row>
    <row r="14" spans="1:21" ht="20.100000000000001" customHeight="1" x14ac:dyDescent="0.25">
      <c r="A14" s="17" t="str">
        <f>HYPERLINK("#'4.5.1.1-2 Methane'!A1", "4.5.1.1-2 Methane")</f>
        <v>4.5.1.1-2 Methane</v>
      </c>
      <c r="D14" s="132" t="str">
        <v>NW_j</v>
      </c>
      <c r="E14" s="132" t="str">
        <v>nitrogen produced in swine manure and waste feed in each class</v>
      </c>
      <c r="F14" s="132"/>
      <c r="G14" s="132" t="str">
        <v>kg N/head/day</v>
      </c>
      <c r="H14" s="128" t="str">
        <v>Input</v>
      </c>
      <c r="I14" s="131" t="str" cm="1">
        <f t="array" aca="1" ref="I14" ca="1">HYPERLINK(Common_InputFunctions.Utility_SourceHyperlink(D22), D22)</f>
        <v>M1_Table_NW_j</v>
      </c>
    </row>
    <row r="15" spans="1:21" ht="20.100000000000001" customHeight="1" x14ac:dyDescent="0.25">
      <c r="A15" s="143" t="str">
        <f>HYPERLINK("#'4.5.1.3-4 Direct N2O'!A1", "4.5.1.3-4 Direct N2O")</f>
        <v>4.5.1.3-4 Direct N2O</v>
      </c>
      <c r="D15" s="132" t="str">
        <v>D_j</v>
      </c>
      <c r="E15" s="134" t="str">
        <v>duration of stay of swine group</v>
      </c>
      <c r="F15" s="133"/>
      <c r="G15" s="132" t="str">
        <v>days</v>
      </c>
      <c r="H15" s="128" t="str">
        <v>Input</v>
      </c>
      <c r="I15" s="131"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3" t="s">
        <v>167</v>
      </c>
    </row>
    <row r="18" spans="1:18" ht="20.100000000000001" customHeight="1" x14ac:dyDescent="0.25">
      <c r="A18" s="17" t="str">
        <f>HYPERLINK("#'4.5.1.9 Manure applied to soils'!A1", "4.5.1.9 Manure applied to soils")</f>
        <v>4.5.1.9 Manure applied to soils</v>
      </c>
      <c r="D18" s="114" t="s">
        <v>168</v>
      </c>
    </row>
    <row r="19" spans="1:18" ht="20.100000000000001" customHeight="1" x14ac:dyDescent="0.25">
      <c r="D19" s="111" t="s">
        <v>134</v>
      </c>
      <c r="E19" s="111" t="s">
        <v>135</v>
      </c>
      <c r="F19" s="111" t="s">
        <v>136</v>
      </c>
      <c r="G19" s="111" t="s">
        <v>192</v>
      </c>
    </row>
    <row r="20" spans="1:18" ht="20.100000000000001" customHeight="1" x14ac:dyDescent="0.25">
      <c r="D20" s="50" cm="1">
        <f t="array" aca="1" ref="D20:G20" ca="1">OFFSET(X_Table_Swine_HerdMovement,2,1,1,4)</f>
        <v>100</v>
      </c>
      <c r="E20" s="115">
        <f ca="1"/>
        <v>100</v>
      </c>
      <c r="F20" s="115">
        <f ca="1"/>
        <v>100</v>
      </c>
      <c r="G20" s="115">
        <f ca="1"/>
        <v>100</v>
      </c>
      <c r="H20" s="2" t="str">
        <f>G13</f>
        <v>head</v>
      </c>
    </row>
    <row r="21" spans="1:18" ht="20.100000000000001" customHeight="1" x14ac:dyDescent="0.25">
      <c r="A21" s="141" t="s">
        <v>1</v>
      </c>
    </row>
    <row r="22" spans="1:18" ht="20.100000000000001" customHeight="1" x14ac:dyDescent="0.25">
      <c r="A22" s="17" t="str">
        <f>HYPERLINK("#'Constants - Swine'!A1", "Constants - Swine")</f>
        <v>Constants - Swine</v>
      </c>
      <c r="D22" s="113" t="s">
        <v>222</v>
      </c>
      <c r="N22" s="113" t="s">
        <v>283</v>
      </c>
    </row>
    <row r="23" spans="1:18" ht="20.100000000000001" customHeight="1" x14ac:dyDescent="0.25">
      <c r="A23" s="17" t="str">
        <f>HYPERLINK("#'Constants - Common'!A1", "Constants - Common")</f>
        <v>Constants - Common</v>
      </c>
      <c r="D23" s="114" t="s">
        <v>282</v>
      </c>
      <c r="N23" s="114" t="s">
        <v>284</v>
      </c>
    </row>
    <row r="24" spans="1:18" ht="20.100000000000001" customHeight="1" x14ac:dyDescent="0.25">
      <c r="A24" s="17" t="str">
        <f>HYPERLINK("#'Constants - Common livestock'!A1", "Constants - Common livestock")</f>
        <v>Constants - Common livestock</v>
      </c>
      <c r="D24" s="111" t="s">
        <v>134</v>
      </c>
      <c r="E24" s="111" t="s">
        <v>135</v>
      </c>
      <c r="F24" s="111" t="s">
        <v>136</v>
      </c>
      <c r="G24" s="111" t="s">
        <v>192</v>
      </c>
      <c r="N24" s="111" t="s">
        <v>134</v>
      </c>
      <c r="O24" s="111" t="s">
        <v>135</v>
      </c>
      <c r="P24" s="111" t="s">
        <v>136</v>
      </c>
      <c r="Q24" s="111" t="s">
        <v>192</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3" t="s">
        <v>165</v>
      </c>
    </row>
    <row r="28" spans="1:18" ht="20.100000000000001" customHeight="1" x14ac:dyDescent="0.25">
      <c r="D28" s="114" t="s">
        <v>223</v>
      </c>
    </row>
    <row r="29" spans="1:18" ht="20.100000000000001" customHeight="1" x14ac:dyDescent="0.25">
      <c r="D29" s="111" t="s">
        <v>134</v>
      </c>
      <c r="E29" s="111" t="s">
        <v>135</v>
      </c>
      <c r="F29" s="111" t="s">
        <v>136</v>
      </c>
      <c r="G29" s="111" t="s">
        <v>192</v>
      </c>
    </row>
    <row r="30" spans="1:18" ht="20.100000000000001" customHeight="1" x14ac:dyDescent="0.25">
      <c r="D30" s="50" cm="1">
        <f t="array" aca="1" ref="D30:G30" ca="1">OFFSET(X_Table_Swine_HerdMovement,1,1,1,4)</f>
        <v>365</v>
      </c>
      <c r="E30" s="115">
        <f ca="1"/>
        <v>365</v>
      </c>
      <c r="F30" s="115">
        <f ca="1"/>
        <v>365</v>
      </c>
      <c r="G30" s="115">
        <f ca="1"/>
        <v>365</v>
      </c>
      <c r="H30" s="2" t="str">
        <f>G15</f>
        <v>days</v>
      </c>
    </row>
    <row r="31" spans="1:18" ht="20.100000000000001" customHeight="1" x14ac:dyDescent="0.25"/>
    <row r="32" spans="1:18" ht="20.100000000000001" customHeight="1" x14ac:dyDescent="0.25">
      <c r="D32" s="113" t="s">
        <v>285</v>
      </c>
      <c r="N32" s="113" t="s">
        <v>287</v>
      </c>
    </row>
    <row r="33" spans="3:18" ht="20.100000000000001" customHeight="1" x14ac:dyDescent="0.25">
      <c r="D33" s="114" t="s">
        <v>286</v>
      </c>
      <c r="N33" s="114" t="s">
        <v>288</v>
      </c>
    </row>
    <row r="34" spans="3:18" ht="20.100000000000001" customHeight="1" x14ac:dyDescent="0.25">
      <c r="D34" s="49" t="s">
        <v>134</v>
      </c>
      <c r="E34" s="49" t="s">
        <v>135</v>
      </c>
      <c r="F34" s="49" t="s">
        <v>136</v>
      </c>
      <c r="G34" s="49" t="s">
        <v>192</v>
      </c>
      <c r="N34" s="49" t="s">
        <v>134</v>
      </c>
      <c r="O34" s="49" t="s">
        <v>135</v>
      </c>
      <c r="P34" s="49" t="s">
        <v>136</v>
      </c>
      <c r="Q34" s="49" t="s">
        <v>192</v>
      </c>
    </row>
    <row r="35" spans="3:18" ht="20.100000000000001" customHeight="1" x14ac:dyDescent="0.25">
      <c r="D35" s="115" cm="1">
        <f t="array" aca="1" ref="D35" ca="1">MMS_Swine_N2ODirect_Equations.VEERG_4_5_1_3__5_AnnualNitrogenExcretion(D20,D25,D30)</f>
        <v>1678.9999999999998</v>
      </c>
      <c r="E35" s="115" cm="1">
        <f t="array" aca="1" ref="E35" ca="1">MMS_Swine_N2ODirect_Equations.VEERG_4_5_1_3__5_AnnualNitrogenExcretion(E20,E25,E30)</f>
        <v>1788.5000000000002</v>
      </c>
      <c r="F35" s="115" cm="1">
        <f t="array" aca="1" ref="F35" ca="1">MMS_Swine_N2ODirect_Equations.VEERG_4_5_1_3__5_AnnualNitrogenExcretion(F20,F25,F30)</f>
        <v>1678.9999999999998</v>
      </c>
      <c r="G35" s="115" cm="1">
        <f t="array" aca="1" ref="G35" ca="1">MMS_Swine_N2ODirect_Equations.VEERG_4_5_1_3__5_AnnualNitrogenExcretion(G20,G25,G30)</f>
        <v>1138.8</v>
      </c>
      <c r="H35" s="2" t="str">
        <f>$E$11</f>
        <v>kg N</v>
      </c>
      <c r="N35" s="115" cm="1">
        <f t="array" aca="1" ref="N35" ca="1">MMS_Swine_N2ODirect_Equations.VEERG_4_5_1_3__5_AnnualNitrogenExcretion(D20,N25,D30)</f>
        <v>1678.9999999999998</v>
      </c>
      <c r="O35" s="115" cm="1">
        <f t="array" aca="1" ref="O35" ca="1">MMS_Swine_N2ODirect_Equations.VEERG_4_5_1_3__5_AnnualNitrogenExcretion(E20,O25,E30)</f>
        <v>1788.5000000000002</v>
      </c>
      <c r="P35" s="115" cm="1">
        <f t="array" aca="1" ref="P35" ca="1">MMS_Swine_N2ODirect_Equations.VEERG_4_5_1_3__5_AnnualNitrogenExcretion(F20,P25,F30)</f>
        <v>1678.9999999999998</v>
      </c>
      <c r="Q35" s="115"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2" t="str" cm="1">
        <f t="array" ref="G47:H48">Common_InputFunctions.Utility_DisplayArguments_3_4(MMS_Swine_N2ODirect_Equations.VEERG_4_5_1_3__3_FractionOfNitrogenInPrimaryMMS_Arguments())</f>
        <v>fraction</v>
      </c>
      <c r="H47" s="128" t="str">
        <v>Input</v>
      </c>
      <c r="I47" s="131"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2" t="str">
        <v>fraction</v>
      </c>
      <c r="H48" s="128" t="str">
        <v>Input</v>
      </c>
      <c r="I48" s="131" t="str" cm="1">
        <f t="array" aca="1" ref="I48" ca="1">HYPERLINK(Common_InputFunctions.Utility_SourceHyperlink(D59), D59)</f>
        <v>M1_Table_SN_m-1-7-9</v>
      </c>
    </row>
    <row r="49" spans="4:19" ht="20.100000000000001" customHeight="1" x14ac:dyDescent="0.25"/>
    <row r="50" spans="4:19" ht="20.100000000000001" customHeight="1" x14ac:dyDescent="0.25">
      <c r="D50" s="113" t="s">
        <v>153</v>
      </c>
    </row>
    <row r="51" spans="4:19" ht="20.100000000000001" customHeight="1" x14ac:dyDescent="0.25">
      <c r="D51" s="114" t="s">
        <v>224</v>
      </c>
    </row>
    <row r="52" spans="4:19" ht="20.100000000000001" customHeight="1" x14ac:dyDescent="0.25">
      <c r="D52" s="111" t="s">
        <v>155</v>
      </c>
      <c r="E52" s="111" t="s">
        <v>134</v>
      </c>
      <c r="F52" s="111" t="s">
        <v>135</v>
      </c>
      <c r="G52" s="111" t="s">
        <v>136</v>
      </c>
      <c r="H52" s="111" t="s">
        <v>192</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3" t="s">
        <v>225</v>
      </c>
      <c r="N59" s="113" t="s">
        <v>252</v>
      </c>
    </row>
    <row r="60" spans="4:19" ht="20.100000000000001" customHeight="1" x14ac:dyDescent="0.25">
      <c r="D60" s="114" t="s">
        <v>226</v>
      </c>
      <c r="N60" s="114" t="s">
        <v>253</v>
      </c>
    </row>
    <row r="61" spans="4:19" ht="20.100000000000001" customHeight="1" x14ac:dyDescent="0.25">
      <c r="D61" s="111" t="s">
        <v>155</v>
      </c>
      <c r="E61" s="111" t="s">
        <v>134</v>
      </c>
      <c r="F61" s="111" t="s">
        <v>135</v>
      </c>
      <c r="G61" s="111" t="s">
        <v>136</v>
      </c>
      <c r="H61" s="111" t="s">
        <v>192</v>
      </c>
      <c r="N61" s="111" t="s">
        <v>155</v>
      </c>
      <c r="O61" s="111" t="s">
        <v>134</v>
      </c>
      <c r="P61" s="111" t="s">
        <v>135</v>
      </c>
      <c r="Q61" s="111" t="s">
        <v>136</v>
      </c>
      <c r="R61" s="111" t="s">
        <v>192</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3" t="s">
        <v>227</v>
      </c>
      <c r="N68" s="113" t="s">
        <v>258</v>
      </c>
    </row>
    <row r="69" spans="3:21" ht="20.100000000000001" customHeight="1" x14ac:dyDescent="0.25">
      <c r="D69" s="114" t="s">
        <v>232</v>
      </c>
      <c r="N69" s="114" t="s">
        <v>259</v>
      </c>
    </row>
    <row r="70" spans="3:21" ht="20.100000000000001" customHeight="1" x14ac:dyDescent="0.25">
      <c r="D70" s="49" t="s">
        <v>155</v>
      </c>
      <c r="E70" s="49" t="s">
        <v>134</v>
      </c>
      <c r="F70" s="49" t="s">
        <v>135</v>
      </c>
      <c r="G70" s="49" t="s">
        <v>136</v>
      </c>
      <c r="H70" s="49" t="s">
        <v>192</v>
      </c>
      <c r="N70" s="49" t="s">
        <v>155</v>
      </c>
      <c r="O70" s="49" t="s">
        <v>134</v>
      </c>
      <c r="P70" s="49" t="s">
        <v>135</v>
      </c>
      <c r="Q70" s="49" t="s">
        <v>136</v>
      </c>
      <c r="R70" s="49" t="s">
        <v>192</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2" t="str" cm="1">
        <f t="array" ref="D88:E90">Common_InputFunctions.Utility_DisplayArguments_1_2(MMS_Swine_N2ODirect_Equations.VEERG_4_5_1_3__4_FractionOfNitrogenInSolidStorage_Arguments())</f>
        <v>MMS_jm4T1</v>
      </c>
      <c r="E88" s="132" t="str">
        <v>fraction of manure in solid storage MMS</v>
      </c>
      <c r="F88" s="132"/>
      <c r="G88" s="132" t="str" cm="1">
        <f t="array" ref="G88:H90">Common_InputFunctions.Utility_DisplayArguments_3_4(MMS_Swine_N2ODirect_Equations.VEERG_4_5_1_3__4_FractionOfNitrogenInSolidStorage_Arguments())</f>
        <v>fraction</v>
      </c>
      <c r="H88" s="128" t="str">
        <v>Input</v>
      </c>
      <c r="I88" s="131" t="str" cm="1">
        <f t="array" aca="1" ref="I88" ca="1">HYPERLINK(Common_InputFunctions.Utility_SourceHyperlink($D$92), $D$92)</f>
        <v>Table_MMS_j_m-4_T-1</v>
      </c>
    </row>
    <row r="89" spans="4:9" ht="20.100000000000001" customHeight="1" x14ac:dyDescent="0.25">
      <c r="D89" s="132" t="str">
        <v>MMS_jm179T1</v>
      </c>
      <c r="E89" s="132" t="str">
        <v>fraction of manure in primary liquid systems (m=1,7,9)</v>
      </c>
      <c r="F89" s="132"/>
      <c r="G89" s="132" t="str">
        <v>fraction</v>
      </c>
      <c r="H89" s="128" t="str">
        <v>Input</v>
      </c>
      <c r="I89" s="131" t="str" cm="1">
        <f t="array" aca="1" ref="I89" ca="1">HYPERLINK(Common_InputFunctions.Utility_SourceHyperlink($D$50), $D$50)</f>
        <v>Table_MMS_j_m-1-7-9-8_T-1</v>
      </c>
    </row>
    <row r="90" spans="4:9" ht="20.100000000000001" customHeight="1" x14ac:dyDescent="0.25">
      <c r="D90" s="132" t="str">
        <v>SN_m</v>
      </c>
      <c r="E90" s="132" t="str">
        <v>fraction of nitrogen separated to solid storage for each MMS</v>
      </c>
      <c r="F90" s="132"/>
      <c r="G90" s="132" t="str">
        <v>fraction</v>
      </c>
      <c r="H90" s="128" t="str">
        <v>Input</v>
      </c>
      <c r="I90" s="131" t="str" cm="1">
        <f t="array" aca="1" ref="I90" ca="1">HYPERLINK(Common_InputFunctions.Utility_SourceHyperlink($D$59), $D$59)</f>
        <v>M1_Table_SN_m-1-7-9</v>
      </c>
    </row>
    <row r="91" spans="4:9" ht="20.100000000000001" customHeight="1" x14ac:dyDescent="0.25"/>
    <row r="92" spans="4:9" ht="20.100000000000001" customHeight="1" x14ac:dyDescent="0.25">
      <c r="D92" s="113" t="s">
        <v>156</v>
      </c>
    </row>
    <row r="93" spans="4:9" ht="20.100000000000001" customHeight="1" x14ac:dyDescent="0.25">
      <c r="D93" s="114" t="s">
        <v>157</v>
      </c>
    </row>
    <row r="94" spans="4:9" ht="20.100000000000001" customHeight="1" x14ac:dyDescent="0.25">
      <c r="D94" s="111" t="s">
        <v>155</v>
      </c>
      <c r="E94" s="111" t="s">
        <v>134</v>
      </c>
      <c r="F94" s="111" t="s">
        <v>135</v>
      </c>
      <c r="G94" s="111" t="s">
        <v>136</v>
      </c>
      <c r="H94" s="111" t="s">
        <v>192</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114</v>
      </c>
    </row>
    <row r="96" spans="4:9" ht="20.100000000000001" customHeight="1" x14ac:dyDescent="0.25"/>
    <row r="97" spans="3:21" ht="20.100000000000001" customHeight="1" x14ac:dyDescent="0.25">
      <c r="D97" s="113" t="s">
        <v>182</v>
      </c>
      <c r="N97" s="113" t="s">
        <v>196</v>
      </c>
    </row>
    <row r="98" spans="3:21" ht="20.100000000000001" customHeight="1" x14ac:dyDescent="0.25">
      <c r="D98" s="114" t="s">
        <v>183</v>
      </c>
      <c r="N98" s="114" t="s">
        <v>197</v>
      </c>
    </row>
    <row r="99" spans="3:21" ht="20.100000000000001" customHeight="1" x14ac:dyDescent="0.25">
      <c r="D99" s="49" t="s">
        <v>155</v>
      </c>
      <c r="E99" s="49" t="s">
        <v>134</v>
      </c>
      <c r="F99" s="49" t="s">
        <v>135</v>
      </c>
      <c r="G99" s="49" t="s">
        <v>136</v>
      </c>
      <c r="H99" s="49" t="s">
        <v>192</v>
      </c>
      <c r="N99" s="49" t="s">
        <v>155</v>
      </c>
      <c r="O99" s="49" t="s">
        <v>134</v>
      </c>
      <c r="P99" s="49" t="s">
        <v>135</v>
      </c>
      <c r="Q99" s="49" t="s">
        <v>136</v>
      </c>
      <c r="R99" s="49" t="s">
        <v>192</v>
      </c>
    </row>
    <row r="100" spans="3:21" ht="20.100000000000001" customHeight="1" x14ac:dyDescent="0.25">
      <c r="D100" s="55" t="s">
        <v>343</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343</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2" t="str" cm="1">
        <f t="array" ref="G112:H113">Common_InputFunctions.Utility_DisplayArguments_3_4(MMS_Swine_N2ODirect_Equations.VEERG_4_5_1_3__2_Stage1NitrogenInMMS_Arguments())</f>
        <v>kg N</v>
      </c>
      <c r="H112" s="127" t="str">
        <v>Calculated from 4.5.1.3 (5)</v>
      </c>
      <c r="I112" s="131" t="str" cm="1">
        <f t="array" aca="1" ref="I112" ca="1">HYPERLINK(Common_InputFunctions.Utility_SourceHyperlink(D32), D32)</f>
        <v>M1_Table_AE_j</v>
      </c>
      <c r="J112" s="131"/>
    </row>
    <row r="113" spans="3:21" ht="20.100000000000001" customHeight="1" x14ac:dyDescent="0.25">
      <c r="D113" s="55" t="str">
        <v>FN_jmT1</v>
      </c>
      <c r="E113" s="56" t="str">
        <v>fraction of nitrogen in each primary MMS system</v>
      </c>
      <c r="F113" s="57"/>
      <c r="G113" s="132" t="str">
        <v>fraction</v>
      </c>
      <c r="H113" s="127" t="str">
        <v>Calculated from 4.5.1.3 (3)(4)</v>
      </c>
      <c r="I113" s="131" t="str" cm="1">
        <f t="array" aca="1" ref="I113" ca="1">HYPERLINK(Common_InputFunctions.Utility_SourceHyperlink(D68), D68)</f>
        <v>M1_Table_FN_j_m_T-1</v>
      </c>
      <c r="J113" s="131" t="str" cm="1">
        <f t="array" aca="1" ref="J113" ca="1">HYPERLINK(Common_InputFunctions.Utility_SourceHyperlink(D97), D97)</f>
        <v>M1_Table_FVS_j_m-4_T-1</v>
      </c>
    </row>
    <row r="114" spans="3:21" ht="20.100000000000001" customHeight="1" x14ac:dyDescent="0.25"/>
    <row r="115" spans="3:21" ht="20.100000000000001" customHeight="1" x14ac:dyDescent="0.25">
      <c r="D115" s="113" t="s">
        <v>233</v>
      </c>
      <c r="N115" s="113" t="s">
        <v>254</v>
      </c>
    </row>
    <row r="116" spans="3:21" ht="20.100000000000001" customHeight="1" x14ac:dyDescent="0.25">
      <c r="D116" s="114" t="s">
        <v>234</v>
      </c>
      <c r="N116" s="114" t="s">
        <v>255</v>
      </c>
    </row>
    <row r="117" spans="3:21" ht="20.100000000000001" customHeight="1" x14ac:dyDescent="0.25">
      <c r="D117" s="49" t="s">
        <v>155</v>
      </c>
      <c r="E117" s="49" t="s">
        <v>134</v>
      </c>
      <c r="F117" s="49" t="s">
        <v>135</v>
      </c>
      <c r="G117" s="49" t="s">
        <v>136</v>
      </c>
      <c r="H117" s="49" t="s">
        <v>192</v>
      </c>
      <c r="N117" s="49" t="s">
        <v>155</v>
      </c>
      <c r="O117" s="49" t="s">
        <v>134</v>
      </c>
      <c r="P117" s="49" t="s">
        <v>135</v>
      </c>
      <c r="Q117" s="49" t="s">
        <v>136</v>
      </c>
      <c r="R117" s="49" t="s">
        <v>192</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343</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343</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2" t="str" cm="1">
        <f t="array" ref="G135:H137">Common_InputFunctions.Utility_DisplayArguments_3_4(MMS_Swine_N2ODirect_Equations.VEERG_4_5_1_3__7_NitrogenTransferredToStage2MMS_Arguments())</f>
        <v>kg N</v>
      </c>
      <c r="H135" s="127" t="str">
        <v>Calculated from 4.5.1.3 (2)(6)</v>
      </c>
      <c r="I135" s="131"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2" t="str">
        <v>fraction</v>
      </c>
      <c r="H136" s="127" t="str">
        <v>Lookup</v>
      </c>
      <c r="I136" s="131"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2" t="str">
        <v>kg N2O-N/kg N</v>
      </c>
      <c r="H137" s="127" t="str">
        <v>Lookup</v>
      </c>
      <c r="I137" s="131" t="str" cm="1">
        <f t="array" aca="1" ref="I137" ca="1">HYPERLINK(Common_InputFunctions.Utility_SourceHyperlink(D150), D150)</f>
        <v>Table_EF_m_t-1</v>
      </c>
    </row>
    <row r="138" spans="4:9" ht="20.100000000000001" customHeight="1" x14ac:dyDescent="0.25"/>
    <row r="139" spans="4:9" ht="20.100000000000001" customHeight="1" x14ac:dyDescent="0.25">
      <c r="D139" s="113" t="s">
        <v>235</v>
      </c>
    </row>
    <row r="140" spans="4:9" ht="20.100000000000001" customHeight="1" x14ac:dyDescent="0.25">
      <c r="D140" s="114" t="s">
        <v>236</v>
      </c>
    </row>
    <row r="141" spans="4:9" ht="20.100000000000001" customHeight="1" x14ac:dyDescent="0.25">
      <c r="D141" s="49" t="s">
        <v>64</v>
      </c>
      <c r="E141" s="49" t="s">
        <v>237</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343</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3" t="s">
        <v>238</v>
      </c>
    </row>
    <row r="151" spans="4:6" ht="20.100000000000001" customHeight="1" x14ac:dyDescent="0.25">
      <c r="D151" s="114" t="s">
        <v>239</v>
      </c>
    </row>
    <row r="152" spans="4:6" ht="20.100000000000001" customHeight="1" x14ac:dyDescent="0.25">
      <c r="D152" s="49" t="s">
        <v>64</v>
      </c>
      <c r="E152" s="49" t="s">
        <v>240</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343</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3" t="s">
        <v>242</v>
      </c>
      <c r="N161" s="113" t="s">
        <v>256</v>
      </c>
    </row>
    <row r="162" spans="1:21" ht="20.100000000000001" customHeight="1" x14ac:dyDescent="0.25">
      <c r="D162" s="114" t="s">
        <v>243</v>
      </c>
      <c r="N162" s="114" t="s">
        <v>257</v>
      </c>
    </row>
    <row r="163" spans="1:21" ht="20.100000000000001" customHeight="1" x14ac:dyDescent="0.25">
      <c r="D163" s="49" t="s">
        <v>155</v>
      </c>
      <c r="E163" s="49" t="s">
        <v>134</v>
      </c>
      <c r="F163" s="49" t="s">
        <v>135</v>
      </c>
      <c r="G163" s="49" t="s">
        <v>136</v>
      </c>
      <c r="H163" s="49" t="s">
        <v>192</v>
      </c>
      <c r="N163" s="49" t="s">
        <v>155</v>
      </c>
      <c r="O163" s="49" t="s">
        <v>134</v>
      </c>
      <c r="P163" s="49" t="s">
        <v>135</v>
      </c>
      <c r="Q163" s="49" t="s">
        <v>136</v>
      </c>
      <c r="R163" s="49" t="s">
        <v>192</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343</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343</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37"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1" t="str" cm="1">
        <f t="array" ref="D181:E182">Common_InputFunctions.Utility_DisplayArguments_1_2(MMS_Swine_N2ODirect_Equations.VEERG_4_5_1_3__6_Stage2NitrogenInMMS_Arguments())</f>
        <v>NT_jmT2</v>
      </c>
      <c r="E181" s="103" t="str">
        <v>nitrogen transferred to secondary treatment MMS</v>
      </c>
      <c r="F181" s="102"/>
      <c r="G181" s="132" t="str" cm="1">
        <f t="array" ref="G181:H182">Common_InputFunctions.Utility_DisplayArguments_3_4(MMS_Swine_N2ODirect_Equations.VEERG_4_5_1_3__6_Stage2NitrogenInMMS_Arguments())</f>
        <v>kg N</v>
      </c>
      <c r="H181" s="127" t="str">
        <v>Calculated from 4.5.1.3 (7)</v>
      </c>
      <c r="I181" s="131" t="str" cm="1">
        <f t="array" aca="1" ref="I181" ca="1">HYPERLINK(Common_InputFunctions.Utility_SourceHyperlink(D161), D161)</f>
        <v>M1_Table_NT_j_m_T-2</v>
      </c>
    </row>
    <row r="182" spans="4:10" ht="20.100000000000001" customHeight="1" x14ac:dyDescent="0.25">
      <c r="D182" s="101" t="str">
        <v>MMS_jmT2</v>
      </c>
      <c r="E182" s="103" t="str">
        <v>fraction of manure in each secondary system</v>
      </c>
      <c r="F182" s="102"/>
      <c r="G182" s="132" t="str">
        <v>fraction</v>
      </c>
      <c r="H182" s="128" t="str">
        <v>Input</v>
      </c>
      <c r="I182" s="131" t="str" cm="1">
        <f t="array" aca="1" ref="I182" ca="1">HYPERLINK(Common_InputFunctions.Utility_SourceHyperlink(D184), D184)</f>
        <v>Table_MMS_j_m_T-2</v>
      </c>
    </row>
    <row r="183" spans="4:10" ht="20.100000000000001" customHeight="1" x14ac:dyDescent="0.25"/>
    <row r="184" spans="4:10" ht="20.100000000000001" customHeight="1" x14ac:dyDescent="0.25">
      <c r="D184" s="113" t="s">
        <v>161</v>
      </c>
    </row>
    <row r="185" spans="4:10" ht="20.100000000000001" customHeight="1" x14ac:dyDescent="0.25">
      <c r="D185" s="114" t="s">
        <v>162</v>
      </c>
    </row>
    <row r="186" spans="4:10" ht="20.100000000000001" customHeight="1" x14ac:dyDescent="0.25">
      <c r="D186" s="111" t="s">
        <v>155</v>
      </c>
      <c r="E186" s="111" t="s">
        <v>163</v>
      </c>
      <c r="F186" s="111" t="s">
        <v>134</v>
      </c>
      <c r="G186" s="111" t="s">
        <v>135</v>
      </c>
      <c r="H186" s="111" t="s">
        <v>136</v>
      </c>
      <c r="I186" s="111" t="s">
        <v>192</v>
      </c>
    </row>
    <row r="187" spans="4:10" ht="20.100000000000001" customHeight="1" x14ac:dyDescent="0.25">
      <c r="D187" s="55" t="str">
        <f>INDEX(X_Table_Swine_Stage1MMS_AnaerobicLagoon,2,1)</f>
        <v>Anaerobic lagoon</v>
      </c>
      <c r="E187" s="101"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1" t="str">
        <f ca="1"/>
        <v>Deep litter</v>
      </c>
      <c r="F188" s="50">
        <f ca="1"/>
        <v>0.2</v>
      </c>
      <c r="G188" s="50">
        <f ca="1"/>
        <v>0.25</v>
      </c>
      <c r="H188" s="50">
        <f ca="1"/>
        <v>0.25</v>
      </c>
      <c r="I188" s="50">
        <f ca="1"/>
        <v>0.25</v>
      </c>
      <c r="J188" s="2"/>
    </row>
    <row r="189" spans="4:10" ht="20.100000000000001" customHeight="1" x14ac:dyDescent="0.25">
      <c r="D189" s="55"/>
      <c r="E189" s="101"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1"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1" t="str">
        <f ca="1"/>
        <v>Digester / covered lagoons</v>
      </c>
      <c r="F192" s="50">
        <f ca="1"/>
        <v>0.2</v>
      </c>
      <c r="G192" s="50">
        <f ca="1"/>
        <v>0.25</v>
      </c>
      <c r="H192" s="50">
        <f ca="1"/>
        <v>0.25</v>
      </c>
      <c r="I192" s="50">
        <f ca="1"/>
        <v>0.25</v>
      </c>
      <c r="J192" s="2"/>
    </row>
    <row r="193" spans="4:10" ht="20.100000000000001" customHeight="1" x14ac:dyDescent="0.25">
      <c r="D193" s="55"/>
      <c r="E193" s="101" t="str">
        <f ca="1"/>
        <v>Deep litter</v>
      </c>
      <c r="F193" s="50">
        <f ca="1"/>
        <v>0.2</v>
      </c>
      <c r="G193" s="50">
        <f ca="1"/>
        <v>0.25</v>
      </c>
      <c r="H193" s="50">
        <f ca="1"/>
        <v>0.25</v>
      </c>
      <c r="I193" s="50">
        <f ca="1"/>
        <v>0.25</v>
      </c>
      <c r="J193" s="2"/>
    </row>
    <row r="194" spans="4:10" ht="20.100000000000001" customHeight="1" x14ac:dyDescent="0.25">
      <c r="D194" s="55"/>
      <c r="E194" s="101"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1"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1" t="str">
        <f ca="1"/>
        <v>Deep litter</v>
      </c>
      <c r="F197" s="50">
        <f ca="1"/>
        <v>0.2</v>
      </c>
      <c r="G197" s="50">
        <f ca="1"/>
        <v>0.25</v>
      </c>
      <c r="H197" s="50">
        <f ca="1"/>
        <v>0.25</v>
      </c>
      <c r="I197" s="50">
        <f ca="1"/>
        <v>0.25</v>
      </c>
      <c r="J197" s="2"/>
    </row>
    <row r="198" spans="4:10" ht="20.100000000000001" customHeight="1" x14ac:dyDescent="0.25">
      <c r="D198" s="55"/>
      <c r="E198" s="101"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1"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1" t="str">
        <f ca="1"/>
        <v>Digester / covered lagoons</v>
      </c>
      <c r="F201" s="50">
        <f ca="1"/>
        <v>0.2</v>
      </c>
      <c r="G201" s="50">
        <f ca="1"/>
        <v>0.25</v>
      </c>
      <c r="H201" s="50">
        <f ca="1"/>
        <v>0.25</v>
      </c>
      <c r="I201" s="50">
        <f ca="1"/>
        <v>0.25</v>
      </c>
      <c r="J201" s="2"/>
    </row>
    <row r="202" spans="4:10" ht="20.100000000000001" customHeight="1" x14ac:dyDescent="0.25">
      <c r="D202" s="55"/>
      <c r="E202" s="101"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1"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1" t="str">
        <f ca="1"/>
        <v>Digester / covered lagoons</v>
      </c>
      <c r="F205" s="50">
        <f ca="1"/>
        <v>0.2</v>
      </c>
      <c r="G205" s="50">
        <f ca="1"/>
        <v>0.25</v>
      </c>
      <c r="H205" s="50">
        <f ca="1"/>
        <v>0.25</v>
      </c>
      <c r="I205" s="50">
        <f ca="1"/>
        <v>0.25</v>
      </c>
      <c r="J205" s="2"/>
    </row>
    <row r="206" spans="4:10" ht="20.100000000000001" customHeight="1" x14ac:dyDescent="0.25">
      <c r="D206" s="55"/>
      <c r="E206" s="101"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343</v>
      </c>
      <c r="E208" s="101"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1" t="str">
        <f ca="1"/>
        <v>Digester / covered lagoons</v>
      </c>
      <c r="F209" s="50">
        <f ca="1"/>
        <v>0.2</v>
      </c>
      <c r="G209" s="50">
        <f ca="1"/>
        <v>0.2</v>
      </c>
      <c r="H209" s="50">
        <f ca="1"/>
        <v>0.2</v>
      </c>
      <c r="I209" s="50">
        <f ca="1"/>
        <v>0.2</v>
      </c>
      <c r="J209" s="2"/>
    </row>
    <row r="210" spans="4:20" ht="20.100000000000001" customHeight="1" x14ac:dyDescent="0.25">
      <c r="D210" s="55"/>
      <c r="E210" s="101" t="str">
        <f ca="1"/>
        <v>Deep litter</v>
      </c>
      <c r="F210" s="50">
        <f ca="1"/>
        <v>0.2</v>
      </c>
      <c r="G210" s="50">
        <f ca="1"/>
        <v>0.2</v>
      </c>
      <c r="H210" s="50">
        <f ca="1"/>
        <v>0.2</v>
      </c>
      <c r="I210" s="50">
        <f ca="1"/>
        <v>0.2</v>
      </c>
      <c r="J210" s="2"/>
    </row>
    <row r="211" spans="4:20" ht="20.100000000000001" customHeight="1" x14ac:dyDescent="0.25">
      <c r="D211" s="55"/>
      <c r="E211" s="101"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3" t="s">
        <v>244</v>
      </c>
      <c r="N214" s="113" t="s">
        <v>300</v>
      </c>
    </row>
    <row r="215" spans="4:20" ht="20.100000000000001" customHeight="1" x14ac:dyDescent="0.25">
      <c r="D215" s="114" t="s">
        <v>245</v>
      </c>
      <c r="N215" s="114" t="s">
        <v>301</v>
      </c>
    </row>
    <row r="216" spans="4:20" ht="20.100000000000001" customHeight="1" x14ac:dyDescent="0.25">
      <c r="D216" s="49" t="s">
        <v>155</v>
      </c>
      <c r="E216" s="49" t="s">
        <v>163</v>
      </c>
      <c r="F216" s="49" t="s">
        <v>134</v>
      </c>
      <c r="G216" s="49" t="s">
        <v>135</v>
      </c>
      <c r="H216" s="49" t="s">
        <v>136</v>
      </c>
      <c r="I216" s="49" t="s">
        <v>192</v>
      </c>
      <c r="N216" s="49" t="s">
        <v>155</v>
      </c>
      <c r="O216" s="49" t="s">
        <v>163</v>
      </c>
      <c r="P216" s="49" t="s">
        <v>134</v>
      </c>
      <c r="Q216" s="49" t="s">
        <v>135</v>
      </c>
      <c r="R216" s="49" t="s">
        <v>136</v>
      </c>
      <c r="S216" s="49" t="s">
        <v>192</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343</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343</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37"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1" t="str" cm="1">
        <f t="array" ref="D254:E256">Common_InputFunctions.Utility_DisplayArguments_1_2(MMS_Swine_N2ODirect_Equations.VEERG_4_5_1_3__1_TotalAnnualDirectNitrousOxideEmissionsFromMMS_Arguments())</f>
        <v>MN_jmT</v>
      </c>
      <c r="E254" s="103" t="str">
        <v>nitrogen per swine class, MMS and treatment stage</v>
      </c>
      <c r="F254" s="102"/>
      <c r="G254" s="132" t="str" cm="1">
        <f t="array" ref="G254:H256">Common_InputFunctions.Utility_DisplayArguments_3_4(MMS_Swine_N2ODirect_Equations.VEERG_4_5_1_3__1_TotalAnnualDirectNitrousOxideEmissionsFromMMS_Arguments())</f>
        <v>kg N</v>
      </c>
      <c r="H254" s="127" t="str">
        <v>Calculated from 4.5.1.3 (2)(6)</v>
      </c>
      <c r="I254" s="131" t="str" cm="1">
        <f t="array" aca="1" ref="I254" ca="1">HYPERLINK(Common_InputFunctions.Utility_SourceHyperlink(D115), D115)</f>
        <v>M1_Table_MN_j_m_T-1</v>
      </c>
      <c r="J254" s="131" t="str" cm="1">
        <f t="array" aca="1" ref="J254" ca="1">HYPERLINK(Common_InputFunctions.Utility_SourceHyperlink(D214), D214)</f>
        <v>M1_Table_MN_j_m_T-2</v>
      </c>
    </row>
    <row r="255" spans="1:21" ht="20.100000000000001" customHeight="1" x14ac:dyDescent="0.25">
      <c r="D255" s="101" t="str">
        <v>EF_jm</v>
      </c>
      <c r="E255" s="103" t="str">
        <v>nitrous oxide emission factor for MMS</v>
      </c>
      <c r="F255" s="102"/>
      <c r="G255" s="132" t="str">
        <v>kg N2O-N/kg N</v>
      </c>
      <c r="H255" s="127" t="str">
        <v>Constant</v>
      </c>
      <c r="I255" s="136" t="str" cm="1">
        <f t="array" aca="1" ref="I255" ca="1">HYPERLINK(Common_InputFunctions.Utility_SourceHyperlink(D150), D150)</f>
        <v>Table_EF_m_t-1</v>
      </c>
      <c r="J255" s="135"/>
    </row>
    <row r="256" spans="1:21" ht="20.100000000000001" customHeight="1" x14ac:dyDescent="0.25">
      <c r="D256" s="101" t="str">
        <v>C_N2O</v>
      </c>
      <c r="E256" s="103" t="str">
        <v>factor to convert elemental mass of nitrous oxide to molecular mass</v>
      </c>
      <c r="F256" s="102"/>
      <c r="G256" s="132" t="str">
        <v/>
      </c>
      <c r="H256" s="127" t="str">
        <v>Constant</v>
      </c>
      <c r="I256" s="56">
        <f>Common_InputFunctions.Utility_LookupValueInTableNumber("N2O",Table_GasToMolecularConversionFactor[Gas],Table_GasToMolecularConversionFactor[Conversion factor combined])</f>
        <v>1.5714285714285714</v>
      </c>
      <c r="J256" s="102"/>
    </row>
    <row r="257" spans="4:20" ht="20.100000000000001" customHeight="1" x14ac:dyDescent="0.25"/>
    <row r="258" spans="4:20" ht="20.100000000000001" customHeight="1" x14ac:dyDescent="0.25">
      <c r="D258" s="124" t="s">
        <v>336</v>
      </c>
      <c r="E258" s="84"/>
      <c r="F258" s="84"/>
      <c r="G258" s="80"/>
    </row>
    <row r="259" spans="4:20" ht="20.100000000000001" customHeight="1" x14ac:dyDescent="0.25">
      <c r="D259" s="86" t="s">
        <v>334</v>
      </c>
      <c r="E259" s="83"/>
      <c r="F259" s="83"/>
      <c r="G259" s="81"/>
    </row>
    <row r="260" spans="4:20" ht="20.100000000000001" customHeight="1" x14ac:dyDescent="0.25"/>
    <row r="261" spans="4:20" ht="20.100000000000001" customHeight="1" x14ac:dyDescent="0.25">
      <c r="D261" s="113" t="s">
        <v>246</v>
      </c>
      <c r="N261" s="113" t="s">
        <v>260</v>
      </c>
    </row>
    <row r="262" spans="4:20" ht="20.100000000000001" customHeight="1" x14ac:dyDescent="0.25">
      <c r="D262" s="114" t="s">
        <v>247</v>
      </c>
      <c r="N262" s="114" t="s">
        <v>261</v>
      </c>
    </row>
    <row r="263" spans="4:20" ht="20.100000000000001" customHeight="1" x14ac:dyDescent="0.25">
      <c r="D263" s="49" t="s">
        <v>155</v>
      </c>
      <c r="E263" s="49" t="s">
        <v>163</v>
      </c>
      <c r="F263" s="49" t="s">
        <v>134</v>
      </c>
      <c r="G263" s="49" t="s">
        <v>135</v>
      </c>
      <c r="H263" s="49" t="s">
        <v>136</v>
      </c>
      <c r="I263" s="49" t="s">
        <v>192</v>
      </c>
      <c r="N263" s="49" t="s">
        <v>155</v>
      </c>
      <c r="O263" s="49" t="s">
        <v>163</v>
      </c>
      <c r="P263" s="49" t="s">
        <v>134</v>
      </c>
      <c r="Q263" s="49" t="s">
        <v>135</v>
      </c>
      <c r="R263" s="49" t="s">
        <v>136</v>
      </c>
      <c r="S263" s="49" t="s">
        <v>192</v>
      </c>
    </row>
    <row r="264" spans="4:20" ht="20.100000000000001" customHeight="1" x14ac:dyDescent="0.25">
      <c r="D264" s="55" t="str">
        <f>INDEX(X_Table_Swine_Stage1MMS_AnaerobicLagoon,2,1)</f>
        <v>Anaerobic lagoon</v>
      </c>
      <c r="E264" s="55" t="s">
        <v>164</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164</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164</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164</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164</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164</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164</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164</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164</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164</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343</v>
      </c>
      <c r="E269" s="55" t="s">
        <v>164</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343</v>
      </c>
      <c r="O269" s="55" t="s">
        <v>164</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164</v>
      </c>
      <c r="G273" s="50" t="s">
        <v>164</v>
      </c>
      <c r="H273" s="50" t="s">
        <v>164</v>
      </c>
      <c r="I273" s="50" t="s">
        <v>164</v>
      </c>
      <c r="J273" s="2"/>
      <c r="N273" s="55"/>
      <c r="O273" s="55" t="str">
        <f>INDEX(X_Table_Swine_Stage2MMS_From_AnaerobicLagoon,5,1)</f>
        <v>Direct application</v>
      </c>
      <c r="P273" s="50" t="s">
        <v>164</v>
      </c>
      <c r="Q273" s="50" t="s">
        <v>164</v>
      </c>
      <c r="R273" s="50" t="s">
        <v>164</v>
      </c>
      <c r="S273" s="50" t="s">
        <v>164</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164</v>
      </c>
      <c r="G278" s="50" t="s">
        <v>164</v>
      </c>
      <c r="H278" s="50" t="s">
        <v>164</v>
      </c>
      <c r="I278" s="50" t="s">
        <v>164</v>
      </c>
      <c r="J278" s="2"/>
      <c r="N278" s="55"/>
      <c r="O278" s="55" t="str">
        <f>INDEX(X_Table_Swine_Stage2MMS_From_Drylot,6,1)</f>
        <v>Direct application</v>
      </c>
      <c r="P278" s="50" t="s">
        <v>164</v>
      </c>
      <c r="Q278" s="50" t="s">
        <v>164</v>
      </c>
      <c r="R278" s="50" t="s">
        <v>164</v>
      </c>
      <c r="S278" s="50" t="s">
        <v>164</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164</v>
      </c>
      <c r="G282" s="50" t="s">
        <v>164</v>
      </c>
      <c r="H282" s="50" t="s">
        <v>164</v>
      </c>
      <c r="I282" s="50" t="s">
        <v>164</v>
      </c>
      <c r="J282" s="2"/>
      <c r="N282" s="55"/>
      <c r="O282" s="55" t="str">
        <f>INDEX(X_Table_Swine_Stage2MMS_From_DigesterCoveredLagoons,5,1)</f>
        <v>Direct application</v>
      </c>
      <c r="P282" s="50" t="s">
        <v>164</v>
      </c>
      <c r="Q282" s="50" t="s">
        <v>164</v>
      </c>
      <c r="R282" s="50" t="s">
        <v>164</v>
      </c>
      <c r="S282" s="50" t="s">
        <v>164</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164</v>
      </c>
      <c r="G286" s="50" t="s">
        <v>164</v>
      </c>
      <c r="H286" s="50" t="s">
        <v>164</v>
      </c>
      <c r="I286" s="50" t="s">
        <v>164</v>
      </c>
      <c r="J286" s="2"/>
      <c r="N286" s="55"/>
      <c r="O286" s="55" t="str">
        <f>INDEX(X_Table_Swine_Stage2MMS_From_DeepLitter,5,1)</f>
        <v>Direct application</v>
      </c>
      <c r="P286" s="50" t="s">
        <v>164</v>
      </c>
      <c r="Q286" s="50" t="s">
        <v>164</v>
      </c>
      <c r="R286" s="50" t="s">
        <v>164</v>
      </c>
      <c r="S286" s="50" t="s">
        <v>164</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164</v>
      </c>
      <c r="G290" s="50" t="s">
        <v>164</v>
      </c>
      <c r="H290" s="50" t="s">
        <v>164</v>
      </c>
      <c r="I290" s="50" t="s">
        <v>164</v>
      </c>
      <c r="J290" s="2"/>
      <c r="N290" s="55"/>
      <c r="O290" s="55" t="str">
        <f>INDEX(X_Table_Swine_Stage2MMS_From_PitStorage,5,1)</f>
        <v>Direct application</v>
      </c>
      <c r="P290" s="50" t="s">
        <v>164</v>
      </c>
      <c r="Q290" s="50" t="s">
        <v>164</v>
      </c>
      <c r="R290" s="50" t="s">
        <v>164</v>
      </c>
      <c r="S290" s="50" t="s">
        <v>164</v>
      </c>
      <c r="T290" s="2"/>
    </row>
    <row r="291" spans="1:20" ht="20.100000000000001" customHeight="1" x14ac:dyDescent="0.25">
      <c r="D291" s="55" t="s">
        <v>343</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343</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164</v>
      </c>
      <c r="G295" s="50" t="s">
        <v>164</v>
      </c>
      <c r="H295" s="50" t="s">
        <v>164</v>
      </c>
      <c r="I295" s="50" t="s">
        <v>164</v>
      </c>
      <c r="J295" s="2"/>
      <c r="N295" s="55"/>
      <c r="O295" s="55" t="str">
        <f>INDEX(X_Table_Swine_Stage2MMS_From_SolidStorage,6,1)</f>
        <v>Direct application</v>
      </c>
      <c r="P295" s="50" t="s">
        <v>164</v>
      </c>
      <c r="Q295" s="50" t="s">
        <v>164</v>
      </c>
      <c r="R295" s="50" t="s">
        <v>164</v>
      </c>
      <c r="S295" s="50" t="s">
        <v>164</v>
      </c>
      <c r="T295" s="2"/>
    </row>
    <row r="296" spans="1:20" ht="20.100000000000001" customHeight="1" x14ac:dyDescent="0.25"/>
    <row r="297" spans="1:20" ht="20.100000000000001" customHeight="1" x14ac:dyDescent="0.25">
      <c r="D297" s="94" t="s">
        <v>96</v>
      </c>
      <c r="E297" s="95">
        <f ca="1">SUM(F264:I295)</f>
        <v>7.4343140661428567E-2</v>
      </c>
      <c r="F297" s="96" t="str">
        <f>$E$252</f>
        <v>t N2O</v>
      </c>
      <c r="N297" s="94" t="s">
        <v>96</v>
      </c>
      <c r="O297" s="95">
        <f ca="1">SUM(P264:S295)</f>
        <v>7.4343140661428567E-2</v>
      </c>
      <c r="P297" s="96"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97"/>
      <c r="G299" s="50">
        <f ca="1">E297</f>
        <v>7.4343140661428567E-2</v>
      </c>
      <c r="N299" s="55" t="str" cm="1">
        <f t="array" ref="N299:O300">Common_Equations.Common_ConvertN2OToCO2e_Arguments()</f>
        <v>EN2O</v>
      </c>
      <c r="O299" s="56" t="str">
        <v>Nitrous oxide emissions (t N2O)</v>
      </c>
      <c r="P299" s="97"/>
      <c r="Q299" s="50">
        <f ca="1">O297</f>
        <v>7.4343140661428567E-2</v>
      </c>
    </row>
    <row r="300" spans="1:20" ht="20.100000000000001" customHeight="1" x14ac:dyDescent="0.25">
      <c r="D300" s="55" t="str">
        <v>GWPN2O</v>
      </c>
      <c r="E300" s="56" t="str">
        <v>Global warming potential for nitrous oxide (t CO2-e / t N2O)</v>
      </c>
      <c r="F300" s="97"/>
      <c r="G300" s="50">
        <f>Common_InputFunctions.Utility_LookupValueInTableNumber("N2O",Table_GWPData[Gas],Table_GWPData[CO2-e factor])</f>
        <v>265</v>
      </c>
      <c r="N300" s="55" t="str">
        <v>GWPN2O</v>
      </c>
      <c r="O300" s="56" t="str">
        <v>Global warming potential for nitrous oxide (t CO2-e / t N2O)</v>
      </c>
      <c r="P300" s="97"/>
      <c r="Q300" s="50">
        <f>Common_InputFunctions.Utility_LookupValueInTableNumber("N2O",Table_GWPData[Gas],Table_GWPData[CO2-e factor])</f>
        <v>265</v>
      </c>
    </row>
    <row r="301" spans="1:20" ht="20.100000000000001" customHeight="1" x14ac:dyDescent="0.25"/>
    <row r="302" spans="1:20" ht="20.100000000000001" customHeight="1" x14ac:dyDescent="0.25">
      <c r="A302" s="137" t="str">
        <f>HYPERLINK("#A1", "▲ Back to top")</f>
        <v>▲ Back to top</v>
      </c>
      <c r="D302" s="43" t="s">
        <v>93</v>
      </c>
      <c r="E302" s="43" cm="1">
        <f t="array" aca="1" ref="E302" ca="1">Common_Equations.Common_ConvertN2OToCO2e(G299,G300)</f>
        <v>19.700932275278571</v>
      </c>
      <c r="F302" s="98" t="str" cm="1">
        <f t="array" ref="F302">Common_Equations.Common_ConvertN2OToCO2e_Unit()</f>
        <v>t CO2e</v>
      </c>
      <c r="N302" s="43" t="s">
        <v>93</v>
      </c>
      <c r="O302" s="43" cm="1">
        <f t="array" aca="1" ref="O302" ca="1">Common_Equations.Common_ConvertN2OToCO2e(Q299,Q300)</f>
        <v>19.700932275278571</v>
      </c>
      <c r="P302" s="98"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277</v>
      </c>
      <c r="L1"/>
    </row>
    <row r="2" spans="1:21" s="9" customFormat="1" ht="20.100000000000001" customHeight="1" x14ac:dyDescent="0.25">
      <c r="A2"/>
      <c r="L2"/>
    </row>
    <row r="3" spans="1:21" ht="20.100000000000001" customHeight="1" x14ac:dyDescent="0.25">
      <c r="A3" s="17" t="str">
        <f>HYPERLINK("#'Home'!A1", "Home")</f>
        <v>Home</v>
      </c>
      <c r="C3" s="4"/>
      <c r="D3" s="4" t="s">
        <v>94</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2" t="str" cm="1">
        <f t="array" ref="G13:H14">Common_InputFunctions.Utility_DisplayArguments_3_4(MMS_Swine_AtmosphericDeposition_Equations.VEERG_4_5_1_5__2_TotalNitrogenVolatilisedFromMMS_Arguments())</f>
        <v>kg N</v>
      </c>
      <c r="H13" s="127" t="str">
        <v>Calculated from 4.5.1.3 (2)(6)</v>
      </c>
      <c r="I13" s="131" t="str" cm="1">
        <f t="array" aca="1" ref="I13" ca="1">HYPERLINK(Common_InputFunctions.Utility_SourceHyperlink(D19), D19)</f>
        <v>M1_Table_MN_j_m_T-1</v>
      </c>
      <c r="J13" s="131"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2" t="str">
        <v>(kg NH3-N + NOx-N)/kg N</v>
      </c>
      <c r="H14" s="127" t="str">
        <v>Constant</v>
      </c>
      <c r="I14" s="136" t="str" cm="1">
        <f t="array" aca="1" ref="I14" ca="1">HYPERLINK(Common_InputFunctions.Utility_SourceHyperlink(D59), D59)</f>
        <v>Table_FracGASM_m_t</v>
      </c>
      <c r="J14" s="135"/>
    </row>
    <row r="15" spans="1:21" ht="20.100000000000001" customHeight="1" x14ac:dyDescent="0.25">
      <c r="A15" s="17" t="str">
        <f>HYPERLINK("#'4.5.1.3-4 Direct N2O'!A1", "4.5.1.3-4 Direct N2O")</f>
        <v>4.5.1.3-4 Direct N2O</v>
      </c>
    </row>
    <row r="16" spans="1:21" ht="20.100000000000001" customHeight="1" x14ac:dyDescent="0.25">
      <c r="A16" s="143" t="str">
        <f>HYPERLINK("#'4.5.1.5-6 Atmos Dep'!A1", "4.5.1.5-6 Atmos Dep")</f>
        <v>4.5.1.5-6 Atmos Dep</v>
      </c>
      <c r="D16" s="124" t="s">
        <v>335</v>
      </c>
      <c r="E16" s="84"/>
      <c r="F16" s="84"/>
      <c r="G16" s="80"/>
    </row>
    <row r="17" spans="1:20" ht="20.100000000000001" customHeight="1" x14ac:dyDescent="0.25">
      <c r="A17" s="17" t="str">
        <f>HYPERLINK("#'4.5.1.7-8 Leaching and runoff'!A1", "4.5.1.7-8 Leaching and runoff")</f>
        <v>4.5.1.7-8 Leaching and runoff</v>
      </c>
      <c r="D17" s="86" t="s">
        <v>334</v>
      </c>
      <c r="E17" s="83"/>
      <c r="F17" s="83"/>
      <c r="G17" s="81"/>
    </row>
    <row r="18" spans="1:20" ht="20.100000000000001" customHeight="1" x14ac:dyDescent="0.25">
      <c r="A18" s="17" t="str">
        <f>HYPERLINK("#'4.5.1.9 Manure applied to soils'!A1", "4.5.1.9 Manure applied to soils")</f>
        <v>4.5.1.9 Manure applied to soils</v>
      </c>
    </row>
    <row r="19" spans="1:20" ht="20.100000000000001" customHeight="1" x14ac:dyDescent="0.25">
      <c r="D19" s="113" t="s">
        <v>233</v>
      </c>
      <c r="N19" s="113" t="s">
        <v>233</v>
      </c>
    </row>
    <row r="20" spans="1:20" ht="20.100000000000001" customHeight="1" x14ac:dyDescent="0.25">
      <c r="D20" s="114" t="s">
        <v>234</v>
      </c>
      <c r="N20" s="114" t="s">
        <v>234</v>
      </c>
    </row>
    <row r="21" spans="1:20" ht="20.100000000000001" customHeight="1" x14ac:dyDescent="0.25">
      <c r="A21" s="141" t="s">
        <v>1</v>
      </c>
      <c r="D21" s="49" t="s">
        <v>155</v>
      </c>
      <c r="E21" s="49" t="s">
        <v>134</v>
      </c>
      <c r="F21" s="49" t="s">
        <v>135</v>
      </c>
      <c r="G21" s="49" t="s">
        <v>136</v>
      </c>
      <c r="H21" s="49" t="s">
        <v>192</v>
      </c>
      <c r="N21" s="49" t="s">
        <v>155</v>
      </c>
      <c r="O21" s="49" t="s">
        <v>134</v>
      </c>
      <c r="P21" s="49" t="s">
        <v>135</v>
      </c>
      <c r="Q21" s="49" t="s">
        <v>136</v>
      </c>
      <c r="R21" s="49" t="s">
        <v>192</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Common livestock'!A1", "Constants - Common livestock")</f>
        <v>Constants - Common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343</v>
      </c>
      <c r="E27" s="50">
        <f ca="1">'4.5.1.3-4 Direct N2O'!E123</f>
        <v>671.60000000000014</v>
      </c>
      <c r="F27" s="50">
        <f ca="1">'4.5.1.3-4 Direct N2O'!F123</f>
        <v>715.40000000000032</v>
      </c>
      <c r="G27" s="50">
        <f ca="1">'4.5.1.3-4 Direct N2O'!G123</f>
        <v>671.60000000000014</v>
      </c>
      <c r="H27" s="50">
        <f ca="1">'4.5.1.3-4 Direct N2O'!H123</f>
        <v>455.52000000000015</v>
      </c>
      <c r="I27" s="2"/>
      <c r="N27" s="55" t="s">
        <v>343</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3" t="s">
        <v>244</v>
      </c>
      <c r="N29" s="113" t="s">
        <v>244</v>
      </c>
    </row>
    <row r="30" spans="1:20" ht="20.100000000000001" customHeight="1" x14ac:dyDescent="0.25">
      <c r="D30" s="114" t="s">
        <v>245</v>
      </c>
      <c r="N30" s="114" t="s">
        <v>245</v>
      </c>
    </row>
    <row r="31" spans="1:20" ht="20.100000000000001" customHeight="1" x14ac:dyDescent="0.25">
      <c r="D31" s="49" t="s">
        <v>155</v>
      </c>
      <c r="E31" s="49" t="s">
        <v>163</v>
      </c>
      <c r="F31" s="49" t="s">
        <v>134</v>
      </c>
      <c r="G31" s="49" t="s">
        <v>135</v>
      </c>
      <c r="H31" s="49" t="s">
        <v>136</v>
      </c>
      <c r="I31" s="49" t="s">
        <v>192</v>
      </c>
      <c r="N31" s="49" t="s">
        <v>155</v>
      </c>
      <c r="O31" s="49" t="s">
        <v>163</v>
      </c>
      <c r="P31" s="49" t="s">
        <v>134</v>
      </c>
      <c r="Q31" s="49" t="s">
        <v>135</v>
      </c>
      <c r="R31" s="49" t="s">
        <v>136</v>
      </c>
      <c r="S31" s="49" t="s">
        <v>192</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343</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343</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3" t="s">
        <v>293</v>
      </c>
    </row>
    <row r="60" spans="4:20" ht="20.100000000000001" customHeight="1" x14ac:dyDescent="0.25">
      <c r="D60" s="114" t="s">
        <v>294</v>
      </c>
    </row>
    <row r="61" spans="4:20" ht="20.100000000000001" customHeight="1" x14ac:dyDescent="0.25">
      <c r="D61" s="49" t="s">
        <v>155</v>
      </c>
      <c r="E61" s="49" t="s">
        <v>237</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343</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3" t="s">
        <v>246</v>
      </c>
      <c r="N70" s="113" t="s">
        <v>246</v>
      </c>
    </row>
    <row r="71" spans="4:20" ht="20.100000000000001" customHeight="1" x14ac:dyDescent="0.25">
      <c r="D71" s="114" t="s">
        <v>247</v>
      </c>
      <c r="N71" s="114" t="s">
        <v>247</v>
      </c>
    </row>
    <row r="72" spans="4:20" ht="20.100000000000001" customHeight="1" x14ac:dyDescent="0.25">
      <c r="D72" s="49" t="s">
        <v>155</v>
      </c>
      <c r="E72" s="49" t="s">
        <v>163</v>
      </c>
      <c r="F72" s="49" t="s">
        <v>134</v>
      </c>
      <c r="G72" s="49" t="s">
        <v>135</v>
      </c>
      <c r="H72" s="49" t="s">
        <v>136</v>
      </c>
      <c r="I72" s="49" t="s">
        <v>192</v>
      </c>
      <c r="N72" s="49" t="s">
        <v>155</v>
      </c>
      <c r="O72" s="49" t="s">
        <v>163</v>
      </c>
      <c r="P72" s="49" t="s">
        <v>134</v>
      </c>
      <c r="Q72" s="49" t="s">
        <v>135</v>
      </c>
      <c r="R72" s="49" t="s">
        <v>136</v>
      </c>
      <c r="S72" s="49" t="s">
        <v>192</v>
      </c>
    </row>
    <row r="73" spans="4:20" ht="20.100000000000001" customHeight="1" x14ac:dyDescent="0.25">
      <c r="D73" s="55" t="str">
        <f>INDEX(X_Table_Swine_Stage1MMS_AnaerobicLagoon,2,1)</f>
        <v>Anaerobic lagoon</v>
      </c>
      <c r="E73" s="55" t="s">
        <v>164</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164</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164</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164</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164</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164</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164</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164</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164</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164</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343</v>
      </c>
      <c r="E78" s="55" t="s">
        <v>164</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343</v>
      </c>
      <c r="O78" s="55" t="s">
        <v>164</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164</v>
      </c>
      <c r="G82" s="50" t="s">
        <v>164</v>
      </c>
      <c r="H82" s="50" t="s">
        <v>164</v>
      </c>
      <c r="I82" s="50" t="s">
        <v>164</v>
      </c>
      <c r="N82" s="55"/>
      <c r="O82" s="55" t="str">
        <f>INDEX(X_Table_Swine_Stage2MMS_From_AnaerobicLagoon,5,1)</f>
        <v>Direct application</v>
      </c>
      <c r="P82" s="50" t="s">
        <v>164</v>
      </c>
      <c r="Q82" s="50" t="s">
        <v>164</v>
      </c>
      <c r="R82" s="50" t="s">
        <v>164</v>
      </c>
      <c r="S82" s="50" t="s">
        <v>164</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164</v>
      </c>
      <c r="G87" s="50" t="s">
        <v>164</v>
      </c>
      <c r="H87" s="50" t="s">
        <v>164</v>
      </c>
      <c r="I87" s="50" t="s">
        <v>164</v>
      </c>
      <c r="N87" s="55"/>
      <c r="O87" s="55" t="str">
        <f>INDEX(X_Table_Swine_Stage2MMS_From_Drylot,6,1)</f>
        <v>Direct application</v>
      </c>
      <c r="P87" s="50" t="s">
        <v>164</v>
      </c>
      <c r="Q87" s="50" t="s">
        <v>164</v>
      </c>
      <c r="R87" s="50" t="s">
        <v>164</v>
      </c>
      <c r="S87" s="50" t="s">
        <v>164</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164</v>
      </c>
      <c r="G91" s="50" t="s">
        <v>164</v>
      </c>
      <c r="H91" s="50" t="s">
        <v>164</v>
      </c>
      <c r="I91" s="50" t="s">
        <v>164</v>
      </c>
      <c r="N91" s="55"/>
      <c r="O91" s="55" t="str">
        <f>INDEX(X_Table_Swine_Stage2MMS_From_DigesterCoveredLagoons,5,1)</f>
        <v>Direct application</v>
      </c>
      <c r="P91" s="50" t="s">
        <v>164</v>
      </c>
      <c r="Q91" s="50" t="s">
        <v>164</v>
      </c>
      <c r="R91" s="50" t="s">
        <v>164</v>
      </c>
      <c r="S91" s="50" t="s">
        <v>164</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164</v>
      </c>
      <c r="G95" s="50" t="s">
        <v>164</v>
      </c>
      <c r="H95" s="50" t="s">
        <v>164</v>
      </c>
      <c r="I95" s="50" t="s">
        <v>164</v>
      </c>
      <c r="N95" s="55"/>
      <c r="O95" s="55" t="str">
        <f>INDEX(X_Table_Swine_Stage2MMS_From_DeepLitter,5,1)</f>
        <v>Direct application</v>
      </c>
      <c r="P95" s="50" t="s">
        <v>164</v>
      </c>
      <c r="Q95" s="50" t="s">
        <v>164</v>
      </c>
      <c r="R95" s="50" t="s">
        <v>164</v>
      </c>
      <c r="S95" s="50" t="s">
        <v>164</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164</v>
      </c>
      <c r="G99" s="50" t="s">
        <v>164</v>
      </c>
      <c r="H99" s="50" t="s">
        <v>164</v>
      </c>
      <c r="I99" s="50" t="s">
        <v>164</v>
      </c>
      <c r="N99" s="55"/>
      <c r="O99" s="55" t="str">
        <f>INDEX(X_Table_Swine_Stage2MMS_From_PitStorage,5,1)</f>
        <v>Direct application</v>
      </c>
      <c r="P99" s="50" t="s">
        <v>164</v>
      </c>
      <c r="Q99" s="50" t="s">
        <v>164</v>
      </c>
      <c r="R99" s="50" t="s">
        <v>164</v>
      </c>
      <c r="S99" s="50" t="s">
        <v>164</v>
      </c>
      <c r="T99" s="2"/>
    </row>
    <row r="100" spans="3:21" ht="20.100000000000001" customHeight="1" x14ac:dyDescent="0.25">
      <c r="D100" s="55" t="s">
        <v>343</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343</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164</v>
      </c>
      <c r="G104" s="50" t="s">
        <v>164</v>
      </c>
      <c r="H104" s="50" t="s">
        <v>164</v>
      </c>
      <c r="I104" s="50" t="s">
        <v>164</v>
      </c>
      <c r="N104" s="55"/>
      <c r="O104" s="55" t="str">
        <f>INDEX(X_Table_Swine_Stage2MMS_From_SolidStorage,6,1)</f>
        <v>Direct application</v>
      </c>
      <c r="P104" s="50" t="s">
        <v>164</v>
      </c>
      <c r="Q104" s="50" t="s">
        <v>164</v>
      </c>
      <c r="R104" s="50" t="s">
        <v>164</v>
      </c>
      <c r="S104" s="50" t="s">
        <v>164</v>
      </c>
      <c r="T104" s="2"/>
    </row>
    <row r="105" spans="3:21" ht="20.100000000000001" customHeight="1" x14ac:dyDescent="0.25"/>
    <row r="106" spans="3:21" ht="20.100000000000001" customHeight="1" x14ac:dyDescent="0.25">
      <c r="D106" s="106" t="s">
        <v>251</v>
      </c>
      <c r="E106" s="43">
        <f ca="1">SUM(F73:I104)</f>
        <v>2267.6728942500004</v>
      </c>
      <c r="F106" s="98" t="str">
        <f>$E$11</f>
        <v>kg N</v>
      </c>
      <c r="N106" s="106" t="s">
        <v>251</v>
      </c>
      <c r="O106" s="43">
        <f ca="1">SUM(P73:S104)</f>
        <v>2267.6728942500004</v>
      </c>
      <c r="P106" s="98"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2" t="str" cm="1">
        <f t="array" ref="G118:H123">Common_InputFunctions.Utility_DisplayArguments_3_4(MMS_Swine_AtmosphericDeposition_Equations.VEERG_4_5_1_5__1_AnnualAtmosphericDepositionEmissionsFromMMS_Arguments())</f>
        <v>kg N</v>
      </c>
      <c r="H118" s="127" t="str">
        <v>Calculated from 4.5.1.5 (2)</v>
      </c>
      <c r="I118" s="132">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2" t="str" cm="1">
        <f t="array" ref="Q118:R123">Common_InputFunctions.Utility_DisplayArguments_3_4(MMS_Swine_AtmosphericDeposition_Equations.VEERG_4_5_1_5__1_AnnualAtmosphericDepositionEmissionsFromMMS_Arguments())</f>
        <v>kg N</v>
      </c>
      <c r="R118" s="127"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2" t="str">
        <v>kg N2O-N/kg N</v>
      </c>
      <c r="H119" s="127" t="str">
        <v>Constant</v>
      </c>
      <c r="I119" s="132">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2" t="str">
        <v>kg N2O-N/kg N</v>
      </c>
      <c r="R119" s="127" t="str">
        <v>Constant</v>
      </c>
      <c r="S119" s="55"/>
    </row>
    <row r="120" spans="4:19" ht="20.100000000000001" customHeight="1" x14ac:dyDescent="0.25">
      <c r="D120" s="55" t="str">
        <v>C_N2O</v>
      </c>
      <c r="E120" s="56" t="str">
        <v>factor to convert elemental mass of N2O to molecular mass</v>
      </c>
      <c r="F120" s="57"/>
      <c r="G120" s="132" t="str">
        <v/>
      </c>
      <c r="H120" s="127" t="str">
        <v>Constant</v>
      </c>
      <c r="I120" s="132">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2" t="str">
        <v/>
      </c>
      <c r="R120" s="127" t="str">
        <v>Constant</v>
      </c>
      <c r="S120" s="55"/>
    </row>
    <row r="121" spans="4:19" ht="20.100000000000001" customHeight="1" x14ac:dyDescent="0.25">
      <c r="D121" s="55" t="str">
        <v>j</v>
      </c>
      <c r="E121" s="56" t="str">
        <v>production system</v>
      </c>
      <c r="F121" s="57"/>
      <c r="G121" s="132" t="str">
        <v/>
      </c>
      <c r="H121" s="128" t="str">
        <v>Input</v>
      </c>
      <c r="I121" s="132" t="str">
        <f>X_Cell_Swine_ManureAppliedProductionSystem</f>
        <v>Crop</v>
      </c>
      <c r="N121" s="55" t="str">
        <v>j</v>
      </c>
      <c r="O121" s="56" t="str">
        <v>production system</v>
      </c>
      <c r="P121" s="57"/>
      <c r="Q121" s="132" t="str">
        <v/>
      </c>
      <c r="R121" s="128" t="str">
        <v>Input</v>
      </c>
      <c r="S121" s="55"/>
    </row>
    <row r="122" spans="4:19" ht="20.100000000000001" customHeight="1" x14ac:dyDescent="0.25">
      <c r="D122" s="55" t="str">
        <v>ir</v>
      </c>
      <c r="E122" s="56" t="str">
        <v>irrigation method</v>
      </c>
      <c r="F122" s="57"/>
      <c r="G122" s="132" t="str">
        <v/>
      </c>
      <c r="H122" s="128" t="str">
        <v>Input</v>
      </c>
      <c r="I122" s="132" t="str">
        <f>X_Cell_Swine_ManureAppliedIrrigationMethod</f>
        <v>Sprinkler irrigation</v>
      </c>
      <c r="N122" s="55" t="str">
        <v>ir</v>
      </c>
      <c r="O122" s="56" t="str">
        <v>irrigation method</v>
      </c>
      <c r="P122" s="57"/>
      <c r="Q122" s="132" t="str">
        <v/>
      </c>
      <c r="R122" s="128" t="str">
        <v>Input</v>
      </c>
      <c r="S122" s="55"/>
    </row>
    <row r="123" spans="4:19" ht="20.100000000000001" customHeight="1" x14ac:dyDescent="0.25">
      <c r="D123" s="55" t="str">
        <v>r</v>
      </c>
      <c r="E123" s="56" t="str">
        <v>rainfall region</v>
      </c>
      <c r="F123" s="57"/>
      <c r="G123" s="132" t="str">
        <v/>
      </c>
      <c r="H123" s="128" t="str">
        <v>Input</v>
      </c>
      <c r="I123" s="132" t="str">
        <f>X_Cell_Site_RainfallZone</f>
        <v>High rainfall</v>
      </c>
      <c r="N123" s="55" t="str">
        <v>r</v>
      </c>
      <c r="O123" s="56" t="str">
        <v>rainfall region</v>
      </c>
      <c r="P123" s="57"/>
      <c r="Q123" s="132" t="str">
        <v/>
      </c>
      <c r="R123" s="128" t="str">
        <v>Input</v>
      </c>
      <c r="S123" s="55"/>
    </row>
    <row r="124" spans="4:19" ht="20.100000000000001" customHeight="1" x14ac:dyDescent="0.25"/>
    <row r="125" spans="4:19" ht="20.100000000000001" customHeight="1" x14ac:dyDescent="0.25">
      <c r="D125" s="94" t="s">
        <v>248</v>
      </c>
      <c r="E125" s="95" cm="1">
        <f t="array" aca="1" ref="E125" ca="1">MMS_Swine_AtmosphericDeposition_Equations.VEERG_4_5_1_5__1_AnnualAtmosphericDepositionEmissionsFromMMS(I118,I119,I120)</f>
        <v>2.4944401836750004E-2</v>
      </c>
      <c r="F125" s="96" t="str">
        <f>E116</f>
        <v>t N2O</v>
      </c>
      <c r="N125" s="94" t="s">
        <v>248</v>
      </c>
      <c r="O125" s="95" cm="1">
        <f t="array" aca="1" ref="O125" ca="1">MMS_Swine_AtmosphericDeposition_Equations.VEERG_4_5_1_5__1_AnnualAtmosphericDepositionEmissionsFromMMS(S118,I119,I120)</f>
        <v>2.4944401836750004E-2</v>
      </c>
      <c r="P125" s="96"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97"/>
      <c r="G127" s="50">
        <f ca="1">E125</f>
        <v>2.4944401836750004E-2</v>
      </c>
      <c r="N127" s="55" t="str" cm="1">
        <f t="array" ref="N127:O128">Common_Equations.Common_ConvertN2OToCO2e_Arguments()</f>
        <v>EN2O</v>
      </c>
      <c r="O127" s="56" t="str">
        <v>Nitrous oxide emissions (t N2O)</v>
      </c>
      <c r="P127" s="97"/>
      <c r="Q127" s="50">
        <f ca="1">O125</f>
        <v>2.4944401836750004E-2</v>
      </c>
    </row>
    <row r="128" spans="4:19" ht="20.100000000000001" customHeight="1" x14ac:dyDescent="0.25">
      <c r="D128" s="55" t="str">
        <v>GWPN2O</v>
      </c>
      <c r="E128" s="56" t="str">
        <v>Global warming potential for nitrous oxide (t CO2-e / t N2O)</v>
      </c>
      <c r="F128" s="97"/>
      <c r="G128" s="50">
        <f>Common_InputFunctions.Utility_LookupValueInTableNumber("N2O",Table_GWPData[Gas],Table_GWPData[CO2-e factor])</f>
        <v>265</v>
      </c>
      <c r="N128" s="55" t="str">
        <v>GWPN2O</v>
      </c>
      <c r="O128" s="56" t="str">
        <v>Global warming potential for nitrous oxide (t CO2-e / t N2O)</v>
      </c>
      <c r="P128" s="97"/>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93</v>
      </c>
      <c r="E130" s="43" cm="1">
        <f t="array" aca="1" ref="E130" ca="1">Common_Equations.Common_ConvertN2OToCO2e(G127,G128)</f>
        <v>6.6102664867387508</v>
      </c>
      <c r="F130" s="98" t="str" cm="1">
        <f t="array" ref="F130">Common_Equations.Common_ConvertN2OToCO2e_Unit()</f>
        <v>t CO2e</v>
      </c>
      <c r="N130" s="43" t="s">
        <v>93</v>
      </c>
      <c r="O130" s="43" cm="1">
        <f t="array" aca="1" ref="O130" ca="1">Common_Equations.Common_ConvertN2OToCO2e(Q127,Q128)</f>
        <v>6.6102664867387508</v>
      </c>
      <c r="P130" s="98"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S165"/>
  <sheetViews>
    <sheetView showGridLines="0" topLeftCell="A1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276</v>
      </c>
      <c r="K1"/>
    </row>
    <row r="2" spans="1:19" s="9" customFormat="1" ht="20.100000000000001" customHeight="1" x14ac:dyDescent="0.25">
      <c r="A2"/>
      <c r="K2"/>
    </row>
    <row r="3" spans="1:19" ht="20.100000000000001" customHeight="1" x14ac:dyDescent="0.25">
      <c r="A3" s="17" t="str">
        <f>HYPERLINK("#'Home'!A1", "Home")</f>
        <v>Home</v>
      </c>
      <c r="C3" s="4"/>
      <c r="D3" s="4" t="s">
        <v>94</v>
      </c>
      <c r="E3" s="4"/>
      <c r="F3" s="4"/>
      <c r="G3" s="4"/>
      <c r="H3" s="4"/>
      <c r="I3" s="4"/>
      <c r="J3" s="4"/>
      <c r="L3" s="4"/>
      <c r="M3" s="4" t="s">
        <v>95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0" t="s">
        <v>263</v>
      </c>
    </row>
    <row r="11" spans="1:19" ht="20.100000000000001" customHeight="1" x14ac:dyDescent="0.25">
      <c r="D11" s="51" t="s">
        <v>16</v>
      </c>
      <c r="E11" s="52" t="str" cm="1">
        <f t="array" ref="E11">MMS_Swine_LeachingAndRunoff_Equations.VEERG_4_5_1_7__2_MassOfNitrogenLostToLeachingAndRunoffFromDrylotMMS_Unit()</f>
        <v>kg N</v>
      </c>
      <c r="F11" s="100" t="s">
        <v>268</v>
      </c>
    </row>
    <row r="12" spans="1:19" ht="20.100000000000001" customHeight="1" x14ac:dyDescent="0.25"/>
    <row r="13" spans="1:19" ht="20.100000000000001" customHeight="1" x14ac:dyDescent="0.25">
      <c r="A13" s="18" t="s">
        <v>71</v>
      </c>
      <c r="D13" s="132" t="str" cm="1">
        <f t="array" ref="D13:E18">Common_InputFunctions.Utility_DisplayArguments_1_2(MMS_Swine_LeachingAndRunoff_Equations.VEERG_4_5_1_7__2_MassOfNitrogenLostToLeachingAndRunoffFromDrylotMMS_Arguments())</f>
        <v>MN_jm5T1</v>
      </c>
      <c r="E13" s="134" t="str">
        <v>nitrogen in treatment stage 1 drylot MMS</v>
      </c>
      <c r="F13" s="133"/>
      <c r="G13" s="132" t="str" cm="1">
        <f t="array" ref="G13:H18">Common_InputFunctions.Utility_DisplayArguments_3_4(MMS_Swine_LeachingAndRunoff_Equations.VEERG_4_5_1_7__2_MassOfNitrogenLostToLeachingAndRunoffFromDrylotMMS_Arguments())</f>
        <v>kg N</v>
      </c>
      <c r="H13" s="127" t="str">
        <v>Calculated from 4.5.1.3 (2)</v>
      </c>
      <c r="I13" s="131" t="str" cm="1">
        <f t="array" aca="1" ref="I13" ca="1">HYPERLINK(Common_InputFunctions.Utility_SourceHyperlink(D20), D20)</f>
        <v>M1_Table_MN_j_m-5_T-1</v>
      </c>
    </row>
    <row r="14" spans="1:19" ht="20.100000000000001" customHeight="1" x14ac:dyDescent="0.25">
      <c r="A14" s="17" t="str">
        <f>HYPERLINK("#'4.5.1.1-2 Methane'!A1", "4.5.1.1-2 Methane")</f>
        <v>4.5.1.1-2 Methane</v>
      </c>
      <c r="D14" s="132" t="str">
        <v>FracWET</v>
      </c>
      <c r="E14" s="134" t="str">
        <v>fraction of N available for leaching and runoff</v>
      </c>
      <c r="F14" s="133"/>
      <c r="G14" s="132" t="str">
        <v>fraction</v>
      </c>
      <c r="H14" s="127" t="str">
        <v>Constant</v>
      </c>
      <c r="I14" s="132">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17" t="str">
        <f>HYPERLINK("#'4.5.1.3-4 Direct N2O'!A1", "4.5.1.3-4 Direct N2O")</f>
        <v>4.5.1.3-4 Direct N2O</v>
      </c>
      <c r="D15" s="132" t="str">
        <v>FracLEACH_MS</v>
      </c>
      <c r="E15" s="134" t="str">
        <v>fraction of N lost through leaching and runoff</v>
      </c>
      <c r="F15" s="133"/>
      <c r="G15" s="132" t="str">
        <v>fraction</v>
      </c>
      <c r="H15" s="127" t="str">
        <v>Constant</v>
      </c>
      <c r="I15" s="132">
        <f>SourceData_Swine_FracLEACH_DrylotMMS_Data</f>
        <v>0.02</v>
      </c>
    </row>
    <row r="16" spans="1:19" ht="20.100000000000001" customHeight="1" x14ac:dyDescent="0.25">
      <c r="A16" s="17" t="str">
        <f>HYPERLINK("#'4.5.1.5-6 Atmos Dep'!A1", "4.5.1.5-6 Atmos Dep")</f>
        <v>4.5.1.5-6 Atmos Dep</v>
      </c>
      <c r="D16" s="132" t="str">
        <v>z</v>
      </c>
      <c r="E16" s="134" t="str">
        <v>location in leaching zone</v>
      </c>
      <c r="F16" s="133"/>
      <c r="G16" s="132" t="str">
        <v/>
      </c>
      <c r="H16" s="128" t="str">
        <v>Input</v>
      </c>
      <c r="I16" s="132" t="str">
        <f>X_Cell_Site_LeachingZone</f>
        <v>NO - Not in leaching zone</v>
      </c>
    </row>
    <row r="17" spans="1:19" ht="20.100000000000001" customHeight="1" x14ac:dyDescent="0.25">
      <c r="A17" s="143" t="str">
        <f>HYPERLINK("#'4.5.1.7-8 Leaching and runoff'!A1", "4.5.1.7-8 Leaching and runoff")</f>
        <v>4.5.1.7-8 Leaching and runoff</v>
      </c>
      <c r="D17" s="132" t="str">
        <v>j</v>
      </c>
      <c r="E17" s="134" t="str">
        <v>production system</v>
      </c>
      <c r="F17" s="133"/>
      <c r="G17" s="132" t="str">
        <v/>
      </c>
      <c r="H17" s="128" t="str">
        <v>Input</v>
      </c>
      <c r="I17" s="132" t="str">
        <f>X_Cell_Swine_ManureAppliedProductionSystem</f>
        <v>Crop</v>
      </c>
    </row>
    <row r="18" spans="1:19" ht="20.100000000000001" customHeight="1" x14ac:dyDescent="0.25">
      <c r="A18" s="17" t="str">
        <f>HYPERLINK("#'4.5.1.9 Manure applied to soils'!A1", "4.5.1.9 Manure applied to soils")</f>
        <v>4.5.1.9 Manure applied to soils</v>
      </c>
      <c r="D18" s="132" t="str">
        <v>ir</v>
      </c>
      <c r="E18" s="134" t="str">
        <v>irrigation method</v>
      </c>
      <c r="F18" s="133"/>
      <c r="G18" s="132" t="str">
        <v/>
      </c>
      <c r="H18" s="128" t="str">
        <v>Input</v>
      </c>
      <c r="I18" s="132" t="str">
        <f>X_Cell_Swine_ManureAppliedIrrigationMethod</f>
        <v>Sprinkler irrigation</v>
      </c>
    </row>
    <row r="19" spans="1:19" ht="20.100000000000001" customHeight="1" x14ac:dyDescent="0.25"/>
    <row r="20" spans="1:19" ht="20.100000000000001" customHeight="1" x14ac:dyDescent="0.25">
      <c r="D20" s="92" t="s">
        <v>264</v>
      </c>
      <c r="M20" s="92" t="s">
        <v>266</v>
      </c>
    </row>
    <row r="21" spans="1:19" ht="20.100000000000001" customHeight="1" x14ac:dyDescent="0.25">
      <c r="A21" s="141" t="s">
        <v>1</v>
      </c>
      <c r="D21" s="91" t="s">
        <v>265</v>
      </c>
      <c r="M21" s="91" t="s">
        <v>267</v>
      </c>
    </row>
    <row r="22" spans="1:19" ht="20.100000000000001" customHeight="1" x14ac:dyDescent="0.25">
      <c r="A22" s="17" t="str">
        <f>HYPERLINK("#'Constants - Swine'!A1", "Constants - Swine")</f>
        <v>Constants - Swine</v>
      </c>
      <c r="D22" s="49" t="s">
        <v>155</v>
      </c>
      <c r="E22" s="49" t="s">
        <v>134</v>
      </c>
      <c r="F22" s="49" t="s">
        <v>135</v>
      </c>
      <c r="G22" s="49" t="s">
        <v>136</v>
      </c>
      <c r="H22" s="49" t="s">
        <v>192</v>
      </c>
      <c r="M22" s="49" t="s">
        <v>155</v>
      </c>
      <c r="N22" s="49" t="s">
        <v>134</v>
      </c>
      <c r="O22" s="49" t="s">
        <v>135</v>
      </c>
      <c r="P22" s="49" t="s">
        <v>136</v>
      </c>
      <c r="Q22" s="49" t="s">
        <v>192</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Common livestock'!A1", "Constants - Common livestock")</f>
        <v>Constants - Common livestock</v>
      </c>
    </row>
    <row r="25" spans="1:19" ht="20.100000000000001" customHeight="1" x14ac:dyDescent="0.25">
      <c r="A25" s="17" t="str">
        <f>HYPERLINK("#'Acknowledgements'!A1", "Acknowledgements")</f>
        <v>Acknowledgements</v>
      </c>
      <c r="D25" s="92" t="s">
        <v>269</v>
      </c>
      <c r="M25" s="92" t="s">
        <v>269</v>
      </c>
    </row>
    <row r="26" spans="1:19" ht="20.100000000000001" customHeight="1" x14ac:dyDescent="0.25">
      <c r="A26" s="17" t="str">
        <f>HYPERLINK("#'Tab template'!A1", "Tab template")</f>
        <v>Tab template</v>
      </c>
      <c r="D26" s="91" t="s">
        <v>270</v>
      </c>
      <c r="M26" s="91" t="s">
        <v>270</v>
      </c>
    </row>
    <row r="27" spans="1:19" ht="20.100000000000001" customHeight="1" x14ac:dyDescent="0.25">
      <c r="D27" s="49" t="s">
        <v>155</v>
      </c>
      <c r="E27" s="49" t="s">
        <v>134</v>
      </c>
      <c r="F27" s="49" t="s">
        <v>135</v>
      </c>
      <c r="G27" s="49" t="s">
        <v>136</v>
      </c>
      <c r="H27" s="49" t="s">
        <v>192</v>
      </c>
      <c r="M27" s="49" t="s">
        <v>155</v>
      </c>
      <c r="N27" s="49" t="s">
        <v>134</v>
      </c>
      <c r="O27" s="49" t="s">
        <v>135</v>
      </c>
      <c r="P27" s="49" t="s">
        <v>136</v>
      </c>
      <c r="Q27" s="49" t="s">
        <v>192</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2" t="str" cm="1">
        <f t="array" ref="D40:E42">Common_InputFunctions.Utility_DisplayArguments_1_2(MMS_Swine_LeachingAndRunoff_Equations.VEERG_4_5_1_7__1_AnnualEmissionsFromLeachingAndRunoffFromMMS_Arguments())</f>
        <v>MNLeach_jm5</v>
      </c>
      <c r="E40" s="134" t="str">
        <v>mass of N lost through leaching and runoff from drylot MMS</v>
      </c>
      <c r="F40" s="133"/>
      <c r="G40" s="132" t="str" cm="1">
        <f t="array" ref="G40:H42">Common_InputFunctions.Utility_DisplayArguments_3_4(MMS_Swine_LeachingAndRunoff_Equations.VEERG_4_5_1_7__1_AnnualEmissionsFromLeachingAndRunoffFromMMS_Arguments())</f>
        <v>kg N</v>
      </c>
      <c r="H40" s="127" t="str">
        <v>Calculated from 4.5.1.7 (2)</v>
      </c>
      <c r="I40" s="131" t="str" cm="1">
        <f t="array" aca="1" ref="I40" ca="1">HYPERLINK(Common_InputFunctions.Utility_SourceHyperlink(D25), D25)</f>
        <v>M1_Table_MN_leach_j_m-5</v>
      </c>
    </row>
    <row r="41" spans="4:18" ht="20.100000000000001" customHeight="1" x14ac:dyDescent="0.25">
      <c r="D41" s="132" t="str">
        <v>EF_leach</v>
      </c>
      <c r="E41" s="134" t="str">
        <v>emission factor for leaching and runoff</v>
      </c>
      <c r="F41" s="133"/>
      <c r="G41" s="132" t="str">
        <v>kg N2O-N/kg N</v>
      </c>
      <c r="H41" s="127" t="str">
        <v>Constant</v>
      </c>
      <c r="I41" s="132">
        <f>'Constants - Common'!$E$170</f>
        <v>1.0999999999999999E-2</v>
      </c>
    </row>
    <row r="42" spans="4:18" ht="20.100000000000001" customHeight="1" x14ac:dyDescent="0.25">
      <c r="D42" s="132" t="str">
        <v>C_N2O</v>
      </c>
      <c r="E42" s="134" t="str">
        <v>factor to convert elemental mass of N2O to molecular mass</v>
      </c>
      <c r="F42" s="133"/>
      <c r="G42" s="132" t="str">
        <v/>
      </c>
      <c r="H42" s="127" t="str">
        <v>Constant</v>
      </c>
      <c r="I42" s="132">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2" t="s">
        <v>271</v>
      </c>
      <c r="M44" s="92" t="s">
        <v>274</v>
      </c>
    </row>
    <row r="45" spans="4:18" ht="20.100000000000001" customHeight="1" x14ac:dyDescent="0.25">
      <c r="D45" s="91" t="s">
        <v>272</v>
      </c>
      <c r="M45" s="91" t="s">
        <v>275</v>
      </c>
    </row>
    <row r="46" spans="4:18" ht="20.100000000000001" customHeight="1" x14ac:dyDescent="0.25">
      <c r="D46" s="49" t="s">
        <v>155</v>
      </c>
      <c r="E46" s="49" t="s">
        <v>134</v>
      </c>
      <c r="F46" s="49" t="s">
        <v>135</v>
      </c>
      <c r="G46" s="49" t="s">
        <v>136</v>
      </c>
      <c r="H46" s="49" t="s">
        <v>192</v>
      </c>
      <c r="M46" s="49" t="s">
        <v>155</v>
      </c>
      <c r="N46" s="49" t="s">
        <v>134</v>
      </c>
      <c r="O46" s="49" t="s">
        <v>135</v>
      </c>
      <c r="P46" s="49" t="s">
        <v>136</v>
      </c>
      <c r="Q46" s="49" t="s">
        <v>192</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4" t="s">
        <v>273</v>
      </c>
      <c r="E49" s="95">
        <f ca="1">SUM(E47:H47)</f>
        <v>2.6075015999999998E-4</v>
      </c>
      <c r="F49" s="96" t="str">
        <f>$E$38</f>
        <v>t N2O</v>
      </c>
      <c r="M49" s="94" t="s">
        <v>273</v>
      </c>
      <c r="N49" s="95">
        <f ca="1">SUM(N47:Q47)</f>
        <v>2.6075015999999998E-4</v>
      </c>
      <c r="O49" s="96"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97"/>
      <c r="G51" s="50">
        <f ca="1">E49</f>
        <v>2.6075015999999998E-4</v>
      </c>
      <c r="M51" s="55" t="str" cm="1">
        <f t="array" ref="M51:N52">Common_Equations.Common_ConvertN2OToCO2e_Arguments()</f>
        <v>EN2O</v>
      </c>
      <c r="N51" s="56" t="str">
        <v>Nitrous oxide emissions (t N2O)</v>
      </c>
      <c r="O51" s="97"/>
      <c r="P51" s="50">
        <f ca="1">N49</f>
        <v>2.6075015999999998E-4</v>
      </c>
    </row>
    <row r="52" spans="4:16" ht="20.100000000000001" customHeight="1" x14ac:dyDescent="0.25">
      <c r="D52" s="55" t="str">
        <v>GWPN2O</v>
      </c>
      <c r="E52" s="56" t="str">
        <v>Global warming potential for nitrous oxide (t CO2-e / t N2O)</v>
      </c>
      <c r="F52" s="97"/>
      <c r="G52" s="50">
        <f>Common_InputFunctions.Utility_LookupValueInTableNumber("N2O",Table_GWPData[Gas],Table_GWPData[CO2-e factor])</f>
        <v>265</v>
      </c>
      <c r="M52" s="55" t="str">
        <v>GWPN2O</v>
      </c>
      <c r="N52" s="56" t="str">
        <v>Global warming potential for nitrous oxide (t CO2-e / t N2O)</v>
      </c>
      <c r="O52" s="97"/>
      <c r="P52" s="50">
        <f>Common_InputFunctions.Utility_LookupValueInTableNumber("N2O",Table_GWPData[Gas],Table_GWPData[CO2-e factor])</f>
        <v>265</v>
      </c>
    </row>
    <row r="53" spans="4:16" ht="20.100000000000001" customHeight="1" x14ac:dyDescent="0.25"/>
    <row r="54" spans="4:16" ht="20.100000000000001" customHeight="1" x14ac:dyDescent="0.25">
      <c r="D54" s="43" t="s">
        <v>93</v>
      </c>
      <c r="E54" s="43" cm="1">
        <f t="array" aca="1" ref="E54" ca="1">Common_Equations.Common_ConvertN2OToCO2e(G51,G52)</f>
        <v>6.9098792399999998E-2</v>
      </c>
      <c r="F54" s="98" t="str" cm="1">
        <f t="array" ref="F54">Common_Equations.Common_ConvertN2OToCO2e_Unit()</f>
        <v>t CO2e</v>
      </c>
      <c r="M54" s="43" t="s">
        <v>93</v>
      </c>
      <c r="N54" s="43" cm="1">
        <f t="array" aca="1" ref="N54" ca="1">Common_Equations.Common_ConvertN2OToCO2e(P51,P52)</f>
        <v>6.9098792399999998E-2</v>
      </c>
      <c r="O54" s="98"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86"/>
  <sheetViews>
    <sheetView showGridLines="0" topLeftCell="A145"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278</v>
      </c>
    </row>
    <row r="2" spans="1:21" s="9" customFormat="1" ht="20.100000000000001" customHeight="1" x14ac:dyDescent="0.25">
      <c r="A2"/>
    </row>
    <row r="3" spans="1:21" ht="20.100000000000001" customHeight="1" x14ac:dyDescent="0.25">
      <c r="A3" s="17" t="str">
        <f>HYPERLINK("#'Home'!A1", "Home")</f>
        <v>Home</v>
      </c>
      <c r="C3" s="4"/>
      <c r="D3" s="4" t="s">
        <v>94</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0" t="s">
        <v>280</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279</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3"/>
      <c r="G13" s="57" t="str" cm="1">
        <f t="array" ref="G13:H17">Common_InputFunctions.Utility_DisplayArguments_3_4(MMS_Swine_ManureAppliedToSoils_Equations.VEERG_4_5_1_9__1_MassOfNitrogenAppliedToSoilsScope1_Arguments())</f>
        <v>kg N</v>
      </c>
      <c r="H13" s="127" t="str">
        <v>Calculated from 4.5.1.3 (6)</v>
      </c>
      <c r="I13" s="129"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3"/>
      <c r="G14" s="57" t="str">
        <v>kg N2O-N/kg N</v>
      </c>
      <c r="H14" s="127" t="str">
        <v>Constant</v>
      </c>
      <c r="I14" s="129"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3"/>
      <c r="G15" s="57" t="str">
        <v>(kg NH3-N + NOx-N)/kg N</v>
      </c>
      <c r="H15" s="127" t="str">
        <v>Constant</v>
      </c>
      <c r="I15" s="129"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3"/>
      <c r="G16" s="57" t="str">
        <v>kg N</v>
      </c>
      <c r="H16" s="127" t="str">
        <v>Calculated from 4.5.1.7 (2)</v>
      </c>
      <c r="I16" s="129"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3"/>
      <c r="G17" s="57" t="str">
        <v>fraction</v>
      </c>
      <c r="H17" s="128" t="str">
        <v>Input</v>
      </c>
      <c r="I17" s="129" t="str" cm="1">
        <f t="array" aca="1" ref="I17" ca="1">HYPERLINK(Common_InputFunctions.Utility_SourceHyperlink(D79), D79)</f>
        <v>M1_Table_PF</v>
      </c>
    </row>
    <row r="18" spans="1:20" ht="20.100000000000001" customHeight="1" x14ac:dyDescent="0.25">
      <c r="A18" s="143" t="str">
        <f>HYPERLINK("#'4.5.1.9 Manure applied to soils'!A1", "4.5.1.9 Manure applied to soils")</f>
        <v>4.5.1.9 Manure applied to soils</v>
      </c>
    </row>
    <row r="19" spans="1:20" ht="20.100000000000001" customHeight="1" x14ac:dyDescent="0.25">
      <c r="D19" s="113" t="s">
        <v>244</v>
      </c>
      <c r="N19" s="113" t="s">
        <v>300</v>
      </c>
    </row>
    <row r="20" spans="1:20" ht="20.100000000000001" customHeight="1" x14ac:dyDescent="0.25">
      <c r="D20" s="114" t="s">
        <v>245</v>
      </c>
      <c r="N20" s="114" t="s">
        <v>301</v>
      </c>
    </row>
    <row r="21" spans="1:20" ht="20.100000000000001" customHeight="1" x14ac:dyDescent="0.25">
      <c r="A21" s="141" t="s">
        <v>1</v>
      </c>
      <c r="D21" s="49" t="s">
        <v>155</v>
      </c>
      <c r="E21" s="49" t="s">
        <v>163</v>
      </c>
      <c r="F21" s="49" t="s">
        <v>134</v>
      </c>
      <c r="G21" s="49" t="s">
        <v>135</v>
      </c>
      <c r="H21" s="49" t="s">
        <v>136</v>
      </c>
      <c r="I21" s="49" t="s">
        <v>192</v>
      </c>
      <c r="N21" s="49" t="s">
        <v>155</v>
      </c>
      <c r="O21" s="49" t="s">
        <v>163</v>
      </c>
      <c r="P21" s="49" t="s">
        <v>134</v>
      </c>
      <c r="Q21" s="49" t="s">
        <v>135</v>
      </c>
      <c r="R21" s="49" t="s">
        <v>136</v>
      </c>
      <c r="S21" s="49" t="s">
        <v>192</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Common livestock'!A1", "Constants - Common livestock")</f>
        <v>Constants - Common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343</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343</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3" t="s">
        <v>269</v>
      </c>
      <c r="N49" s="113" t="s">
        <v>269</v>
      </c>
    </row>
    <row r="50" spans="4:20" ht="20.100000000000001" customHeight="1" x14ac:dyDescent="0.25">
      <c r="D50" s="114" t="s">
        <v>289</v>
      </c>
      <c r="N50" s="114" t="s">
        <v>289</v>
      </c>
    </row>
    <row r="51" spans="4:20" ht="20.100000000000001" customHeight="1" x14ac:dyDescent="0.25">
      <c r="D51" s="49" t="s">
        <v>155</v>
      </c>
      <c r="E51" s="49" t="s">
        <v>163</v>
      </c>
      <c r="F51" s="49" t="s">
        <v>134</v>
      </c>
      <c r="G51" s="49" t="s">
        <v>135</v>
      </c>
      <c r="H51" s="49" t="s">
        <v>136</v>
      </c>
      <c r="I51" s="49" t="s">
        <v>192</v>
      </c>
      <c r="N51" s="49" t="s">
        <v>155</v>
      </c>
      <c r="O51" s="49" t="s">
        <v>163</v>
      </c>
      <c r="P51" s="49" t="s">
        <v>134</v>
      </c>
      <c r="Q51" s="49" t="s">
        <v>135</v>
      </c>
      <c r="R51" s="49" t="s">
        <v>136</v>
      </c>
      <c r="S51" s="49" t="s">
        <v>192</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343</v>
      </c>
      <c r="E73" s="55" t="str">
        <f>INDEX(X_Table_Swine_Stage2MMS_From_SolidStorage,2,1)</f>
        <v>Anaerobic lagoon</v>
      </c>
      <c r="F73" s="50">
        <v>0</v>
      </c>
      <c r="G73" s="50">
        <v>0</v>
      </c>
      <c r="H73" s="50">
        <v>0</v>
      </c>
      <c r="I73" s="50">
        <v>0</v>
      </c>
      <c r="J73" s="2"/>
      <c r="N73" s="55" t="s">
        <v>343</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3" t="s">
        <v>290</v>
      </c>
    </row>
    <row r="80" spans="4:20" ht="20.100000000000001" customHeight="1" x14ac:dyDescent="0.25">
      <c r="D80" s="114" t="s">
        <v>291</v>
      </c>
    </row>
    <row r="81" spans="4:7" ht="20.100000000000001" customHeight="1" x14ac:dyDescent="0.25">
      <c r="D81" s="111" t="s">
        <v>155</v>
      </c>
      <c r="E81" s="111" t="s">
        <v>163</v>
      </c>
      <c r="F81" s="111" t="s">
        <v>292</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343</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3" t="s">
        <v>293</v>
      </c>
    </row>
    <row r="110" spans="4:7" ht="20.100000000000001" customHeight="1" x14ac:dyDescent="0.25">
      <c r="D110" s="114" t="s">
        <v>294</v>
      </c>
    </row>
    <row r="111" spans="4:7" ht="20.100000000000001" customHeight="1" x14ac:dyDescent="0.25">
      <c r="D111" s="49" t="s">
        <v>155</v>
      </c>
      <c r="E111" s="49" t="s">
        <v>237</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343</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3" t="s">
        <v>295</v>
      </c>
    </row>
    <row r="121" spans="4:6" ht="20.100000000000001" customHeight="1" x14ac:dyDescent="0.25">
      <c r="D121" s="114" t="s">
        <v>296</v>
      </c>
    </row>
    <row r="122" spans="4:6" ht="20.100000000000001" customHeight="1" x14ac:dyDescent="0.25">
      <c r="D122" s="49" t="s">
        <v>64</v>
      </c>
      <c r="E122" s="49" t="s">
        <v>240</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343</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3" t="s">
        <v>297</v>
      </c>
      <c r="N131" s="113" t="s">
        <v>297</v>
      </c>
    </row>
    <row r="132" spans="4:20" ht="20.100000000000001" customHeight="1" x14ac:dyDescent="0.25">
      <c r="D132" s="114" t="s">
        <v>298</v>
      </c>
      <c r="N132" s="114" t="s">
        <v>298</v>
      </c>
    </row>
    <row r="133" spans="4:20" ht="20.100000000000001" customHeight="1" x14ac:dyDescent="0.25">
      <c r="D133" s="49" t="s">
        <v>155</v>
      </c>
      <c r="E133" s="49" t="s">
        <v>163</v>
      </c>
      <c r="F133" s="49" t="s">
        <v>134</v>
      </c>
      <c r="G133" s="49" t="s">
        <v>135</v>
      </c>
      <c r="H133" s="49" t="s">
        <v>136</v>
      </c>
      <c r="I133" s="49" t="s">
        <v>192</v>
      </c>
      <c r="N133" s="49" t="s">
        <v>155</v>
      </c>
      <c r="O133" s="49" t="s">
        <v>163</v>
      </c>
      <c r="P133" s="49" t="s">
        <v>134</v>
      </c>
      <c r="Q133" s="49" t="s">
        <v>135</v>
      </c>
      <c r="R133" s="49" t="s">
        <v>136</v>
      </c>
      <c r="S133" s="49" t="s">
        <v>192</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343</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343</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4" t="s">
        <v>299</v>
      </c>
      <c r="E161" s="95">
        <f ca="1">SUM(F134:I159)</f>
        <v>3256.7704915650011</v>
      </c>
      <c r="F161" s="96" t="str">
        <f>$E$11</f>
        <v>kg N</v>
      </c>
      <c r="N161" s="94" t="s">
        <v>299</v>
      </c>
      <c r="O161" s="95">
        <f ca="1">SUM(P134:S159)</f>
        <v>3256.7704915650011</v>
      </c>
      <c r="P161" s="96" t="str">
        <f>$E$11</f>
        <v>kg N</v>
      </c>
    </row>
    <row r="162" spans="1:21" ht="20.100000000000001" customHeight="1" x14ac:dyDescent="0.25"/>
    <row r="163" spans="1:21" ht="20.100000000000001" customHeight="1" x14ac:dyDescent="0.25">
      <c r="A163" s="137"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2" t="str" cm="1">
        <f t="array" ref="D173:E177">Common_InputFunctions.Utility_DisplayArguments_1_2(MMS_Swine_ManureAppliedToSoils_Equations.VEERG_4_5_1_9__2_MassOfNitrogenAppliedToSoilsScope3_Arguments())</f>
        <v>MN_jmT2</v>
      </c>
      <c r="E173" s="134" t="str">
        <v>mass of N in MMS at treatment stage 2</v>
      </c>
      <c r="F173" s="133"/>
      <c r="G173" s="132" t="str" cm="1">
        <f t="array" ref="G173:H177">Common_InputFunctions.Utility_DisplayArguments_3_4(MMS_Swine_ManureAppliedToSoils_Equations.VEERG_4_5_1_9__2_MassOfNitrogenAppliedToSoilsScope3_Arguments())</f>
        <v>kg N</v>
      </c>
      <c r="H173" s="127" t="str">
        <v>Calculated from 4.5.1.3 (6)</v>
      </c>
      <c r="I173" s="131" t="str" cm="1">
        <f t="array" aca="1" ref="I173" ca="1">HYPERLINK(Common_InputFunctions.Utility_SourceHyperlink(D19), D19)</f>
        <v>M1_Table_MN_j_m_T-2</v>
      </c>
    </row>
    <row r="174" spans="1:21" ht="20.100000000000001" customHeight="1" x14ac:dyDescent="0.25">
      <c r="D174" s="132" t="str">
        <v>EF_mT2</v>
      </c>
      <c r="E174" s="134" t="str">
        <v>nitrous oxide emission factor for each MMS at treatment stage 2</v>
      </c>
      <c r="F174" s="133"/>
      <c r="G174" s="132" t="str">
        <v>kg N2O-N/kg N</v>
      </c>
      <c r="H174" s="127" t="str">
        <v>Constant</v>
      </c>
      <c r="I174" s="131" t="str" cm="1">
        <f t="array" aca="1" ref="I174" ca="1">HYPERLINK(Common_InputFunctions.Utility_SourceHyperlink(D120), D120)</f>
        <v>Table_EF_m_T</v>
      </c>
    </row>
    <row r="175" spans="1:21" ht="20.100000000000001" customHeight="1" x14ac:dyDescent="0.25">
      <c r="D175" s="132" t="str">
        <v>FracGASM_mT2</v>
      </c>
      <c r="E175" s="134" t="str">
        <v>fraction of animal waste N volatilised in each MMS at treatment stage 2</v>
      </c>
      <c r="F175" s="133"/>
      <c r="G175" s="132" t="str">
        <v>(kg NH3-N + NOx-N)/kg N</v>
      </c>
      <c r="H175" s="127" t="str">
        <v>Constant</v>
      </c>
      <c r="I175" s="131" t="str" cm="1">
        <f t="array" aca="1" ref="I175" ca="1">HYPERLINK(Common_InputFunctions.Utility_SourceHyperlink(D109), D109)</f>
        <v>Table_FracGASM_m_t</v>
      </c>
    </row>
    <row r="176" spans="1:21" ht="20.100000000000001" customHeight="1" x14ac:dyDescent="0.25">
      <c r="D176" s="132" t="str">
        <v>MNLeach_jm5</v>
      </c>
      <c r="E176" s="134" t="str">
        <v>mass of N lost to leaching and runoff from drylot MMS</v>
      </c>
      <c r="F176" s="133"/>
      <c r="G176" s="132" t="str">
        <v>kg N</v>
      </c>
      <c r="H176" s="127" t="str">
        <v>Calculated from 4.5.1.7 (2)</v>
      </c>
      <c r="I176" s="131" t="str" cm="1">
        <f t="array" aca="1" ref="I176" ca="1">HYPERLINK(Common_InputFunctions.Utility_SourceHyperlink(D49), D49)</f>
        <v>M1_Table_MN_leach_j_m-5</v>
      </c>
    </row>
    <row r="177" spans="4:20" ht="20.100000000000001" customHeight="1" x14ac:dyDescent="0.25">
      <c r="D177" s="132" t="str">
        <v>PF</v>
      </c>
      <c r="E177" s="134" t="str">
        <v>fraction of manure applied to soil within the piggery boundary</v>
      </c>
      <c r="F177" s="133"/>
      <c r="G177" s="132" t="str">
        <v>fraction</v>
      </c>
      <c r="H177" s="128" t="str">
        <v>Input</v>
      </c>
      <c r="I177" s="131" t="str" cm="1">
        <f t="array" aca="1" ref="I177" ca="1">HYPERLINK(Common_InputFunctions.Utility_SourceHyperlink(D79), D79)</f>
        <v>M1_Table_PF</v>
      </c>
    </row>
    <row r="178" spans="4:20" ht="20.100000000000001" customHeight="1" x14ac:dyDescent="0.25"/>
    <row r="179" spans="4:20" ht="20.100000000000001" customHeight="1" x14ac:dyDescent="0.25">
      <c r="D179" s="113" t="s">
        <v>302</v>
      </c>
      <c r="N179" s="113" t="s">
        <v>302</v>
      </c>
    </row>
    <row r="180" spans="4:20" ht="20.100000000000001" customHeight="1" x14ac:dyDescent="0.25">
      <c r="D180" s="114" t="s">
        <v>303</v>
      </c>
      <c r="N180" s="114" t="s">
        <v>303</v>
      </c>
    </row>
    <row r="181" spans="4:20" ht="20.100000000000001" customHeight="1" x14ac:dyDescent="0.25">
      <c r="D181" s="49" t="s">
        <v>155</v>
      </c>
      <c r="E181" s="49" t="s">
        <v>163</v>
      </c>
      <c r="F181" s="49" t="s">
        <v>134</v>
      </c>
      <c r="G181" s="49" t="s">
        <v>135</v>
      </c>
      <c r="H181" s="49" t="s">
        <v>136</v>
      </c>
      <c r="I181" s="49" t="s">
        <v>192</v>
      </c>
      <c r="N181" s="49" t="s">
        <v>155</v>
      </c>
      <c r="O181" s="49" t="s">
        <v>163</v>
      </c>
      <c r="P181" s="49" t="s">
        <v>134</v>
      </c>
      <c r="Q181" s="49" t="s">
        <v>135</v>
      </c>
      <c r="R181" s="49" t="s">
        <v>136</v>
      </c>
      <c r="S181" s="49" t="s">
        <v>192</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343</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343</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4" t="s">
        <v>304</v>
      </c>
      <c r="E209" s="95">
        <f ca="1">SUM(F182:I207)</f>
        <v>653.20846285499988</v>
      </c>
      <c r="F209" s="96" t="str">
        <f>$E$11</f>
        <v>kg N</v>
      </c>
      <c r="N209" s="94" t="s">
        <v>304</v>
      </c>
      <c r="O209" s="95">
        <f ca="1">SUM(P182:S207)</f>
        <v>653.20846285499988</v>
      </c>
      <c r="P209" s="96" t="str">
        <f>$E$11</f>
        <v>kg N</v>
      </c>
    </row>
    <row r="210" spans="1:21" ht="20.100000000000001" customHeight="1" x14ac:dyDescent="0.25"/>
    <row r="211" spans="1:21" ht="20.100000000000001" customHeight="1" x14ac:dyDescent="0.25">
      <c r="A211" s="137"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4" t="str">
        <f>"Below are applications of " &amp; D110 &amp; " that are applied to the following contexts:"</f>
        <v>Below are applications of Fraction of N volatilised from MMS that are applied to the following contexts:</v>
      </c>
      <c r="E213" s="84"/>
      <c r="F213" s="84"/>
      <c r="G213" s="84"/>
      <c r="H213" s="80"/>
    </row>
    <row r="214" spans="1:21" ht="20.100000000000001" customHeight="1" x14ac:dyDescent="0.25">
      <c r="D214" s="86" t="s">
        <v>305</v>
      </c>
      <c r="E214" s="83"/>
      <c r="F214" s="83"/>
      <c r="G214" s="83"/>
      <c r="H214" s="81"/>
    </row>
    <row r="215" spans="1:21" ht="20.100000000000001" customHeight="1" x14ac:dyDescent="0.25"/>
    <row r="216" spans="1:21" ht="20.100000000000001" customHeight="1" x14ac:dyDescent="0.25">
      <c r="D216" s="6" t="s">
        <v>306</v>
      </c>
    </row>
    <row r="217" spans="1:21" ht="20.100000000000001" customHeight="1" x14ac:dyDescent="0.25"/>
    <row r="218" spans="1:21" ht="20.100000000000001" customHeight="1" x14ac:dyDescent="0.25">
      <c r="D218" s="113" t="s">
        <v>307</v>
      </c>
    </row>
    <row r="219" spans="1:21" ht="20.100000000000001" customHeight="1" x14ac:dyDescent="0.25">
      <c r="D219" s="114" t="s">
        <v>308</v>
      </c>
    </row>
    <row r="220" spans="1:21" ht="20.100000000000001" customHeight="1" x14ac:dyDescent="0.25">
      <c r="D220" s="49" t="s">
        <v>155</v>
      </c>
      <c r="E220" s="49" t="s">
        <v>163</v>
      </c>
      <c r="F220" s="49" t="s">
        <v>309</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114</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343</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37" t="str">
        <f>HYPERLINK("#A1", "▲ Back to top")</f>
        <v>▲ Back to top</v>
      </c>
    </row>
    <row r="248" spans="1:20" ht="20.100000000000001" customHeight="1" x14ac:dyDescent="0.25">
      <c r="D248" s="113" t="s">
        <v>310</v>
      </c>
      <c r="N248" s="113" t="s">
        <v>312</v>
      </c>
    </row>
    <row r="249" spans="1:20" ht="20.100000000000001" customHeight="1" x14ac:dyDescent="0.25">
      <c r="D249" s="114" t="s">
        <v>313</v>
      </c>
      <c r="N249" s="114" t="s">
        <v>314</v>
      </c>
    </row>
    <row r="250" spans="1:20" ht="20.100000000000001" customHeight="1" x14ac:dyDescent="0.25">
      <c r="D250" s="49" t="s">
        <v>155</v>
      </c>
      <c r="E250" s="49" t="s">
        <v>163</v>
      </c>
      <c r="F250" s="49" t="s">
        <v>134</v>
      </c>
      <c r="G250" s="49" t="s">
        <v>135</v>
      </c>
      <c r="H250" s="49" t="s">
        <v>136</v>
      </c>
      <c r="I250" s="49" t="s">
        <v>192</v>
      </c>
      <c r="N250" s="49" t="s">
        <v>155</v>
      </c>
      <c r="O250" s="49" t="s">
        <v>163</v>
      </c>
      <c r="P250" s="49" t="s">
        <v>134</v>
      </c>
      <c r="Q250" s="49" t="s">
        <v>135</v>
      </c>
      <c r="R250" s="49" t="s">
        <v>136</v>
      </c>
      <c r="S250" s="49" t="s">
        <v>192</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343</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343</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37" t="str">
        <f>HYPERLINK("#A1", "▲ Back to top")</f>
        <v>▲ Back to top</v>
      </c>
      <c r="D278" s="94" t="s">
        <v>311</v>
      </c>
      <c r="E278" s="95">
        <f ca="1">SUM(F251:I276)</f>
        <v>653.20846285499988</v>
      </c>
      <c r="F278" s="96" t="str">
        <f>$E$11</f>
        <v>kg N</v>
      </c>
      <c r="N278" s="94" t="s">
        <v>311</v>
      </c>
      <c r="O278" s="95">
        <f ca="1">SUM(P251:S276)</f>
        <v>653.20846285499988</v>
      </c>
      <c r="P278" s="96"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G1" zoomScaleNormal="100" workbookViewId="0">
      <selection activeCell="I6" sqref="I6:I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250</v>
      </c>
      <c r="G6" s="6" t="s">
        <v>103</v>
      </c>
      <c r="I6" s="6" t="s">
        <v>418</v>
      </c>
      <c r="M6" s="1"/>
    </row>
    <row r="7" spans="1:21" ht="20.100000000000001" customHeight="1" x14ac:dyDescent="0.25">
      <c r="I7" s="1" t="s">
        <v>420</v>
      </c>
      <c r="M7" s="1"/>
    </row>
    <row r="8" spans="1:21" ht="20.100000000000001" customHeight="1" x14ac:dyDescent="0.25">
      <c r="A8" s="19" t="s">
        <v>0</v>
      </c>
      <c r="D8" s="36" t="s">
        <v>102</v>
      </c>
      <c r="G8" s="36" t="s">
        <v>101</v>
      </c>
      <c r="I8" s="36" t="s">
        <v>419</v>
      </c>
      <c r="M8" s="1"/>
    </row>
    <row r="9" spans="1:21" ht="20.100000000000001" customHeight="1" x14ac:dyDescent="0.25">
      <c r="A9" s="17" t="str">
        <f>HYPERLINK("#'Input - Site'!A1", "Site")</f>
        <v>Site</v>
      </c>
      <c r="D9" s="36" t="s">
        <v>332</v>
      </c>
      <c r="G9" s="36" t="s">
        <v>104</v>
      </c>
      <c r="I9" s="36" t="s">
        <v>134</v>
      </c>
      <c r="M9" s="1"/>
    </row>
    <row r="10" spans="1:21" ht="20.100000000000001" customHeight="1" x14ac:dyDescent="0.25">
      <c r="A10" s="17" t="str">
        <f>HYPERLINK("#'Input - Swine'!A1", "Swine")</f>
        <v>Swine</v>
      </c>
      <c r="D10" s="1" t="s">
        <v>129</v>
      </c>
      <c r="G10" s="36" t="s">
        <v>105</v>
      </c>
      <c r="I10" s="36" t="s">
        <v>135</v>
      </c>
      <c r="M10" s="1"/>
    </row>
    <row r="11" spans="1:21" ht="20.100000000000001" customHeight="1" x14ac:dyDescent="0.25">
      <c r="G11" s="1" t="s">
        <v>106</v>
      </c>
      <c r="I11" s="36" t="s">
        <v>136</v>
      </c>
      <c r="M11" s="1"/>
    </row>
    <row r="12" spans="1:21" ht="20.100000000000001" customHeight="1" x14ac:dyDescent="0.25">
      <c r="G12" s="1" t="s">
        <v>107</v>
      </c>
      <c r="I12" s="36" t="s">
        <v>192</v>
      </c>
      <c r="M12" s="1"/>
    </row>
    <row r="13" spans="1:21" ht="20.100000000000001" customHeight="1" x14ac:dyDescent="0.25">
      <c r="A13" s="18" t="s">
        <v>71</v>
      </c>
      <c r="G13" s="1" t="s">
        <v>108</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1"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4"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Common livestock'!A1", "Constants - Common livestock")</f>
        <v>Constants - Common livestock</v>
      </c>
      <c r="D24" s="6" t="str" cm="1">
        <f t="array" ref="D24">SourceData_Swine.SourceData_Swine_MMS_MCFs_Title()</f>
        <v>Methane conversion factor for temperature zone and manure management system.</v>
      </c>
      <c r="H24" s="100" t="s">
        <v>143</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0" t="s">
        <v>144</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76</v>
      </c>
      <c r="F28" s="36" t="s">
        <v>75</v>
      </c>
      <c r="G28" s="36" t="s">
        <v>78</v>
      </c>
      <c r="H28" s="36" t="s">
        <v>77</v>
      </c>
      <c r="I28" s="36" t="s">
        <v>79</v>
      </c>
      <c r="J28" s="36" t="s">
        <v>80</v>
      </c>
      <c r="K28" s="36" t="s">
        <v>81</v>
      </c>
      <c r="L28" s="36" t="s">
        <v>82</v>
      </c>
      <c r="M28" s="36" t="s">
        <v>145</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146</v>
      </c>
      <c r="G38" s="6" t="s">
        <v>147</v>
      </c>
      <c r="K38" s="6" t="s">
        <v>148</v>
      </c>
      <c r="M38" s="1"/>
    </row>
    <row r="39" spans="4:13" ht="20.100000000000001" customHeight="1" x14ac:dyDescent="0.25">
      <c r="M39" s="1"/>
    </row>
    <row r="40" spans="4:13" ht="20.100000000000001" customHeight="1" x14ac:dyDescent="0.25">
      <c r="D40" s="112" t="s">
        <v>64</v>
      </c>
      <c r="E40" s="36" t="s">
        <v>74</v>
      </c>
      <c r="G40" s="112" t="s">
        <v>64</v>
      </c>
      <c r="H40" s="36" t="s">
        <v>74</v>
      </c>
      <c r="K40" s="112" t="s">
        <v>64</v>
      </c>
      <c r="L40" s="36" t="s">
        <v>74</v>
      </c>
      <c r="M40" s="1"/>
    </row>
    <row r="41" spans="4:13" ht="20.100000000000001" customHeight="1" x14ac:dyDescent="0.25">
      <c r="D41" s="36" t="str">
        <f>'Constants - Common livestock'!$E$10</f>
        <v>Anaerobic lagoon</v>
      </c>
      <c r="E41" s="36" t="str">
        <f>'Constants - Common livestock'!$F$10</f>
        <v>Anaerobic lagoon (m=1)</v>
      </c>
      <c r="G41" s="36" t="str">
        <f>'Constants - Common livestock'!$E$10</f>
        <v>Anaerobic lagoon</v>
      </c>
      <c r="H41" s="36" t="str">
        <f>'Constants - Common livestock'!$F$10</f>
        <v>Anaerobic lagoon (m=1)</v>
      </c>
      <c r="K41" s="36" t="str">
        <f>'Constants - Common livestock'!$E$10</f>
        <v>Anaerobic lagoon</v>
      </c>
      <c r="L41" s="36" t="str">
        <f>'Constants - Common livestock'!$F$10</f>
        <v>Anaerobic lagoon (m=1)</v>
      </c>
      <c r="M41" s="1"/>
    </row>
    <row r="42" spans="4:13" ht="20.100000000000001" customHeight="1" x14ac:dyDescent="0.25">
      <c r="D42" s="36" t="str">
        <f>'Constants - Common livestock'!$E$15</f>
        <v>Solid storage</v>
      </c>
      <c r="E42" s="36" t="str">
        <f>'Constants - Common livestock'!$F$15</f>
        <v>Solid storage (m=4)</v>
      </c>
      <c r="G42" s="36" t="str">
        <f>'Constants - Common livestock'!$E$16</f>
        <v>Drylot (feed pad)</v>
      </c>
      <c r="H42" s="36" t="str">
        <f>'Constants - Common livestock'!$F$16</f>
        <v>Drylot (feed pad) (m=5)</v>
      </c>
      <c r="K42" s="36" t="str">
        <f>'Constants - Common livestock'!$E$15</f>
        <v>Solid storage</v>
      </c>
      <c r="L42" s="36" t="str">
        <f>'Constants - Common livestock'!$F$15</f>
        <v>Solid storage (m=4)</v>
      </c>
      <c r="M42" s="1"/>
    </row>
    <row r="43" spans="4:13" ht="20.100000000000001" customHeight="1" x14ac:dyDescent="0.25">
      <c r="D43" s="36" t="str">
        <f>'Constants - Common livestock'!$E$16</f>
        <v>Drylot (feed pad)</v>
      </c>
      <c r="E43" s="36" t="str">
        <f>'Constants - Common livestock'!$F$16</f>
        <v>Drylot (feed pad) (m=5)</v>
      </c>
      <c r="G43" s="36" t="str">
        <f>'Constants - Common livestock'!$E$18</f>
        <v>Digester / covered lagoons</v>
      </c>
      <c r="H43" s="36" t="str">
        <f>'Constants - Common livestock'!$F$18</f>
        <v>Digester / covered lagoons (m=7)</v>
      </c>
      <c r="K43" s="36" t="str">
        <f>'Constants - Common livestock'!$E$16</f>
        <v>Drylot (feed pad)</v>
      </c>
      <c r="L43" s="36" t="str">
        <f>'Constants - Common livestock'!$F$16</f>
        <v>Drylot (feed pad) (m=5)</v>
      </c>
      <c r="M43" s="1"/>
    </row>
    <row r="44" spans="4:13" ht="20.100000000000001" customHeight="1" x14ac:dyDescent="0.25">
      <c r="D44" s="36" t="str">
        <f>'Constants - Common livestock'!$E$18</f>
        <v>Digester / covered lagoons</v>
      </c>
      <c r="E44" s="36" t="str">
        <f>'Constants - Common livestock'!$F$18</f>
        <v>Digester / covered lagoons (m=7)</v>
      </c>
      <c r="G44" s="36" t="str">
        <f>'Constants - Common livestock'!$E$19</f>
        <v>Deep litter</v>
      </c>
      <c r="H44" s="36" t="str">
        <f>'Constants - Common livestock'!$F$19</f>
        <v>Deep litter (m=8)</v>
      </c>
      <c r="K44" s="36" t="str">
        <f>'Constants - Common livestock'!$E$18</f>
        <v>Digester / covered lagoons</v>
      </c>
      <c r="L44" s="36" t="str">
        <f>'Constants - Common livestock'!$F$18</f>
        <v>Digester / covered lagoons (m=7)</v>
      </c>
      <c r="M44" s="1"/>
    </row>
    <row r="45" spans="4:13" ht="20.100000000000001" customHeight="1" x14ac:dyDescent="0.25">
      <c r="D45" s="36" t="str">
        <f>'Constants - Common livestock'!$E$19</f>
        <v>Deep litter</v>
      </c>
      <c r="E45" s="36" t="str">
        <f>'Constants - Common livestock'!$F$19</f>
        <v>Deep litter (m=8)</v>
      </c>
      <c r="G45" s="36" t="str">
        <f>'Constants - Common livestock'!$E$20</f>
        <v>Pit storage</v>
      </c>
      <c r="H45" s="36" t="str">
        <f>'Constants - Common livestock'!$F$20</f>
        <v>Pit storage (m=9)</v>
      </c>
      <c r="K45" s="36" t="str">
        <f>'Constants - Common livestock'!$E$19</f>
        <v>Deep litter</v>
      </c>
      <c r="L45" s="36" t="str">
        <f>'Constants - Common livestock'!$F$19</f>
        <v>Deep litter (m=8)</v>
      </c>
      <c r="M45" s="1"/>
    </row>
    <row r="46" spans="4:13" ht="20.100000000000001" customHeight="1" x14ac:dyDescent="0.25">
      <c r="D46" s="36" t="str">
        <f>'Constants - Common livestock'!$E$20</f>
        <v>Pit storage</v>
      </c>
      <c r="E46" s="36" t="str">
        <f>'Constants - Common livestock'!$F$20</f>
        <v>Pit storage (m=9)</v>
      </c>
      <c r="K46" s="36" t="str">
        <f>'Constants - Common livestock'!$E$20</f>
        <v>Pit storage</v>
      </c>
      <c r="L46" s="36" t="str">
        <f>'Constants - Common livestock'!$F$20</f>
        <v>Pit storage (m=9)</v>
      </c>
      <c r="M46" s="1"/>
    </row>
    <row r="47" spans="4:13" ht="20.100000000000001" customHeight="1" x14ac:dyDescent="0.25">
      <c r="D47" s="36" t="str">
        <f>'Constants - Common livestock'!$E$26</f>
        <v>Direct application</v>
      </c>
      <c r="E47" s="36" t="str">
        <f>'Constants - Common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149</v>
      </c>
      <c r="G51" s="6" t="s">
        <v>150</v>
      </c>
      <c r="M51" s="1"/>
    </row>
    <row r="52" spans="4:13" ht="20.100000000000001" customHeight="1" x14ac:dyDescent="0.25">
      <c r="M52" s="1"/>
    </row>
    <row r="53" spans="4:13" ht="20.100000000000001" customHeight="1" x14ac:dyDescent="0.25">
      <c r="D53" s="112" t="s">
        <v>64</v>
      </c>
      <c r="E53" s="36" t="s">
        <v>151</v>
      </c>
      <c r="G53" s="36" t="s">
        <v>102</v>
      </c>
      <c r="M53" s="1"/>
    </row>
    <row r="54" spans="4:13" ht="20.100000000000001" customHeight="1" x14ac:dyDescent="0.25">
      <c r="D54" s="36" t="str">
        <f>'Constants - Common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Common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Common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Common livestock'!$E$18</f>
        <v>Digester / covered lagoons</v>
      </c>
      <c r="E57" s="36">
        <v>0.75</v>
      </c>
      <c r="M57" s="1"/>
    </row>
    <row r="58" spans="4:13" ht="20.100000000000001" customHeight="1" x14ac:dyDescent="0.25">
      <c r="D58" s="36" t="str">
        <f>'Constants - Common livestock'!$E$19</f>
        <v>Deep litter</v>
      </c>
      <c r="E58" s="36">
        <v>0.05</v>
      </c>
      <c r="M58" s="1"/>
    </row>
    <row r="59" spans="4:13" ht="20.100000000000001" customHeight="1" x14ac:dyDescent="0.25">
      <c r="D59" s="36" t="str">
        <f>'Constants - Common livestock'!$E$20</f>
        <v>Pit storage</v>
      </c>
      <c r="E59" s="36">
        <v>0</v>
      </c>
      <c r="M59" s="1"/>
    </row>
    <row r="60" spans="4:13" ht="20.100000000000001" customHeight="1" x14ac:dyDescent="0.25">
      <c r="D60" s="36" t="str">
        <f>'Constants - Common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141</v>
      </c>
      <c r="E67" s="36" t="s">
        <v>142</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141</v>
      </c>
      <c r="E78" s="36" t="s">
        <v>218</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141</v>
      </c>
      <c r="E89" s="36" t="s">
        <v>216</v>
      </c>
      <c r="F89" s="36" t="s">
        <v>217</v>
      </c>
      <c r="G89" s="36" t="s">
        <v>281</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219</v>
      </c>
      <c r="E99" s="36" t="s">
        <v>220</v>
      </c>
      <c r="F99" s="36" t="s">
        <v>221</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219</v>
      </c>
      <c r="E111" s="36" t="s">
        <v>241</v>
      </c>
      <c r="F111" s="36" t="s">
        <v>221</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359</v>
      </c>
      <c r="E127" s="36" t="s">
        <v>360</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BC820-F7C6-43FF-A3F3-C9A915D1F37E}">
  <sheetPr>
    <tabColor theme="2" tint="-0.499984740745262"/>
  </sheetPr>
  <dimension ref="A1:BY297"/>
  <sheetViews>
    <sheetView showGridLines="0" zoomScaleNormal="100" workbookViewId="0">
      <selection activeCell="A3" sqref="A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1" t="s">
        <v>1</v>
      </c>
      <c r="D6" s="36" t="s">
        <v>18</v>
      </c>
      <c r="E6" s="36" t="s">
        <v>19</v>
      </c>
      <c r="F6" s="36" t="s">
        <v>20</v>
      </c>
    </row>
    <row r="7" spans="1:65" ht="20.100000000000001" customHeight="1" x14ac:dyDescent="0.25">
      <c r="A7" s="144"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86</v>
      </c>
      <c r="E134" t="s">
        <v>87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118</v>
      </c>
      <c r="E142" s="36" t="s">
        <v>87</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98</v>
      </c>
      <c r="E186" s="36" t="s">
        <v>99</v>
      </c>
      <c r="F186" s="36" t="s">
        <v>100</v>
      </c>
      <c r="G186" s="36" t="s">
        <v>101</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120</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112</v>
      </c>
      <c r="E212" s="36" t="s">
        <v>125</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337</v>
      </c>
      <c r="F231" s="35" t="s">
        <v>338</v>
      </c>
      <c r="G231" s="36" t="s">
        <v>339</v>
      </c>
      <c r="H231" s="36" t="s">
        <v>340</v>
      </c>
      <c r="I231" s="36" t="s">
        <v>341</v>
      </c>
      <c r="J231" s="36" t="s">
        <v>342</v>
      </c>
      <c r="K231" s="36" t="s">
        <v>343</v>
      </c>
      <c r="L231" s="36" t="s">
        <v>344</v>
      </c>
      <c r="M231" s="36" t="s">
        <v>345</v>
      </c>
      <c r="N231" s="36" t="s">
        <v>346</v>
      </c>
      <c r="O231" s="36" t="s">
        <v>347</v>
      </c>
      <c r="P231" s="36" t="s">
        <v>348</v>
      </c>
      <c r="Q231" s="36" t="s">
        <v>349</v>
      </c>
      <c r="R231" s="36" t="s">
        <v>350</v>
      </c>
      <c r="S231" s="36" t="s">
        <v>351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355</v>
      </c>
      <c r="E257" s="36" t="s">
        <v>356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362</v>
      </c>
    </row>
    <row r="264" spans="4:6" x14ac:dyDescent="0.25">
      <c r="D264" s="1" t="s">
        <v>363</v>
      </c>
    </row>
    <row r="265" spans="4:6" x14ac:dyDescent="0.25">
      <c r="D265" s="36" t="s">
        <v>364</v>
      </c>
      <c r="E265" s="36" t="s">
        <v>365</v>
      </c>
      <c r="F265" s="36" t="s">
        <v>366</v>
      </c>
    </row>
    <row r="266" spans="4:6" x14ac:dyDescent="0.25">
      <c r="D266" s="36" t="s">
        <v>367</v>
      </c>
      <c r="E266" s="36" t="s">
        <v>368</v>
      </c>
      <c r="F266" s="36">
        <v>5</v>
      </c>
    </row>
    <row r="267" spans="4:6" x14ac:dyDescent="0.25">
      <c r="D267" s="36" t="s">
        <v>369</v>
      </c>
      <c r="E267" s="36" t="s">
        <v>370</v>
      </c>
      <c r="F267" s="36">
        <v>4</v>
      </c>
    </row>
    <row r="268" spans="4:6" x14ac:dyDescent="0.25">
      <c r="D268" s="36" t="s">
        <v>371</v>
      </c>
      <c r="E268" s="36" t="s">
        <v>372</v>
      </c>
      <c r="F268" s="36">
        <v>3</v>
      </c>
    </row>
    <row r="269" spans="4:6" x14ac:dyDescent="0.25">
      <c r="D269" s="36" t="s">
        <v>373</v>
      </c>
      <c r="E269" s="36" t="s">
        <v>374</v>
      </c>
      <c r="F269" s="36">
        <v>2</v>
      </c>
    </row>
    <row r="270" spans="4:6" x14ac:dyDescent="0.25">
      <c r="D270" s="36" t="s">
        <v>375</v>
      </c>
      <c r="E270" s="36" t="s">
        <v>376</v>
      </c>
      <c r="F270" s="36">
        <v>1</v>
      </c>
    </row>
    <row r="273" spans="4:6" x14ac:dyDescent="0.25">
      <c r="D273" s="1" t="s">
        <v>377</v>
      </c>
    </row>
    <row r="274" spans="4:6" x14ac:dyDescent="0.25">
      <c r="D274" s="36" t="s">
        <v>364</v>
      </c>
      <c r="E274" s="36" t="s">
        <v>365</v>
      </c>
      <c r="F274" s="36" t="s">
        <v>366</v>
      </c>
    </row>
    <row r="275" spans="4:6" x14ac:dyDescent="0.25">
      <c r="D275" s="36" t="s">
        <v>378</v>
      </c>
      <c r="E275" s="36" t="s">
        <v>379</v>
      </c>
      <c r="F275" s="36">
        <v>5</v>
      </c>
    </row>
    <row r="276" spans="4:6" x14ac:dyDescent="0.25">
      <c r="D276" s="36" t="s">
        <v>380</v>
      </c>
      <c r="E276" s="36" t="s">
        <v>381</v>
      </c>
      <c r="F276" s="36">
        <v>4</v>
      </c>
    </row>
    <row r="277" spans="4:6" x14ac:dyDescent="0.25">
      <c r="D277" s="36" t="s">
        <v>382</v>
      </c>
      <c r="E277" s="36" t="s">
        <v>383</v>
      </c>
      <c r="F277" s="36">
        <v>3</v>
      </c>
    </row>
    <row r="278" spans="4:6" x14ac:dyDescent="0.25">
      <c r="D278" s="36" t="s">
        <v>384</v>
      </c>
      <c r="E278" s="36" t="s">
        <v>385</v>
      </c>
      <c r="F278" s="36">
        <v>2</v>
      </c>
    </row>
    <row r="279" spans="4:6" x14ac:dyDescent="0.25">
      <c r="D279" s="36" t="s">
        <v>386</v>
      </c>
      <c r="E279" s="36" t="s">
        <v>387</v>
      </c>
      <c r="F279" s="36">
        <v>1</v>
      </c>
    </row>
    <row r="282" spans="4:6" x14ac:dyDescent="0.25">
      <c r="D282" s="1" t="s">
        <v>388</v>
      </c>
    </row>
    <row r="283" spans="4:6" x14ac:dyDescent="0.25">
      <c r="D283" s="36" t="s">
        <v>364</v>
      </c>
      <c r="E283" s="36" t="s">
        <v>365</v>
      </c>
      <c r="F283" s="36" t="s">
        <v>366</v>
      </c>
    </row>
    <row r="284" spans="4:6" x14ac:dyDescent="0.25">
      <c r="D284" s="36" t="s">
        <v>389</v>
      </c>
      <c r="E284" s="36" t="s">
        <v>390</v>
      </c>
      <c r="F284" s="36">
        <v>5</v>
      </c>
    </row>
    <row r="285" spans="4:6" x14ac:dyDescent="0.25">
      <c r="D285" s="36" t="s">
        <v>391</v>
      </c>
      <c r="E285" s="36" t="s">
        <v>392</v>
      </c>
      <c r="F285" s="36">
        <v>4</v>
      </c>
    </row>
    <row r="286" spans="4:6" x14ac:dyDescent="0.25">
      <c r="D286" s="36" t="s">
        <v>393</v>
      </c>
      <c r="E286" s="36" t="s">
        <v>394</v>
      </c>
      <c r="F286" s="36">
        <v>3</v>
      </c>
    </row>
    <row r="287" spans="4:6" x14ac:dyDescent="0.25">
      <c r="D287" s="36" t="s">
        <v>395</v>
      </c>
      <c r="E287" s="36" t="s">
        <v>396</v>
      </c>
      <c r="F287" s="36">
        <v>2</v>
      </c>
    </row>
    <row r="288" spans="4:6" x14ac:dyDescent="0.25">
      <c r="D288" s="36" t="s">
        <v>397</v>
      </c>
      <c r="E288" s="36" t="s">
        <v>398</v>
      </c>
      <c r="F288" s="36">
        <v>1</v>
      </c>
    </row>
    <row r="291" spans="4:6" x14ac:dyDescent="0.25">
      <c r="D291" s="1" t="s">
        <v>399</v>
      </c>
    </row>
    <row r="292" spans="4:6" x14ac:dyDescent="0.25">
      <c r="D292" s="36" t="s">
        <v>364</v>
      </c>
      <c r="E292" s="36" t="s">
        <v>365</v>
      </c>
      <c r="F292" s="36" t="s">
        <v>366</v>
      </c>
    </row>
    <row r="293" spans="4:6" x14ac:dyDescent="0.25">
      <c r="D293" s="36" t="s">
        <v>400</v>
      </c>
      <c r="E293" s="36" t="s">
        <v>401</v>
      </c>
      <c r="F293" s="36">
        <v>5</v>
      </c>
    </row>
    <row r="294" spans="4:6" x14ac:dyDescent="0.25">
      <c r="D294" s="36" t="s">
        <v>402</v>
      </c>
      <c r="E294" s="36" t="s">
        <v>403</v>
      </c>
      <c r="F294" s="36">
        <v>4</v>
      </c>
    </row>
    <row r="295" spans="4:6" x14ac:dyDescent="0.25">
      <c r="D295" s="36" t="s">
        <v>404</v>
      </c>
      <c r="E295" s="36" t="s">
        <v>405</v>
      </c>
      <c r="F295" s="36">
        <v>3</v>
      </c>
    </row>
    <row r="296" spans="4:6" x14ac:dyDescent="0.25">
      <c r="D296" s="36" t="s">
        <v>406</v>
      </c>
      <c r="E296" s="36" t="s">
        <v>407</v>
      </c>
      <c r="F296" s="36">
        <v>2</v>
      </c>
    </row>
    <row r="297" spans="4:6" x14ac:dyDescent="0.25">
      <c r="D297" s="36" t="s">
        <v>408</v>
      </c>
      <c r="E297" s="36" t="s">
        <v>409</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421</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73</v>
      </c>
      <c r="E9" s="36" t="s">
        <v>17</v>
      </c>
      <c r="F9" s="36" t="s">
        <v>74</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1"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4" t="str">
        <f>HYPERLINK("#'Constants - Common livestock'!A1", "Constants - Common livestock")</f>
        <v>Constants - Common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3" sqref="A3"/>
    </sheetView>
  </sheetViews>
  <sheetFormatPr defaultRowHeight="15" x14ac:dyDescent="0.25"/>
  <sheetData>
    <row r="1" spans="1:1" x14ac:dyDescent="0.25">
      <c r="A1" t="s">
        <v>410</v>
      </c>
    </row>
    <row r="3" spans="1:1" ht="15.75" x14ac:dyDescent="0.25">
      <c r="A3" s="17" t="str">
        <f>HYPERLINK("#'Home'!A1", "Home")</f>
        <v>Home</v>
      </c>
    </row>
    <row r="6" spans="1:1" x14ac:dyDescent="0.25">
      <c r="A6" s="141" t="s">
        <v>1</v>
      </c>
    </row>
    <row r="7" spans="1:1" ht="15.75" x14ac:dyDescent="0.25">
      <c r="A7" s="17" t="str">
        <f>HYPERLINK("#'Constants - Common'!A1", "Constants - Common")</f>
        <v>Constants - Common</v>
      </c>
    </row>
    <row r="8" spans="1:1" ht="15.75" x14ac:dyDescent="0.25">
      <c r="A8" s="144" t="str">
        <f>HYPERLINK("#'Acknowledgements'!A1", "Acknowledgements")</f>
        <v>Acknowledgements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1"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Common livestock'!A1", "Constants - Common livestock")</f>
        <v>Constants - Common livestock</v>
      </c>
    </row>
    <row r="25" spans="1:1" ht="20.100000000000001" customHeight="1" x14ac:dyDescent="0.25">
      <c r="A25" s="17" t="str">
        <f>HYPERLINK("#'Acknowledgements'!A1", "Acknowledgements")</f>
        <v>Acknowledgements</v>
      </c>
    </row>
    <row r="26" spans="1:1" ht="20.100000000000001" customHeight="1" x14ac:dyDescent="0.25">
      <c r="A26" s="144"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CwAewAiAHAAYQB0AGgAIgA6ACIALwBwAHIAbwBqAGUAYwB0AHMALwBJAG4AcAB1AHQARgB1AG4AYwB0AGkAbwBuAHMAXwBTAHcAaQBuAGUAIgAsACIAdABlAHgAdAAiADoAIgBDAGEAbABjAHUAbABhAHQAZQBBAGMAdAB1AGEAbABQAGUAcgBjAGUAbgB0AE0AYQBuAHUAcgBlAFMAbwBsAGQAXABuAD0ATABBAE0AQgBEAEEAKABcAG4AIAAgACAAIABTAHQAYQBnAGUAMQBNAE0AUwBQAGUAcgBjAGUAbgB0AHMALAAgAFAAZQByAGMAZQBuAHQAUwBlAHAAYQByAGEAdABlAGQALAAgAFMAdABhAGcAZQAyAE0ATQBTAFAAZQByAGMAZQBuAHQAcwAsACAAUABlAHIAYwBlAG4AdABNAGEAbgB1AHIAZQBTAG8AbABkACwAXABuACAAIAAgACAAKABcAG4AIAAgACAAIAAgACAAIAAgACgAKABTAFUATQAoAFMAdABhAGcAZQAxAE0ATQBTAFAAZQByAGMAZQBuAHQAcwApAC0AKABTAFUATQAoAFMAdABhAGcAZQAxAE0ATQBTAFAAZQByAGMAZQBuAHQAcwApACoAUABlAHIAYwBlAG4AdABTAGUAcABhAHIAYQB0AGUAZAApACkALwA0ACkAXABuACAAIAAgACAAIAAgACAAIAAqAFwAbgAgACAAIAAgACAAIAAgACAAKABTAFUATQAoAFMAdABhAGcAZQAyAE0ATQBTAFAAZQByAGMAZQBuAHQAcwApAC8ANAApAFwAbgAgACAAIAAgACkAXABuACAAIAAgACAAKgAgAFAAZQByAGMAZQBuAHQATQBhAG4AdQByAGUAUwBvAGwAZABcAG4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AsACIASQBuAHAAdQB0AEYAdQBuAGMAdABpAG8AbgBzAF8AUwB3AGkAbgBlAC4AQwBhAGwAYwB1AGwAYQB0AGUAQQBjAHQAdQBhAGwAUABlAHIAYwBlAG4AdABNAGEAbgB1AHIAZQBTAG8AbABk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75</vt:i4>
      </vt:variant>
    </vt:vector>
  </HeadingPairs>
  <TitlesOfParts>
    <vt:vector size="90"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Common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VEERG_4_5_1_3__1_TotalAnnualDirectNitrousOxideEmissionsFromMMS_Result_Method1</vt:lpstr>
      <vt:lpstr>VEERG_4_5_1_3__1_TotalAnnualDirectNitrousOxideEmissionsFromMMS_Result_Method2</vt:lpstr>
      <vt:lpstr>VEERG_4_5_1_5__1_AnnualAtmosphericDepositionEmissionsFromMMS_Result_Method1</vt:lpstr>
      <vt:lpstr>VEERG_4_5_1_5__1_AnnualAtmosphericDepositionEmissionsFromMMS_Result_Method2</vt:lpstr>
      <vt:lpstr>VEERG_4_5_1_7__1_AnnualEmissionsFromLeachingAndRunoffFromMMS_Result_Method1</vt:lpstr>
      <vt:lpstr>VEERG_4_5_1_7__1_AnnualEmissionsFromLeachingAndRunoffFromMMS_Result_Method2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X_Table_Swine_FeedIntake_Method1</vt:lpstr>
      <vt:lpstr>X_Table_Swine_FeedIntake_Method2</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2026-08-28T05:40:10Z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