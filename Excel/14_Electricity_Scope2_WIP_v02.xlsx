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56A55ED-F882-499D-9A4F-1424C9D7855F}" xr6:coauthVersionLast="47" xr6:coauthVersionMax="47" xr10:uidLastSave="{00000000-0000-0000-0000-000000000000}"/>
  <bookViews>
    <workbookView xWindow="1170" yWindow="1170" windowWidth="37170" windowHeight="19920" activeTab="3" xr2:uid="{992023F3-CAB7-4E5B-A348-08D563A0EF40}"/>
  </bookViews>
  <sheets>
    <sheet name="Home" sheetId="71" r:id="rId1"/>
    <sheet name="Overview" sheetId="118" r:id="rId2"/>
    <sheet name="Results" sheetId="13" r:id="rId3"/>
    <sheet name="Input - Site" sheetId="121" r:id="rId4"/>
    <sheet name="Input - Electricity" sheetId="70" r:id="rId5"/>
    <sheet name="14.1.1-2 Purchased electricity" sheetId="69" r:id="rId6"/>
    <sheet name="Constants - Electricity" sheetId="110" r:id="rId7"/>
    <sheet name="Constants - Common" sheetId="130"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Site_EndDate">'Input - Site'!$E$13</definedName>
    <definedName name="X_Cell_Site_FarmName">'Input - Site'!$E$7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TotalElegibleRECsForElectricityProducedOnSite">'Input - Electricity'!$E$50</definedName>
    <definedName name="X_Cell_TotalElegibleVoluntarilySurrenderedRECs">'Input - Electricity'!$E$41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30" l="1" a="1"/>
  <c r="E259" i="130" s="1"/>
  <c r="D259" i="130" a="1"/>
  <c r="D259" i="130" s="1"/>
  <c r="E258" i="130" a="1"/>
  <c r="E258" i="130" s="1"/>
  <c r="D258" i="130" a="1"/>
  <c r="D258" i="130" s="1"/>
  <c r="D256" i="130"/>
  <c r="D256" i="130" a="1"/>
  <c r="D255" i="130"/>
  <c r="D255" i="130" a="1"/>
  <c r="D254" i="130" a="1"/>
  <c r="D254" i="130" s="1"/>
  <c r="D253" i="130" a="1"/>
  <c r="D253" i="130" s="1"/>
  <c r="S250" i="130" a="1"/>
  <c r="S250" i="130" s="1"/>
  <c r="R250" i="130" a="1"/>
  <c r="R250" i="130" s="1"/>
  <c r="Q250" i="130" a="1"/>
  <c r="Q250" i="130" s="1"/>
  <c r="P250" i="130" a="1"/>
  <c r="P250" i="130" s="1"/>
  <c r="O250" i="130" a="1"/>
  <c r="O250" i="130" s="1"/>
  <c r="N250" i="130" a="1"/>
  <c r="N250" i="130" s="1"/>
  <c r="M250" i="130" a="1"/>
  <c r="M250" i="130" s="1"/>
  <c r="L250" i="130" a="1"/>
  <c r="L250" i="130" s="1"/>
  <c r="K250" i="130" a="1"/>
  <c r="K250" i="130" s="1"/>
  <c r="J250" i="130" a="1"/>
  <c r="J250" i="130" s="1"/>
  <c r="I250" i="130" a="1"/>
  <c r="I250" i="130" s="1"/>
  <c r="H250" i="130" a="1"/>
  <c r="H250" i="130" s="1"/>
  <c r="G250" i="130" a="1"/>
  <c r="G250" i="130" s="1"/>
  <c r="F250" i="130" a="1"/>
  <c r="F250" i="130" s="1"/>
  <c r="E250" i="130" a="1"/>
  <c r="E250" i="130" s="1"/>
  <c r="D250" i="130" a="1"/>
  <c r="D250" i="130" s="1"/>
  <c r="S249" i="130" a="1"/>
  <c r="S249" i="130" s="1"/>
  <c r="R249" i="130" a="1"/>
  <c r="R249" i="130" s="1"/>
  <c r="Q249" i="130" a="1"/>
  <c r="Q249" i="130" s="1"/>
  <c r="P249" i="130" a="1"/>
  <c r="P249" i="130" s="1"/>
  <c r="O249" i="130" a="1"/>
  <c r="O249" i="130" s="1"/>
  <c r="N249" i="130" a="1"/>
  <c r="N249" i="130" s="1"/>
  <c r="M249" i="130" a="1"/>
  <c r="M249" i="130" s="1"/>
  <c r="L249" i="130" a="1"/>
  <c r="L249" i="130" s="1"/>
  <c r="K249" i="130" a="1"/>
  <c r="K249" i="130" s="1"/>
  <c r="J249" i="130" a="1"/>
  <c r="J249" i="130" s="1"/>
  <c r="I249" i="130" a="1"/>
  <c r="I249" i="130" s="1"/>
  <c r="H249" i="130" a="1"/>
  <c r="H249" i="130" s="1"/>
  <c r="G249" i="130" a="1"/>
  <c r="G249" i="130" s="1"/>
  <c r="F249" i="130" a="1"/>
  <c r="F249" i="130" s="1"/>
  <c r="E249" i="130" a="1"/>
  <c r="E249" i="130" s="1"/>
  <c r="D249" i="130" a="1"/>
  <c r="D249" i="130" s="1"/>
  <c r="S248" i="130" a="1"/>
  <c r="S248" i="130" s="1"/>
  <c r="R248" i="130" a="1"/>
  <c r="R248" i="130" s="1"/>
  <c r="Q248" i="130" a="1"/>
  <c r="Q248" i="130" s="1"/>
  <c r="P248" i="130" a="1"/>
  <c r="P248" i="130" s="1"/>
  <c r="O248" i="130" a="1"/>
  <c r="O248" i="130" s="1"/>
  <c r="N248" i="130" a="1"/>
  <c r="N248" i="130" s="1"/>
  <c r="M248" i="130" a="1"/>
  <c r="M248" i="130" s="1"/>
  <c r="L248" i="130" a="1"/>
  <c r="L248" i="130" s="1"/>
  <c r="K248" i="130" a="1"/>
  <c r="K248" i="130" s="1"/>
  <c r="J248" i="130" a="1"/>
  <c r="J248" i="130" s="1"/>
  <c r="I248" i="130" a="1"/>
  <c r="I248" i="130" s="1"/>
  <c r="H248" i="130" a="1"/>
  <c r="H248" i="130" s="1"/>
  <c r="G248" i="130" a="1"/>
  <c r="G248" i="130" s="1"/>
  <c r="F248" i="130" a="1"/>
  <c r="F248" i="130" s="1"/>
  <c r="E248" i="130" a="1"/>
  <c r="E248" i="130" s="1"/>
  <c r="D248" i="130" a="1"/>
  <c r="D248" i="130" s="1"/>
  <c r="S247" i="130" a="1"/>
  <c r="S247" i="130" s="1"/>
  <c r="R247" i="130" a="1"/>
  <c r="R247" i="130" s="1"/>
  <c r="Q247" i="130" a="1"/>
  <c r="Q247" i="130" s="1"/>
  <c r="P247" i="130" a="1"/>
  <c r="P247" i="130" s="1"/>
  <c r="O247" i="130" a="1"/>
  <c r="O247" i="130" s="1"/>
  <c r="N247" i="130" a="1"/>
  <c r="N247" i="130" s="1"/>
  <c r="M247" i="130" a="1"/>
  <c r="M247" i="130" s="1"/>
  <c r="L247" i="130" a="1"/>
  <c r="L247" i="130" s="1"/>
  <c r="K247" i="130" a="1"/>
  <c r="K247" i="130" s="1"/>
  <c r="J247" i="130" a="1"/>
  <c r="J247" i="130" s="1"/>
  <c r="I247" i="130" a="1"/>
  <c r="I247" i="130" s="1"/>
  <c r="H247" i="130" a="1"/>
  <c r="H247" i="130" s="1"/>
  <c r="G247" i="130" a="1"/>
  <c r="G247" i="130" s="1"/>
  <c r="F247" i="130" a="1"/>
  <c r="F247" i="130" s="1"/>
  <c r="E247" i="130" a="1"/>
  <c r="E247" i="130" s="1"/>
  <c r="D247" i="130" a="1"/>
  <c r="D247" i="130" s="1"/>
  <c r="S246" i="130" a="1"/>
  <c r="S246" i="130" s="1"/>
  <c r="R246" i="130" a="1"/>
  <c r="R246" i="130" s="1"/>
  <c r="Q246" i="130" a="1"/>
  <c r="Q246" i="130" s="1"/>
  <c r="P246" i="130" a="1"/>
  <c r="P246" i="130" s="1"/>
  <c r="O246" i="130" a="1"/>
  <c r="O246" i="130" s="1"/>
  <c r="N246" i="130" a="1"/>
  <c r="N246" i="130" s="1"/>
  <c r="M246" i="130" a="1"/>
  <c r="M246" i="130" s="1"/>
  <c r="L246" i="130" a="1"/>
  <c r="L246" i="130" s="1"/>
  <c r="K246" i="130" a="1"/>
  <c r="K246" i="130" s="1"/>
  <c r="J246" i="130" a="1"/>
  <c r="J246" i="130" s="1"/>
  <c r="I246" i="130" a="1"/>
  <c r="I246" i="130" s="1"/>
  <c r="H246" i="130" a="1"/>
  <c r="H246" i="130" s="1"/>
  <c r="G246" i="130" a="1"/>
  <c r="G246" i="130" s="1"/>
  <c r="F246" i="130" a="1"/>
  <c r="F246" i="130" s="1"/>
  <c r="E246" i="130" a="1"/>
  <c r="E246" i="130" s="1"/>
  <c r="D246" i="130" a="1"/>
  <c r="D246" i="130" s="1"/>
  <c r="S245" i="130" a="1"/>
  <c r="S245" i="130" s="1"/>
  <c r="R245" i="130" a="1"/>
  <c r="R245" i="130" s="1"/>
  <c r="Q245" i="130" a="1"/>
  <c r="Q245" i="130" s="1"/>
  <c r="P245" i="130" a="1"/>
  <c r="P245" i="130" s="1"/>
  <c r="O245" i="130" a="1"/>
  <c r="O245" i="130" s="1"/>
  <c r="N245" i="130" a="1"/>
  <c r="N245" i="130" s="1"/>
  <c r="M245" i="130" a="1"/>
  <c r="M245" i="130" s="1"/>
  <c r="L245" i="130" a="1"/>
  <c r="L245" i="130" s="1"/>
  <c r="K245" i="130" a="1"/>
  <c r="K245" i="130" s="1"/>
  <c r="J245" i="130" a="1"/>
  <c r="J245" i="130" s="1"/>
  <c r="I245" i="130" a="1"/>
  <c r="I245" i="130" s="1"/>
  <c r="H245" i="130" a="1"/>
  <c r="H245" i="130" s="1"/>
  <c r="G245" i="130" a="1"/>
  <c r="G245" i="130" s="1"/>
  <c r="F245" i="130" a="1"/>
  <c r="F245" i="130" s="1"/>
  <c r="E245" i="130" a="1"/>
  <c r="E245" i="130" s="1"/>
  <c r="D245" i="130" a="1"/>
  <c r="D245" i="130" s="1"/>
  <c r="S244" i="130" a="1"/>
  <c r="S244" i="130" s="1"/>
  <c r="R244" i="130" a="1"/>
  <c r="R244" i="130" s="1"/>
  <c r="Q244" i="130" a="1"/>
  <c r="Q244" i="130" s="1"/>
  <c r="P244" i="130" a="1"/>
  <c r="P244" i="130" s="1"/>
  <c r="O244" i="130" a="1"/>
  <c r="O244" i="130" s="1"/>
  <c r="N244" i="130" a="1"/>
  <c r="N244" i="130" s="1"/>
  <c r="M244" i="130" a="1"/>
  <c r="M244" i="130" s="1"/>
  <c r="L244" i="130" a="1"/>
  <c r="L244" i="130" s="1"/>
  <c r="K244" i="130" a="1"/>
  <c r="K244" i="130" s="1"/>
  <c r="J244" i="130" a="1"/>
  <c r="J244" i="130" s="1"/>
  <c r="I244" i="130" a="1"/>
  <c r="I244" i="130" s="1"/>
  <c r="H244" i="130" a="1"/>
  <c r="H244" i="130" s="1"/>
  <c r="G244" i="130" a="1"/>
  <c r="G244" i="130" s="1"/>
  <c r="F244" i="130" a="1"/>
  <c r="F244" i="130" s="1"/>
  <c r="E244" i="130" a="1"/>
  <c r="E244" i="130" s="1"/>
  <c r="D244" i="130" a="1"/>
  <c r="D244" i="130" s="1"/>
  <c r="S243" i="130" a="1"/>
  <c r="S243" i="130" s="1"/>
  <c r="R243" i="130" a="1"/>
  <c r="R243" i="130" s="1"/>
  <c r="Q243" i="130" a="1"/>
  <c r="Q243" i="130" s="1"/>
  <c r="P243" i="130" a="1"/>
  <c r="P243" i="130" s="1"/>
  <c r="O243" i="130" a="1"/>
  <c r="O243" i="130" s="1"/>
  <c r="N243" i="130" a="1"/>
  <c r="N243" i="130" s="1"/>
  <c r="M243" i="130" a="1"/>
  <c r="M243" i="130" s="1"/>
  <c r="L243" i="130" a="1"/>
  <c r="L243" i="130" s="1"/>
  <c r="K243" i="130" a="1"/>
  <c r="K243" i="130" s="1"/>
  <c r="J243" i="130" a="1"/>
  <c r="J243" i="130" s="1"/>
  <c r="I243" i="130" a="1"/>
  <c r="I243" i="130" s="1"/>
  <c r="H243" i="130" a="1"/>
  <c r="H243" i="130" s="1"/>
  <c r="G243" i="130" a="1"/>
  <c r="G243" i="130" s="1"/>
  <c r="F243" i="130" a="1"/>
  <c r="F243" i="130" s="1"/>
  <c r="E243" i="130" a="1"/>
  <c r="E243" i="130" s="1"/>
  <c r="D243" i="130" a="1"/>
  <c r="D243" i="130" s="1"/>
  <c r="S242" i="130" a="1"/>
  <c r="S242" i="130" s="1"/>
  <c r="R242" i="130" a="1"/>
  <c r="R242" i="130" s="1"/>
  <c r="Q242" i="130" a="1"/>
  <c r="Q242" i="130" s="1"/>
  <c r="P242" i="130" a="1"/>
  <c r="P242" i="130" s="1"/>
  <c r="O242" i="130" a="1"/>
  <c r="O242" i="130" s="1"/>
  <c r="N242" i="130" a="1"/>
  <c r="N242" i="130" s="1"/>
  <c r="M242" i="130" a="1"/>
  <c r="M242" i="130" s="1"/>
  <c r="L242" i="130" a="1"/>
  <c r="L242" i="130" s="1"/>
  <c r="K242" i="130" a="1"/>
  <c r="K242" i="130" s="1"/>
  <c r="J242" i="130" a="1"/>
  <c r="J242" i="130" s="1"/>
  <c r="I242" i="130" a="1"/>
  <c r="I242" i="130" s="1"/>
  <c r="H242" i="130" a="1"/>
  <c r="H242" i="130" s="1"/>
  <c r="G242" i="130" a="1"/>
  <c r="G242" i="130" s="1"/>
  <c r="F242" i="130" a="1"/>
  <c r="F242" i="130" s="1"/>
  <c r="E242" i="130" a="1"/>
  <c r="E242" i="130" s="1"/>
  <c r="D242" i="130" a="1"/>
  <c r="D242" i="130" s="1"/>
  <c r="S241" i="130" a="1"/>
  <c r="S241" i="130" s="1"/>
  <c r="R241" i="130" a="1"/>
  <c r="R241" i="130" s="1"/>
  <c r="Q241" i="130" a="1"/>
  <c r="Q241" i="130" s="1"/>
  <c r="P241" i="130" a="1"/>
  <c r="P241" i="130" s="1"/>
  <c r="O241" i="130" a="1"/>
  <c r="O241" i="130" s="1"/>
  <c r="N241" i="130" a="1"/>
  <c r="N241" i="130" s="1"/>
  <c r="M241" i="130" a="1"/>
  <c r="M241" i="130" s="1"/>
  <c r="L241" i="130" a="1"/>
  <c r="L241" i="130" s="1"/>
  <c r="K241" i="130" a="1"/>
  <c r="K241" i="130" s="1"/>
  <c r="J241" i="130" a="1"/>
  <c r="J241" i="130" s="1"/>
  <c r="I241" i="130" a="1"/>
  <c r="I241" i="130" s="1"/>
  <c r="H241" i="130" a="1"/>
  <c r="H241" i="130" s="1"/>
  <c r="G241" i="130" a="1"/>
  <c r="G241" i="130" s="1"/>
  <c r="F241" i="130" a="1"/>
  <c r="F241" i="130" s="1"/>
  <c r="E241" i="130" a="1"/>
  <c r="E241" i="130" s="1"/>
  <c r="D241" i="130" a="1"/>
  <c r="D241" i="130" s="1"/>
  <c r="S240" i="130" a="1"/>
  <c r="S240" i="130" s="1"/>
  <c r="R240" i="130" a="1"/>
  <c r="R240" i="130" s="1"/>
  <c r="Q240" i="130" a="1"/>
  <c r="Q240" i="130" s="1"/>
  <c r="P240" i="130" a="1"/>
  <c r="P240" i="130" s="1"/>
  <c r="O240" i="130" a="1"/>
  <c r="O240" i="130" s="1"/>
  <c r="N240" i="130" a="1"/>
  <c r="N240" i="130" s="1"/>
  <c r="M240" i="130" a="1"/>
  <c r="M240" i="130" s="1"/>
  <c r="L240" i="130" a="1"/>
  <c r="L240" i="130" s="1"/>
  <c r="K240" i="130" a="1"/>
  <c r="K240" i="130" s="1"/>
  <c r="J240" i="130" a="1"/>
  <c r="J240" i="130" s="1"/>
  <c r="I240" i="130" a="1"/>
  <c r="I240" i="130" s="1"/>
  <c r="H240" i="130" a="1"/>
  <c r="H240" i="130" s="1"/>
  <c r="G240" i="130" a="1"/>
  <c r="G240" i="130" s="1"/>
  <c r="F240" i="130" a="1"/>
  <c r="F240" i="130" s="1"/>
  <c r="E240" i="130" a="1"/>
  <c r="E240" i="130" s="1"/>
  <c r="D240" i="130" a="1"/>
  <c r="D240" i="130" s="1"/>
  <c r="S239" i="130" a="1"/>
  <c r="S239" i="130" s="1"/>
  <c r="R239" i="130" a="1"/>
  <c r="R239" i="130" s="1"/>
  <c r="Q239" i="130" a="1"/>
  <c r="Q239" i="130" s="1"/>
  <c r="P239" i="130" a="1"/>
  <c r="P239" i="130" s="1"/>
  <c r="O239" i="130" a="1"/>
  <c r="O239" i="130" s="1"/>
  <c r="N239" i="130" a="1"/>
  <c r="N239" i="130" s="1"/>
  <c r="M239" i="130" a="1"/>
  <c r="M239" i="130" s="1"/>
  <c r="L239" i="130" a="1"/>
  <c r="L239" i="130" s="1"/>
  <c r="K239" i="130" a="1"/>
  <c r="K239" i="130" s="1"/>
  <c r="J239" i="130" a="1"/>
  <c r="J239" i="130" s="1"/>
  <c r="I239" i="130" a="1"/>
  <c r="I239" i="130" s="1"/>
  <c r="H239" i="130" a="1"/>
  <c r="H239" i="130" s="1"/>
  <c r="G239" i="130" a="1"/>
  <c r="G239" i="130" s="1"/>
  <c r="F239" i="130" a="1"/>
  <c r="F239" i="130" s="1"/>
  <c r="E239" i="130" a="1"/>
  <c r="E239" i="130" s="1"/>
  <c r="D239" i="130" a="1"/>
  <c r="D239" i="130" s="1"/>
  <c r="S238" i="130" a="1"/>
  <c r="S238" i="130" s="1"/>
  <c r="R238" i="130" a="1"/>
  <c r="R238" i="130" s="1"/>
  <c r="Q238" i="130" a="1"/>
  <c r="Q238" i="130" s="1"/>
  <c r="P238" i="130" a="1"/>
  <c r="P238" i="130" s="1"/>
  <c r="O238" i="130" a="1"/>
  <c r="O238" i="130" s="1"/>
  <c r="N238" i="130" a="1"/>
  <c r="N238" i="130" s="1"/>
  <c r="M238" i="130" a="1"/>
  <c r="M238" i="130" s="1"/>
  <c r="L238" i="130" a="1"/>
  <c r="L238" i="130" s="1"/>
  <c r="K238" i="130" a="1"/>
  <c r="K238" i="130" s="1"/>
  <c r="J238" i="130" a="1"/>
  <c r="J238" i="130" s="1"/>
  <c r="I238" i="130" a="1"/>
  <c r="I238" i="130" s="1"/>
  <c r="H238" i="130" a="1"/>
  <c r="H238" i="130" s="1"/>
  <c r="G238" i="130" a="1"/>
  <c r="G238" i="130" s="1"/>
  <c r="F238" i="130" a="1"/>
  <c r="F238" i="130" s="1"/>
  <c r="E238" i="130" a="1"/>
  <c r="E238" i="130" s="1"/>
  <c r="D238" i="130" a="1"/>
  <c r="D238" i="130" s="1"/>
  <c r="S237" i="130" a="1"/>
  <c r="S237" i="130" s="1"/>
  <c r="R237" i="130" a="1"/>
  <c r="R237" i="130" s="1"/>
  <c r="Q237" i="130" a="1"/>
  <c r="Q237" i="130" s="1"/>
  <c r="P237" i="130" a="1"/>
  <c r="P237" i="130" s="1"/>
  <c r="O237" i="130" a="1"/>
  <c r="O237" i="130" s="1"/>
  <c r="N237" i="130" a="1"/>
  <c r="N237" i="130" s="1"/>
  <c r="M237" i="130" a="1"/>
  <c r="M237" i="130" s="1"/>
  <c r="L237" i="130" a="1"/>
  <c r="L237" i="130" s="1"/>
  <c r="K237" i="130" a="1"/>
  <c r="K237" i="130" s="1"/>
  <c r="J237" i="130" a="1"/>
  <c r="J237" i="130" s="1"/>
  <c r="I237" i="130" a="1"/>
  <c r="I237" i="130" s="1"/>
  <c r="H237" i="130" a="1"/>
  <c r="H237" i="130" s="1"/>
  <c r="G237" i="130" a="1"/>
  <c r="G237" i="130" s="1"/>
  <c r="F237" i="130" a="1"/>
  <c r="F237" i="130" s="1"/>
  <c r="E237" i="130" a="1"/>
  <c r="E237" i="130" s="1"/>
  <c r="D237" i="130" a="1"/>
  <c r="D237" i="130" s="1"/>
  <c r="S236" i="130" a="1"/>
  <c r="S236" i="130" s="1"/>
  <c r="R236" i="130" a="1"/>
  <c r="R236" i="130" s="1"/>
  <c r="Q236" i="130" a="1"/>
  <c r="Q236" i="130" s="1"/>
  <c r="P236" i="130" a="1"/>
  <c r="P236" i="130" s="1"/>
  <c r="O236" i="130" a="1"/>
  <c r="O236" i="130" s="1"/>
  <c r="N236" i="130" a="1"/>
  <c r="N236" i="130" s="1"/>
  <c r="M236" i="130" a="1"/>
  <c r="M236" i="130" s="1"/>
  <c r="L236" i="130" a="1"/>
  <c r="L236" i="130" s="1"/>
  <c r="K236" i="130" a="1"/>
  <c r="K236" i="130" s="1"/>
  <c r="J236" i="130" a="1"/>
  <c r="J236" i="130" s="1"/>
  <c r="I236" i="130" a="1"/>
  <c r="I236" i="130" s="1"/>
  <c r="H236" i="130" a="1"/>
  <c r="H236" i="130" s="1"/>
  <c r="G236" i="130" a="1"/>
  <c r="G236" i="130" s="1"/>
  <c r="F236" i="130" a="1"/>
  <c r="F236" i="130" s="1"/>
  <c r="E236" i="130" a="1"/>
  <c r="E236" i="130" s="1"/>
  <c r="D236" i="130" a="1"/>
  <c r="D236" i="130" s="1"/>
  <c r="S235" i="130" a="1"/>
  <c r="S235" i="130" s="1"/>
  <c r="R235" i="130" a="1"/>
  <c r="R235" i="130" s="1"/>
  <c r="Q235" i="130" a="1"/>
  <c r="Q235" i="130" s="1"/>
  <c r="P235" i="130" a="1"/>
  <c r="P235" i="130" s="1"/>
  <c r="O235" i="130" a="1"/>
  <c r="O235" i="130" s="1"/>
  <c r="N235" i="130" a="1"/>
  <c r="N235" i="130" s="1"/>
  <c r="M235" i="130" a="1"/>
  <c r="M235" i="130" s="1"/>
  <c r="L235" i="130" a="1"/>
  <c r="L235" i="130" s="1"/>
  <c r="K235" i="130" a="1"/>
  <c r="K235" i="130" s="1"/>
  <c r="J235" i="130" a="1"/>
  <c r="J235" i="130" s="1"/>
  <c r="I235" i="130" a="1"/>
  <c r="I235" i="130" s="1"/>
  <c r="H235" i="130" a="1"/>
  <c r="H235" i="130" s="1"/>
  <c r="G235" i="130" a="1"/>
  <c r="G235" i="130" s="1"/>
  <c r="F235" i="130" a="1"/>
  <c r="F235" i="130" s="1"/>
  <c r="E235" i="130" a="1"/>
  <c r="E235" i="130" s="1"/>
  <c r="D235" i="130" a="1"/>
  <c r="D235" i="130" s="1"/>
  <c r="S234" i="130" a="1"/>
  <c r="S234" i="130" s="1"/>
  <c r="R234" i="130" a="1"/>
  <c r="R234" i="130" s="1"/>
  <c r="Q234" i="130" a="1"/>
  <c r="Q234" i="130" s="1"/>
  <c r="P234" i="130" a="1"/>
  <c r="P234" i="130" s="1"/>
  <c r="O234" i="130" a="1"/>
  <c r="O234" i="130" s="1"/>
  <c r="N234" i="130" a="1"/>
  <c r="N234" i="130" s="1"/>
  <c r="M234" i="130" a="1"/>
  <c r="M234" i="130" s="1"/>
  <c r="L234" i="130" a="1"/>
  <c r="L234" i="130" s="1"/>
  <c r="K234" i="130" a="1"/>
  <c r="K234" i="130" s="1"/>
  <c r="J234" i="130" a="1"/>
  <c r="J234" i="130" s="1"/>
  <c r="I234" i="130" a="1"/>
  <c r="I234" i="130" s="1"/>
  <c r="H234" i="130" a="1"/>
  <c r="H234" i="130" s="1"/>
  <c r="G234" i="130" a="1"/>
  <c r="G234" i="130" s="1"/>
  <c r="F234" i="130" a="1"/>
  <c r="F234" i="130" s="1"/>
  <c r="E234" i="130" a="1"/>
  <c r="E234" i="130" s="1"/>
  <c r="D234" i="130" a="1"/>
  <c r="D234" i="130" s="1"/>
  <c r="S233" i="130" a="1"/>
  <c r="S233" i="130" s="1"/>
  <c r="R233" i="130" a="1"/>
  <c r="R233" i="130" s="1"/>
  <c r="Q233" i="130" a="1"/>
  <c r="Q233" i="130" s="1"/>
  <c r="P233" i="130" a="1"/>
  <c r="P233" i="130" s="1"/>
  <c r="O233" i="130" a="1"/>
  <c r="O233" i="130" s="1"/>
  <c r="N233" i="130" a="1"/>
  <c r="N233" i="130" s="1"/>
  <c r="M233" i="130" a="1"/>
  <c r="M233" i="130" s="1"/>
  <c r="L233" i="130" a="1"/>
  <c r="L233" i="130" s="1"/>
  <c r="K233" i="130" a="1"/>
  <c r="K233" i="130" s="1"/>
  <c r="J233" i="130" a="1"/>
  <c r="J233" i="130" s="1"/>
  <c r="I233" i="130" a="1"/>
  <c r="I233" i="130" s="1"/>
  <c r="H233" i="130" a="1"/>
  <c r="H233" i="130" s="1"/>
  <c r="G233" i="130" a="1"/>
  <c r="G233" i="130" s="1"/>
  <c r="F233" i="130" a="1"/>
  <c r="F233" i="130" s="1"/>
  <c r="E233" i="130" a="1"/>
  <c r="E233" i="130" s="1"/>
  <c r="D233" i="130" a="1"/>
  <c r="D233" i="130" s="1"/>
  <c r="S232" i="130" a="1"/>
  <c r="S232" i="130" s="1"/>
  <c r="R232" i="130" a="1"/>
  <c r="R232" i="130" s="1"/>
  <c r="Q232" i="130" a="1"/>
  <c r="Q232" i="130" s="1"/>
  <c r="P232" i="130" a="1"/>
  <c r="P232" i="130" s="1"/>
  <c r="O232" i="130" a="1"/>
  <c r="O232" i="130" s="1"/>
  <c r="N232" i="130" a="1"/>
  <c r="N232" i="130" s="1"/>
  <c r="M232" i="130" a="1"/>
  <c r="M232" i="130" s="1"/>
  <c r="L232" i="130" a="1"/>
  <c r="L232" i="130" s="1"/>
  <c r="K232" i="130" a="1"/>
  <c r="K232" i="130" s="1"/>
  <c r="J232" i="130" a="1"/>
  <c r="J232" i="130" s="1"/>
  <c r="I232" i="130" a="1"/>
  <c r="I232" i="130" s="1"/>
  <c r="H232" i="130" a="1"/>
  <c r="H232" i="130" s="1"/>
  <c r="G232" i="130" a="1"/>
  <c r="G232" i="130" s="1"/>
  <c r="F232" i="130" a="1"/>
  <c r="F232" i="130" s="1"/>
  <c r="E232" i="130" a="1"/>
  <c r="E232" i="130" s="1"/>
  <c r="D232" i="130" a="1"/>
  <c r="D232" i="130" s="1"/>
  <c r="D229" i="130"/>
  <c r="D229" i="130" a="1"/>
  <c r="D228" i="130"/>
  <c r="D228" i="130" a="1"/>
  <c r="D227" i="130" a="1"/>
  <c r="D227" i="130" s="1"/>
  <c r="E224" i="130" a="1"/>
  <c r="E224" i="130" s="1"/>
  <c r="D224" i="130" a="1"/>
  <c r="D224" i="130" s="1"/>
  <c r="E223" i="130" a="1"/>
  <c r="E223" i="130" s="1"/>
  <c r="D223" i="130" a="1"/>
  <c r="D223" i="130" s="1"/>
  <c r="E222" i="130" a="1"/>
  <c r="E222" i="130" s="1"/>
  <c r="D222" i="130" a="1"/>
  <c r="D222" i="130" s="1"/>
  <c r="E221" i="130" a="1"/>
  <c r="E221" i="130" s="1"/>
  <c r="D221" i="130" a="1"/>
  <c r="D221" i="130" s="1"/>
  <c r="E220" i="130" a="1"/>
  <c r="E220" i="130" s="1"/>
  <c r="D220" i="130" a="1"/>
  <c r="D220" i="130" s="1"/>
  <c r="E219" i="130" a="1"/>
  <c r="E219" i="130" s="1"/>
  <c r="D219" i="130" a="1"/>
  <c r="D219" i="130" s="1"/>
  <c r="E218" i="130" a="1"/>
  <c r="E218" i="130" s="1"/>
  <c r="D218" i="130" a="1"/>
  <c r="D218" i="130" s="1"/>
  <c r="E217" i="130" a="1"/>
  <c r="E217" i="130" s="1"/>
  <c r="D217" i="130" a="1"/>
  <c r="D217" i="130" s="1"/>
  <c r="E216" i="130" a="1"/>
  <c r="E216" i="130" s="1"/>
  <c r="D216" i="130" a="1"/>
  <c r="D216" i="130" s="1"/>
  <c r="E215" i="130" a="1"/>
  <c r="E215" i="130" s="1"/>
  <c r="D215" i="130" a="1"/>
  <c r="D215" i="130" s="1"/>
  <c r="E214" i="130" a="1"/>
  <c r="E214" i="130" s="1"/>
  <c r="D214" i="130" a="1"/>
  <c r="D214" i="130" s="1"/>
  <c r="E213" i="130" a="1"/>
  <c r="E213" i="130" s="1"/>
  <c r="D213" i="130" a="1"/>
  <c r="D213" i="130" s="1"/>
  <c r="D211" i="130" a="1"/>
  <c r="D211" i="130" s="1"/>
  <c r="E208" i="130" a="1"/>
  <c r="E208" i="130" s="1"/>
  <c r="D208" i="130" a="1"/>
  <c r="D208" i="130" s="1"/>
  <c r="E207" i="130" a="1"/>
  <c r="E207" i="130" s="1"/>
  <c r="D207" i="130" a="1"/>
  <c r="D207" i="130" s="1"/>
  <c r="D205" i="130" a="1"/>
  <c r="D205" i="130" s="1"/>
  <c r="D204" i="130" a="1"/>
  <c r="D204" i="130" s="1"/>
  <c r="D203" i="130" a="1"/>
  <c r="D203" i="130" s="1"/>
  <c r="D202" i="130"/>
  <c r="D202" i="130" a="1"/>
  <c r="H199" i="130" a="1"/>
  <c r="H199" i="130" s="1"/>
  <c r="G199" i="130" a="1"/>
  <c r="G199" i="130" s="1"/>
  <c r="F199" i="130" a="1"/>
  <c r="F199" i="130" s="1"/>
  <c r="E199" i="130" a="1"/>
  <c r="E199" i="130" s="1"/>
  <c r="D199" i="130" a="1"/>
  <c r="D199" i="130" s="1"/>
  <c r="H198" i="130" a="1"/>
  <c r="H198" i="130" s="1"/>
  <c r="G198" i="130" a="1"/>
  <c r="G198" i="130" s="1"/>
  <c r="F198" i="130" a="1"/>
  <c r="F198" i="130" s="1"/>
  <c r="E198" i="130" a="1"/>
  <c r="E198" i="130" s="1"/>
  <c r="D198" i="130" a="1"/>
  <c r="D198" i="130" s="1"/>
  <c r="H197" i="130" a="1"/>
  <c r="H197" i="130" s="1"/>
  <c r="G197" i="130" a="1"/>
  <c r="G197" i="130" s="1"/>
  <c r="F197" i="130" a="1"/>
  <c r="F197" i="130" s="1"/>
  <c r="E197" i="130" a="1"/>
  <c r="E197" i="130" s="1"/>
  <c r="D197" i="130" a="1"/>
  <c r="D197" i="130" s="1"/>
  <c r="H196" i="130" a="1"/>
  <c r="H196" i="130" s="1"/>
  <c r="G196" i="130" a="1"/>
  <c r="G196" i="130" s="1"/>
  <c r="F196" i="130" a="1"/>
  <c r="F196" i="130" s="1"/>
  <c r="E196" i="130" a="1"/>
  <c r="E196" i="130" s="1"/>
  <c r="D196" i="130" a="1"/>
  <c r="D196" i="130" s="1"/>
  <c r="H195" i="130" a="1"/>
  <c r="H195" i="130" s="1"/>
  <c r="G195" i="130" a="1"/>
  <c r="G195" i="130" s="1"/>
  <c r="F195" i="130" a="1"/>
  <c r="F195" i="130" s="1"/>
  <c r="E195" i="130" a="1"/>
  <c r="E195" i="130" s="1"/>
  <c r="D195" i="130" a="1"/>
  <c r="D195" i="130" s="1"/>
  <c r="H194" i="130" a="1"/>
  <c r="H194" i="130" s="1"/>
  <c r="G194" i="130" a="1"/>
  <c r="G194" i="130" s="1"/>
  <c r="F194" i="130" a="1"/>
  <c r="F194" i="130" s="1"/>
  <c r="E194" i="130" a="1"/>
  <c r="E194" i="130" s="1"/>
  <c r="D194" i="130" a="1"/>
  <c r="D194" i="130" s="1"/>
  <c r="H193" i="130" a="1"/>
  <c r="H193" i="130" s="1"/>
  <c r="G193" i="130" a="1"/>
  <c r="G193" i="130" s="1"/>
  <c r="F193" i="130" a="1"/>
  <c r="F193" i="130" s="1"/>
  <c r="E193" i="130" a="1"/>
  <c r="E193" i="130" s="1"/>
  <c r="D193" i="130" a="1"/>
  <c r="D193" i="130" s="1"/>
  <c r="H192" i="130" a="1"/>
  <c r="H192" i="130" s="1"/>
  <c r="G192" i="130" a="1"/>
  <c r="G192" i="130" s="1"/>
  <c r="F192" i="130" a="1"/>
  <c r="F192" i="130" s="1"/>
  <c r="E192" i="130" a="1"/>
  <c r="E192" i="130" s="1"/>
  <c r="D192" i="130" a="1"/>
  <c r="D192" i="130" s="1"/>
  <c r="H191" i="130" a="1"/>
  <c r="H191" i="130" s="1"/>
  <c r="G191" i="130" a="1"/>
  <c r="G191" i="130" s="1"/>
  <c r="F191" i="130" a="1"/>
  <c r="F191" i="130" s="1"/>
  <c r="E191" i="130" a="1"/>
  <c r="E191" i="130" s="1"/>
  <c r="D191" i="130" a="1"/>
  <c r="D191" i="130" s="1"/>
  <c r="H190" i="130" a="1"/>
  <c r="H190" i="130" s="1"/>
  <c r="G190" i="130" a="1"/>
  <c r="G190" i="130" s="1"/>
  <c r="F190" i="130" a="1"/>
  <c r="F190" i="130" s="1"/>
  <c r="E190" i="130" a="1"/>
  <c r="E190" i="130" s="1"/>
  <c r="D190" i="130" a="1"/>
  <c r="D190" i="130" s="1"/>
  <c r="H189" i="130" a="1"/>
  <c r="H189" i="130" s="1"/>
  <c r="G189" i="130" a="1"/>
  <c r="G189" i="130" s="1"/>
  <c r="F189" i="130" a="1"/>
  <c r="F189" i="130" s="1"/>
  <c r="E189" i="130" a="1"/>
  <c r="E189" i="130" s="1"/>
  <c r="D189" i="130" a="1"/>
  <c r="D189" i="130" s="1"/>
  <c r="H188" i="130" a="1"/>
  <c r="H188" i="130" s="1"/>
  <c r="G188" i="130" a="1"/>
  <c r="G188" i="130" s="1"/>
  <c r="F188" i="130" a="1"/>
  <c r="F188" i="130" s="1"/>
  <c r="E188" i="130" a="1"/>
  <c r="E188" i="130" s="1"/>
  <c r="D188" i="130" a="1"/>
  <c r="D188" i="130" s="1"/>
  <c r="H187" i="130" a="1"/>
  <c r="H187" i="130" s="1"/>
  <c r="G187" i="130" a="1"/>
  <c r="G187" i="130" s="1"/>
  <c r="F187" i="130" a="1"/>
  <c r="F187" i="130" s="1"/>
  <c r="E187" i="130" a="1"/>
  <c r="E187" i="130" s="1"/>
  <c r="D187" i="130" a="1"/>
  <c r="D187" i="130" s="1"/>
  <c r="D181" i="130" a="1"/>
  <c r="D181" i="130" s="1"/>
  <c r="D180" i="130" a="1"/>
  <c r="D180" i="130" s="1"/>
  <c r="D179" i="130" a="1"/>
  <c r="D179" i="130" s="1"/>
  <c r="D178" i="130" a="1"/>
  <c r="D178" i="130" s="1"/>
  <c r="E175" i="130" a="1"/>
  <c r="E175" i="130" s="1"/>
  <c r="D175" i="130" a="1"/>
  <c r="D175" i="130" s="1"/>
  <c r="D174" i="130" a="1"/>
  <c r="D174" i="130" s="1"/>
  <c r="D173" i="130" a="1"/>
  <c r="D173" i="130" s="1"/>
  <c r="D170" i="130" a="1"/>
  <c r="D170" i="130" s="1"/>
  <c r="D169" i="130" a="1"/>
  <c r="D169" i="130" s="1"/>
  <c r="D168" i="130" a="1"/>
  <c r="D168" i="130" s="1"/>
  <c r="D167" i="130" a="1"/>
  <c r="D167" i="130" s="1"/>
  <c r="D164" i="130" a="1"/>
  <c r="D164" i="130" s="1"/>
  <c r="D163" i="130" a="1"/>
  <c r="D163" i="130" s="1"/>
  <c r="D162" i="130" a="1"/>
  <c r="D162" i="130" s="1"/>
  <c r="D161" i="130" a="1"/>
  <c r="D161" i="130" s="1"/>
  <c r="E158" i="130" a="1"/>
  <c r="E158" i="130" s="1"/>
  <c r="D158" i="130" a="1"/>
  <c r="D158" i="130" s="1"/>
  <c r="E157" i="130" a="1"/>
  <c r="E157" i="130" s="1"/>
  <c r="D157" i="130" a="1"/>
  <c r="D157" i="130" s="1"/>
  <c r="E156" i="130" a="1"/>
  <c r="E156" i="130" s="1"/>
  <c r="D156" i="130" a="1"/>
  <c r="D156" i="130" s="1"/>
  <c r="E155" i="130" a="1"/>
  <c r="E155" i="130" s="1"/>
  <c r="D155" i="130" a="1"/>
  <c r="D155" i="130" s="1"/>
  <c r="E154" i="130" a="1"/>
  <c r="E154" i="130" s="1"/>
  <c r="D154" i="130" a="1"/>
  <c r="D154" i="130" s="1"/>
  <c r="D151" i="130" a="1"/>
  <c r="D151" i="130" s="1"/>
  <c r="D150" i="130" a="1"/>
  <c r="D150" i="130" s="1"/>
  <c r="E147" i="130" a="1"/>
  <c r="E147" i="130" s="1"/>
  <c r="D147" i="130" a="1"/>
  <c r="D147" i="130" s="1"/>
  <c r="E146" i="130" a="1"/>
  <c r="E146" i="130" s="1"/>
  <c r="D146" i="130" a="1"/>
  <c r="D146" i="130" s="1"/>
  <c r="E145" i="130" a="1"/>
  <c r="E145" i="130" s="1"/>
  <c r="D145" i="130" a="1"/>
  <c r="D145" i="130" s="1"/>
  <c r="E144" i="130" a="1"/>
  <c r="E144" i="130" s="1"/>
  <c r="D144" i="130" a="1"/>
  <c r="D144" i="130" s="1"/>
  <c r="E143" i="130" a="1"/>
  <c r="E143" i="130" s="1"/>
  <c r="D143" i="130" a="1"/>
  <c r="D143" i="130" s="1"/>
  <c r="D141" i="130" a="1"/>
  <c r="D141" i="130" s="1"/>
  <c r="D140" i="130" a="1"/>
  <c r="D140" i="130" s="1"/>
  <c r="D139" i="130"/>
  <c r="D139" i="130" a="1"/>
  <c r="E136" i="130" a="1"/>
  <c r="E136" i="130" s="1"/>
  <c r="D136" i="130" a="1"/>
  <c r="D136" i="130" s="1"/>
  <c r="E135" i="130" a="1"/>
  <c r="E135" i="130" s="1"/>
  <c r="D135" i="130" a="1"/>
  <c r="D135" i="130" s="1"/>
  <c r="D133" i="130" a="1"/>
  <c r="D133" i="130" s="1"/>
  <c r="D132" i="130" a="1"/>
  <c r="D132" i="130" s="1"/>
  <c r="E129" i="130" a="1"/>
  <c r="E129" i="130" s="1"/>
  <c r="D129" i="130" a="1"/>
  <c r="D129" i="130" s="1"/>
  <c r="E128" i="130" a="1"/>
  <c r="E128" i="130" s="1"/>
  <c r="D128" i="130" a="1"/>
  <c r="D128" i="130" s="1"/>
  <c r="D125" i="130" a="1"/>
  <c r="D125" i="130" s="1"/>
  <c r="D124" i="130" a="1"/>
  <c r="D124" i="130" s="1"/>
  <c r="G121" i="130" a="1"/>
  <c r="G121" i="130" s="1"/>
  <c r="F121" i="130" a="1"/>
  <c r="F121" i="130" s="1"/>
  <c r="E121" i="130" a="1"/>
  <c r="E121" i="130" s="1"/>
  <c r="D121" i="130" a="1"/>
  <c r="D121" i="130" s="1"/>
  <c r="G120" i="130" a="1"/>
  <c r="G120" i="130" s="1"/>
  <c r="F120" i="130" a="1"/>
  <c r="F120" i="130" s="1"/>
  <c r="E120" i="130" a="1"/>
  <c r="E120" i="130" s="1"/>
  <c r="D120" i="130" a="1"/>
  <c r="D120" i="130" s="1"/>
  <c r="D117" i="130" a="1"/>
  <c r="D117" i="130" s="1"/>
  <c r="D116" i="130" a="1"/>
  <c r="D116" i="130" s="1"/>
  <c r="D115" i="130" a="1"/>
  <c r="D115" i="130" s="1"/>
  <c r="G112" i="130" a="1"/>
  <c r="G112" i="130" s="1"/>
  <c r="F112" i="130" a="1"/>
  <c r="F112" i="130" s="1"/>
  <c r="E112" i="130" a="1"/>
  <c r="E112" i="130" s="1"/>
  <c r="D112" i="130" a="1"/>
  <c r="D112" i="130" s="1"/>
  <c r="G111" i="130" a="1"/>
  <c r="G111" i="130" s="1"/>
  <c r="F111" i="130" a="1"/>
  <c r="F111" i="130" s="1"/>
  <c r="E111" i="130" a="1"/>
  <c r="E111" i="130" s="1"/>
  <c r="D111" i="130" a="1"/>
  <c r="D111" i="130" s="1"/>
  <c r="G110" i="130" a="1"/>
  <c r="G110" i="130" s="1"/>
  <c r="F110" i="130" a="1"/>
  <c r="F110" i="130" s="1"/>
  <c r="E110" i="130" a="1"/>
  <c r="E110" i="130" s="1"/>
  <c r="D110" i="130" a="1"/>
  <c r="D110" i="130" s="1"/>
  <c r="D107" i="130" a="1"/>
  <c r="D107" i="130" s="1"/>
  <c r="D106" i="130" a="1"/>
  <c r="D106" i="130" s="1"/>
  <c r="D105" i="130"/>
  <c r="D105" i="130" a="1"/>
  <c r="D99" i="130" a="1"/>
  <c r="D99" i="130" s="1"/>
  <c r="S97" i="130" a="1"/>
  <c r="S97" i="130" s="1"/>
  <c r="R97" i="130" a="1"/>
  <c r="R97" i="130" s="1"/>
  <c r="Q97" i="130" a="1"/>
  <c r="Q97" i="130" s="1"/>
  <c r="P97" i="130" a="1"/>
  <c r="P97" i="130" s="1"/>
  <c r="O97" i="130" a="1"/>
  <c r="O97" i="130" s="1"/>
  <c r="N97" i="130" a="1"/>
  <c r="N97" i="130" s="1"/>
  <c r="M97" i="130" a="1"/>
  <c r="M97" i="130" s="1"/>
  <c r="L97" i="130" a="1"/>
  <c r="L97" i="130" s="1"/>
  <c r="K97" i="130" a="1"/>
  <c r="K97" i="130" s="1"/>
  <c r="J97" i="130" a="1"/>
  <c r="J97" i="130" s="1"/>
  <c r="I97" i="130" a="1"/>
  <c r="I97" i="130" s="1"/>
  <c r="H97" i="130" a="1"/>
  <c r="H97" i="130" s="1"/>
  <c r="G97" i="130" a="1"/>
  <c r="G97" i="130" s="1"/>
  <c r="F97" i="130" a="1"/>
  <c r="F97" i="130" s="1"/>
  <c r="E97" i="130" a="1"/>
  <c r="E97" i="130" s="1"/>
  <c r="D97" i="130" a="1"/>
  <c r="D97" i="130" s="1"/>
  <c r="S96" i="130" a="1"/>
  <c r="S96" i="130" s="1"/>
  <c r="R96" i="130" a="1"/>
  <c r="R96" i="130" s="1"/>
  <c r="Q96" i="130" a="1"/>
  <c r="Q96" i="130" s="1"/>
  <c r="P96" i="130" a="1"/>
  <c r="P96" i="130" s="1"/>
  <c r="O96" i="130" a="1"/>
  <c r="O96" i="130" s="1"/>
  <c r="N96" i="130" a="1"/>
  <c r="N96" i="130" s="1"/>
  <c r="M96" i="130" a="1"/>
  <c r="M96" i="130" s="1"/>
  <c r="L96" i="130" a="1"/>
  <c r="L96" i="130" s="1"/>
  <c r="K96" i="130" a="1"/>
  <c r="K96" i="130" s="1"/>
  <c r="J96" i="130" a="1"/>
  <c r="J96" i="130" s="1"/>
  <c r="I96" i="130" a="1"/>
  <c r="I96" i="130" s="1"/>
  <c r="H96" i="130" a="1"/>
  <c r="H96" i="130" s="1"/>
  <c r="G96" i="130" a="1"/>
  <c r="G96" i="130" s="1"/>
  <c r="F96" i="130" a="1"/>
  <c r="F96" i="130" s="1"/>
  <c r="E96" i="130" a="1"/>
  <c r="E96" i="130" s="1"/>
  <c r="D96" i="130" a="1"/>
  <c r="D96" i="130" s="1"/>
  <c r="S95" i="130" a="1"/>
  <c r="S95" i="130" s="1"/>
  <c r="R95" i="130" a="1"/>
  <c r="R95" i="130" s="1"/>
  <c r="Q95" i="130" a="1"/>
  <c r="Q95" i="130" s="1"/>
  <c r="P95" i="130" a="1"/>
  <c r="P95" i="130" s="1"/>
  <c r="O95" i="130" a="1"/>
  <c r="O95" i="130" s="1"/>
  <c r="N95" i="130" a="1"/>
  <c r="N95" i="130" s="1"/>
  <c r="M95" i="130" a="1"/>
  <c r="M95" i="130" s="1"/>
  <c r="L95" i="130" a="1"/>
  <c r="L95" i="130" s="1"/>
  <c r="K95" i="130" a="1"/>
  <c r="K95" i="130" s="1"/>
  <c r="J95" i="130" a="1"/>
  <c r="J95" i="130" s="1"/>
  <c r="I95" i="130" a="1"/>
  <c r="I95" i="130" s="1"/>
  <c r="H95" i="130" a="1"/>
  <c r="H95" i="130" s="1"/>
  <c r="G95" i="130" a="1"/>
  <c r="G95" i="130" s="1"/>
  <c r="F95" i="130" a="1"/>
  <c r="F95" i="130" s="1"/>
  <c r="E95" i="130" a="1"/>
  <c r="E95" i="130" s="1"/>
  <c r="D95" i="130" a="1"/>
  <c r="D95" i="130" s="1"/>
  <c r="S94" i="130" a="1"/>
  <c r="S94" i="130" s="1"/>
  <c r="R94" i="130" a="1"/>
  <c r="R94" i="130" s="1"/>
  <c r="Q94" i="130" a="1"/>
  <c r="Q94" i="130" s="1"/>
  <c r="P94" i="130" a="1"/>
  <c r="P94" i="130" s="1"/>
  <c r="O94" i="130" a="1"/>
  <c r="O94" i="130" s="1"/>
  <c r="N94" i="130" a="1"/>
  <c r="N94" i="130" s="1"/>
  <c r="M94" i="130" a="1"/>
  <c r="M94" i="130" s="1"/>
  <c r="L94" i="130" a="1"/>
  <c r="L94" i="130" s="1"/>
  <c r="K94" i="130" a="1"/>
  <c r="K94" i="130" s="1"/>
  <c r="J94" i="130" a="1"/>
  <c r="J94" i="130" s="1"/>
  <c r="I94" i="130" a="1"/>
  <c r="I94" i="130" s="1"/>
  <c r="H94" i="130" a="1"/>
  <c r="H94" i="130" s="1"/>
  <c r="G94" i="130" a="1"/>
  <c r="G94" i="130" s="1"/>
  <c r="F94" i="130" a="1"/>
  <c r="F94" i="130" s="1"/>
  <c r="E94" i="130" a="1"/>
  <c r="E94" i="130" s="1"/>
  <c r="D94" i="130" a="1"/>
  <c r="D94" i="130" s="1"/>
  <c r="S93" i="130" a="1"/>
  <c r="S93" i="130" s="1"/>
  <c r="R93" i="130" a="1"/>
  <c r="R93" i="130" s="1"/>
  <c r="Q93" i="130" a="1"/>
  <c r="Q93" i="130" s="1"/>
  <c r="P93" i="130" a="1"/>
  <c r="P93" i="130" s="1"/>
  <c r="O93" i="130" a="1"/>
  <c r="O93" i="130" s="1"/>
  <c r="N93" i="130" a="1"/>
  <c r="N93" i="130" s="1"/>
  <c r="M93" i="130" a="1"/>
  <c r="M93" i="130" s="1"/>
  <c r="L93" i="130" a="1"/>
  <c r="L93" i="130" s="1"/>
  <c r="K93" i="130" a="1"/>
  <c r="K93" i="130" s="1"/>
  <c r="J93" i="130" a="1"/>
  <c r="J93" i="130" s="1"/>
  <c r="I93" i="130" a="1"/>
  <c r="I93" i="130" s="1"/>
  <c r="H93" i="130" a="1"/>
  <c r="H93" i="130" s="1"/>
  <c r="G93" i="130" a="1"/>
  <c r="G93" i="130" s="1"/>
  <c r="F93" i="130" a="1"/>
  <c r="F93" i="130" s="1"/>
  <c r="E93" i="130" a="1"/>
  <c r="E93" i="130" s="1"/>
  <c r="D93" i="130" a="1"/>
  <c r="D93" i="130" s="1"/>
  <c r="S92" i="130" a="1"/>
  <c r="S92" i="130" s="1"/>
  <c r="R92" i="130" a="1"/>
  <c r="R92" i="130" s="1"/>
  <c r="Q92" i="130" a="1"/>
  <c r="Q92" i="130" s="1"/>
  <c r="P92" i="130" a="1"/>
  <c r="P92" i="130" s="1"/>
  <c r="O92" i="130" a="1"/>
  <c r="O92" i="130" s="1"/>
  <c r="N92" i="130" a="1"/>
  <c r="N92" i="130" s="1"/>
  <c r="M92" i="130" a="1"/>
  <c r="M92" i="130" s="1"/>
  <c r="L92" i="130" a="1"/>
  <c r="L92" i="130" s="1"/>
  <c r="K92" i="130" a="1"/>
  <c r="K92" i="130" s="1"/>
  <c r="J92" i="130" a="1"/>
  <c r="J92" i="130" s="1"/>
  <c r="I92" i="130" a="1"/>
  <c r="I92" i="130" s="1"/>
  <c r="H92" i="130" a="1"/>
  <c r="H92" i="130" s="1"/>
  <c r="G92" i="130" a="1"/>
  <c r="G92" i="130" s="1"/>
  <c r="F92" i="130" a="1"/>
  <c r="F92" i="130" s="1"/>
  <c r="E92" i="130" a="1"/>
  <c r="E92" i="130" s="1"/>
  <c r="D92" i="130" a="1"/>
  <c r="D92" i="130" s="1"/>
  <c r="S91" i="130" a="1"/>
  <c r="S91" i="130" s="1"/>
  <c r="R91" i="130" a="1"/>
  <c r="R91" i="130" s="1"/>
  <c r="Q91" i="130" a="1"/>
  <c r="Q91" i="130" s="1"/>
  <c r="P91" i="130" a="1"/>
  <c r="P91" i="130" s="1"/>
  <c r="O91" i="130" a="1"/>
  <c r="O91" i="130" s="1"/>
  <c r="N91" i="130" a="1"/>
  <c r="N91" i="130" s="1"/>
  <c r="M91" i="130" a="1"/>
  <c r="M91" i="130" s="1"/>
  <c r="L91" i="130" a="1"/>
  <c r="L91" i="130" s="1"/>
  <c r="K91" i="130" a="1"/>
  <c r="K91" i="130" s="1"/>
  <c r="J91" i="130" a="1"/>
  <c r="J91" i="130" s="1"/>
  <c r="I91" i="130" a="1"/>
  <c r="I91" i="130" s="1"/>
  <c r="H91" i="130" a="1"/>
  <c r="H91" i="130" s="1"/>
  <c r="G91" i="130" a="1"/>
  <c r="G91" i="130" s="1"/>
  <c r="F91" i="130" a="1"/>
  <c r="F91" i="130" s="1"/>
  <c r="E91" i="130" a="1"/>
  <c r="E91" i="130" s="1"/>
  <c r="D91" i="130" a="1"/>
  <c r="D91" i="130" s="1"/>
  <c r="S90" i="130" a="1"/>
  <c r="S90" i="130" s="1"/>
  <c r="R90" i="130" a="1"/>
  <c r="R90" i="130" s="1"/>
  <c r="Q90" i="130" a="1"/>
  <c r="Q90" i="130" s="1"/>
  <c r="P90" i="130" a="1"/>
  <c r="P90" i="130" s="1"/>
  <c r="O90" i="130" a="1"/>
  <c r="O90" i="130" s="1"/>
  <c r="N90" i="130" a="1"/>
  <c r="N90" i="130" s="1"/>
  <c r="M90" i="130" a="1"/>
  <c r="M90" i="130" s="1"/>
  <c r="L90" i="130" a="1"/>
  <c r="L90" i="130" s="1"/>
  <c r="K90" i="130" a="1"/>
  <c r="K90" i="130" s="1"/>
  <c r="J90" i="130" a="1"/>
  <c r="J90" i="130" s="1"/>
  <c r="I90" i="130" a="1"/>
  <c r="I90" i="130" s="1"/>
  <c r="H90" i="130" a="1"/>
  <c r="H90" i="130" s="1"/>
  <c r="G90" i="130" a="1"/>
  <c r="G90" i="130" s="1"/>
  <c r="F90" i="130" a="1"/>
  <c r="F90" i="130" s="1"/>
  <c r="E90" i="130" a="1"/>
  <c r="E90" i="130" s="1"/>
  <c r="D90" i="130" a="1"/>
  <c r="D90" i="130" s="1"/>
  <c r="D83" i="130" a="1"/>
  <c r="D83" i="130" s="1"/>
  <c r="D82" i="130" a="1"/>
  <c r="D82" i="130" s="1"/>
  <c r="D81" i="130" a="1"/>
  <c r="D81" i="130" s="1"/>
  <c r="E77" i="130" a="1"/>
  <c r="E77" i="130" s="1"/>
  <c r="D77" i="130" a="1"/>
  <c r="D77" i="130" s="1"/>
  <c r="E76" i="130" a="1"/>
  <c r="E76" i="130" s="1"/>
  <c r="D76" i="130" a="1"/>
  <c r="D76" i="130" s="1"/>
  <c r="E75" i="130" a="1"/>
  <c r="E75" i="130" s="1"/>
  <c r="D75" i="130" a="1"/>
  <c r="D75" i="130" s="1"/>
  <c r="E74" i="130" a="1"/>
  <c r="E74" i="130" s="1"/>
  <c r="D74" i="130" a="1"/>
  <c r="D74" i="130" s="1"/>
  <c r="E73" i="130" a="1"/>
  <c r="E73" i="130" s="1"/>
  <c r="D73" i="130" a="1"/>
  <c r="D73" i="130" s="1"/>
  <c r="E72" i="130" a="1"/>
  <c r="E72" i="130" s="1"/>
  <c r="D72" i="130" a="1"/>
  <c r="D72" i="130" s="1"/>
  <c r="E71" i="130" a="1"/>
  <c r="E71" i="130" s="1"/>
  <c r="D71" i="130" a="1"/>
  <c r="D71" i="130" s="1"/>
  <c r="E70" i="130" a="1"/>
  <c r="E70" i="130" s="1"/>
  <c r="D70" i="130" a="1"/>
  <c r="D70" i="130" s="1"/>
  <c r="E69" i="130" a="1"/>
  <c r="E69" i="130" s="1"/>
  <c r="D69" i="130" a="1"/>
  <c r="D69" i="130" s="1"/>
  <c r="E68" i="130" a="1"/>
  <c r="E68" i="130" s="1"/>
  <c r="D68" i="130" a="1"/>
  <c r="D68" i="130" s="1"/>
  <c r="E67" i="130" a="1"/>
  <c r="E67" i="130" s="1"/>
  <c r="D67" i="130" a="1"/>
  <c r="D67" i="130" s="1"/>
  <c r="E66" i="130" a="1"/>
  <c r="E66" i="130" s="1"/>
  <c r="D66" i="130" a="1"/>
  <c r="D66" i="130" s="1"/>
  <c r="E65" i="130" a="1"/>
  <c r="E65" i="130" s="1"/>
  <c r="D65" i="130" a="1"/>
  <c r="D65" i="130" s="1"/>
  <c r="E64" i="130" a="1"/>
  <c r="E64" i="130" s="1"/>
  <c r="D64" i="130" a="1"/>
  <c r="D64" i="130" s="1"/>
  <c r="D59" i="130" a="1"/>
  <c r="D59" i="130" s="1"/>
  <c r="D58" i="130" a="1"/>
  <c r="D58" i="130" s="1"/>
  <c r="D57" i="130" a="1"/>
  <c r="D57" i="130" s="1"/>
  <c r="G54" i="130" a="1"/>
  <c r="G54" i="130" s="1"/>
  <c r="F54" i="130" a="1"/>
  <c r="F54" i="130" s="1"/>
  <c r="E54" i="130" a="1"/>
  <c r="E54" i="130" s="1"/>
  <c r="D54" i="130" a="1"/>
  <c r="D54" i="130" s="1"/>
  <c r="G53" i="130" a="1"/>
  <c r="G53" i="130" s="1"/>
  <c r="F53" i="130" a="1"/>
  <c r="F53" i="130" s="1"/>
  <c r="E53" i="130" a="1"/>
  <c r="E53" i="130" s="1"/>
  <c r="D53" i="130" a="1"/>
  <c r="D53" i="130" s="1"/>
  <c r="G52" i="130" a="1"/>
  <c r="G52" i="130" s="1"/>
  <c r="F52" i="130" a="1"/>
  <c r="F52" i="130" s="1"/>
  <c r="E52" i="130" a="1"/>
  <c r="E52" i="130" s="1"/>
  <c r="D52" i="130" a="1"/>
  <c r="D52" i="130" s="1"/>
  <c r="G51" i="130" a="1"/>
  <c r="G51" i="130" s="1"/>
  <c r="F51" i="130" a="1"/>
  <c r="F51" i="130" s="1"/>
  <c r="H51" i="130" s="1"/>
  <c r="E51" i="130" a="1"/>
  <c r="E51" i="130" s="1"/>
  <c r="D51" i="130" a="1"/>
  <c r="D51" i="130" s="1"/>
  <c r="G50" i="130" a="1"/>
  <c r="G50" i="130" s="1"/>
  <c r="F50" i="130" a="1"/>
  <c r="F50" i="130" s="1"/>
  <c r="E50" i="130" a="1"/>
  <c r="E50" i="130" s="1"/>
  <c r="D50" i="130" a="1"/>
  <c r="D50" i="130" s="1"/>
  <c r="G49" i="130" a="1"/>
  <c r="G49" i="130" s="1"/>
  <c r="F49" i="130" a="1"/>
  <c r="F49" i="130" s="1"/>
  <c r="E49" i="130" a="1"/>
  <c r="E49" i="130" s="1"/>
  <c r="D49" i="130" a="1"/>
  <c r="D49" i="130" s="1"/>
  <c r="G48" i="130" a="1"/>
  <c r="G48" i="130" s="1"/>
  <c r="F48" i="130" a="1"/>
  <c r="F48" i="130" s="1"/>
  <c r="E48" i="130" a="1"/>
  <c r="E48" i="130" s="1"/>
  <c r="D48" i="130" a="1"/>
  <c r="D48" i="130" s="1"/>
  <c r="D46" i="130"/>
  <c r="D46" i="130" a="1"/>
  <c r="D45" i="130" a="1"/>
  <c r="D45" i="130" s="1"/>
  <c r="E43" i="130" a="1"/>
  <c r="E43" i="130" s="1"/>
  <c r="D43" i="130" a="1"/>
  <c r="D43" i="130" s="1"/>
  <c r="E42" i="130" a="1"/>
  <c r="E42" i="130" s="1"/>
  <c r="D42" i="130" a="1"/>
  <c r="D42" i="130" s="1"/>
  <c r="E41" i="130" a="1"/>
  <c r="E41" i="130" s="1"/>
  <c r="D41" i="130" a="1"/>
  <c r="D41" i="130" s="1"/>
  <c r="E40" i="130" a="1"/>
  <c r="E40" i="130" s="1"/>
  <c r="D40" i="130" a="1"/>
  <c r="D40" i="130" s="1"/>
  <c r="E39" i="130" a="1"/>
  <c r="E39" i="130" s="1"/>
  <c r="D39" i="130" a="1"/>
  <c r="D39" i="130" s="1"/>
  <c r="E38" i="130" a="1"/>
  <c r="E38" i="130" s="1"/>
  <c r="D38" i="130" a="1"/>
  <c r="D38" i="130" s="1"/>
  <c r="E37" i="130" a="1"/>
  <c r="E37" i="130" s="1"/>
  <c r="D37" i="130" a="1"/>
  <c r="D37" i="130" s="1"/>
  <c r="D35" i="130" a="1"/>
  <c r="D35" i="130" s="1"/>
  <c r="D34" i="130" a="1"/>
  <c r="D34" i="130" s="1"/>
  <c r="D30" i="130" a="1"/>
  <c r="D30" i="130" s="1"/>
  <c r="D29" i="130" a="1"/>
  <c r="D29" i="130" s="1"/>
  <c r="D28" i="130" a="1"/>
  <c r="D28" i="130" s="1"/>
  <c r="D27" i="130" a="1"/>
  <c r="D27" i="130" s="1"/>
  <c r="D26" i="130" a="1"/>
  <c r="D26" i="130" s="1"/>
  <c r="D25" i="130" a="1"/>
  <c r="D25" i="130" s="1"/>
  <c r="D24" i="130" a="1"/>
  <c r="D24" i="130" s="1"/>
  <c r="D23" i="130" a="1"/>
  <c r="D23" i="130" s="1"/>
  <c r="D22" i="130" a="1"/>
  <c r="D22" i="130" s="1"/>
  <c r="D21" i="130" a="1"/>
  <c r="D21" i="130" s="1"/>
  <c r="D19" i="130" a="1"/>
  <c r="D19" i="130" s="1"/>
  <c r="D18" i="130"/>
  <c r="D18" i="130" a="1"/>
  <c r="F14" i="130" a="1"/>
  <c r="F14" i="130" s="1"/>
  <c r="E14" i="130" a="1"/>
  <c r="E14" i="130" s="1"/>
  <c r="D14" i="130" a="1"/>
  <c r="D14" i="130" s="1"/>
  <c r="F13" i="130" a="1"/>
  <c r="F13" i="130" s="1"/>
  <c r="E13" i="130" a="1"/>
  <c r="E13" i="130" s="1"/>
  <c r="D13" i="130" a="1"/>
  <c r="D13" i="130" s="1"/>
  <c r="F12" i="130" a="1"/>
  <c r="F12" i="130" s="1"/>
  <c r="E12" i="130" a="1"/>
  <c r="E12" i="130" s="1"/>
  <c r="D12" i="130" a="1"/>
  <c r="D12" i="130" s="1"/>
  <c r="F11" i="130" a="1"/>
  <c r="F11" i="130" s="1"/>
  <c r="E11" i="130" a="1"/>
  <c r="E11" i="130" s="1"/>
  <c r="D11" i="130" a="1"/>
  <c r="D11" i="130" s="1"/>
  <c r="F10" i="130" a="1"/>
  <c r="F10" i="130" s="1"/>
  <c r="E10" i="130" a="1"/>
  <c r="E10" i="130" s="1"/>
  <c r="D10" i="130" a="1"/>
  <c r="D10" i="130" s="1"/>
  <c r="F9" i="130" a="1"/>
  <c r="F9" i="130" s="1"/>
  <c r="E9" i="130" a="1"/>
  <c r="E9" i="130" s="1"/>
  <c r="D9" i="130" a="1"/>
  <c r="D9" i="130" s="1"/>
  <c r="F8" i="130" a="1"/>
  <c r="F8" i="130" s="1"/>
  <c r="E8" i="130" a="1"/>
  <c r="E8" i="130" s="1"/>
  <c r="D8" i="130" a="1"/>
  <c r="D8" i="130" s="1"/>
  <c r="A8" i="130"/>
  <c r="F7" i="130" a="1"/>
  <c r="F7" i="130" s="1"/>
  <c r="E7" i="130" a="1"/>
  <c r="E7" i="130" s="1"/>
  <c r="D7" i="130" a="1"/>
  <c r="D7" i="130" s="1"/>
  <c r="A7" i="130"/>
  <c r="D5" i="130"/>
  <c r="D5" i="130" a="1"/>
  <c r="A3" i="130"/>
  <c r="A8" i="71"/>
  <c r="A7" i="71"/>
  <c r="A3" i="71"/>
  <c r="E29" i="70"/>
  <c r="E13" i="121"/>
  <c r="E30" i="70" s="1"/>
  <c r="A19" i="110"/>
  <c r="A18" i="110"/>
  <c r="A14" i="110"/>
  <c r="A10" i="110"/>
  <c r="A9" i="110"/>
  <c r="A5" i="110"/>
  <c r="A4" i="110"/>
  <c r="A3" i="110"/>
  <c r="A19" i="69"/>
  <c r="A18" i="69"/>
  <c r="A14" i="69"/>
  <c r="A10" i="69"/>
  <c r="A9" i="69"/>
  <c r="A5" i="69"/>
  <c r="A4" i="69"/>
  <c r="A3" i="69"/>
  <c r="A19" i="70"/>
  <c r="A18" i="70"/>
  <c r="A14" i="70"/>
  <c r="A10" i="70"/>
  <c r="A9" i="70"/>
  <c r="A5" i="70"/>
  <c r="A4" i="70"/>
  <c r="A3" i="70"/>
  <c r="A19" i="121"/>
  <c r="A18" i="121"/>
  <c r="A14" i="121"/>
  <c r="A10" i="121"/>
  <c r="A9" i="121"/>
  <c r="A5" i="121"/>
  <c r="A4" i="121"/>
  <c r="A3" i="121"/>
  <c r="A19" i="13"/>
  <c r="A18" i="13"/>
  <c r="A14" i="13"/>
  <c r="A10" i="13"/>
  <c r="A9" i="13"/>
  <c r="A5" i="13"/>
  <c r="A4" i="13"/>
  <c r="A3" i="13"/>
  <c r="A19" i="118"/>
  <c r="A18" i="118"/>
  <c r="A14" i="118"/>
  <c r="A10" i="118"/>
  <c r="A9" i="118"/>
  <c r="A5" i="118"/>
  <c r="A4" i="118"/>
  <c r="A3" i="118"/>
  <c r="E16" i="70"/>
  <c r="E6" i="70"/>
  <c r="J37" i="69"/>
  <c r="J33" i="69"/>
  <c r="J32" i="69"/>
  <c r="J31" i="69"/>
  <c r="I16" i="69"/>
  <c r="I14" i="69"/>
  <c r="D24" i="69" a="1"/>
  <c r="D24" i="69" s="1"/>
  <c r="E25" i="69"/>
  <c r="E8" i="69"/>
  <c r="H49" i="130" l="1"/>
  <c r="H50" i="130"/>
  <c r="H54" i="130"/>
  <c r="H52" i="130"/>
  <c r="H53" i="130"/>
  <c r="H48" i="130"/>
  <c r="E48" i="70"/>
  <c r="H48" i="70"/>
  <c r="H39" i="70"/>
  <c r="H38" i="70"/>
  <c r="E47" i="70"/>
  <c r="H47" i="70"/>
  <c r="H46" i="70"/>
  <c r="E46" i="70"/>
  <c r="H37" i="70"/>
  <c r="I47" i="70"/>
  <c r="I37" i="70"/>
  <c r="H25" i="110" a="1"/>
  <c r="H25" i="110" s="1"/>
  <c r="G25" i="110" a="1"/>
  <c r="G25" i="110" s="1"/>
  <c r="F25" i="110" a="1"/>
  <c r="F25" i="110" s="1"/>
  <c r="E25" i="110" a="1"/>
  <c r="E25" i="110" s="1"/>
  <c r="J36" i="69" s="1" a="1"/>
  <c r="J36" i="69" s="1"/>
  <c r="D25" i="110" a="1"/>
  <c r="D25" i="110" s="1"/>
  <c r="D22" i="110" a="1"/>
  <c r="D22" i="110" s="1"/>
  <c r="D21" i="110" a="1"/>
  <c r="D21" i="110" s="1"/>
  <c r="I48" i="70" l="1"/>
  <c r="I39" i="70"/>
  <c r="I38" i="70"/>
  <c r="I46" i="70"/>
  <c r="D7" i="69" a="1"/>
  <c r="D7" i="69" s="1"/>
  <c r="H31" i="69" a="1"/>
  <c r="H31" i="69" s="1"/>
  <c r="D31" i="69" a="1"/>
  <c r="D31" i="69" s="1"/>
  <c r="E29" i="69" a="1"/>
  <c r="E29" i="69" s="1"/>
  <c r="F39" i="69" s="1"/>
  <c r="E28" i="69" a="1"/>
  <c r="E28" i="69" s="1"/>
  <c r="D23" i="69" a="1"/>
  <c r="D23" i="69" s="1"/>
  <c r="D22" i="69" a="1"/>
  <c r="D22" i="69" s="1"/>
  <c r="G14" i="69" a="1"/>
  <c r="G14" i="69" s="1"/>
  <c r="D14" i="69" a="1"/>
  <c r="D14" i="69" s="1"/>
  <c r="E12" i="69" a="1"/>
  <c r="E12" i="69" s="1"/>
  <c r="F18" i="69" s="1"/>
  <c r="E11" i="69" a="1"/>
  <c r="E11" i="69" s="1"/>
  <c r="D6" i="69" a="1"/>
  <c r="D6" i="69" s="1"/>
  <c r="D5" i="69" a="1"/>
  <c r="D5" i="69" s="1"/>
  <c r="F19" i="110" a="1"/>
  <c r="F19" i="110" s="1"/>
  <c r="E19" i="110" a="1"/>
  <c r="E19" i="110" s="1"/>
  <c r="D19" i="110" a="1"/>
  <c r="D19" i="110" s="1"/>
  <c r="F18" i="110" a="1"/>
  <c r="F18" i="110" s="1"/>
  <c r="E18" i="110" a="1"/>
  <c r="E18" i="110" s="1"/>
  <c r="D18" i="110" a="1"/>
  <c r="D18" i="110" s="1"/>
  <c r="F17" i="110" a="1"/>
  <c r="F17" i="110" s="1"/>
  <c r="E17" i="110" a="1"/>
  <c r="E17" i="110" s="1"/>
  <c r="D17" i="110" a="1"/>
  <c r="D17" i="110" s="1"/>
  <c r="F16" i="110" a="1"/>
  <c r="F16" i="110" s="1"/>
  <c r="E16" i="110" a="1"/>
  <c r="E16" i="110" s="1"/>
  <c r="D16" i="110" a="1"/>
  <c r="D16" i="110" s="1"/>
  <c r="F15" i="110" a="1"/>
  <c r="F15" i="110" s="1"/>
  <c r="E15" i="110" a="1"/>
  <c r="E15" i="110" s="1"/>
  <c r="D15" i="110" a="1"/>
  <c r="D15"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D7" i="110" a="1"/>
  <c r="D7" i="110" s="1"/>
  <c r="D6" i="110" a="1"/>
  <c r="D6" i="110" s="1"/>
  <c r="D5" i="110" a="1"/>
  <c r="D5" i="110" s="1"/>
  <c r="E22" i="70"/>
  <c r="E41" i="70" l="1"/>
  <c r="J34" i="69" s="1"/>
  <c r="E50" i="70"/>
  <c r="J35" i="69" s="1"/>
  <c r="I15" i="69" a="1"/>
  <c r="I15" i="69" s="1"/>
  <c r="E18" i="69" s="1" a="1"/>
  <c r="E18" i="69" s="1"/>
  <c r="E9" i="13" s="1"/>
  <c r="E39" i="69" l="1" a="1"/>
  <c r="E39" i="69" s="1"/>
  <c r="E10" i="13" l="1"/>
  <c r="F10" i="13" s="1"/>
  <c r="F9"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<sst xmlns="http://schemas.openxmlformats.org/spreadsheetml/2006/main" count="260" uniqueCount="204">
  <si>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</si>
  <si>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</si>
  <si>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</si>
  <si>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</si>
  <si>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</si>
  <si>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</si>
  <si>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</si>
  <si>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</si>
  <si>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</si>
  <si>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</si>
  <si>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</si>
  <si>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</si>
  <si>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</si>
  <si>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</si>
  <si>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</si>
  <si>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</si>
  <si>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</si>
  <si>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</si>
  <si>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</si>
  <si>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</si>
  <si>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</si>
  <si>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</si>
  <si>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</si>
  <si>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</si>
  <si>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</si>
  <si>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</si>
  <si>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</si>
  <si>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</si>
  <si>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</si>
  <si>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</si>
  <si>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</si>
  <si>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</si>
  <si>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</si>
  <si>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</si>
  <si>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</si>
  <si>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</si>
  <si>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</si>
  <si>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</si>
  <si>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</si>
  <si>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</si>
  <si>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</si>
  <si>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</si>
  <si>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</si>
  <si>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</si>
  <si>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</si>
  <si>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</si>
  <si>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</si>
  <si>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</si>
  <si>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</si>
  <si>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</si>
  <si>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</si>
  <si>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</si>
  <si>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</si>
  <si>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</si>
  <si>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</si>
  <si>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</si>
  <si>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</si>
  <si>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</si>
  <si>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</si>
  <si>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</si>
  <si>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</si>
  <si>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</si>
  <si>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</si>
  <si>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</si>
  <si>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</si>
  <si>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</si>
  <si>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</si>
  <si>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</si>
  <si>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</si>
  <si>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</si>
  <si>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</si>
  <si>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</si>
  <si>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</si>
  <si>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</si>
  <si>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</si>
  <si>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</si>
  <si>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</si>
  <si>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</si>
  <si>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</si>
  <si>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</si>
  <si>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</si>
  <si>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</si>
  <si>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</si>
  <si>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</si>
  <si>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</si>
  <si>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Input -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</si>
  <si>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</si>
  <si>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</si>
  <si>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</si>
  <si>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</si>
  <si>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</si>
  <si>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</si>
  <si>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</si>
  <si>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r>
      <rPr>
        <sz val="10"/>
        <color theme="1" tint="0.34998626667073579"/>
        <rFont val="Arial"/>
        <family val="1"/>
      </rPr>
      <t xml:space="preserve">← </t>
    </r>
    <r>
      <rPr>
        <i/>
        <sz val="10"/>
        <color theme="1" tint="0.34998626667073579"/>
        <rFont val="Arial"/>
        <family val="1"/>
      </rPr>
      <t>Please select</t>
    </r>
  </si>
  <si>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</si>
  <si>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</si>
  <si>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</si>
  <si>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</si>
  <si>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</si>
  <si>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</si>
  <si>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</si>
  <si>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t>Emissions calculation period start date</t>
  </si>
  <si>
    <r>
      <rPr>
        <sz val="10"/>
        <color theme="1" tint="0.34998626667073579"/>
        <rFont val="Arial"/>
        <family val="1"/>
      </rPr>
      <t xml:space="preserve">← </t>
    </r>
    <r>
      <rPr>
        <i/>
        <sz val="10"/>
        <color theme="1" tint="0.34998626667073579"/>
        <rFont val="Arial"/>
        <family val="1"/>
      </rPr>
      <t>DD/MM/YYYY or DD Month YYYY</t>
    </r>
  </si>
  <si>
    <t>Emissions calculation period end date</t>
  </si>
  <si>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</si>
  <si>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</si>
  <si>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</si>
  <si>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</si>
  <si>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</si>
  <si>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</si>
  <si>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</si>
  <si>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</si>
  <si>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Constants - Electricity</t>
  </si>
  <si>
    <t>State, Territory or grid description</t>
  </si>
  <si>
    <t>Scope 2 Emission Factors (kg CO2-e/kWh)</t>
  </si>
  <si>
    <t>Scope 3 Emission Factors (kg CO2-e/kWh)</t>
  </si>
  <si>
    <r>
      <rPr>
        <b/>
        <sz val="14"/>
        <color theme="1" tint="0.24994659260841701"/>
        <rFont val="Arial"/>
        <family val="1"/>
      </rPr>
      <t>E</t>
    </r>
    <r>
      <rPr>
        <b/>
        <vertAlign val="subscript"/>
        <sz val="14"/>
        <color theme="1" tint="0.24994659260841701"/>
        <rFont val="Arial"/>
        <family val="1"/>
      </rPr>
      <t>2,elec</t>
    </r>
  </si>
  <si>
    <t>14.1.1-2 Purchased Electricity</t>
  </si>
  <si>
    <t xml:space="preserve">Renewable Power Percentage </t>
  </si>
  <si>
    <t>percent</t>
  </si>
  <si>
    <t>Jurisdictional renewable power percentage (ACT only)</t>
  </si>
  <si>
    <t>MWh</t>
  </si>
  <si>
    <t>Description</t>
  </si>
  <si>
    <t>Generation date</t>
  </si>
  <si>
    <t>Number of certificates</t>
  </si>
  <si>
    <t>Voluntarily surrendered Renewable Energy Certificates (RECs)</t>
  </si>
  <si>
    <t>End of reporting year</t>
  </si>
  <si>
    <t>Electricity purchased from an accredited GreenPower provider</t>
  </si>
  <si>
    <t>Electricity purchased in kWh (excluding GreenPower providers)</t>
  </si>
  <si>
    <t>Renewable Energy Certificates (RECs) for electricity produced on-site and consumed by the entity</t>
  </si>
  <si>
    <t>Source</t>
  </si>
  <si>
    <t>Source (select)</t>
  </si>
  <si>
    <t>Purchased certificate</t>
  </si>
  <si>
    <t>Issued for generated electricity</t>
  </si>
  <si>
    <t>Option 1: Location-based electricity</t>
  </si>
  <si>
    <t>Option 2: Market-based electricity</t>
  </si>
  <si>
    <t>Scope 2 EF (kg CO2-e/kWh)</t>
  </si>
  <si>
    <t>Scope 2 EF (kg CO2-e/GJ)</t>
  </si>
  <si>
    <t>Scope 3 EF (kg CO2-e/kWh)</t>
  </si>
  <si>
    <t>Scope 3 EF (kg CO2-e/GJ)</t>
  </si>
  <si>
    <t>May 2022 generated</t>
  </si>
  <si>
    <t>Start of reporting year</t>
  </si>
  <si>
    <t>Elegibility</t>
  </si>
  <si>
    <t>Total elegible voluntarily surrendered RECs</t>
  </si>
  <si>
    <t>Total elegible RECs for electricity produced on-site and consumed by entity</t>
  </si>
  <si>
    <t>14: Electricity use scope 2: Overview</t>
  </si>
  <si>
    <t>14: Electricity use scope 2: Results</t>
  </si>
  <si>
    <t>14:1.1 Purchased electricity - Location-based</t>
  </si>
  <si>
    <t>14:1.2 Purchased electricity - Market-based</t>
  </si>
  <si>
    <t>💡 You can add more rows to the table by right-clicking on the table and selecting "Insert &gt; Table rows above/below"</t>
  </si>
  <si>
    <t>Jan 2022 certs</t>
  </si>
  <si>
    <t>2024 certs</t>
  </si>
  <si>
    <t>Jul 24 certs generated</t>
  </si>
  <si>
    <t>Dec 2020 certs</t>
  </si>
  <si>
    <t>How do you want to calculate electricity emissions?</t>
  </si>
  <si>
    <t>Location-based (simpler)</t>
  </si>
  <si>
    <t>Home</t>
  </si>
  <si>
    <t>Data quality scoring</t>
  </si>
  <si>
    <t>Table_SourceData_DataQuality_TemporalRepresentativeness</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</si>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</sst>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0.0000"/>
    <numFmt numFmtId="170" formatCode="_-* #,##0_-;\-* #,##0_-;_-* &quot;-&quot;??_-;_-@_-"/>
    <numFmt numFmtId="171" formatCode="[$-C09]d\ mmmm\ yyyy;@"/>
  </numFmts>
  <fonts count="6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8"/>
      <name val="Arial"/>
      <family val="2"/>
    </font>
    <font>
      <sz val="10"/>
      <color theme="1" tint="0.499984740745262"/>
      <name val="Arial"/>
      <family val="1"/>
    </font>
    <font>
      <b/>
      <sz val="10"/>
      <color theme="1"/>
      <name val="Arial"/>
      <family val="1"/>
    </font>
    <font>
      <b/>
      <sz val="12"/>
      <color theme="1"/>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b/>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i/>
      <sz val="9"/>
      <color theme="6" tint="-0.499984740745262"/>
      <name val="Arial"/>
      <family val="1"/>
    </font>
    <font>
      <i/>
      <sz val="9"/>
      <color theme="5" tint="-0.499984740745262"/>
      <name val="Arial"/>
      <family val="1"/>
    </font>
    <font>
      <u/>
      <sz val="9"/>
      <color theme="1" tint="0.34998626667073579"/>
      <name val="Arial"/>
      <family val="1"/>
    </font>
    <font>
      <i/>
      <sz val="9"/>
      <color theme="1" tint="0.14999847407452621"/>
      <name val="Arial"/>
      <family val="1"/>
    </font>
    <font>
      <b/>
      <sz val="18"/>
      <color theme="3" tint="9.9978637043366805E-2"/>
      <name val="Arial"/>
      <family val="1"/>
    </font>
    <font>
      <sz val="9"/>
      <color theme="1"/>
      <name val="Arial"/>
      <family val="2"/>
    </font>
    <font>
      <u/>
      <sz val="10"/>
      <color theme="10"/>
      <name val="Arial"/>
      <family val="2"/>
    </font>
    <font>
      <i/>
      <sz val="9"/>
      <color theme="1" tint="0.34998626667073579"/>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14"/>
      <color theme="1" tint="0.24994659260841701"/>
      <name val="Arial"/>
      <family val="1"/>
    </font>
    <font>
      <b/>
      <sz val="14"/>
      <color theme="1" tint="0.24994659260841701"/>
      <name val="Arial"/>
      <family val="1"/>
    </font>
    <font>
      <b/>
      <vertAlign val="subscript"/>
      <sz val="14"/>
      <color theme="1" tint="0.24994659260841701"/>
      <name val="Arial"/>
      <family val="1"/>
    </font>
    <font>
      <i/>
      <sz val="14"/>
      <color theme="1" tint="0.34998626667073579"/>
      <name val="Arial"/>
      <family val="1"/>
    </font>
    <font>
      <sz val="9"/>
      <color rgb="FF404040"/>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8" fillId="4" borderId="0">
      <alignment horizontal="left" vertical="center"/>
    </xf>
    <xf numFmtId="0" fontId="33" fillId="4" borderId="0">
      <alignment vertical="center"/>
    </xf>
    <xf numFmtId="0" fontId="3" fillId="4" borderId="0">
      <alignment horizontal="left" vertical="center"/>
    </xf>
    <xf numFmtId="0" fontId="3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4"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39" fillId="4" borderId="0">
      <alignment horizontal="left" vertical="center"/>
    </xf>
    <xf numFmtId="0" fontId="29"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2" fillId="4" borderId="0">
      <alignment horizontal="left" vertical="center"/>
    </xf>
    <xf numFmtId="0" fontId="9" fillId="0" borderId="0"/>
    <xf numFmtId="0" fontId="2" fillId="0" borderId="2">
      <alignment horizontal="center" vertical="center"/>
    </xf>
    <xf numFmtId="0" fontId="37" fillId="4" borderId="0">
      <alignment horizontal="left" vertical="center"/>
    </xf>
    <xf numFmtId="0" fontId="38" fillId="4" borderId="0">
      <alignment horizontal="left" vertical="center"/>
    </xf>
    <xf numFmtId="0" fontId="40" fillId="4" borderId="0">
      <alignment horizontal="left" vertical="center"/>
    </xf>
    <xf numFmtId="0" fontId="36" fillId="11" borderId="0">
      <alignment horizontal="center" vertical="center"/>
    </xf>
    <xf numFmtId="0" fontId="20" fillId="11" borderId="0">
      <alignment horizontal="left" vertical="center" indent="1"/>
    </xf>
    <xf numFmtId="0" fontId="42" fillId="14" borderId="2">
      <alignment horizontal="center" vertical="center"/>
    </xf>
    <xf numFmtId="0" fontId="41" fillId="15" borderId="2">
      <alignment horizontal="center" vertical="center"/>
    </xf>
    <xf numFmtId="0" fontId="43" fillId="4" borderId="2">
      <alignment horizontal="left" vertical="center"/>
    </xf>
    <xf numFmtId="0" fontId="26" fillId="4" borderId="2">
      <alignment horizontal="left" vertical="center"/>
    </xf>
    <xf numFmtId="0" fontId="44" fillId="0" borderId="0"/>
    <xf numFmtId="0" fontId="47"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121">
    <xf numFmtId="0" fontId="0" fillId="0" borderId="0" xfId="0"/>
    <xf numFmtId="0" fontId="30" fillId="4" borderId="0" xfId="8">
      <alignment horizontal="left" vertical="center"/>
    </xf>
    <xf numFmtId="0" fontId="6" fillId="4" borderId="0" xfId="12">
      <alignment horizontal="left" vertical="center" indent="1"/>
    </xf>
    <xf numFmtId="0" fontId="3" fillId="4" borderId="0" xfId="7">
      <alignment horizontal="left" vertical="center"/>
    </xf>
    <xf numFmtId="0" fontId="16" fillId="3" borderId="0" xfId="4">
      <alignment vertical="center"/>
    </xf>
    <xf numFmtId="0" fontId="33" fillId="4" borderId="0" xfId="6">
      <alignment vertical="center"/>
    </xf>
    <xf numFmtId="0" fontId="2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4"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0"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1" fillId="4" borderId="0" xfId="8" applyFont="1">
      <alignment horizontal="left" vertical="center"/>
    </xf>
    <xf numFmtId="0" fontId="6" fillId="4" borderId="0" xfId="53">
      <alignment horizontal="left" vertical="center"/>
    </xf>
    <xf numFmtId="0" fontId="32" fillId="4" borderId="0" xfId="54">
      <alignment horizontal="left" vertical="center"/>
    </xf>
    <xf numFmtId="0" fontId="10" fillId="0" borderId="0" xfId="32"/>
    <xf numFmtId="0" fontId="34" fillId="13" borderId="9" xfId="39" applyBorder="1">
      <alignment horizontal="left" vertical="center"/>
    </xf>
    <xf numFmtId="0" fontId="34" fillId="13" borderId="11" xfId="39" applyBorder="1">
      <alignment horizontal="left" vertical="center"/>
    </xf>
    <xf numFmtId="0" fontId="34" fillId="13" borderId="12" xfId="39" applyBorder="1">
      <alignment horizontal="left" vertical="center"/>
    </xf>
    <xf numFmtId="0" fontId="34" fillId="13" borderId="13" xfId="39" applyBorder="1">
      <alignment horizontal="left" vertical="center"/>
    </xf>
    <xf numFmtId="0" fontId="34" fillId="13" borderId="10" xfId="39" applyBorder="1">
      <alignment horizontal="left" vertical="center"/>
    </xf>
    <xf numFmtId="0" fontId="40" fillId="4" borderId="0" xfId="59">
      <alignment horizontal="left" vertical="center"/>
    </xf>
    <xf numFmtId="0" fontId="36" fillId="11" borderId="0" xfId="60">
      <alignment horizontal="center" vertical="center"/>
    </xf>
    <xf numFmtId="0" fontId="30" fillId="4" borderId="0" xfId="8" applyAlignment="1">
      <alignment horizontal="center" vertical="center"/>
    </xf>
    <xf numFmtId="0" fontId="34"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1" fillId="15" borderId="2" xfId="63">
      <alignment horizontal="center" vertical="center"/>
    </xf>
    <xf numFmtId="0" fontId="42" fillId="14" borderId="2" xfId="62">
      <alignment horizontal="center" vertical="center"/>
    </xf>
    <xf numFmtId="0" fontId="30" fillId="4" borderId="0" xfId="8" applyAlignment="1">
      <alignment horizontal="left" vertical="center" wrapText="1"/>
    </xf>
    <xf numFmtId="0" fontId="0" fillId="0" borderId="0" xfId="0"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169" fontId="8" fillId="4" borderId="0" xfId="10" applyNumberFormat="1">
      <alignment horizontal="center" vertical="center"/>
    </xf>
    <xf numFmtId="0" fontId="45" fillId="9" borderId="0" xfId="32" applyFont="1" applyFill="1"/>
    <xf numFmtId="0" fontId="30" fillId="9" borderId="0" xfId="8" applyFill="1">
      <alignment horizontal="left" vertical="center"/>
    </xf>
    <xf numFmtId="0" fontId="0" fillId="9" borderId="0" xfId="0" applyFill="1"/>
    <xf numFmtId="0" fontId="16" fillId="11" borderId="0" xfId="31" applyFill="1">
      <alignment vertical="center"/>
    </xf>
    <xf numFmtId="0" fontId="35" fillId="13" borderId="10" xfId="39" applyFont="1" applyBorder="1">
      <alignment horizontal="left" vertical="center"/>
    </xf>
    <xf numFmtId="0" fontId="20" fillId="10" borderId="0" xfId="35">
      <alignment horizontal="left" vertical="center" indent="1"/>
    </xf>
    <xf numFmtId="0" fontId="46" fillId="0" borderId="0" xfId="0" applyFont="1" applyAlignment="1">
      <alignment vertical="center"/>
    </xf>
    <xf numFmtId="0" fontId="39" fillId="4" borderId="0" xfId="47">
      <alignment horizontal="left" vertical="center"/>
    </xf>
    <xf numFmtId="0" fontId="34" fillId="13" borderId="14" xfId="39" applyBorder="1">
      <alignment horizontal="left" vertical="center"/>
    </xf>
    <xf numFmtId="0" fontId="34" fillId="13" borderId="15" xfId="39" applyBorder="1">
      <alignment horizontal="left" vertical="center"/>
    </xf>
    <xf numFmtId="4" fontId="2" fillId="0" borderId="2" xfId="17">
      <alignment horizontal="center" vertical="center"/>
    </xf>
    <xf numFmtId="0" fontId="10" fillId="0" borderId="0" xfId="2" applyFont="1"/>
    <xf numFmtId="0" fontId="3" fillId="4" borderId="16" xfId="7" applyBorder="1">
      <alignment horizontal="left" vertical="center"/>
    </xf>
    <xf numFmtId="0" fontId="28" fillId="0" borderId="0" xfId="5" applyFill="1">
      <alignment horizontal="left" vertical="center"/>
    </xf>
    <xf numFmtId="0" fontId="11" fillId="4" borderId="0" xfId="30">
      <alignment vertical="center"/>
    </xf>
    <xf numFmtId="0" fontId="33" fillId="0" borderId="0" xfId="6" applyFill="1">
      <alignment vertical="center"/>
    </xf>
    <xf numFmtId="0" fontId="2" fillId="0" borderId="2" xfId="14">
      <alignment horizontal="center" vertical="center"/>
    </xf>
    <xf numFmtId="0" fontId="2" fillId="4" borderId="0" xfId="7" applyFont="1">
      <alignment horizontal="left" vertical="center"/>
    </xf>
    <xf numFmtId="0" fontId="30" fillId="0" borderId="0" xfId="8" applyFill="1">
      <alignment horizontal="left" vertical="center"/>
    </xf>
    <xf numFmtId="0" fontId="34" fillId="13" borderId="17" xfId="39" applyBorder="1">
      <alignment horizontal="left" vertical="center"/>
    </xf>
    <xf numFmtId="0" fontId="34" fillId="13" borderId="18" xfId="39" applyBorder="1">
      <alignment horizontal="left" vertical="center"/>
    </xf>
    <xf numFmtId="0" fontId="48" fillId="0" borderId="0" xfId="12" applyFont="1" applyFill="1" applyAlignment="1">
      <alignment horizontal="left" vertical="center"/>
    </xf>
    <xf numFmtId="167" fontId="2" fillId="0" borderId="2" xfId="41">
      <alignment horizontal="center" vertical="center"/>
    </xf>
    <xf numFmtId="166" fontId="26" fillId="4" borderId="2" xfId="40" applyNumberFormat="1">
      <alignment horizontal="center" vertical="center"/>
    </xf>
    <xf numFmtId="0" fontId="2" fillId="0" borderId="0" xfId="7" applyFont="1" applyFill="1">
      <alignment horizontal="left" vertical="center"/>
    </xf>
    <xf numFmtId="0" fontId="35" fillId="13" borderId="8" xfId="39" applyFont="1"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9" fillId="0" borderId="0" xfId="0" applyFont="1" applyAlignment="1" applyProtection="1">
      <alignment horizontal="center" vertical="center"/>
      <protection locked="0"/>
    </xf>
    <xf numFmtId="4" fontId="50" fillId="0" borderId="0" xfId="17" applyFont="1" applyBorder="1">
      <alignment horizontal="center" vertical="center"/>
    </xf>
    <xf numFmtId="164" fontId="8" fillId="4" borderId="0" xfId="26" applyBorder="1">
      <alignment horizontal="center" vertical="center"/>
    </xf>
    <xf numFmtId="4" fontId="50" fillId="4" borderId="0" xfId="17" applyFont="1" applyFill="1" applyBorder="1">
      <alignment horizontal="center" vertical="center"/>
    </xf>
    <xf numFmtId="0" fontId="50" fillId="4" borderId="0" xfId="12" applyFont="1" applyAlignment="1">
      <alignment horizontal="center" vertical="center"/>
    </xf>
    <xf numFmtId="0" fontId="50" fillId="4" borderId="0" xfId="8" applyFont="1" applyAlignment="1">
      <alignment horizontal="center" vertical="center"/>
    </xf>
    <xf numFmtId="166" fontId="50" fillId="4" borderId="0" xfId="8" applyNumberFormat="1" applyFont="1" applyAlignment="1">
      <alignment horizontal="center" vertical="center"/>
    </xf>
    <xf numFmtId="9" fontId="50" fillId="4" borderId="0" xfId="69" applyFont="1" applyFill="1" applyBorder="1" applyAlignment="1">
      <alignment horizontal="center" vertical="center"/>
    </xf>
    <xf numFmtId="0" fontId="51" fillId="4" borderId="0" xfId="0" applyFont="1" applyFill="1" applyAlignment="1">
      <alignment horizontal="center" vertical="center"/>
    </xf>
    <xf numFmtId="0" fontId="51" fillId="4" borderId="0" xfId="0" applyFont="1" applyFill="1"/>
    <xf numFmtId="0" fontId="50" fillId="4" borderId="0" xfId="0" applyFont="1" applyFill="1"/>
    <xf numFmtId="0" fontId="50" fillId="0" borderId="0" xfId="0" applyFont="1"/>
    <xf numFmtId="0" fontId="52" fillId="4" borderId="0" xfId="7" applyFont="1" applyAlignment="1">
      <alignment horizontal="center" vertical="center"/>
    </xf>
    <xf numFmtId="0" fontId="53" fillId="4" borderId="0" xfId="7" applyFont="1" applyAlignment="1">
      <alignment horizontal="center" vertical="center"/>
    </xf>
    <xf numFmtId="166" fontId="53" fillId="4" borderId="0" xfId="7" applyNumberFormat="1" applyFont="1" applyAlignment="1">
      <alignment horizontal="center" vertical="center"/>
    </xf>
    <xf numFmtId="0" fontId="53" fillId="4" borderId="0" xfId="0" applyFont="1" applyFill="1" applyAlignment="1">
      <alignment horizontal="center" vertical="center"/>
    </xf>
    <xf numFmtId="0" fontId="54" fillId="4" borderId="0" xfId="0" applyFont="1" applyFill="1" applyAlignment="1">
      <alignment horizontal="center" vertical="center"/>
    </xf>
    <xf numFmtId="0" fontId="54" fillId="4" borderId="0" xfId="0" applyFont="1" applyFill="1" applyAlignment="1">
      <alignment horizontal="left" vertical="center"/>
    </xf>
    <xf numFmtId="14" fontId="3" fillId="4" borderId="0" xfId="7" applyNumberFormat="1">
      <alignment horizontal="left" vertical="center"/>
    </xf>
    <xf numFmtId="0" fontId="47" fillId="4" borderId="0" xfId="67" applyFill="1" applyBorder="1"/>
    <xf numFmtId="166" fontId="2" fillId="4" borderId="0" xfId="18" applyNumberFormat="1" applyFill="1" applyBorder="1">
      <alignment horizontal="center" vertical="center"/>
    </xf>
    <xf numFmtId="170" fontId="3" fillId="4" borderId="0" xfId="68" applyNumberFormat="1" applyFont="1" applyFill="1" applyBorder="1" applyAlignment="1">
      <alignment horizontal="center" vertical="center"/>
    </xf>
    <xf numFmtId="0" fontId="0" fillId="4" borderId="0" xfId="7" applyFont="1">
      <alignment horizontal="left" vertical="center"/>
    </xf>
    <xf numFmtId="0" fontId="55" fillId="4" borderId="0" xfId="0" applyFont="1" applyFill="1"/>
    <xf numFmtId="0" fontId="57" fillId="4" borderId="1" xfId="8" applyFont="1" applyBorder="1">
      <alignment horizontal="left" vertical="center"/>
    </xf>
    <xf numFmtId="0" fontId="30" fillId="4" borderId="1" xfId="8" applyBorder="1">
      <alignment horizontal="left" vertical="center"/>
    </xf>
    <xf numFmtId="0" fontId="56" fillId="4" borderId="1" xfId="8" applyFont="1" applyBorder="1">
      <alignment horizontal="left" vertical="center"/>
    </xf>
    <xf numFmtId="0" fontId="26" fillId="4" borderId="19" xfId="65" applyBorder="1">
      <alignment horizontal="left" vertical="center"/>
    </xf>
    <xf numFmtId="9" fontId="2" fillId="0" borderId="2" xfId="16">
      <alignment horizontal="center" vertical="center"/>
    </xf>
    <xf numFmtId="43" fontId="30" fillId="4" borderId="0" xfId="8" applyNumberFormat="1">
      <alignment horizontal="left" vertical="center"/>
    </xf>
    <xf numFmtId="0" fontId="12" fillId="6" borderId="0" xfId="29">
      <alignment horizontal="center" vertical="center"/>
      <protection locked="0"/>
    </xf>
    <xf numFmtId="171" fontId="0" fillId="0" borderId="0" xfId="8" applyNumberFormat="1" applyFont="1" applyFill="1">
      <alignment horizontal="left" vertical="center"/>
    </xf>
    <xf numFmtId="166" fontId="26" fillId="4" borderId="2" xfId="45">
      <alignment horizontal="center" vertical="center"/>
    </xf>
    <xf numFmtId="0" fontId="29" fillId="4" borderId="0" xfId="48">
      <alignment horizontal="center" vertical="center"/>
    </xf>
    <xf numFmtId="9" fontId="26" fillId="4" borderId="2" xfId="65" applyNumberFormat="1">
      <alignment horizontal="left" vertical="center"/>
    </xf>
    <xf numFmtId="0" fontId="0" fillId="0" borderId="0" xfId="0" applyAlignment="1">
      <alignment vertical="center"/>
    </xf>
    <xf numFmtId="0" fontId="20" fillId="8" borderId="0" xfId="37">
      <alignment horizontal="left" vertical="center" indent="1"/>
    </xf>
    <xf numFmtId="0" fontId="59" fillId="4" borderId="1" xfId="53" applyFont="1" applyBorder="1">
      <alignment horizontal="left" vertical="center"/>
    </xf>
    <xf numFmtId="17" fontId="0" fillId="0" borderId="0" xfId="8" applyNumberFormat="1" applyFont="1" applyFill="1">
      <alignment horizontal="left" vertical="center"/>
    </xf>
    <xf numFmtId="0" fontId="60" fillId="9" borderId="4" xfId="34" applyFont="1">
      <alignment horizontal="left" vertical="center" indent="1"/>
    </xf>
    <xf numFmtId="0" fontId="47" fillId="0" borderId="0" xfId="67"/>
  </cellXfs>
  <cellStyles count="70">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mma" xfId="68"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7"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9"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69">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strike val="0"/>
        <outline val="0"/>
        <shadow val="0"/>
        <u val="none"/>
        <vertAlign val="baseline"/>
        <sz val="9"/>
        <color theme="1"/>
        <name val="Arial"/>
        <family val="2"/>
      </font>
    </dxf>
    <dxf>
      <numFmt numFmtId="171" formatCode="[$-C09]d\ mmmm\ yyyy;@"/>
    </dxf>
    <dxf>
      <numFmt numFmtId="171" formatCode="[$-C09]d\ mmmm\ yyyy;@"/>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8"/>
      <tableStyleElement type="headerRow" dxfId="67"/>
      <tableStyleElement type="totalRow" dxfId="66"/>
      <tableStyleElement type="firstColumn" dxfId="65"/>
      <tableStyleElement type="firstRowStripe" dxfId="64"/>
      <tableStyleElement type="secondRowStripe" dxfId="63"/>
    </tableStyle>
    <tableStyle name="Equation table" pivot="0" count="6" xr9:uid="{B247698E-E41D-4CCD-AA0A-C14817E9DE65}">
      <tableStyleElement type="wholeTable" dxfId="62"/>
      <tableStyleElement type="headerRow" dxfId="61"/>
      <tableStyleElement type="totalRow" dxfId="60"/>
      <tableStyleElement type="firstColumn" dxfId="59"/>
      <tableStyleElement type="firstRowStripe" dxfId="58"/>
      <tableStyleElement type="secondRowStripe" dxfId="57"/>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hyperlink" Target="#'14.1.1-2 Purchased electricity'!D22"/><Relationship Id="rId1" Type="http://schemas.openxmlformats.org/officeDocument/2006/relationships/hyperlink" Target="#'14.1.1-2 Purchased electricity'!D5"/></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3136</xdr:rowOff>
    </xdr:from>
    <xdr:ext cx="2099527"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870036"/>
          <a:ext cx="209952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rgbClr val="0C769E"/>
              </a:solidFill>
            </a:rPr>
            <a:t>14.1.1 Purchased electricity -</a:t>
          </a:r>
          <a:r>
            <a:rPr lang="en-AU" sz="1200" b="0" baseline="0">
              <a:solidFill>
                <a:srgbClr val="0C769E"/>
              </a:solidFill>
            </a:rPr>
            <a:t> location-based</a:t>
          </a:r>
          <a:endParaRPr lang="en-AU" sz="1200" b="0">
            <a:solidFill>
              <a:srgbClr val="0C769E"/>
            </a:solidFill>
          </a:endParaRPr>
        </a:p>
      </xdr:txBody>
    </xdr:sp>
    <xdr:clientData/>
  </xdr:oneCellAnchor>
  <xdr:twoCellAnchor>
    <xdr:from>
      <xdr:col>3</xdr:col>
      <xdr:colOff>282285</xdr:colOff>
      <xdr:row>9</xdr:row>
      <xdr:rowOff>132483</xdr:rowOff>
    </xdr:from>
    <xdr:to>
      <xdr:col>5</xdr:col>
      <xdr:colOff>575085</xdr:colOff>
      <xdr:row>12</xdr:row>
      <xdr:rowOff>109533</xdr:rowOff>
    </xdr:to>
    <xdr:sp macro="" textlink="'14.1.1-2 Purchased electricity'!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900" b="0" i="0" u="none" strike="noStrike">
              <a:solidFill>
                <a:srgbClr val="0C769E"/>
              </a:solidFill>
              <a:latin typeface="Arial"/>
              <a:cs typeface="Arial"/>
            </a:rPr>
            <a:pPr algn="ctr"/>
            <a:t>Location-based Scope 2 emissions from purchased electricity</a:t>
          </a:fld>
          <a:endParaRPr lang="en-AU" sz="900">
            <a:solidFill>
              <a:srgbClr val="0C769E"/>
            </a:solidFill>
          </a:endParaRPr>
        </a:p>
      </xdr:txBody>
    </xdr:sp>
    <xdr:clientData/>
  </xdr:twoCellAnchor>
  <xdr:oneCellAnchor>
    <xdr:from>
      <xdr:col>7</xdr:col>
      <xdr:colOff>16012</xdr:colOff>
      <xdr:row>7</xdr:row>
      <xdr:rowOff>3136</xdr:rowOff>
    </xdr:from>
    <xdr:ext cx="211758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130937" y="1870036"/>
          <a:ext cx="211758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200" b="0">
              <a:solidFill>
                <a:schemeClr val="accent5">
                  <a:lumMod val="75000"/>
                </a:schemeClr>
              </a:solidFill>
            </a:rPr>
            <a:t>14.1.2 Purchased electricity - market-based</a:t>
          </a:r>
        </a:p>
      </xdr:txBody>
    </xdr:sp>
    <xdr:clientData/>
  </xdr:oneCellAnchor>
  <xdr:twoCellAnchor>
    <xdr:from>
      <xdr:col>7</xdr:col>
      <xdr:colOff>356755</xdr:colOff>
      <xdr:row>9</xdr:row>
      <xdr:rowOff>122958</xdr:rowOff>
    </xdr:from>
    <xdr:to>
      <xdr:col>10</xdr:col>
      <xdr:colOff>39955</xdr:colOff>
      <xdr:row>12</xdr:row>
      <xdr:rowOff>100008</xdr:rowOff>
    </xdr:to>
    <xdr:sp macro="" textlink="'14.1.1-2 Purchased electricity'!D22">
      <xdr:nvSpPr>
        <xdr:cNvPr id="21" name="TextBox 20">
          <a:hlinkClick xmlns:r="http://schemas.openxmlformats.org/officeDocument/2006/relationships" r:id="rId2"/>
          <a:extLst>
            <a:ext uri="{FF2B5EF4-FFF2-40B4-BE49-F238E27FC236}">
              <a16:creationId xmlns:a16="http://schemas.microsoft.com/office/drawing/2014/main" id="{8C71CDED-7203-4C08-A42F-C497846ACCAF}"/>
            </a:ext>
          </a:extLst>
        </xdr:cNvPr>
        <xdr:cNvSpPr txBox="1"/>
      </xdr:nvSpPr>
      <xdr:spPr>
        <a:xfrm>
          <a:off x="5471680" y="2485158"/>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10899-E275-4A32-9FFF-C3F12CBDD2AA}" type="TxLink">
            <a:rPr lang="en-US" sz="900" b="0" i="0" u="none" strike="noStrike">
              <a:solidFill>
                <a:schemeClr val="accent5">
                  <a:lumMod val="50000"/>
                </a:schemeClr>
              </a:solidFill>
              <a:latin typeface="Arial"/>
              <a:cs typeface="Arial"/>
            </a:rPr>
            <a:pPr algn="ctr"/>
            <a:t>Market-based Scope 2 emissions from purchased electricity</a:t>
          </a:fld>
          <a:endParaRPr lang="en-AU" sz="900">
            <a:solidFill>
              <a:schemeClr val="accent5">
                <a:lumMod val="5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𝐸_𝐶𝐻4=∑8_𝑗▒∑8_𝑘▒∑8_𝑚▒∑8_𝑇▒(𝐷_𝑗𝑘×𝑀_𝑗𝑘𝑚𝑇×𝑁_𝑗𝑘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99497" y="201481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4EF9D048-49BD-6C58-7AF6-8DB75F056D0D}"/>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FC27552-D38E-4EEC-BE2B-372799C9F60D}"/>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B3DA401-69B9-4F52-A3AF-08FA63C556A0}"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2BCE26E1-091A-4FC3-A841-86049FBC81A8}" name="Description"/>
    <tableColumn id="5" xr3:uid="{1AAE9410-2D75-4183-B028-D0225DD96FD9}" name="Source (select)" dataCellStyle="Input select"/>
    <tableColumn id="2" xr3:uid="{E939A00A-2AD7-4027-AA19-0891463C586E}" name="Generation date" dataDxfId="19"/>
    <tableColumn id="3" xr3:uid="{A780C41E-A9D0-483D-B649-703E68E6813A}" name="Number of certificates"/>
    <tableColumn id="4" xr3:uid="{968E99D1-9586-4756-958A-AC8369FD4A59}" name="MWh" dataCellStyle="Input number general calculated">
      <calculatedColumnFormula>Table_Input_RECSurrendered[[#This Row],[Number of certificates]]</calculatedColumnFormula>
    </tableColumn>
    <tableColumn id="7" xr3:uid="{6513162E-7AC6-46C4-9C43-97A9CB5546FD}"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D24162-9496-4032-8FB2-02E312F8AA25}"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137669E1-6F00-407B-8D2A-F5F8AC8FF6E7}" name="Description"/>
    <tableColumn id="5" xr3:uid="{6E612D94-AEFA-40CD-8FC1-55EF5BEF9790}" name="Source" dataCellStyle="Input text calculated">
      <calculatedColumnFormula>"Issued for generated electricity"</calculatedColumnFormula>
    </tableColumn>
    <tableColumn id="2" xr3:uid="{CFEEA4C0-BB73-4175-9911-21CE125FE4C0}" name="Generation date" dataDxfId="18"/>
    <tableColumn id="3" xr3:uid="{95AA8F11-B379-4380-B624-89420314A025}" name="Number of certificates"/>
    <tableColumn id="4" xr3:uid="{EAECE1AE-1173-49CA-9E8C-2F3DBC850D33}" name="MWh" dataCellStyle="Input number general calculated">
      <calculatedColumnFormula>Table_Input_RECConsumedByEntity[[#This Row],[Number of certificates]]</calculatedColumnFormula>
    </tableColumn>
    <tableColumn id="7" xr3:uid="{1987BD61-CD6B-4A85-A72C-975E4F50FB0E}"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44A982-7A4D-4CF2-8790-1A30DAE3E0A4}" name="Table_SourceData_ElectricityEFs" displayName="Table_SourceData_ElectricityEFs" ref="D9:F19" totalsRowShown="0" headerRowDxfId="17">
  <autoFilter ref="D9:F19" xr:uid="{3144A982-7A4D-4CF2-8790-1A30DAE3E0A4}">
    <filterColumn colId="0" hiddenButton="1"/>
    <filterColumn colId="1" hiddenButton="1"/>
    <filterColumn colId="2" hiddenButton="1"/>
  </autoFilter>
  <tableColumns count="3">
    <tableColumn id="1" xr3:uid="{C667C46C-8410-462E-9A76-30EEFB61AEA5}"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F2925E7C-5A00-40BF-8DE3-0533C8A0B6A5}"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07F2FDF5-A873-46FB-993C-C9F32B017091}"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7EEFE36-44F1-40A4-8394-9054D486E209}"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3CF5FC7-DD2F-4E50-978F-86B63EF909B8}" name="State, Territory or grid description">
      <calculatedColumnFormula array="1">Common_InputFunctions.Utility_DisplayArrayInTable(Electricity_SourceData.Electricity_Scope2Scope3MarketBased_Data(), Table_SourceData_ElectricityEFsMarketBased[[#Headers],[State, Territory or grid description]], 0)</calculatedColumnFormula>
    </tableColumn>
    <tableColumn id="2" xr3:uid="{1D9CD88E-5F28-46C0-A62F-13A4A4B817CE}" name="Scope 2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3" xr3:uid="{70376992-EFE1-4193-81D4-E76082A49628}" name="Scope 2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 id="4" xr3:uid="{9AA25244-199D-4066-A5EC-8C7DC5DD4129}" name="Scope 3 EF (kg CO2-e/kWh)">
      <calculatedColumnFormula array="1">Common_InputFunctions.Utility_DisplayArrayInTable(Electricity_SourceData.Electricity_Scope2Scope3MarketBased_Data(), Table_SourceData_ElectricityEFsMarketBased[[#Headers],[State, Territory or grid description]], 0)</calculatedColumnFormula>
    </tableColumn>
    <tableColumn id="5" xr3:uid="{C9376938-6692-43C7-A5AB-E21EF8C98DDE}" name="Scope 3 EF (kg CO2-e/GJ)">
      <calculatedColumnFormula array="1">Common_InputFunctions.Utility_DisplayArrayInTable(Electricity_SourceData.Electricity_Scope2Scope3MarketBased_Data(), Table_SourceData_ElectricityEFsMarketBased[[#Headers],[State, Territory or grid description]],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856F90F-792E-41B0-91FF-7BBC41BD8FE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DF5A91DA-2C46-40A6-A94A-AAE8776CA1BE}" name="State/Territory">
      <calculatedColumnFormula array="1">Common_InputFunctions.Utility_DisplayArrayInTable(Common_SourceData.Common_SourceData_AustralianStatesTerritories_Data(),Table_AustralianStates[[#Headers],[State/Territory]],0)</calculatedColumnFormula>
    </tableColumn>
    <tableColumn id="2" xr3:uid="{9824AC4F-CDDD-4542-9A63-15E4656D7447}" name="Common Name">
      <calculatedColumnFormula array="1">Common_InputFunctions.Utility_DisplayArrayInTable(Common_SourceData.Common_SourceData_AustralianStatesTerritories_Data(),Table_AustralianStates[[#Headers],[State/Territory]],0)</calculatedColumnFormula>
    </tableColumn>
    <tableColumn id="3" xr3:uid="{05B7BCEB-BCC8-468E-81D9-103DC442E31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9B11E80-6AD0-4811-9342-79C6F4F0B08D}" name="Table_WASA4Areas" displayName="Table_WASA4Areas" ref="D20:D30" totalsRowShown="0">
  <autoFilter ref="D20:D30" xr:uid="{5FA81339-C6C8-4D36-BEEA-6C4AEDD9E676}">
    <filterColumn colId="0" hiddenButton="1"/>
  </autoFilter>
  <tableColumns count="1">
    <tableColumn id="1" xr3:uid="{1BAAD91A-5709-4CA0-B4B5-8CDADB44F51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913ED1-3308-4BA2-AF7B-CBB825CDC246}" name="Table_GWPData" displayName="Table_GWPData" ref="D36:E43" totalsRowShown="0">
  <autoFilter ref="D36:E43" xr:uid="{B8E87A66-3E41-4AD3-925D-01EE21B43D7A}">
    <filterColumn colId="0" hiddenButton="1"/>
    <filterColumn colId="1" hiddenButton="1"/>
  </autoFilter>
  <tableColumns count="2">
    <tableColumn id="1" xr3:uid="{7990EB6E-0012-4A95-BE67-7E140790A9BF}" name="Gas">
      <calculatedColumnFormula array="1">Common_InputFunctions.Utility_DisplayArrayInTable(Common_SourceData.Common_SourceData_GWP_Data(), Table_GWPData[[#Headers],[Gas]], 0)</calculatedColumnFormula>
    </tableColumn>
    <tableColumn id="2" xr3:uid="{DA546021-F4B1-413B-BDA9-A62E6DDB228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6786C28A-7DE6-4AC9-A283-0D14AC2C860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6837ABF-32A9-46FB-8FD1-A48268C27AA3}" name="Gas">
      <calculatedColumnFormula array="1">Common_InputFunctions.Utility_DisplayArrayInTable(Common_SourceData.Common_SourceData_ConvertGasElementalToMolecular_Data(),Table_GasToMolecularConversionFactor[[#Headers],[Gas]], 0)</calculatedColumnFormula>
    </tableColumn>
    <tableColumn id="5" xr3:uid="{7D715297-8DEF-41A3-91B0-74742E4C3811}" name="Conversion factor">
      <calculatedColumnFormula array="1">Common_InputFunctions.Utility_DisplayArrayInTable(Common_SourceData.Common_SourceData_ConvertGasElementalToMolecular_Data(),Table_GasToMolecularConversionFactor[[#Headers],[Gas]], 0)</calculatedColumnFormula>
    </tableColumn>
    <tableColumn id="2" xr3:uid="{AB4C63B2-0E40-4FB0-AB90-7570AF7EB17D}"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8DED1B9-FB38-4271-9E43-773CB5F88BD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677FBA-D7F9-4D27-833D-CA5048A2293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720692E-C0DD-4694-B626-FF9E23E30F4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79CA65CA-A175-4CC1-8AD0-3584BA4C3A3E}"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737C900-0FA6-492D-B093-6641157E8EA4}" name="MAT"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3" xr3:uid="{D53B2C98-36AA-431F-9B92-9E1E143F1F42}" name="MAP"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4" xr3:uid="{D2F41B31-E9AE-4399-93E8-CD1FE0B5C6A0}" name="Frost days per year"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5" xr3:uid="{B20652C5-13C5-4357-939F-8FB5D15651CA}" name="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6" xr3:uid="{0C7976F9-4027-40C9-8576-B99AC9D90759}" name="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7" xr3:uid="{251FBCC1-029D-4B7F-859C-BACB8FD1811B}" name="Min temp"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8" xr3:uid="{A721FA9E-1155-4530-A6B9-76B04017CC7B}" name="Max temp"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9" xr3:uid="{2E493321-E57C-4B20-B4AE-0B7BE383BB5A}" name="Min rainfall"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0" xr3:uid="{D1FD46DF-5F06-4C9D-9BFA-DA1682167B16}" name="Max rainfall"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1" xr3:uid="{CC8A7E8D-D975-4483-AF49-704556602AF6}" name="Min frost days"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15" xr3:uid="{DD81F25A-F069-4F95-B98C-1EC7B4D44845}" name="Max frost days"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12" xr3:uid="{EDE66356-74AF-4196-8D7D-37413DAB1B57}" name="Min elevation"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16" xr3:uid="{9531D6F6-90E3-44C7-851C-42C012C2D12E}" name="Max 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13" xr3:uid="{0DC5E116-4BBC-4934-B6E9-64EB7C6A80C0}" name="Min 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17" xr3:uid="{BE984DE5-A722-4FDD-AB0F-1D754E7A4CF4}" name="Max MAP:PET" totalsRowDxfId="42"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8066248-EE7A-4A05-B600-A2E74499577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E03CB1FE-5781-4A53-B37F-A221816A23F5}"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69C1A82D-E593-41BE-9E94-162FB778C4AD}" name="Wet or Dry Zone" totalsRowDxfId="41"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1BFEB8D-44B4-4EE5-AC00-5A42F4E99A83}"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71D1ACBB-E56D-4F71-AA33-C3E592DE665D}" name="Temperature Zone">
      <calculatedColumnFormula array="1">Common_InputFunctions.Utility_DisplayArrayInTable(Common_SourceData.Common_SourceData_TemperatureZones_Data(),Table_SourceData_TemperatureZones[[#Headers],[Temperature Zone]],0)</calculatedColumnFormula>
    </tableColumn>
    <tableColumn id="2" xr3:uid="{88C34F96-5DF8-4322-B056-E70F6FA4C88B}" name="MAT">
      <calculatedColumnFormula array="1">Common_InputFunctions.Utility_DisplayArrayInTable(Common_SourceData.Common_SourceData_TemperatureZones_Data(),Table_SourceData_TemperatureZones[[#Headers],[Temperature Zone]],0)</calculatedColumnFormula>
    </tableColumn>
    <tableColumn id="3" xr3:uid="{169AA08A-B5F5-4010-8625-EBB6B36D2343}" name="Min MAT">
      <calculatedColumnFormula array="1">Common_InputFunctions.Utility_DisplayArrayInTable(Common_SourceData.Common_SourceData_TemperatureZones_Data(),Table_SourceData_TemperatureZones[[#Headers],[Temperature Zone]],0)</calculatedColumnFormula>
    </tableColumn>
    <tableColumn id="4" xr3:uid="{99E9286C-3ACB-497F-A318-F88E682EE76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07F5F99-8D84-4247-91BE-C83BE761672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7546578E-99B1-497B-AF7F-8E155E576E11}" name="Rainfall Zone">
      <calculatedColumnFormula array="1">Common_InputFunctions.Utility_DisplayArrayInTable(Common_SourceData.Common_SourceData_RainfallZones_Data(),Table_SourceData_RainfallZones[[#Headers],[Rainfall Zone]],0)</calculatedColumnFormula>
    </tableColumn>
    <tableColumn id="2" xr3:uid="{84560D70-340C-4B4A-8935-D94B433416E6}" name="Annual rainfall">
      <calculatedColumnFormula array="1">Common_InputFunctions.Utility_DisplayArrayInTable(Common_SourceData.Common_SourceData_RainfallZones_Data(),Table_SourceData_RainfallZones[[#Headers],[Rainfall Zone]],0)</calculatedColumnFormula>
    </tableColumn>
    <tableColumn id="3" xr3:uid="{C03D7914-49D1-429C-8DC5-3C9A3F5D10EE}" name="Min rainfall">
      <calculatedColumnFormula array="1">Common_InputFunctions.Utility_DisplayArrayInTable(Common_SourceData.Common_SourceData_RainfallZones_Data(),Table_SourceData_RainfallZones[[#Headers],[Rainfall Zone]],0)</calculatedColumnFormula>
    </tableColumn>
    <tableColumn id="4" xr3:uid="{EC64A14E-F320-425D-B7C9-79D632C762B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720BFB5-ECF3-4781-9B92-5ADE438973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0D7342B-1E89-464E-9E5C-2DF840C1087A}" name="Leaching Zone">
      <calculatedColumnFormula array="1">Common_InputFunctions.Utility_DisplayArrayInTable(Common_SourceData.Common_SourceData_LeachingZones_Data(), Table_SourceData_LeachingZones[[#Headers],[Leaching Zone]], 0)</calculatedColumnFormula>
    </tableColumn>
    <tableColumn id="2" xr3:uid="{B215C921-72BD-4126-8649-C60D661C27CE}"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6F704E3-C00D-4AEB-A218-0161E41569CF}"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88C305E-E356-4B3C-8438-8B367E44E5CB}" name="Data source">
      <calculatedColumnFormula array="1">Common_InputFunctions.Utility_DisplayArrayInTable(Common_SourceData.Common_SourceData_DataScores_Scope3_Data(), Table_SourceData_DataScores_Scope3[[#Headers],[Data source]], 0)</calculatedColumnFormula>
    </tableColumn>
    <tableColumn id="2" xr3:uid="{3E350436-A180-40A7-B17E-CBE99E16376E}"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91E9453-3CD3-47A4-99BF-0CCE2B259E3E}" name="Table_SourceData_FracWET" displayName="Table_SourceData_FracWET" ref="D134:E136" totalsRowShown="0">
  <autoFilter ref="D134:E136" xr:uid="{308E99BE-FE1F-47A4-B2CA-97217277C4E9}">
    <filterColumn colId="0" hiddenButton="1"/>
    <filterColumn colId="1" hiddenButton="1"/>
  </autoFilter>
  <tableColumns count="2">
    <tableColumn id="1" xr3:uid="{38C90545-5DA1-4B85-99D7-EBD2F9B2555B}" name="Is in leaching zone">
      <calculatedColumnFormula array="1">Common_InputFunctions.Utility_DisplayArrayInTable(Common_SourceData.Common_SourceData_FracWET_Data(),Table_SourceData_FracWET[[#Headers],[Is in leaching zone]],0)</calculatedColumnFormula>
    </tableColumn>
    <tableColumn id="2" xr3:uid="{21928617-4F8C-4D67-8A07-5C6C1B5AF6C2}" name="FracWET" dataDxfId="40">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EEB8E8B-2BD7-4525-AAEC-808D57AD495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54876CE-0212-49EE-92CE-53809CD49B48}" name="Production system j">
      <calculatedColumnFormula array="1">Common_InputFunctions.Utility_DisplayArrayInTable(Common_SourceData.Common_SourceData_EFN2O_Data(), Table_SourceData_Common_EFN2O[[#Headers],[Production system j]], 0)</calculatedColumnFormula>
    </tableColumn>
    <tableColumn id="2" xr3:uid="{28374985-BA5C-48DE-B335-5A5021D6F1C4}" name="EFN2O">
      <calculatedColumnFormula array="1">Common_InputFunctions.Utility_DisplayArrayInTable(Common_SourceData.Common_SourceData_EFN2O_Data(), Table_SourceData_Common_EFN2O[[#Headers],[Production system j]], 0)</calculatedColumnFormula>
    </tableColumn>
    <tableColumn id="3" xr3:uid="{C2CC6A8A-6D96-4FCF-8F83-CAAEB7ECFFB0}" name="Production system only">
      <calculatedColumnFormula array="1">Common_InputFunctions.Utility_DisplayArrayInTable(Common_SourceData.Common_SourceData_EFN2O_Data(), Table_SourceData_Common_EFN2O[[#Headers],[Production system j]], 0)</calculatedColumnFormula>
    </tableColumn>
    <tableColumn id="4" xr3:uid="{EB0A028F-22ED-43F3-A056-3B8EBDC47D76}" name="Irrigation method">
      <calculatedColumnFormula array="1">Common_InputFunctions.Utility_DisplayArrayInTable(Common_SourceData.Common_SourceData_EFN2O_Data(), Table_SourceData_Common_EFN2O[[#Headers],[Production system j]], 0)</calculatedColumnFormula>
    </tableColumn>
    <tableColumn id="5" xr3:uid="{C17EC188-DFF6-45EC-8759-4752FB5D18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C5EB765-CA98-4F36-B025-40BEEDCD8422}"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513616EF-DAAA-4C95-94CE-925EB42E020D}" name="Irrigation type i">
      <calculatedColumnFormula array="1">Common_InputFunctions.Utility_DisplayArrayInTable(Common_SourceData.Common_SourceData_FracWETIrrigation_Data(), Table_SourceData_FracWETIrrigation[[#Headers],[Irrigation type i]], 0)</calculatedColumnFormula>
    </tableColumn>
    <tableColumn id="2" xr3:uid="{65D54BFD-B39A-4BED-A5CC-1FA5832CAE4B}" name="FracWET" dataDxfId="39"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957F15E-0FBA-4AE7-8A35-54E452FB367B}"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C754519-5178-4DAB-A254-1522B12A2F7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9F060E31-7316-4814-857E-12687F43D9C7}" name="EFPRP" dataDxfId="38"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6693557-02EE-440A-B4A6-14902161ED8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B8004FE2-AAA4-4CBE-92ED-D313BDF281F3}" name="Month">
      <calculatedColumnFormula array="1">Common_InputFunctions.Utility_DisplayArrayInTable(Common_SourceData.Common_SourceData_MonthsToSeasons_Data(), Table_SourceData_Common_MonthToSeason[[#Headers],[Month]], 0)</calculatedColumnFormula>
    </tableColumn>
    <tableColumn id="2" xr3:uid="{FEE9F8D2-B063-49F1-B0D0-D4DCB043569E}" name="Season" dataDxfId="37"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C7D63D9-3149-4633-9D62-FC3A0A4ED24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ECFE7BF6-85E3-49A5-BD96-F197B13EE671}"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27FD869-0F07-45B9-AA42-2179C2BAAAE0}" name="MAT (ºC)"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B9413574-D8B1-4751-8DFE-10EACDFF6B70}" name="Anaerobic lagoon"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FD5212ED-177F-4ADF-B57E-227B30E605F4}" name="Digester / covered lagoons"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6B1712A-1552-48E7-A40C-3B38DD15E001}" name="Liquid systems"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4FD5866-2D8A-4959-9F39-B7BBA317EB3E}" name="Daily spread"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301B356E-B33A-4DA2-82DE-DC45101890D7}" name="Composting (passive windrow)"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273133D7-2A31-40B8-ADA2-A612273E5A5F}" name="Solid storage"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F023087D-39A7-4335-9163-EEC0ED5DC3C8}" name="Pit storage"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47A039F-AD16-4F50-9F08-CD6844DAF984}" name="Deep litter"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21D7468D-C7B8-4772-9336-9B8104F90400}" name="Poultry manure with bedding"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C577B064-0B47-4E0A-8680-6EEADC618D32}" name="Poultry manure without bedding"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7F3983C-0DA4-4D37-9C86-01AE7F377E23}" name="Direct processing"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C6D4A637-4D89-4FEC-96FB-C63697713E1D}" name="Direct application"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96D7C3B-C66C-4F9A-8E13-3B0C8EC86C89}" name="Pasture range and paddock"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8E5F22FC-BCC6-441E-999F-2A2B71D2F91F}" name="MAT ra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40549C0-9C05-4B2A-A1EA-3B8642ACACBF}"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F611A6A-327D-46DB-AA40-95B1C1A84AE9}"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D1C44F4-AB09-4816-BCD0-8798D5BC13D8}" name="EFNi &amp; EFN2Oi" dataDxfId="21"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D32AD4C8-05CA-4AF4-8861-70A5DA0BE4BB}"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449A32B6-4113-4303-91FC-D61224226D45}" name="Description" dataDxfId="20" dataCellStyle="Content normal"/>
    <tableColumn id="1" xr3:uid="{0AA32AD0-BB51-4B7B-BB7A-71EF93E1C2EB}" name="ID"/>
    <tableColumn id="3" xr3:uid="{F5343D50-12B7-4D1F-A558-EA87972F1BC9}" name="Score"/>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63140E9-274A-4BEF-B973-7D269E5E441A}"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A8EF3098-20FB-4226-8F15-CD73DF6F7D6C}" name="Description"/>
    <tableColumn id="2" xr3:uid="{1E97C702-832F-4B94-A562-5FFC9C29751C}" name="ID"/>
    <tableColumn id="3" xr3:uid="{0914DE2B-2BD8-4D44-A7DF-6932B1795DB2}" name="Score"/>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B0CA1E-ADCB-40A5-A587-39979B085536}"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1009B172-4B6F-4542-AF54-9A2DE18C7C94}" name="Description"/>
    <tableColumn id="2" xr3:uid="{604839ED-BF60-417A-AC59-169C0311F4D1}" name="ID"/>
    <tableColumn id="3" xr3:uid="{757697F9-DF8E-4E14-8873-5820A51537A8}" name="Score"/>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464222AF-2A02-4F0D-9CAA-20152D127A16}"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9E3724E5-8709-4260-ABE6-0ED55517A10C}" name="Description"/>
    <tableColumn id="2" xr3:uid="{DF79718C-4414-4D5E-A53C-C569ABCFD5D2}" name="ID"/>
    <tableColumn id="3" xr3:uid="{7DEC116E-FC43-4B04-9A15-F0BD277D1A9E}"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9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1.xml"/><Relationship Id="rId13" Type="http://schemas.openxmlformats.org/officeDocument/2006/relationships/table" Target="../tables/table16.xml"/><Relationship Id="rId18" Type="http://schemas.openxmlformats.org/officeDocument/2006/relationships/table" Target="../tables/table21.xml"/><Relationship Id="rId3" Type="http://schemas.openxmlformats.org/officeDocument/2006/relationships/table" Target="../tables/table6.xml"/><Relationship Id="rId21" Type="http://schemas.openxmlformats.org/officeDocument/2006/relationships/table" Target="../tables/table24.xml"/><Relationship Id="rId7" Type="http://schemas.openxmlformats.org/officeDocument/2006/relationships/table" Target="../tables/table10.xml"/><Relationship Id="rId12" Type="http://schemas.openxmlformats.org/officeDocument/2006/relationships/table" Target="../tables/table15.xml"/><Relationship Id="rId17" Type="http://schemas.openxmlformats.org/officeDocument/2006/relationships/table" Target="../tables/table20.xml"/><Relationship Id="rId2" Type="http://schemas.openxmlformats.org/officeDocument/2006/relationships/table" Target="../tables/table5.xml"/><Relationship Id="rId16" Type="http://schemas.openxmlformats.org/officeDocument/2006/relationships/table" Target="../tables/table19.xml"/><Relationship Id="rId20" Type="http://schemas.openxmlformats.org/officeDocument/2006/relationships/table" Target="../tables/table23.xml"/><Relationship Id="rId1" Type="http://schemas.openxmlformats.org/officeDocument/2006/relationships/printerSettings" Target="../printerSettings/printerSettings3.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5" Type="http://schemas.openxmlformats.org/officeDocument/2006/relationships/table" Target="../tables/table18.xml"/><Relationship Id="rId10" Type="http://schemas.openxmlformats.org/officeDocument/2006/relationships/table" Target="../tables/table13.xml"/><Relationship Id="rId19" Type="http://schemas.openxmlformats.org/officeDocument/2006/relationships/table" Target="../tables/table22.xml"/><Relationship Id="rId4" Type="http://schemas.openxmlformats.org/officeDocument/2006/relationships/table" Target="../tables/table7.xml"/><Relationship Id="rId9" Type="http://schemas.openxmlformats.org/officeDocument/2006/relationships/table" Target="../tables/table12.xml"/><Relationship Id="rId14" Type="http://schemas.openxmlformats.org/officeDocument/2006/relationships/table" Target="../tables/table17.xml"/><Relationship Id="rId22"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19" sqref="A19"/>
    </sheetView>
  </sheetViews>
  <sheetFormatPr defaultRowHeight="20" x14ac:dyDescent="0.25" customHeight="1"/>
  <sheetData>
    <row r="1" spans="1:1" x14ac:dyDescent="0.25" ht="30" customHeight="1">
      <c r="A1" t="s">
        <v>156</v>
      </c>
    </row>
    <row r="3" spans="1:1" x14ac:dyDescent="0.25" ht="20" customHeight="1">
      <c r="A3" s="120" t="str">
        <f>HYPERLINK("#'Home'!A1", "Home")</f>
        <v>Home</v>
      </c>
    </row>
    <row r="6" spans="1:1" x14ac:dyDescent="0.25" ht="20" customHeight="1">
      <c r="A6" s="119" t="s">
        <v>1</v>
      </c>
    </row>
    <row r="7" spans="1:1" ht="20" x14ac:dyDescent="0.25" customHeight="1">
      <c r="A7" s="14" t="str">
        <f>HYPERLINK("#'Constants - Common'!A1", "Constants - Common")</f>
        <v>Constants - Common</v>
      </c>
    </row>
    <row r="8" spans="1:1" ht="20" x14ac:dyDescent="0.25" customHeight="1">
      <c r="A8" s="14"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sheetPr>
    <tabColor rgb="FF0C769E"/>
  </sheetPr>
  <dimension ref="A1:W45"/>
  <sheetViews>
    <sheetView showGridLines="0"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2" t="e" vm="1">
        <v>#VALUE!</v>
      </c>
      <c r="C1" s="52" t="s">
        <v>145</v>
      </c>
      <c r="D1" s="53"/>
      <c r="E1" s="53"/>
      <c r="F1" s="53"/>
      <c r="G1" s="53"/>
      <c r="H1" s="53"/>
      <c r="I1" s="53"/>
      <c r="J1" s="53"/>
      <c r="K1" s="53"/>
      <c r="L1" s="53"/>
      <c r="M1" s="53"/>
      <c r="N1" s="53"/>
      <c r="O1" s="53"/>
      <c r="P1" s="53"/>
    </row>
    <row r="2" spans="1:17" ht="20" customHeight="1" x14ac:dyDescent="0.25">
      <c r="C2" s="53"/>
      <c r="D2" s="53"/>
      <c r="E2" s="53"/>
      <c r="F2" s="53"/>
      <c r="G2" s="53"/>
      <c r="H2" s="53"/>
      <c r="I2" s="53"/>
      <c r="J2" s="53"/>
      <c r="K2" s="53"/>
      <c r="L2" s="53"/>
      <c r="M2" s="53"/>
      <c r="N2" s="53"/>
      <c r="O2" s="53"/>
      <c r="P2" s="53"/>
      <c r="Q2" s="54"/>
    </row>
    <row r="3" spans="1:17" ht="20" customHeight="1" x14ac:dyDescent="0.25">
      <c r="A3" s="14" t="str">
        <f>HYPERLINK("#'Home'!A1", "Home")</f>
        <v>Home</v>
      </c>
      <c r="C3" s="55"/>
      <c r="D3" s="55"/>
      <c r="E3" s="55"/>
      <c r="F3" s="55"/>
      <c r="G3" s="55"/>
      <c r="H3" s="55"/>
      <c r="I3" s="55"/>
      <c r="J3" s="55"/>
      <c r="K3" s="55"/>
      <c r="L3" s="55"/>
      <c r="M3" s="55"/>
      <c r="N3" s="55"/>
      <c r="O3" s="55"/>
      <c r="P3" s="55"/>
    </row>
    <row r="4" spans="1:17" ht="20" customHeight="1" x14ac:dyDescent="0.25">
      <c r="A4" s="43" t="str">
        <f>HYPERLINK("#'Overview'!A1", "Overview")</f>
        <v>Overview</v>
      </c>
    </row>
    <row r="5" spans="1:17" ht="20" customHeight="1" x14ac:dyDescent="0.25">
      <c r="A5" s="14" t="str">
        <f>HYPERLINK("#'Results'!A1", "Results")</f>
        <v>Results</v>
      </c>
      <c r="D5" s="41" t="s">
        <v>82</v>
      </c>
      <c r="E5" s="36"/>
      <c r="F5" s="36"/>
      <c r="G5" s="36"/>
      <c r="H5" s="36"/>
      <c r="I5" s="36"/>
      <c r="J5" s="36"/>
      <c r="K5" s="36"/>
      <c r="L5" s="36"/>
      <c r="M5" s="36"/>
      <c r="N5" s="36"/>
      <c r="O5" s="33"/>
    </row>
    <row r="6" spans="1:17" ht="20" customHeight="1" x14ac:dyDescent="0.25">
      <c r="D6" s="56" t="s">
        <v>83</v>
      </c>
      <c r="E6" s="35"/>
      <c r="F6" s="35"/>
      <c r="G6" s="35"/>
      <c r="H6" s="35"/>
      <c r="I6" s="35"/>
      <c r="J6" s="35"/>
      <c r="K6" s="35"/>
      <c r="L6" s="35"/>
      <c r="M6" s="35"/>
      <c r="N6" s="35"/>
      <c r="O6" s="34"/>
    </row>
    <row r="7" spans="1:17" ht="20" customHeight="1" x14ac:dyDescent="0.25"/>
    <row r="8" spans="1:17" ht="20" customHeight="1" x14ac:dyDescent="0.25">
      <c r="A8" s="16" t="s">
        <v>0</v>
      </c>
    </row>
    <row r="9" spans="1:17" ht="20" customHeight="1" x14ac:dyDescent="0.25">
      <c r="A9" s="14" t="str">
        <f>HYPERLINK("#'Input - Site'!A1", "Site")</f>
        <v>Site</v>
      </c>
    </row>
    <row r="10" spans="1:17" ht="20" customHeight="1" x14ac:dyDescent="0.25">
      <c r="A10" s="14" t="str">
        <f>HYPERLINK("#'Input - Electricity'!A1", "Electricity")</f>
        <v>Electricity</v>
      </c>
    </row>
    <row r="11" spans="1:17" ht="20" customHeight="1" x14ac:dyDescent="0.25"/>
    <row r="12" spans="1:17" ht="20" customHeight="1" x14ac:dyDescent="0.25"/>
    <row r="13" spans="1:17" ht="20" customHeight="1" x14ac:dyDescent="0.25">
      <c r="A13" s="15" t="s">
        <v>44</v>
      </c>
    </row>
    <row r="14" spans="1:17" ht="20" customHeight="1" x14ac:dyDescent="0.25">
      <c r="A14" s="14" t="str">
        <f>HYPERLINK("#'14.1.1-2 Purchased electricity'!A1", "14.1.1-2 Purchased electricity")</f>
        <v>14.1.1-2 Purchased electricity</v>
      </c>
      <c r="O14" s="1" t="s">
        <v>84</v>
      </c>
    </row>
    <row r="15" spans="1:17" ht="20" customHeight="1" x14ac:dyDescent="0.25"/>
    <row r="16" spans="1:17" ht="20" customHeight="1" x14ac:dyDescent="0.25"/>
    <row r="17" spans="1:1" ht="20" customHeight="1" x14ac:dyDescent="0.25">
      <c r="A17" s="119" t="s">
        <v>1</v>
      </c>
    </row>
    <row r="18" spans="1:1" ht="20" customHeight="1" x14ac:dyDescent="0.25">
      <c r="A18" s="14" t="str">
        <f>HYPERLINK("#'Constants - Electricity'!A1", "Constants - Electricity")</f>
        <v>Constants - Electricity</v>
      </c>
    </row>
    <row r="19" spans="1:1" ht="20" customHeight="1" x14ac:dyDescent="0.25">
      <c r="A19" s="14" t="str">
        <f>HYPERLINK("#'Constants - Common'!A1", "Constants - Common")</f>
        <v>Constants - Common</v>
      </c>
    </row>
    <row r="20" spans="1:1" ht="20" customHeight="1" x14ac:dyDescent="0.25"/>
    <row r="21" spans="1:1" ht="20" customHeight="1" x14ac:dyDescent="0.25"/>
    <row r="22" spans="1:1" ht="20" customHeight="1" x14ac:dyDescent="0.25"/>
    <row r="23" spans="1:1" ht="20" customHeight="1" x14ac:dyDescent="0.25"/>
    <row r="24" spans="1:1" ht="20" customHeight="1" x14ac:dyDescent="0.25"/>
    <row r="25" spans="1:1" ht="20" customHeight="1" x14ac:dyDescent="0.25"/>
    <row r="26" spans="1:1" ht="20" customHeight="1" x14ac:dyDescent="0.25"/>
    <row r="27" spans="1:1" ht="20" customHeight="1" x14ac:dyDescent="0.25"/>
    <row r="28" spans="1:1" ht="20" customHeight="1" x14ac:dyDescent="0.25"/>
    <row r="29" spans="1:1" ht="20" customHeight="1" x14ac:dyDescent="0.25"/>
    <row r="30" spans="1:1" ht="20" customHeight="1" x14ac:dyDescent="0.25"/>
    <row r="31" spans="1:1" ht="20" customHeight="1" x14ac:dyDescent="0.25"/>
    <row r="32" spans="1:1" ht="20" customHeight="1" x14ac:dyDescent="0.25"/>
    <row r="33" spans="12:23" ht="20" customHeight="1" x14ac:dyDescent="0.25"/>
    <row r="34" spans="12:23" ht="20" customHeight="1" x14ac:dyDescent="0.25"/>
    <row r="35" spans="12:23" ht="20" customHeight="1" x14ac:dyDescent="0.25"/>
    <row r="36" spans="12:23" ht="20" customHeight="1" x14ac:dyDescent="0.25"/>
    <row r="37" spans="12:23" ht="20" customHeight="1" x14ac:dyDescent="0.25">
      <c r="L37" s="1" t="s">
        <v>80</v>
      </c>
    </row>
    <row r="38" spans="12:23" ht="20" customHeight="1" x14ac:dyDescent="0.25"/>
    <row r="39" spans="12:23" ht="20" customHeight="1" x14ac:dyDescent="0.25"/>
    <row r="40" spans="12:23" ht="20" customHeight="1" x14ac:dyDescent="0.25"/>
    <row r="41" spans="12:23" ht="20" customHeight="1" x14ac:dyDescent="0.25"/>
    <row r="42" spans="12:23" ht="20" customHeight="1" x14ac:dyDescent="0.25"/>
    <row r="45" spans="12:23" x14ac:dyDescent="0.25" ht="20" customHeight="1">
      <c r="W45"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H87"/>
  <sheetViews>
    <sheetView showGridLines="0" zoomScaleNormal="100" workbookViewId="0">
      <selection activeCell="A19" sqref="A19"/>
    </sheetView>
  </sheetViews>
  <sheetFormatPr defaultRowHeight="20" x14ac:dyDescent="0.25" customHeight="1"/>
  <cols>
    <col min="1" max="1" width="30.7109375" customWidth="1"/>
    <col min="2" max="3" width="2.7109375" customWidth="1"/>
    <col min="4" max="4" width="97.140625" customWidth="1"/>
    <col min="5" max="7" width="30.7109375" customWidth="1"/>
    <col min="8" max="8" width="7.42578125" customWidth="1"/>
    <col min="9" max="23" width="28.7109375" customWidth="1"/>
  </cols>
  <sheetData>
    <row r="1" spans="1:8" ht="30" customHeight="1" x14ac:dyDescent="0.35">
      <c r="A1" s="32" t="e" vm="1">
        <v>#VALUE!</v>
      </c>
      <c r="C1" s="52" t="s">
        <v>146</v>
      </c>
    </row>
    <row r="2" spans="1:8" ht="20" customHeight="1" x14ac:dyDescent="0.25">
      <c r="C2" s="9"/>
    </row>
    <row r="3" spans="1:8" ht="20" customHeight="1" x14ac:dyDescent="0.25">
      <c r="A3" s="14" t="str">
        <f>HYPERLINK("#'Home'!A1", "Home")</f>
        <v>Home</v>
      </c>
      <c r="C3" s="18"/>
      <c r="D3" s="18"/>
      <c r="E3" s="18"/>
      <c r="F3" s="18"/>
      <c r="G3" s="18"/>
      <c r="H3" s="18"/>
    </row>
    <row r="4" spans="1:8" ht="20" customHeight="1" x14ac:dyDescent="0.25">
      <c r="A4" s="14" t="str">
        <f>HYPERLINK("#'Overview'!A1", "Overview")</f>
        <v>Overview</v>
      </c>
      <c r="C4" s="18"/>
      <c r="D4" s="6" t="s">
        <v>2</v>
      </c>
      <c r="E4" s="19"/>
      <c r="F4" s="19"/>
      <c r="G4" s="19"/>
      <c r="H4" s="20"/>
    </row>
    <row r="5" spans="1:8" ht="20" customHeight="1" x14ac:dyDescent="0.3">
      <c r="A5" s="43" t="str">
        <f>HYPERLINK("#'Results'!A1", "Results")</f>
        <v>Results</v>
      </c>
      <c r="C5" s="18"/>
      <c r="D5" s="21"/>
      <c r="E5" s="22"/>
      <c r="F5" s="22"/>
      <c r="G5" s="22"/>
      <c r="H5" s="18"/>
    </row>
    <row r="6" spans="1:8" ht="20" customHeight="1" x14ac:dyDescent="0.25">
      <c r="C6" s="18"/>
      <c r="D6" s="17" t="s">
        <v>79</v>
      </c>
      <c r="E6" s="18"/>
      <c r="F6" s="18"/>
      <c r="G6" s="18"/>
      <c r="H6" s="18"/>
    </row>
    <row r="7" spans="1:8" ht="20" customHeight="1" x14ac:dyDescent="0.25">
      <c r="C7" s="18"/>
      <c r="D7" s="18"/>
      <c r="E7" s="18"/>
      <c r="F7" s="18"/>
      <c r="G7" s="18"/>
      <c r="H7" s="18"/>
    </row>
    <row r="8" spans="1:8" ht="20" customHeight="1" x14ac:dyDescent="0.25">
      <c r="A8" s="16" t="s">
        <v>0</v>
      </c>
      <c r="C8" s="18"/>
      <c r="D8" s="39" t="s">
        <v>49</v>
      </c>
      <c r="E8" s="39" t="s">
        <v>59</v>
      </c>
      <c r="F8" s="39" t="s">
        <v>60</v>
      </c>
      <c r="G8" s="39" t="s">
        <v>54</v>
      </c>
      <c r="H8" s="18"/>
    </row>
    <row r="9" spans="1:8" ht="20" customHeight="1" x14ac:dyDescent="0.25">
      <c r="A9" s="14" t="str">
        <f>HYPERLINK("#'Input - Site'!A1", "Site")</f>
        <v>Site</v>
      </c>
      <c r="C9" s="18"/>
      <c r="D9" s="1" t="s">
        <v>147</v>
      </c>
      <c r="E9" s="51">
        <f>VEERG_14_1_1__1_LocationBasedScopeElectricityEmissions_Result_Method1</f>
        <v>16.8</v>
      </c>
      <c r="F9" s="51">
        <f>E9</f>
        <v>16.8</v>
      </c>
      <c r="G9" s="30" t="s">
        <v>57</v>
      </c>
      <c r="H9" s="18"/>
    </row>
    <row r="10" spans="1:8" ht="20" customHeight="1" x14ac:dyDescent="0.25">
      <c r="A10" s="14" t="str">
        <f>HYPERLINK("#'Input - Electricity'!A1", "Electricity")</f>
        <v>Electricity</v>
      </c>
      <c r="C10" s="18"/>
      <c r="D10" s="1" t="s">
        <v>148</v>
      </c>
      <c r="E10" s="51">
        <f>VEERG_14_1_2__1_MarketBasedScopeElectricityEmissionsVariation_Result_Method1</f>
        <v>14.580000000000002</v>
      </c>
      <c r="F10" s="51">
        <f t="shared" ref="F10" si="0">E10</f>
        <v>14.580000000000002</v>
      </c>
      <c r="G10" s="30" t="s">
        <v>57</v>
      </c>
      <c r="H10" s="18"/>
    </row>
    <row r="11" spans="1:8" ht="20" customHeight="1" x14ac:dyDescent="0.25">
      <c r="C11" s="18"/>
      <c r="D11" s="1"/>
      <c r="E11" s="1"/>
      <c r="F11" s="1"/>
      <c r="G11" s="1"/>
      <c r="H11" s="18"/>
    </row>
    <row r="12" spans="1:8" ht="20" customHeight="1" x14ac:dyDescent="0.25">
      <c r="C12" s="18"/>
      <c r="D12" s="1"/>
      <c r="E12" s="1"/>
      <c r="F12" s="1"/>
      <c r="G12" s="1"/>
      <c r="H12" s="18"/>
    </row>
    <row r="13" spans="1:8" ht="20" customHeight="1" x14ac:dyDescent="0.25">
      <c r="A13" s="15" t="s">
        <v>44</v>
      </c>
      <c r="C13" s="18"/>
      <c r="D13" s="1"/>
      <c r="E13" s="1"/>
      <c r="F13" s="1"/>
      <c r="G13" s="1"/>
      <c r="H13" s="18"/>
    </row>
    <row r="14" spans="1:8" ht="20" customHeight="1" x14ac:dyDescent="0.25">
      <c r="A14" s="14" t="str">
        <f>HYPERLINK("#'14.1.1-2 Purchased electricity'!A1", "14.1.1-2 Purchased electricity")</f>
        <v>14.1.1-2 Purchased electricity</v>
      </c>
      <c r="C14" s="18"/>
      <c r="D14" s="1"/>
      <c r="E14" s="40"/>
      <c r="F14" s="30"/>
      <c r="G14" s="1"/>
      <c r="H14" s="18"/>
    </row>
    <row r="15" spans="1:8" ht="20" customHeight="1" x14ac:dyDescent="0.25">
      <c r="C15" s="18"/>
      <c r="D15" s="1"/>
      <c r="E15" s="40"/>
      <c r="F15" s="30"/>
      <c r="G15" s="1"/>
      <c r="H15" s="18"/>
    </row>
    <row r="16" spans="1:8" ht="20" customHeight="1" x14ac:dyDescent="0.25">
      <c r="C16" s="18"/>
      <c r="D16" s="1"/>
      <c r="E16" s="1"/>
      <c r="F16" s="1"/>
      <c r="G16" s="1"/>
      <c r="H16" s="18"/>
    </row>
    <row r="17" spans="1:8" ht="20" customHeight="1" x14ac:dyDescent="0.25">
      <c r="A17" s="119" t="s">
        <v>1</v>
      </c>
      <c r="C17" s="18"/>
      <c r="D17" s="1"/>
      <c r="E17" s="1"/>
      <c r="F17" s="1"/>
      <c r="G17" s="1"/>
      <c r="H17" s="18"/>
    </row>
    <row r="18" spans="1:8" ht="20" customHeight="1" x14ac:dyDescent="0.25">
      <c r="A18" s="14" t="str">
        <f>HYPERLINK("#'Constants - Electricity'!A1", "Constants - Electricity")</f>
        <v>Constants - Electricity</v>
      </c>
      <c r="C18" s="18"/>
      <c r="D18" s="1"/>
      <c r="E18" s="1"/>
      <c r="F18" s="1"/>
      <c r="G18" s="1"/>
      <c r="H18" s="18"/>
    </row>
    <row r="19" spans="1:8" ht="20" customHeight="1" x14ac:dyDescent="0.25">
      <c r="A19" s="14" t="str">
        <f>HYPERLINK("#'Constants - Common'!A1", "Constants - Common")</f>
        <v>Constants - Common</v>
      </c>
      <c r="C19" s="18"/>
      <c r="D19" s="1"/>
      <c r="E19" s="1"/>
      <c r="F19" s="1"/>
      <c r="G19" s="1"/>
      <c r="H19" s="18"/>
    </row>
    <row r="20" spans="1:8" ht="20" customHeight="1" x14ac:dyDescent="0.25">
      <c r="C20" s="18"/>
      <c r="D20" s="1"/>
      <c r="E20" s="1"/>
      <c r="F20" s="1"/>
      <c r="G20" s="1"/>
      <c r="H20" s="18"/>
    </row>
    <row r="21" spans="1:8" ht="20" customHeight="1" x14ac:dyDescent="0.25">
      <c r="C21" s="18"/>
      <c r="D21" s="1"/>
      <c r="E21" s="1"/>
      <c r="F21" s="1"/>
      <c r="G21" s="1"/>
      <c r="H21" s="18"/>
    </row>
    <row r="22" spans="1:8" ht="20" customHeight="1" x14ac:dyDescent="0.25">
      <c r="C22" s="18"/>
      <c r="D22" s="1"/>
      <c r="E22" s="1"/>
      <c r="F22" s="1"/>
      <c r="G22" s="1"/>
      <c r="H22" s="18"/>
    </row>
    <row r="23" spans="1:8" ht="20" customHeight="1" x14ac:dyDescent="0.25">
      <c r="C23" s="18"/>
      <c r="D23" s="1"/>
      <c r="E23" s="1"/>
      <c r="F23" s="1"/>
      <c r="G23" s="1"/>
      <c r="H23" s="18"/>
    </row>
    <row r="24" spans="1:8" ht="20" customHeight="1" x14ac:dyDescent="0.25">
      <c r="C24" s="18"/>
      <c r="D24" s="1"/>
      <c r="E24" s="1"/>
      <c r="F24" s="1"/>
      <c r="G24" s="1"/>
      <c r="H24" s="18"/>
    </row>
    <row r="25" spans="1:8" ht="20" customHeight="1" x14ac:dyDescent="0.25">
      <c r="C25" s="18"/>
      <c r="D25" s="1"/>
      <c r="E25" s="1"/>
      <c r="F25" s="1"/>
      <c r="G25" s="1"/>
      <c r="H25" s="18"/>
    </row>
    <row r="26" spans="1:8" ht="20" customHeight="1" x14ac:dyDescent="0.25">
      <c r="C26" s="18"/>
      <c r="D26" s="1"/>
      <c r="E26" s="1"/>
      <c r="F26" s="1"/>
      <c r="G26" s="1"/>
      <c r="H26" s="18"/>
    </row>
    <row r="27" spans="1:8" ht="20" customHeight="1" x14ac:dyDescent="0.25">
      <c r="C27" s="18"/>
      <c r="D27" s="1"/>
      <c r="E27" s="1"/>
      <c r="F27" s="1"/>
      <c r="G27" s="1"/>
      <c r="H27" s="18"/>
    </row>
    <row r="28" spans="1:8" ht="20" customHeight="1" x14ac:dyDescent="0.25">
      <c r="C28" s="18"/>
      <c r="D28" s="1"/>
      <c r="E28" s="1"/>
      <c r="F28" s="1"/>
      <c r="G28" s="1"/>
      <c r="H28" s="18"/>
    </row>
    <row r="29" spans="1:8" ht="20" customHeight="1" x14ac:dyDescent="0.25">
      <c r="C29" s="18"/>
      <c r="D29" s="1"/>
      <c r="E29" s="1"/>
      <c r="F29" s="1"/>
      <c r="G29" s="1"/>
      <c r="H29" s="18"/>
    </row>
    <row r="30" spans="1:8" ht="20" customHeight="1" x14ac:dyDescent="0.25">
      <c r="C30" s="18"/>
      <c r="D30" s="1"/>
      <c r="E30" s="1"/>
      <c r="F30" s="1"/>
      <c r="G30" s="1"/>
      <c r="H30" s="18"/>
    </row>
    <row r="31" spans="1:8" ht="20" customHeight="1" x14ac:dyDescent="0.25">
      <c r="C31" s="18"/>
      <c r="D31" s="1"/>
      <c r="E31" s="1"/>
      <c r="F31" s="1"/>
      <c r="G31" s="1"/>
      <c r="H31" s="18"/>
    </row>
    <row r="32" spans="1:8" ht="20" customHeight="1" x14ac:dyDescent="0.25">
      <c r="C32" s="18"/>
      <c r="D32" s="1"/>
      <c r="E32" s="1"/>
      <c r="F32" s="1"/>
      <c r="G32" s="1"/>
      <c r="H32" s="18"/>
    </row>
    <row r="33" spans="3:8" ht="20" customHeight="1" x14ac:dyDescent="0.25">
      <c r="C33" s="18"/>
      <c r="D33" s="1"/>
      <c r="E33" s="1"/>
      <c r="F33" s="1"/>
      <c r="G33" s="1"/>
      <c r="H33" s="18"/>
    </row>
    <row r="34" spans="3:8" ht="20" customHeight="1" x14ac:dyDescent="0.25">
      <c r="C34" s="18"/>
      <c r="D34" s="1"/>
      <c r="E34" s="1"/>
      <c r="F34" s="1"/>
      <c r="G34" s="1"/>
      <c r="H34" s="18"/>
    </row>
    <row r="35" spans="3:8" ht="20" customHeight="1" x14ac:dyDescent="0.25">
      <c r="C35" s="18"/>
      <c r="D35" s="1"/>
      <c r="E35" s="1"/>
      <c r="F35" s="1"/>
      <c r="G35" s="1"/>
      <c r="H35" s="18"/>
    </row>
    <row r="36" spans="3:8" ht="20" customHeight="1" x14ac:dyDescent="0.25">
      <c r="C36" s="18"/>
      <c r="D36" s="1"/>
      <c r="E36" s="1"/>
      <c r="F36" s="1"/>
      <c r="G36" s="1"/>
      <c r="H36" s="18"/>
    </row>
    <row r="37" spans="3:8" ht="20" customHeight="1" x14ac:dyDescent="0.25">
      <c r="C37" s="18"/>
      <c r="D37" s="1"/>
      <c r="E37" s="1"/>
      <c r="F37" s="1"/>
      <c r="G37" s="1"/>
      <c r="H37" s="18"/>
    </row>
    <row r="38" spans="3:8" ht="20" customHeight="1" x14ac:dyDescent="0.25">
      <c r="C38" s="18"/>
      <c r="D38" s="1"/>
      <c r="E38" s="1"/>
      <c r="F38" s="1"/>
      <c r="G38" s="1"/>
      <c r="H38" s="18"/>
    </row>
    <row r="39" spans="3:8" ht="20" customHeight="1" x14ac:dyDescent="0.25">
      <c r="C39" s="18"/>
      <c r="D39" s="1"/>
      <c r="E39" s="1"/>
      <c r="F39" s="1"/>
      <c r="G39" s="1"/>
      <c r="H39" s="18"/>
    </row>
    <row r="40" spans="3:8" ht="20" customHeight="1" x14ac:dyDescent="0.25">
      <c r="C40" s="18"/>
      <c r="D40" s="1"/>
      <c r="E40" s="1"/>
      <c r="F40" s="1"/>
      <c r="G40" s="1"/>
      <c r="H40" s="18"/>
    </row>
    <row r="41" spans="3:8" ht="20" customHeight="1" x14ac:dyDescent="0.25">
      <c r="C41" s="18"/>
      <c r="D41" s="1"/>
      <c r="E41" s="1"/>
      <c r="F41" s="1"/>
      <c r="G41" s="1"/>
      <c r="H41" s="18"/>
    </row>
    <row r="42" spans="3:8" ht="20" customHeight="1" x14ac:dyDescent="0.25">
      <c r="C42" s="18"/>
      <c r="D42" s="1"/>
      <c r="E42" s="1"/>
      <c r="F42" s="1"/>
      <c r="G42" s="1"/>
      <c r="H42" s="18"/>
    </row>
    <row r="43" spans="3:8" ht="20" customHeight="1" x14ac:dyDescent="0.25">
      <c r="C43" s="18"/>
      <c r="D43" s="1"/>
      <c r="E43" s="1"/>
      <c r="F43" s="1"/>
      <c r="G43" s="1"/>
      <c r="H43" s="18"/>
    </row>
    <row r="44" spans="3:8" ht="20" customHeight="1" x14ac:dyDescent="0.25">
      <c r="C44" s="18"/>
      <c r="D44" s="1"/>
      <c r="E44" s="1"/>
      <c r="F44" s="1"/>
      <c r="G44" s="1"/>
      <c r="H44" s="18"/>
    </row>
    <row r="45" spans="3:8" ht="20" customHeight="1" x14ac:dyDescent="0.25">
      <c r="C45" s="18"/>
      <c r="D45" s="1"/>
      <c r="E45" s="1"/>
      <c r="F45" s="1"/>
      <c r="G45" s="1"/>
      <c r="H45" s="18"/>
    </row>
    <row r="46" spans="3:8" ht="20" customHeight="1" x14ac:dyDescent="0.25">
      <c r="C46" s="18"/>
      <c r="D46" s="1"/>
      <c r="E46" s="1"/>
      <c r="F46" s="1"/>
      <c r="G46" s="1"/>
      <c r="H46" s="18"/>
    </row>
    <row r="47" spans="3:8" ht="20" customHeight="1" x14ac:dyDescent="0.25">
      <c r="C47" s="18"/>
      <c r="D47" s="1"/>
      <c r="E47" s="1"/>
      <c r="F47" s="1"/>
      <c r="G47" s="1"/>
      <c r="H47" s="18"/>
    </row>
    <row r="48" spans="3:8" ht="20" customHeight="1" x14ac:dyDescent="0.25">
      <c r="C48" s="18"/>
      <c r="D48" s="1"/>
      <c r="E48" s="1"/>
      <c r="F48" s="1"/>
      <c r="G48" s="1"/>
      <c r="H48" s="18"/>
    </row>
    <row r="49" spans="3:8" ht="20" customHeight="1" x14ac:dyDescent="0.25">
      <c r="C49" s="18"/>
      <c r="D49" s="1"/>
      <c r="E49" s="1"/>
      <c r="F49" s="1"/>
      <c r="G49" s="1"/>
      <c r="H49" s="18"/>
    </row>
    <row r="50" spans="3:8" ht="20" customHeight="1" x14ac:dyDescent="0.25">
      <c r="C50" s="18"/>
      <c r="D50" s="1"/>
      <c r="E50" s="1"/>
      <c r="F50" s="1"/>
      <c r="G50" s="1"/>
      <c r="H50" s="18"/>
    </row>
    <row r="51" spans="3:8" ht="20" customHeight="1" x14ac:dyDescent="0.25">
      <c r="C51" s="18"/>
      <c r="D51" s="1"/>
      <c r="E51" s="1"/>
      <c r="F51" s="1"/>
      <c r="G51" s="1"/>
      <c r="H51" s="18"/>
    </row>
    <row r="52" spans="3:8" ht="20" customHeight="1" x14ac:dyDescent="0.25">
      <c r="C52" s="18"/>
      <c r="D52" s="1"/>
      <c r="E52" s="1"/>
      <c r="F52" s="1"/>
      <c r="G52" s="1"/>
      <c r="H52" s="18"/>
    </row>
    <row r="53" spans="3:8" ht="20" customHeight="1" x14ac:dyDescent="0.25">
      <c r="C53" s="18"/>
      <c r="D53" s="1"/>
      <c r="E53" s="1"/>
      <c r="F53" s="1"/>
      <c r="G53" s="1"/>
      <c r="H53" s="18"/>
    </row>
    <row r="54" spans="3:8" ht="20" customHeight="1" x14ac:dyDescent="0.25">
      <c r="C54" s="18"/>
      <c r="D54" s="1"/>
      <c r="E54" s="1"/>
      <c r="F54" s="1"/>
      <c r="G54" s="1"/>
      <c r="H54" s="18"/>
    </row>
    <row r="55" spans="3:8" ht="20" customHeight="1" x14ac:dyDescent="0.25">
      <c r="C55" s="18"/>
      <c r="D55" s="1"/>
      <c r="E55" s="1"/>
      <c r="F55" s="1"/>
      <c r="G55" s="1"/>
      <c r="H55" s="18"/>
    </row>
    <row r="56" spans="3:8" ht="20" customHeight="1" x14ac:dyDescent="0.25">
      <c r="C56" s="18"/>
      <c r="D56" s="1"/>
      <c r="E56" s="1"/>
      <c r="F56" s="1"/>
      <c r="G56" s="1"/>
      <c r="H56" s="18"/>
    </row>
    <row r="57" spans="3:8" ht="20" customHeight="1" x14ac:dyDescent="0.25">
      <c r="C57" s="18"/>
      <c r="D57" s="1"/>
      <c r="E57" s="1"/>
      <c r="F57" s="1"/>
      <c r="G57" s="1"/>
      <c r="H57" s="18"/>
    </row>
    <row r="58" spans="3:8" ht="20" customHeight="1" x14ac:dyDescent="0.25">
      <c r="C58" s="18"/>
      <c r="D58" s="1"/>
      <c r="E58" s="24"/>
      <c r="F58" s="23"/>
      <c r="G58" s="18"/>
      <c r="H58" s="18"/>
    </row>
    <row r="59" spans="3:8" ht="20" customHeight="1" x14ac:dyDescent="0.25">
      <c r="C59" s="18"/>
      <c r="D59" s="1"/>
      <c r="E59" s="1"/>
      <c r="F59" s="1"/>
      <c r="G59" s="1"/>
      <c r="H59" s="18"/>
    </row>
    <row r="60" spans="3:8" ht="20" customHeight="1" x14ac:dyDescent="0.25">
      <c r="C60" s="18"/>
      <c r="D60" s="1"/>
      <c r="E60" s="1"/>
      <c r="F60" s="1"/>
      <c r="G60" s="1"/>
      <c r="H60" s="18"/>
    </row>
    <row r="61" spans="3:8" ht="20" customHeight="1" x14ac:dyDescent="0.25">
      <c r="C61" s="18"/>
      <c r="D61" s="1"/>
      <c r="E61" s="1"/>
      <c r="F61" s="1"/>
      <c r="G61" s="1"/>
      <c r="H61" s="18"/>
    </row>
    <row r="62" spans="3:8" ht="20" customHeight="1" x14ac:dyDescent="0.25">
      <c r="C62" s="18"/>
      <c r="D62" s="1"/>
      <c r="E62" s="1"/>
      <c r="F62" s="1"/>
      <c r="G62" s="1"/>
      <c r="H62" s="18"/>
    </row>
    <row r="63" spans="3:8" ht="20" customHeight="1" x14ac:dyDescent="0.25">
      <c r="C63" s="18"/>
      <c r="D63" s="1"/>
      <c r="E63" s="1"/>
      <c r="F63" s="1"/>
      <c r="G63" s="1"/>
      <c r="H63" s="18"/>
    </row>
    <row r="64" spans="3:8" ht="20" customHeight="1" x14ac:dyDescent="0.25">
      <c r="C64" s="18"/>
      <c r="D64" s="1"/>
      <c r="E64" s="1"/>
      <c r="F64" s="1"/>
      <c r="G64" s="1"/>
      <c r="H64" s="18"/>
    </row>
    <row r="65" spans="3:8" ht="20" customHeight="1" x14ac:dyDescent="0.25">
      <c r="C65" s="18"/>
      <c r="D65" s="1"/>
      <c r="E65" s="1"/>
      <c r="F65" s="1"/>
      <c r="G65" s="1"/>
      <c r="H65" s="18"/>
    </row>
    <row r="66" spans="3:8" ht="20" customHeight="1" x14ac:dyDescent="0.25">
      <c r="C66" s="18"/>
      <c r="D66" s="1"/>
      <c r="E66" s="1"/>
      <c r="F66" s="1"/>
      <c r="G66" s="1"/>
      <c r="H66" s="18"/>
    </row>
    <row r="67" spans="3:8" ht="20" customHeight="1" x14ac:dyDescent="0.25">
      <c r="C67" s="18"/>
      <c r="D67" s="1"/>
      <c r="E67" s="1"/>
      <c r="F67" s="1"/>
      <c r="G67" s="1"/>
      <c r="H67" s="18"/>
    </row>
    <row r="68" spans="3:8" ht="20" customHeight="1" x14ac:dyDescent="0.25">
      <c r="C68" s="18"/>
      <c r="D68" s="1"/>
      <c r="E68" s="1"/>
      <c r="F68" s="1"/>
      <c r="G68" s="1"/>
      <c r="H68" s="18"/>
    </row>
    <row r="69" spans="3:8" ht="20" customHeight="1" x14ac:dyDescent="0.25">
      <c r="C69" s="18"/>
      <c r="D69" s="1"/>
      <c r="E69" s="1"/>
      <c r="F69" s="1"/>
      <c r="G69" s="1"/>
      <c r="H69" s="18"/>
    </row>
    <row r="70" spans="3:8" ht="20" customHeight="1" x14ac:dyDescent="0.25">
      <c r="C70" s="18"/>
      <c r="D70" s="1"/>
      <c r="E70" s="1"/>
      <c r="F70" s="1"/>
      <c r="G70" s="1"/>
      <c r="H70" s="18"/>
    </row>
    <row r="71" spans="3:8" ht="20" customHeight="1" x14ac:dyDescent="0.25">
      <c r="C71" s="18"/>
      <c r="D71" s="1"/>
      <c r="E71" s="1"/>
      <c r="F71" s="1"/>
      <c r="G71" s="1"/>
      <c r="H71" s="18"/>
    </row>
    <row r="72" spans="3:8" ht="20" customHeight="1" x14ac:dyDescent="0.25">
      <c r="C72" s="18"/>
      <c r="D72" s="1"/>
      <c r="E72" s="1"/>
      <c r="F72" s="1"/>
      <c r="G72" s="1"/>
      <c r="H72" s="18"/>
    </row>
    <row r="73" spans="3:8" ht="20" customHeight="1" x14ac:dyDescent="0.25">
      <c r="C73" s="18"/>
      <c r="D73" s="1"/>
      <c r="E73" s="1"/>
      <c r="F73" s="1"/>
      <c r="G73" s="1"/>
      <c r="H73" s="18"/>
    </row>
    <row r="74" spans="3:8" ht="20" customHeight="1" x14ac:dyDescent="0.25">
      <c r="C74" s="18"/>
      <c r="D74" s="1"/>
      <c r="E74" s="1"/>
      <c r="F74" s="1"/>
      <c r="G74" s="1"/>
      <c r="H74" s="18"/>
    </row>
    <row r="75" spans="3:8" ht="20" customHeight="1" x14ac:dyDescent="0.25">
      <c r="C75" s="18"/>
      <c r="D75" s="1"/>
      <c r="E75" s="1"/>
      <c r="F75" s="1"/>
      <c r="G75" s="1"/>
      <c r="H75" s="18"/>
    </row>
    <row r="76" spans="3:8" ht="20" x14ac:dyDescent="0.25" customHeight="1">
      <c r="C76" s="18"/>
      <c r="D76" s="1"/>
      <c r="E76" s="1"/>
      <c r="F76" s="1"/>
      <c r="G76" s="1"/>
      <c r="H76" s="18"/>
    </row>
    <row r="77" spans="3:8" ht="20" x14ac:dyDescent="0.25" customHeight="1">
      <c r="C77" s="18"/>
      <c r="D77" s="1"/>
      <c r="E77" s="1"/>
      <c r="F77" s="1"/>
      <c r="G77" s="1"/>
      <c r="H77" s="18"/>
    </row>
    <row r="78" spans="3:8" ht="20" x14ac:dyDescent="0.25" customHeight="1">
      <c r="C78" s="18"/>
      <c r="D78" s="1"/>
      <c r="E78" s="1"/>
      <c r="F78" s="1"/>
      <c r="G78" s="1"/>
      <c r="H78" s="18"/>
    </row>
    <row r="79" spans="3:8" ht="20" x14ac:dyDescent="0.25" customHeight="1">
      <c r="C79" s="18"/>
      <c r="D79" s="1"/>
      <c r="E79" s="1"/>
      <c r="F79" s="1"/>
      <c r="G79" s="1"/>
      <c r="H79" s="18"/>
    </row>
    <row r="80" spans="3:8" ht="20" x14ac:dyDescent="0.25" customHeight="1">
      <c r="C80" s="18"/>
      <c r="D80" s="1"/>
      <c r="E80" s="1"/>
      <c r="F80" s="1"/>
      <c r="G80" s="1"/>
      <c r="H80" s="18"/>
    </row>
    <row r="81" spans="3:8" ht="20" x14ac:dyDescent="0.25" customHeight="1">
      <c r="C81" s="18"/>
      <c r="D81" s="1"/>
      <c r="E81" s="1"/>
      <c r="F81" s="1"/>
      <c r="G81" s="1"/>
      <c r="H81" s="18"/>
    </row>
    <row r="82" spans="3:8" ht="20" x14ac:dyDescent="0.25" customHeight="1">
      <c r="C82" s="18"/>
      <c r="D82" s="1"/>
      <c r="E82" s="1"/>
      <c r="F82" s="1"/>
      <c r="G82" s="1"/>
      <c r="H82" s="18"/>
    </row>
    <row r="83" spans="3:8" ht="20" x14ac:dyDescent="0.25" customHeight="1">
      <c r="C83" s="18"/>
      <c r="D83" s="1"/>
      <c r="E83" s="1"/>
      <c r="F83" s="1"/>
      <c r="G83" s="1"/>
      <c r="H83" s="18"/>
    </row>
    <row r="84" spans="3:8" ht="20" x14ac:dyDescent="0.25" customHeight="1">
      <c r="C84" s="18"/>
      <c r="D84" s="1"/>
      <c r="E84" s="1"/>
      <c r="F84" s="1"/>
      <c r="G84" s="1"/>
      <c r="H84" s="18"/>
    </row>
    <row r="85" spans="3:8" ht="20" x14ac:dyDescent="0.25" customHeight="1">
      <c r="C85" s="18"/>
      <c r="D85" s="1"/>
      <c r="E85" s="1"/>
      <c r="F85" s="1"/>
      <c r="G85" s="1"/>
      <c r="H85" s="18"/>
    </row>
    <row r="86" spans="3:8" x14ac:dyDescent="0.25" ht="20" customHeight="1">
      <c r="C86" s="18"/>
      <c r="D86" s="18"/>
      <c r="E86" s="18"/>
      <c r="F86" s="18"/>
      <c r="G86" s="18"/>
      <c r="H86" s="18"/>
    </row>
    <row r="87" spans="3:8" x14ac:dyDescent="0.25" ht="20" customHeight="1">
      <c r="C87" s="18"/>
      <c r="D87" s="18"/>
      <c r="E87" s="18"/>
      <c r="F87" s="18"/>
      <c r="G87" s="18"/>
      <c r="H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7103A-78D3-4656-9053-88B68DE1AD85}">
  <sheetPr>
    <tabColor theme="5" tint="-0.249977111117893"/>
  </sheetPr>
  <dimension ref="A1:AA160"/>
  <sheetViews>
    <sheetView showGridLines="0" tabSelected="1" zoomScaleNormal="100" workbookViewId="0">
      <selection activeCell="E13" sqref="E13"/>
    </sheetView>
  </sheetViews>
  <sheetFormatPr defaultColWidth="9.140625" defaultRowHeight="20" x14ac:dyDescent="0.25" customHeight="1"/>
  <cols>
    <col min="1" max="1" width="30.7109375" style="13"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32" t="e" vm="1">
        <v>#VALUE!</v>
      </c>
      <c r="C1" s="63" t="s">
        <v>94</v>
      </c>
    </row>
    <row r="2" spans="1:24" s="7" customFormat="1" ht="20" customHeight="1" x14ac:dyDescent="0.25">
      <c r="A2"/>
      <c r="C2" s="9"/>
      <c r="D2" s="9"/>
      <c r="E2" s="9"/>
      <c r="F2" s="9"/>
      <c r="G2" s="9"/>
      <c r="H2" s="9"/>
      <c r="I2" s="9"/>
      <c r="J2" s="9"/>
    </row>
    <row r="3" spans="1:24" ht="20" customHeight="1" x14ac:dyDescent="0.25">
      <c r="A3" s="14" t="str">
        <f>HYPERLINK("#'Home'!A1", "Home")</f>
        <v>Home</v>
      </c>
      <c r="C3" s="12"/>
      <c r="D3" s="12"/>
      <c r="E3" s="12"/>
      <c r="F3" s="12"/>
      <c r="G3" s="12"/>
      <c r="H3" s="12"/>
      <c r="I3" s="12"/>
      <c r="J3" s="12"/>
      <c r="K3" s="12"/>
      <c r="M3" s="10"/>
      <c r="N3" s="10"/>
      <c r="O3" s="10"/>
      <c r="P3" s="10"/>
      <c r="Q3" s="10"/>
      <c r="R3" s="10"/>
      <c r="S3" s="10"/>
      <c r="T3" s="10"/>
      <c r="U3" s="10"/>
      <c r="V3" s="10"/>
      <c r="W3" s="10"/>
      <c r="X3" s="10"/>
    </row>
    <row r="4" spans="1:24" ht="20" customHeight="1" x14ac:dyDescent="0.25">
      <c r="A4" s="14" t="str">
        <f>HYPERLINK("#'Overview'!A1", "Overview")</f>
        <v>Overview</v>
      </c>
      <c r="C4" s="64"/>
      <c r="D4" s="64"/>
      <c r="E4" s="64"/>
      <c r="F4" s="64"/>
      <c r="G4" s="64"/>
      <c r="H4" s="64"/>
      <c r="I4" s="64"/>
      <c r="J4" s="64"/>
      <c r="K4" s="64"/>
    </row>
    <row r="5" spans="1:24" ht="20" customHeight="1" x14ac:dyDescent="0.25">
      <c r="A5" s="14" t="str">
        <f>HYPERLINK("#'Results'!A1", "Results")</f>
        <v>Results</v>
      </c>
      <c r="D5" s="6" t="s">
        <v>95</v>
      </c>
      <c r="N5" s="65"/>
    </row>
    <row r="6" spans="1:24" ht="20" customHeight="1" x14ac:dyDescent="0.25">
      <c r="A6"/>
      <c r="D6" s="66"/>
      <c r="N6" s="67"/>
    </row>
    <row r="7" spans="1:24" ht="20" customHeight="1" x14ac:dyDescent="0.25">
      <c r="A7"/>
      <c r="D7" s="1" t="s">
        <v>96</v>
      </c>
      <c r="E7" s="68" t="s">
        <v>97</v>
      </c>
      <c r="F7" s="2"/>
    </row>
    <row r="8" spans="1:24" ht="20" customHeight="1" x14ac:dyDescent="0.25">
      <c r="A8" s="16" t="s">
        <v>0</v>
      </c>
      <c r="D8" s="69" t="s">
        <v>98</v>
      </c>
      <c r="E8" s="68" t="s">
        <v>99</v>
      </c>
    </row>
    <row r="9" spans="1:24" ht="20" customHeight="1" x14ac:dyDescent="0.25">
      <c r="A9" s="42" t="str">
        <f>HYPERLINK("#'Input - Site'!A1", "Site")</f>
        <v>Site</v>
      </c>
      <c r="N9" s="70"/>
    </row>
    <row r="10" spans="1:24" ht="20" customHeight="1" x14ac:dyDescent="0.25">
      <c r="A10" s="14" t="str">
        <f>HYPERLINK("#'Input - Electricity'!A1", "Electricity")</f>
        <v>Electricity</v>
      </c>
      <c r="D10" s="60" t="s">
        <v>100</v>
      </c>
      <c r="E10" s="71"/>
      <c r="F10" s="72"/>
      <c r="G10" s="61"/>
      <c r="N10" s="70"/>
    </row>
    <row r="11" spans="1:24" ht="20" customHeight="1" x14ac:dyDescent="0.25">
      <c r="A11"/>
      <c r="N11" s="73"/>
    </row>
    <row r="12" spans="1:24" ht="20" customHeight="1" x14ac:dyDescent="0.25">
      <c r="A12"/>
      <c r="D12" s="69" t="s">
        <v>101</v>
      </c>
      <c r="E12" s="74">
        <v>45292</v>
      </c>
      <c r="F12" s="2" t="s">
        <v>102</v>
      </c>
    </row>
    <row r="13" spans="1:24" ht="20" customHeight="1" x14ac:dyDescent="0.25">
      <c r="A13" s="15" t="s">
        <v>44</v>
      </c>
      <c r="D13" s="69" t="s">
        <v>103</v>
      </c>
      <c r="E13" s="75">
        <f>DATE(YEAR(X_Cell_Site_StartDate)+1,MONTH(X_Cell_Site_StartDate),DAY(X_Cell_Site_StartDate))-1</f>
        <v>45657</v>
      </c>
      <c r="F13" s="2" t="s">
        <v>104</v>
      </c>
      <c r="N13" s="76"/>
      <c r="O13" s="76"/>
    </row>
    <row r="14" spans="1:24" ht="20" customHeight="1" x14ac:dyDescent="0.25">
      <c r="A14" s="14" t="str">
        <f>HYPERLINK("#'14.1.1-2 Purchased electricity'!A1", "14.1.1-2 Purchased electricity")</f>
        <v>14.1.1-2 Purchased electricity</v>
      </c>
      <c r="N14" s="76"/>
      <c r="O14" s="76"/>
    </row>
    <row r="15" spans="1:24" ht="20" customHeight="1" x14ac:dyDescent="0.25">
      <c r="A15"/>
      <c r="N15" s="76"/>
      <c r="O15" s="76"/>
    </row>
    <row r="16" spans="1:24" ht="20" customHeight="1" x14ac:dyDescent="0.25">
      <c r="A16"/>
      <c r="D16" s="6" t="s">
        <v>105</v>
      </c>
      <c r="N16" s="76"/>
      <c r="O16" s="76"/>
    </row>
    <row r="17" spans="1:25" ht="20" customHeight="1" x14ac:dyDescent="0.25">
      <c r="A17" s="119" t="s">
        <v>1</v>
      </c>
    </row>
    <row r="18" spans="1:25" ht="20" customHeight="1" x14ac:dyDescent="0.25">
      <c r="A18" s="14" t="str">
        <f>HYPERLINK("#'Constants - Electricity'!A1", "Constants - Electricity")</f>
        <v>Constants - Electricity</v>
      </c>
      <c r="D18" s="77" t="s">
        <v>106</v>
      </c>
      <c r="E18" s="36"/>
      <c r="F18" s="36"/>
      <c r="G18" s="33"/>
    </row>
    <row r="19" spans="1:25" ht="20" customHeight="1" x14ac:dyDescent="0.25">
      <c r="A19" s="14" t="str">
        <f>HYPERLINK("#'Constants - Common'!A1", "Constants - Common")</f>
        <v>Constants - Common</v>
      </c>
      <c r="D19" s="37" t="s">
        <v>107</v>
      </c>
      <c r="E19" s="35"/>
      <c r="F19" s="35"/>
      <c r="G19" s="34"/>
      <c r="N19" s="65"/>
    </row>
    <row r="20" spans="1:25" ht="20" customHeight="1" x14ac:dyDescent="0.25">
      <c r="A20"/>
      <c r="D20" s="1"/>
      <c r="E20" s="78"/>
      <c r="F20" s="2"/>
      <c r="N20" s="67"/>
    </row>
    <row r="21" spans="1:25" ht="20" customHeight="1" x14ac:dyDescent="0.25">
      <c r="A21"/>
      <c r="D21" s="1" t="s">
        <v>108</v>
      </c>
      <c r="E21" s="27" t="s">
        <v>109</v>
      </c>
      <c r="F21" s="2" t="s">
        <v>93</v>
      </c>
    </row>
    <row r="22" spans="1:25" ht="20" customHeight="1" x14ac:dyDescent="0.25">
      <c r="A22"/>
      <c r="D22" s="1" t="s">
        <v>110</v>
      </c>
      <c r="E22" s="27" t="s">
        <v>111</v>
      </c>
      <c r="F22" s="2" t="s">
        <v>93</v>
      </c>
      <c r="G22" s="1"/>
    </row>
    <row r="23" spans="1:25" ht="20" customHeight="1" x14ac:dyDescent="0.25">
      <c r="A23"/>
    </row>
    <row r="24" spans="1:25" ht="20" customHeight="1" x14ac:dyDescent="0.25">
      <c r="A24"/>
    </row>
    <row r="25" spans="1:25" ht="20" customHeight="1" x14ac:dyDescent="0.25">
      <c r="A25"/>
      <c r="N25" s="67"/>
    </row>
    <row r="26" spans="1:25" ht="20" customHeight="1" x14ac:dyDescent="0.25">
      <c r="A26"/>
    </row>
    <row r="27" spans="1:25" ht="20" customHeight="1" x14ac:dyDescent="0.25">
      <c r="A27"/>
    </row>
    <row r="28" spans="1:25" ht="20" customHeight="1" x14ac:dyDescent="0.25">
      <c r="A28"/>
    </row>
    <row r="29" spans="1:25" ht="20" customHeight="1" x14ac:dyDescent="0.25">
      <c r="A29"/>
    </row>
    <row r="30" spans="1:25" ht="20" customHeight="1" x14ac:dyDescent="0.25">
      <c r="A30"/>
      <c r="G30" s="79"/>
      <c r="L30" s="80"/>
      <c r="M30" s="80"/>
      <c r="N30" s="80"/>
      <c r="O30" s="80"/>
      <c r="P30" s="80"/>
      <c r="Q30" s="80"/>
      <c r="R30" s="80"/>
      <c r="S30" s="80"/>
      <c r="T30" s="80"/>
      <c r="U30" s="80"/>
      <c r="V30" s="80"/>
      <c r="W30" s="80"/>
      <c r="X30" s="80"/>
      <c r="Y30" s="80"/>
    </row>
    <row r="31" spans="1:25" ht="20" customHeight="1" x14ac:dyDescent="0.25">
      <c r="A31"/>
      <c r="G31" s="78"/>
      <c r="L31" s="81"/>
      <c r="M31" s="81"/>
      <c r="N31" s="81"/>
      <c r="O31" s="81"/>
      <c r="P31" s="81"/>
      <c r="Q31" s="81"/>
      <c r="R31" s="81"/>
      <c r="S31" s="81"/>
      <c r="T31" s="81"/>
      <c r="U31" s="81"/>
      <c r="V31" s="81"/>
      <c r="W31" s="81"/>
      <c r="X31" s="81"/>
      <c r="Y31" s="81"/>
    </row>
    <row r="32" spans="1:25" ht="20" customHeight="1" x14ac:dyDescent="0.25">
      <c r="A32"/>
      <c r="G32" s="78"/>
      <c r="L32" s="81"/>
      <c r="M32" s="81"/>
      <c r="N32" s="81"/>
      <c r="O32" s="81"/>
      <c r="P32" s="81"/>
      <c r="Q32" s="81"/>
      <c r="R32" s="81"/>
      <c r="S32" s="81"/>
      <c r="T32" s="81"/>
      <c r="U32" s="81"/>
      <c r="V32" s="81"/>
      <c r="W32" s="81"/>
      <c r="X32" s="81"/>
      <c r="Y32" s="81"/>
    </row>
    <row r="33" spans="1:25" ht="20" customHeight="1" x14ac:dyDescent="0.25">
      <c r="A33"/>
      <c r="G33" s="82"/>
      <c r="L33" s="81"/>
      <c r="M33" s="81"/>
      <c r="N33" s="81"/>
      <c r="O33" s="81"/>
      <c r="P33" s="81"/>
      <c r="Q33" s="81"/>
      <c r="R33" s="81"/>
      <c r="S33" s="81"/>
      <c r="T33" s="81"/>
      <c r="U33" s="81"/>
      <c r="V33" s="81"/>
      <c r="W33" s="81"/>
      <c r="X33" s="81"/>
      <c r="Y33" s="81"/>
    </row>
    <row r="34" spans="1:25" ht="20" customHeight="1" x14ac:dyDescent="0.25">
      <c r="A34"/>
      <c r="J34" s="83"/>
      <c r="K34" s="84"/>
      <c r="L34" s="81"/>
      <c r="M34" s="81"/>
      <c r="N34" s="81"/>
      <c r="O34" s="81"/>
      <c r="P34" s="81"/>
      <c r="Q34" s="81"/>
      <c r="R34" s="81"/>
      <c r="S34" s="81"/>
      <c r="T34" s="81"/>
      <c r="U34" s="81"/>
      <c r="V34" s="81"/>
      <c r="W34" s="81"/>
      <c r="X34" s="81"/>
      <c r="Y34" s="81"/>
    </row>
    <row r="35" spans="1:25" ht="20" customHeight="1" x14ac:dyDescent="0.25">
      <c r="A35"/>
      <c r="J35" s="83"/>
      <c r="K35" s="84"/>
      <c r="L35" s="81"/>
      <c r="M35" s="81"/>
      <c r="N35" s="81"/>
      <c r="O35" s="81"/>
      <c r="P35" s="81"/>
      <c r="Q35" s="81"/>
      <c r="R35" s="81"/>
      <c r="S35" s="81"/>
      <c r="T35" s="81"/>
      <c r="U35" s="81"/>
      <c r="V35" s="81"/>
      <c r="W35" s="81"/>
      <c r="X35" s="81"/>
      <c r="Y35" s="81"/>
    </row>
    <row r="36" spans="1:25" ht="20" customHeight="1" x14ac:dyDescent="0.25">
      <c r="A36"/>
      <c r="D36" s="85"/>
      <c r="E36" s="85"/>
      <c r="F36" s="86"/>
      <c r="G36" s="83"/>
      <c r="H36" s="83"/>
      <c r="I36" s="87"/>
      <c r="J36" s="83"/>
      <c r="K36" s="84"/>
      <c r="L36" s="81"/>
      <c r="M36" s="81"/>
      <c r="N36" s="81"/>
      <c r="O36" s="81"/>
      <c r="P36" s="81"/>
      <c r="Q36" s="81"/>
      <c r="R36" s="81"/>
      <c r="S36" s="81"/>
      <c r="T36" s="81"/>
      <c r="U36" s="81"/>
      <c r="V36" s="81"/>
      <c r="W36" s="81"/>
      <c r="X36" s="81"/>
      <c r="Y36" s="81"/>
    </row>
    <row r="37" spans="1:25" ht="20" customHeight="1" x14ac:dyDescent="0.25">
      <c r="A37"/>
      <c r="D37" s="85"/>
      <c r="E37" s="85"/>
      <c r="F37" s="86"/>
      <c r="G37" s="83"/>
      <c r="H37" s="83"/>
      <c r="I37" s="87"/>
      <c r="J37" s="83"/>
      <c r="K37" s="84"/>
      <c r="L37" s="81"/>
      <c r="M37" s="81"/>
      <c r="N37" s="81"/>
      <c r="O37" s="81"/>
      <c r="P37" s="81"/>
      <c r="Q37" s="81"/>
      <c r="R37" s="81"/>
      <c r="S37" s="81"/>
      <c r="T37" s="81"/>
      <c r="U37" s="81"/>
      <c r="V37" s="81"/>
      <c r="W37" s="81"/>
      <c r="X37" s="81"/>
      <c r="Y37" s="81"/>
    </row>
    <row r="38" spans="1:25" ht="20" customHeight="1" x14ac:dyDescent="0.25">
      <c r="A38"/>
      <c r="D38" s="85"/>
      <c r="E38" s="85"/>
      <c r="F38" s="86"/>
      <c r="G38" s="83"/>
      <c r="H38" s="83"/>
      <c r="I38" s="87"/>
      <c r="J38" s="83"/>
      <c r="K38" s="84"/>
      <c r="L38" s="81"/>
      <c r="M38" s="81"/>
      <c r="N38" s="81"/>
      <c r="O38" s="81"/>
      <c r="P38" s="81"/>
      <c r="Q38" s="81"/>
      <c r="R38" s="81"/>
      <c r="S38" s="81"/>
      <c r="T38" s="81"/>
      <c r="U38" s="81"/>
      <c r="V38" s="81"/>
      <c r="W38" s="81"/>
      <c r="X38" s="81"/>
      <c r="Y38" s="81"/>
    </row>
    <row r="39" spans="1:25" ht="20" customHeight="1" x14ac:dyDescent="0.25">
      <c r="A39"/>
      <c r="D39" s="85"/>
      <c r="E39" s="85"/>
      <c r="F39" s="86"/>
      <c r="G39" s="83"/>
      <c r="H39" s="83"/>
      <c r="I39" s="87"/>
      <c r="J39" s="83"/>
      <c r="K39" s="84"/>
      <c r="L39" s="81"/>
      <c r="M39" s="81"/>
      <c r="N39" s="81"/>
      <c r="O39" s="81"/>
      <c r="P39" s="81"/>
      <c r="Q39" s="81"/>
      <c r="R39" s="81"/>
      <c r="S39" s="81"/>
      <c r="T39" s="81"/>
      <c r="U39" s="81"/>
      <c r="V39" s="81"/>
      <c r="W39" s="81"/>
      <c r="X39" s="81"/>
      <c r="Y39" s="81"/>
    </row>
    <row r="40" spans="1:25" ht="20" customHeight="1" x14ac:dyDescent="0.25">
      <c r="A40"/>
      <c r="D40" s="88"/>
      <c r="E40" s="88"/>
      <c r="F40" s="88"/>
      <c r="G40" s="89"/>
      <c r="H40" s="90"/>
      <c r="I40" s="90"/>
      <c r="J40" s="90"/>
      <c r="K40" s="90"/>
      <c r="L40" s="91"/>
      <c r="M40" s="91"/>
      <c r="N40" s="91"/>
      <c r="O40" s="91"/>
      <c r="P40" s="91"/>
      <c r="Q40" s="91"/>
      <c r="R40" s="91"/>
      <c r="S40" s="91"/>
      <c r="T40" s="91"/>
      <c r="U40" s="91"/>
      <c r="V40" s="91"/>
      <c r="W40" s="91"/>
      <c r="X40" s="91"/>
      <c r="Y40" s="91"/>
    </row>
    <row r="41" spans="1:25" ht="20" customHeight="1" x14ac:dyDescent="0.25">
      <c r="A41"/>
    </row>
    <row r="42" spans="1:25" ht="20" customHeight="1" x14ac:dyDescent="0.25">
      <c r="A42"/>
    </row>
    <row r="43" spans="1:25" ht="20" customHeight="1" x14ac:dyDescent="0.25">
      <c r="A43"/>
    </row>
    <row r="44" spans="1:25" ht="20" customHeight="1" x14ac:dyDescent="0.25">
      <c r="A44"/>
    </row>
    <row r="45" spans="1:25" ht="20" customHeight="1" x14ac:dyDescent="0.25">
      <c r="A45"/>
      <c r="D45" s="6"/>
    </row>
    <row r="46" spans="1:25" ht="20" customHeight="1" x14ac:dyDescent="0.25">
      <c r="A46"/>
      <c r="D46" s="6"/>
    </row>
    <row r="47" spans="1:25" ht="20" customHeight="1" x14ac:dyDescent="0.25">
      <c r="A47"/>
      <c r="D47" s="92"/>
      <c r="E47" s="92"/>
      <c r="F47" s="92"/>
      <c r="G47" s="92"/>
      <c r="H47" s="92"/>
    </row>
    <row r="48" spans="1:25" ht="20" customHeight="1" x14ac:dyDescent="0.25">
      <c r="A48"/>
      <c r="D48" s="93"/>
      <c r="E48" s="93"/>
      <c r="F48" s="94"/>
      <c r="G48" s="94"/>
      <c r="H48" s="93"/>
    </row>
    <row r="49" spans="1:8" ht="20" customHeight="1" x14ac:dyDescent="0.25">
      <c r="A49"/>
      <c r="D49" s="93"/>
      <c r="E49" s="93"/>
      <c r="F49" s="94"/>
      <c r="G49" s="94"/>
      <c r="H49" s="93"/>
    </row>
    <row r="50" spans="1:8" ht="20" customHeight="1" x14ac:dyDescent="0.25">
      <c r="A50"/>
      <c r="D50" s="93"/>
      <c r="E50" s="93"/>
      <c r="F50" s="94"/>
      <c r="G50" s="94"/>
      <c r="H50" s="93"/>
    </row>
    <row r="51" spans="1:8" ht="20" customHeight="1" x14ac:dyDescent="0.25">
      <c r="A51"/>
      <c r="D51" s="95"/>
      <c r="E51" s="96"/>
      <c r="F51" s="96"/>
      <c r="G51" s="96"/>
      <c r="H51" s="97"/>
    </row>
    <row r="52" spans="1:8" ht="20" customHeight="1" x14ac:dyDescent="0.25">
      <c r="A52"/>
    </row>
    <row r="53" spans="1:8" ht="20" customHeight="1" x14ac:dyDescent="0.25">
      <c r="A53"/>
    </row>
    <row r="54" spans="1:8" ht="20" customHeight="1" x14ac:dyDescent="0.25">
      <c r="A54"/>
      <c r="G54" s="98"/>
    </row>
    <row r="55" spans="1:8" ht="20" customHeight="1" x14ac:dyDescent="0.25">
      <c r="A55"/>
      <c r="D55" s="6"/>
    </row>
    <row r="56" spans="1:8" ht="20" customHeight="1" x14ac:dyDescent="0.25">
      <c r="A56"/>
    </row>
    <row r="57" spans="1:8" ht="20" customHeight="1" x14ac:dyDescent="0.25">
      <c r="A57"/>
      <c r="D57" s="17"/>
      <c r="F57" s="99"/>
    </row>
    <row r="58" spans="1:8" ht="20" customHeight="1" x14ac:dyDescent="0.25">
      <c r="A58"/>
      <c r="D58" s="1"/>
      <c r="E58" s="100"/>
    </row>
    <row r="59" spans="1:8" ht="20" customHeight="1" x14ac:dyDescent="0.25">
      <c r="A59"/>
      <c r="D59" s="1"/>
      <c r="E59" s="100"/>
    </row>
    <row r="60" spans="1:8" ht="20" customHeight="1" x14ac:dyDescent="0.25">
      <c r="A60"/>
      <c r="D60" s="1"/>
      <c r="E60" s="101"/>
    </row>
    <row r="61" spans="1:8" ht="20" customHeight="1" x14ac:dyDescent="0.25">
      <c r="A61"/>
      <c r="D61" s="1"/>
    </row>
    <row r="62" spans="1:8" ht="20" customHeight="1" x14ac:dyDescent="0.25">
      <c r="A62"/>
    </row>
    <row r="63" spans="1:8" ht="20" customHeight="1" x14ac:dyDescent="0.25">
      <c r="A63"/>
      <c r="D63" s="17"/>
    </row>
    <row r="64" spans="1:8" ht="20" customHeight="1" x14ac:dyDescent="0.25">
      <c r="A64"/>
      <c r="D64" s="1"/>
      <c r="E64" s="100"/>
    </row>
    <row r="65" spans="1:9" ht="20" customHeight="1" x14ac:dyDescent="0.25">
      <c r="A65"/>
      <c r="D65" s="1"/>
      <c r="E65" s="100"/>
    </row>
    <row r="66" spans="1:9" ht="20" customHeight="1" x14ac:dyDescent="0.25">
      <c r="A66"/>
      <c r="D66" s="1"/>
      <c r="E66" s="101"/>
    </row>
    <row r="67" spans="1:9" ht="20" customHeight="1" x14ac:dyDescent="0.25">
      <c r="A67"/>
    </row>
    <row r="68" spans="1:9" ht="20" customHeight="1" x14ac:dyDescent="0.25">
      <c r="A68"/>
    </row>
    <row r="69" spans="1:9" ht="20" customHeight="1" x14ac:dyDescent="0.25">
      <c r="A69"/>
      <c r="D69" s="102"/>
      <c r="E69" s="102"/>
      <c r="F69" s="102"/>
      <c r="G69" s="102"/>
      <c r="H69" s="102"/>
      <c r="I69" s="102"/>
    </row>
    <row r="70" spans="1:9" ht="20" customHeight="1" x14ac:dyDescent="0.25">
      <c r="A70"/>
      <c r="D70" s="102"/>
      <c r="E70" s="102"/>
      <c r="F70" s="102"/>
      <c r="G70" s="102"/>
      <c r="H70" s="102"/>
      <c r="I70" s="102"/>
    </row>
    <row r="71" spans="1:9" ht="20" customHeight="1" x14ac:dyDescent="0.25">
      <c r="A71"/>
      <c r="D71" s="102"/>
      <c r="E71" s="102"/>
      <c r="F71" s="102"/>
      <c r="G71" s="102"/>
      <c r="H71" s="102"/>
      <c r="I71" s="102"/>
    </row>
    <row r="72" spans="1:9" ht="20" customHeight="1" x14ac:dyDescent="0.25">
      <c r="A72"/>
      <c r="D72" s="102"/>
      <c r="E72" s="102"/>
      <c r="F72" s="102"/>
      <c r="G72" s="102"/>
      <c r="H72" s="102"/>
      <c r="I72" s="102"/>
    </row>
    <row r="73" spans="1:9" ht="20" customHeight="1" x14ac:dyDescent="0.25">
      <c r="A73"/>
    </row>
    <row r="74" spans="1:9" ht="20" customHeight="1" x14ac:dyDescent="0.25">
      <c r="A74"/>
    </row>
    <row r="75" spans="1:9" ht="20" customHeight="1" x14ac:dyDescent="0.25">
      <c r="A75"/>
    </row>
    <row r="76" spans="1:9" ht="20" customHeight="1" x14ac:dyDescent="0.25">
      <c r="A76"/>
    </row>
    <row r="77" spans="1:9" ht="20" customHeight="1" x14ac:dyDescent="0.25">
      <c r="A77"/>
    </row>
    <row r="78" spans="1:9" ht="20" customHeight="1" x14ac:dyDescent="0.25">
      <c r="A78"/>
      <c r="D78" s="103"/>
    </row>
    <row r="79" spans="1:9" ht="20" customHeight="1" x14ac:dyDescent="0.25">
      <c r="A79"/>
      <c r="D79" s="103"/>
    </row>
    <row r="80" spans="1:9" ht="20" customHeight="1" x14ac:dyDescent="0.25">
      <c r="A80"/>
      <c r="D80" s="103"/>
    </row>
    <row r="81" spans="1:4" ht="20" customHeight="1" x14ac:dyDescent="0.25">
      <c r="A81"/>
      <c r="D81" s="103"/>
    </row>
    <row r="82" spans="1:4" ht="20" customHeight="1" x14ac:dyDescent="0.25">
      <c r="A82"/>
      <c r="D82" s="103"/>
    </row>
    <row r="83" spans="1:4" ht="20" customHeight="1" x14ac:dyDescent="0.25">
      <c r="A83"/>
    </row>
    <row r="84" spans="1:4" ht="20" customHeight="1" x14ac:dyDescent="0.25">
      <c r="A84"/>
    </row>
    <row r="85" spans="1:4" ht="20" customHeight="1" x14ac:dyDescent="0.25">
      <c r="A85"/>
    </row>
    <row r="86" spans="1:4" ht="20" customHeight="1" x14ac:dyDescent="0.25">
      <c r="A86"/>
    </row>
    <row r="87" spans="1:4" ht="20" customHeight="1" x14ac:dyDescent="0.25">
      <c r="A87"/>
    </row>
    <row r="88" spans="1:4" ht="20" customHeight="1" x14ac:dyDescent="0.25">
      <c r="A88"/>
    </row>
    <row r="89" spans="1:4" ht="20" customHeight="1" x14ac:dyDescent="0.25">
      <c r="A89"/>
    </row>
    <row r="90" spans="1:4" ht="20" customHeight="1" x14ac:dyDescent="0.25">
      <c r="A90"/>
    </row>
    <row r="91" spans="1:4" ht="20" customHeight="1" x14ac:dyDescent="0.25">
      <c r="A91"/>
    </row>
    <row r="92" spans="1:4" ht="20" customHeight="1" x14ac:dyDescent="0.25">
      <c r="A92"/>
    </row>
    <row r="93" spans="1:4" ht="20" customHeight="1" x14ac:dyDescent="0.25">
      <c r="A93"/>
    </row>
    <row r="94" spans="1:4" ht="20" customHeight="1" x14ac:dyDescent="0.25">
      <c r="A94"/>
    </row>
    <row r="95" spans="1:4" ht="20" customHeight="1" x14ac:dyDescent="0.25">
      <c r="A95"/>
    </row>
    <row r="96" spans="1:4" ht="20" customHeight="1" x14ac:dyDescent="0.25">
      <c r="A96"/>
    </row>
    <row r="97" spans="1:1" ht="20" customHeight="1" x14ac:dyDescent="0.25">
      <c r="A97"/>
    </row>
    <row r="98" spans="1:1" ht="20" customHeight="1" x14ac:dyDescent="0.25">
      <c r="A98"/>
    </row>
    <row r="99" spans="1:1" ht="20" customHeight="1" x14ac:dyDescent="0.25">
      <c r="A99"/>
    </row>
    <row r="100" spans="1:1" ht="20" customHeight="1" x14ac:dyDescent="0.25">
      <c r="A100"/>
    </row>
    <row r="101" spans="1:1" ht="20" customHeight="1" x14ac:dyDescent="0.25">
      <c r="A101"/>
    </row>
    <row r="102" spans="1:1" ht="20" customHeight="1" x14ac:dyDescent="0.25">
      <c r="A102"/>
    </row>
    <row r="103" spans="1:1" ht="20" customHeight="1" x14ac:dyDescent="0.25">
      <c r="A103"/>
    </row>
    <row r="104" spans="1:1" ht="20" customHeight="1" x14ac:dyDescent="0.25">
      <c r="A104"/>
    </row>
    <row r="105" spans="1:1" ht="20" customHeight="1" x14ac:dyDescent="0.25">
      <c r="A105"/>
    </row>
    <row r="106" spans="1:1" ht="20" customHeight="1" x14ac:dyDescent="0.25">
      <c r="A106"/>
    </row>
    <row r="107" spans="1:1" ht="20" customHeight="1" x14ac:dyDescent="0.25">
      <c r="A107"/>
    </row>
    <row r="108" spans="1:1" ht="20" customHeight="1" x14ac:dyDescent="0.25">
      <c r="A108"/>
    </row>
    <row r="109" spans="1:1" ht="20" customHeight="1" x14ac:dyDescent="0.25">
      <c r="A109"/>
    </row>
    <row r="110" spans="1:1" ht="20" customHeight="1" x14ac:dyDescent="0.25">
      <c r="A110"/>
    </row>
    <row r="111" spans="1:1" ht="20" customHeight="1" x14ac:dyDescent="0.25">
      <c r="A111"/>
    </row>
    <row r="112" spans="1:1" ht="20" customHeight="1" x14ac:dyDescent="0.25">
      <c r="A112"/>
    </row>
    <row r="113" spans="1:1" ht="20" customHeight="1" x14ac:dyDescent="0.25">
      <c r="A113"/>
    </row>
    <row r="114" spans="1:1" ht="20" customHeight="1" x14ac:dyDescent="0.25">
      <c r="A114"/>
    </row>
    <row r="115" spans="1:1" ht="20" customHeight="1" x14ac:dyDescent="0.25">
      <c r="A115"/>
    </row>
    <row r="116" spans="1:1" x14ac:dyDescent="0.25" ht="20" customHeight="1">
      <c r="A116"/>
    </row>
    <row r="117" spans="1:1" x14ac:dyDescent="0.25" ht="20" customHeight="1">
      <c r="A117"/>
    </row>
    <row r="118" spans="1:1" x14ac:dyDescent="0.25" ht="20" customHeight="1">
      <c r="A118"/>
    </row>
    <row r="119" spans="1:1" x14ac:dyDescent="0.25" ht="20" customHeight="1">
      <c r="A119"/>
    </row>
    <row r="120" spans="1:1" x14ac:dyDescent="0.25" ht="20" customHeight="1">
      <c r="A120"/>
    </row>
    <row r="121" spans="1:1" x14ac:dyDescent="0.25" ht="20" customHeight="1">
      <c r="A121"/>
    </row>
    <row r="122" spans="1:1" x14ac:dyDescent="0.25" ht="20" customHeight="1">
      <c r="A122"/>
    </row>
    <row r="123" spans="1:1" x14ac:dyDescent="0.25" ht="20" customHeight="1">
      <c r="A123"/>
    </row>
    <row r="124" spans="1:1" x14ac:dyDescent="0.25" ht="20" customHeight="1">
      <c r="A124"/>
    </row>
    <row r="125" spans="1:1" x14ac:dyDescent="0.25" ht="20" customHeight="1">
      <c r="A125"/>
    </row>
    <row r="126" spans="1:1" x14ac:dyDescent="0.25" ht="20" customHeight="1">
      <c r="A126"/>
    </row>
    <row r="127" spans="1:1" x14ac:dyDescent="0.25" ht="20" customHeight="1">
      <c r="A127"/>
    </row>
    <row r="128" spans="1:1" x14ac:dyDescent="0.25" ht="20" customHeight="1">
      <c r="A128"/>
    </row>
    <row r="129" spans="1:1" x14ac:dyDescent="0.25" ht="20" customHeight="1">
      <c r="A129"/>
    </row>
    <row r="130" spans="1:1" x14ac:dyDescent="0.25" ht="20" customHeight="1">
      <c r="A130"/>
    </row>
    <row r="131" spans="1:1" x14ac:dyDescent="0.25" ht="20" customHeight="1">
      <c r="A131"/>
    </row>
    <row r="132" spans="1:1" x14ac:dyDescent="0.25" ht="20" customHeight="1">
      <c r="A132"/>
    </row>
    <row r="133" spans="1:1" x14ac:dyDescent="0.25" ht="20" customHeight="1">
      <c r="A133"/>
    </row>
    <row r="134" spans="1:1" x14ac:dyDescent="0.25" ht="20" customHeight="1">
      <c r="A134"/>
    </row>
    <row r="135" spans="1:1" x14ac:dyDescent="0.25" ht="20" customHeight="1">
      <c r="A135"/>
    </row>
    <row r="136" spans="1:1" x14ac:dyDescent="0.25" ht="20" customHeight="1">
      <c r="A136"/>
    </row>
    <row r="137" spans="1:1" x14ac:dyDescent="0.25" ht="20" customHeight="1">
      <c r="A137"/>
    </row>
    <row r="138" spans="1:1" x14ac:dyDescent="0.25" ht="20" customHeight="1">
      <c r="A138"/>
    </row>
    <row r="139" spans="1:1" x14ac:dyDescent="0.25" ht="20" customHeight="1">
      <c r="A139"/>
    </row>
    <row r="140" spans="1:1" x14ac:dyDescent="0.25" ht="20" customHeight="1">
      <c r="A140"/>
    </row>
    <row r="141" spans="1:1" x14ac:dyDescent="0.25" ht="20" customHeight="1">
      <c r="A141"/>
    </row>
    <row r="142" spans="1:1" x14ac:dyDescent="0.25" ht="20" customHeight="1">
      <c r="A142"/>
    </row>
    <row r="143" spans="1:1" x14ac:dyDescent="0.25" ht="20" customHeight="1">
      <c r="A143"/>
    </row>
    <row r="144" spans="1:1" x14ac:dyDescent="0.25" ht="20" customHeight="1">
      <c r="A144"/>
    </row>
    <row r="145" spans="1:1" x14ac:dyDescent="0.25" ht="20" customHeight="1">
      <c r="A145"/>
    </row>
    <row r="146" spans="1:1" x14ac:dyDescent="0.25" ht="20" customHeight="1">
      <c r="A146"/>
    </row>
    <row r="147" spans="1:1" x14ac:dyDescent="0.25" ht="20" customHeight="1">
      <c r="A147"/>
    </row>
    <row r="148" spans="1:1" x14ac:dyDescent="0.25" ht="20" customHeight="1">
      <c r="A148"/>
    </row>
    <row r="149" spans="1:1" x14ac:dyDescent="0.25" ht="20" customHeight="1">
      <c r="A149"/>
    </row>
    <row r="150" spans="1:1" x14ac:dyDescent="0.25" ht="20" customHeight="1">
      <c r="A150"/>
    </row>
    <row r="151" spans="1:1" x14ac:dyDescent="0.25" ht="20" customHeight="1">
      <c r="A151"/>
    </row>
    <row r="152" spans="1:1" x14ac:dyDescent="0.25" ht="20" customHeight="1">
      <c r="A152"/>
    </row>
    <row r="153" spans="1:1" x14ac:dyDescent="0.25" ht="20" customHeight="1">
      <c r="A153"/>
    </row>
    <row r="154" spans="1:1" x14ac:dyDescent="0.25" ht="20" customHeight="1">
      <c r="A154"/>
    </row>
    <row r="155" spans="1:1" x14ac:dyDescent="0.25" ht="20" customHeight="1">
      <c r="A155"/>
    </row>
    <row r="156" spans="1:1" x14ac:dyDescent="0.25" ht="20" customHeight="1">
      <c r="A156"/>
    </row>
    <row r="157" spans="1:1" x14ac:dyDescent="0.25" ht="20" customHeight="1">
      <c r="A157"/>
    </row>
    <row r="158" spans="1:1" x14ac:dyDescent="0.25" ht="20" customHeight="1">
      <c r="A158"/>
    </row>
    <row r="159" spans="1:1" x14ac:dyDescent="0.25" ht="20" customHeight="1">
      <c r="A159"/>
    </row>
    <row r="160" spans="1:1" x14ac:dyDescent="0.25" ht="20" customHeight="1">
      <c r="A160"/>
    </row>
  </sheetData>
  <dataValidations count="3">
    <dataValidation type="list" allowBlank="1" showInputMessage="1" showErrorMessage="1" sqref="G36:G39" xr:uid="{92F83646-3518-44E0-B69D-E0461390DD13}">
      <formula1>$D$41:$D$43</formula1>
    </dataValidation>
    <dataValidation type="list" allowBlank="1" showInputMessage="1" showErrorMessage="1" sqref="E22" xr:uid="{8B677323-0766-4604-A0A2-097C1F77247C}">
      <formula1>INDIRECT("Table_WASA4Areas[SA 4 Name]")</formula1>
    </dataValidation>
    <dataValidation type="list" allowBlank="1" showInputMessage="1" showErrorMessage="1" sqref="E21" xr:uid="{C7D2CF73-36D5-4029-BDED-E084621F6406}">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L365"/>
  <sheetViews>
    <sheetView showGridLines="0" topLeftCell="A24"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32" customFormat="1" ht="30" customHeight="1" x14ac:dyDescent="0.35">
      <c r="A1" s="32" t="e" vm="1">
        <v>#VALUE!</v>
      </c>
      <c r="C1" s="32" t="s">
        <v>85</v>
      </c>
    </row>
    <row r="2" spans="1:10" s="9" customFormat="1" ht="20" customHeight="1" x14ac:dyDescent="0.25">
      <c r="A2"/>
    </row>
    <row r="3" spans="1:10" ht="20" customHeight="1" x14ac:dyDescent="0.25">
      <c r="A3" s="14" t="str">
        <f>HYPERLINK("#'Home'!A1", "Home")</f>
        <v>Home</v>
      </c>
      <c r="C3" s="12"/>
      <c r="D3" s="12"/>
      <c r="E3" s="12"/>
      <c r="F3" s="12"/>
      <c r="G3" s="12"/>
      <c r="H3" s="12"/>
      <c r="I3" s="12"/>
      <c r="J3" s="12"/>
    </row>
    <row r="4" spans="1:10" ht="20" customHeight="1" x14ac:dyDescent="0.25">
      <c r="A4" s="14" t="str">
        <f>HYPERLINK("#'Overview'!A1", "Overview")</f>
        <v>Overview</v>
      </c>
    </row>
    <row r="5" spans="1:10" ht="20" customHeight="1" x14ac:dyDescent="0.25">
      <c r="A5" s="14" t="str">
        <f>HYPERLINK("#'Results'!A1", "Results")</f>
        <v>Results</v>
      </c>
      <c r="D5" s="1" t="s">
        <v>154</v>
      </c>
      <c r="E5" s="27" t="s">
        <v>155</v>
      </c>
      <c r="F5" s="2" t="s">
        <v>93</v>
      </c>
    </row>
    <row r="6" spans="1:10" ht="20" customHeight="1" x14ac:dyDescent="0.25">
      <c r="E6" s="38" t="str">
        <f>IF(X_Cell_Electricity_CalculationMethod="Location-based (simpler)", "Complete the fields in the Location-based section", "Complete the fields in the Market-based section")</f>
        <v>Complete the fields in the Location-based section</v>
      </c>
    </row>
    <row r="7" spans="1:10" ht="20" customHeight="1" x14ac:dyDescent="0.25"/>
    <row r="8" spans="1:10" ht="20" customHeight="1" x14ac:dyDescent="0.25">
      <c r="A8" s="16" t="s">
        <v>0</v>
      </c>
      <c r="C8" s="105"/>
      <c r="D8" s="105"/>
      <c r="E8" s="105"/>
      <c r="F8" s="105"/>
      <c r="G8" s="105"/>
      <c r="H8" s="105"/>
      <c r="I8" s="105"/>
      <c r="J8" s="105"/>
    </row>
    <row r="9" spans="1:10" ht="20" customHeight="1" x14ac:dyDescent="0.25">
      <c r="A9" s="14" t="str">
        <f>HYPERLINK("#'Input - Site'!A1", "Site")</f>
        <v>Site</v>
      </c>
      <c r="D9" s="6" t="s">
        <v>134</v>
      </c>
    </row>
    <row r="10" spans="1:10" ht="20" customHeight="1" x14ac:dyDescent="0.25">
      <c r="A10" s="42" t="str">
        <f>HYPERLINK("#'Input - Electricity'!A1", "Electricity")</f>
        <v>Electricity</v>
      </c>
    </row>
    <row r="11" spans="1:10" ht="20" customHeight="1" x14ac:dyDescent="0.25">
      <c r="D11" s="59" t="s">
        <v>86</v>
      </c>
    </row>
    <row r="12" spans="1:10" ht="20" customHeight="1" x14ac:dyDescent="0.25"/>
    <row r="13" spans="1:10" ht="20" customHeight="1" x14ac:dyDescent="0.25">
      <c r="A13" s="15" t="s">
        <v>44</v>
      </c>
      <c r="D13" s="60" t="s">
        <v>87</v>
      </c>
      <c r="E13" s="61"/>
      <c r="F13" s="18"/>
    </row>
    <row r="14" spans="1:10" ht="20" customHeight="1" x14ac:dyDescent="0.25">
      <c r="A14" s="14" t="str">
        <f>HYPERLINK("#'14.1.1-2 Purchased electricity'!A1", "14.1.1-2 Purchased electricity")</f>
        <v>14.1.1-2 Purchased electricity</v>
      </c>
      <c r="D14" s="18"/>
      <c r="E14" s="18"/>
      <c r="F14" s="18"/>
    </row>
    <row r="15" spans="1:10" ht="20" customHeight="1" x14ac:dyDescent="0.25">
      <c r="D15" s="1" t="s">
        <v>88</v>
      </c>
      <c r="E15" s="62">
        <v>30000</v>
      </c>
      <c r="F15" s="2" t="s">
        <v>89</v>
      </c>
    </row>
    <row r="16" spans="1:10" ht="20" customHeight="1" x14ac:dyDescent="0.25">
      <c r="D16" s="1" t="s">
        <v>90</v>
      </c>
      <c r="E16" s="28" t="str">
        <f>IF(X_Cell_Site_State="Western Australia", X_Cell_Site_Region, X_Cell_Site_State)</f>
        <v>Western Australia - Outback (South)</v>
      </c>
      <c r="F16" s="18"/>
    </row>
    <row r="17" spans="1:11" ht="20" customHeight="1" x14ac:dyDescent="0.25">
      <c r="A17" s="119" t="s">
        <v>1</v>
      </c>
      <c r="D17" s="1" t="s">
        <v>91</v>
      </c>
      <c r="E17" s="27" t="s">
        <v>92</v>
      </c>
      <c r="F17" s="2" t="s">
        <v>93</v>
      </c>
    </row>
    <row r="18" spans="1:11" ht="20" customHeight="1" x14ac:dyDescent="0.25">
      <c r="A18" s="14" t="str">
        <f>HYPERLINK("#'Constants - Electricity'!A1", "Constants - Electricity")</f>
        <v>Constants - Electricity</v>
      </c>
    </row>
    <row r="19" spans="1:11" ht="20" customHeight="1" x14ac:dyDescent="0.25">
      <c r="A19" s="14" t="str">
        <f>HYPERLINK("#'Constants - Common'!A1", "Constants - Common")</f>
        <v>Constants - Common</v>
      </c>
    </row>
    <row r="20" spans="1:11" ht="20" customHeight="1" x14ac:dyDescent="0.25">
      <c r="C20" s="105"/>
      <c r="D20" s="105"/>
      <c r="E20" s="105"/>
      <c r="F20" s="105"/>
      <c r="G20" s="105"/>
      <c r="H20" s="105"/>
      <c r="I20" s="105"/>
      <c r="J20" s="105"/>
    </row>
    <row r="21" spans="1:11" ht="20" customHeight="1" x14ac:dyDescent="0.25">
      <c r="D21" s="6" t="s">
        <v>135</v>
      </c>
    </row>
    <row r="22" spans="1:11" ht="20" customHeight="1" x14ac:dyDescent="0.25">
      <c r="E22" s="38" t="str">
        <f>IF(E16="ACT", "", "ALERT: Your farm is not in the ACT, so the JRPP is not applicable")</f>
        <v>ALERT: Your farm is not in the ACT, so the JRPP is not applicable</v>
      </c>
    </row>
    <row r="23" spans="1:11" ht="20" customHeight="1" x14ac:dyDescent="0.25">
      <c r="D23" s="1" t="s">
        <v>128</v>
      </c>
      <c r="E23" s="62">
        <v>30000</v>
      </c>
      <c r="F23" s="2" t="s">
        <v>89</v>
      </c>
    </row>
    <row r="24" spans="1:11" ht="20" customHeight="1" x14ac:dyDescent="0.25">
      <c r="D24" s="1" t="s">
        <v>118</v>
      </c>
      <c r="E24" s="108">
        <v>0.1</v>
      </c>
      <c r="F24" s="2" t="s">
        <v>119</v>
      </c>
    </row>
    <row r="25" spans="1:11" ht="20" customHeight="1" x14ac:dyDescent="0.25">
      <c r="D25" s="1" t="s">
        <v>120</v>
      </c>
      <c r="E25" s="108">
        <v>0.1</v>
      </c>
      <c r="F25" s="2" t="s">
        <v>119</v>
      </c>
    </row>
    <row r="26" spans="1:11" ht="20" customHeight="1" x14ac:dyDescent="0.25"/>
    <row r="27" spans="1:11" ht="20" customHeight="1" x14ac:dyDescent="0.25">
      <c r="D27" s="1" t="s">
        <v>127</v>
      </c>
      <c r="E27" s="62">
        <v>10000</v>
      </c>
      <c r="F27" s="2" t="s">
        <v>89</v>
      </c>
    </row>
    <row r="28" spans="1:11" ht="20" customHeight="1" x14ac:dyDescent="0.25"/>
    <row r="29" spans="1:11" ht="20" customHeight="1" x14ac:dyDescent="0.25">
      <c r="D29" s="1" t="s">
        <v>141</v>
      </c>
      <c r="E29" s="112" t="str">
        <f>TEXT(X_Cell_Site_StartDate, "dd mmm yyyy")</f>
        <v>01 Jan 2024</v>
      </c>
      <c r="K29" s="47"/>
    </row>
    <row r="30" spans="1:11" ht="20" customHeight="1" x14ac:dyDescent="0.25">
      <c r="D30" s="1" t="s">
        <v>126</v>
      </c>
      <c r="E30" s="112" t="str">
        <f>TEXT(X_Cell_Site_EndDate, "dd mmm yyyy")</f>
        <v>31 Dec 2024</v>
      </c>
      <c r="K30" s="47"/>
    </row>
    <row r="31" spans="1:11" ht="20" customHeight="1" x14ac:dyDescent="0.25">
      <c r="K31" s="47"/>
    </row>
    <row r="32" spans="1:11" ht="20" customHeight="1" x14ac:dyDescent="0.25">
      <c r="D32" s="59" t="s">
        <v>125</v>
      </c>
      <c r="K32" s="47"/>
    </row>
    <row r="33" spans="1:12" ht="20" customHeight="1" x14ac:dyDescent="0.25">
      <c r="K33" s="47"/>
    </row>
    <row r="34" spans="1:12" ht="20" customHeight="1" x14ac:dyDescent="0.25">
      <c r="D34" s="60" t="s">
        <v>149</v>
      </c>
      <c r="E34" s="61"/>
      <c r="K34" s="47"/>
    </row>
    <row r="35" spans="1:12" ht="20" customHeight="1" x14ac:dyDescent="0.25"/>
    <row r="36" spans="1:12" ht="20" customHeight="1" x14ac:dyDescent="0.25">
      <c r="D36" s="110" t="s">
        <v>122</v>
      </c>
      <c r="E36" s="110" t="s">
        <v>131</v>
      </c>
      <c r="F36" s="110" t="s">
        <v>123</v>
      </c>
      <c r="G36" s="110" t="s">
        <v>124</v>
      </c>
      <c r="H36" s="110" t="s">
        <v>121</v>
      </c>
      <c r="I36" s="110" t="s">
        <v>142</v>
      </c>
      <c r="L36" s="47"/>
    </row>
    <row r="37" spans="1:12" ht="20" customHeight="1" x14ac:dyDescent="0.25">
      <c r="D37" s="26" t="s">
        <v>153</v>
      </c>
      <c r="E37" s="27" t="s">
        <v>132</v>
      </c>
      <c r="F37" s="111">
        <v>44185</v>
      </c>
      <c r="G37" s="26">
        <v>12</v>
      </c>
      <c r="H37" s="28">
        <f>Table_Input_RECSurrendered[[#This Row],[Number of certificates]]</f>
        <v>12</v>
      </c>
      <c r="I37" s="28" t="str">
        <f>IF(DATEDIF(Table_Input_RECSurrendered[[#This Row],[Generation date]],DATEVALUE($E$30),"M")&gt;36,"Ineligible - older than 36 months","Elegible")</f>
        <v>Ineligible - older than 36 months</v>
      </c>
      <c r="L37" s="47"/>
    </row>
    <row r="38" spans="1:12" ht="20" customHeight="1" x14ac:dyDescent="0.25">
      <c r="D38" s="26" t="s">
        <v>150</v>
      </c>
      <c r="E38" s="27" t="s">
        <v>133</v>
      </c>
      <c r="F38" s="111">
        <v>44575</v>
      </c>
      <c r="G38" s="26">
        <v>5</v>
      </c>
      <c r="H38" s="28">
        <f>Table_Input_RECSurrendered[[#This Row],[Number of certificates]]</f>
        <v>5</v>
      </c>
      <c r="I38" s="28" t="str">
        <f>IF(DATEDIF(Table_Input_RECSurrendered[[#This Row],[Generation date]],DATEVALUE($E$30),"M")&gt;36,"Ineligible - older than 36 months","Elegible")</f>
        <v>Elegible</v>
      </c>
    </row>
    <row r="39" spans="1:12" ht="20" customHeight="1" x14ac:dyDescent="0.25">
      <c r="D39" s="26" t="s">
        <v>151</v>
      </c>
      <c r="E39" s="27" t="s">
        <v>132</v>
      </c>
      <c r="F39" s="111">
        <v>45438</v>
      </c>
      <c r="G39" s="26">
        <v>5</v>
      </c>
      <c r="H39" s="28">
        <f>Table_Input_RECSurrendered[[#This Row],[Number of certificates]]</f>
        <v>5</v>
      </c>
      <c r="I39" s="28" t="str">
        <f>IF(DATEDIF(Table_Input_RECSurrendered[[#This Row],[Generation date]],DATEVALUE($E$30),"M")&gt;36,"Ineligible - older than 36 months","Elegible")</f>
        <v>Elegible</v>
      </c>
    </row>
    <row r="40" spans="1:12" s="47" customFormat="1" ht="20" customHeight="1" x14ac:dyDescent="0.25">
      <c r="A40"/>
      <c r="C40" s="1"/>
      <c r="D40" s="1"/>
      <c r="E40" s="1"/>
      <c r="F40" s="1"/>
      <c r="G40" s="1"/>
      <c r="H40" s="1"/>
      <c r="I40" s="1"/>
      <c r="J40" s="1"/>
    </row>
    <row r="41" spans="1:12" s="47" customFormat="1" ht="20" customHeight="1" x14ac:dyDescent="0.25">
      <c r="A41"/>
      <c r="C41" s="1"/>
      <c r="D41" s="1" t="s">
        <v>143</v>
      </c>
      <c r="E41" s="28">
        <f>SUMIF(Table_Input_RECSurrendered[Elegibility], "Elegible", Table_Input_RECSurrendered[MWh])</f>
        <v>10</v>
      </c>
      <c r="F41" s="2" t="s">
        <v>121</v>
      </c>
      <c r="G41" s="1"/>
      <c r="H41" s="1"/>
      <c r="I41" s="1"/>
      <c r="J41" s="1"/>
      <c r="L41" s="47" t="s">
        <v>84</v>
      </c>
    </row>
    <row r="42" spans="1:12" ht="20" customHeight="1" x14ac:dyDescent="0.25">
      <c r="C42" s="46"/>
    </row>
    <row r="43" spans="1:12" ht="20" customHeight="1" x14ac:dyDescent="0.25">
      <c r="C43" s="46"/>
      <c r="D43" s="59" t="s">
        <v>129</v>
      </c>
      <c r="J43" s="46"/>
    </row>
    <row r="44" spans="1:12" ht="20" customHeight="1" x14ac:dyDescent="0.25"/>
    <row r="45" spans="1:12" ht="20" customHeight="1" x14ac:dyDescent="0.25">
      <c r="D45" s="110" t="s">
        <v>122</v>
      </c>
      <c r="E45" s="110" t="s">
        <v>130</v>
      </c>
      <c r="F45" s="110" t="s">
        <v>123</v>
      </c>
      <c r="G45" s="110" t="s">
        <v>124</v>
      </c>
      <c r="H45" s="110" t="s">
        <v>121</v>
      </c>
      <c r="I45" s="110" t="s">
        <v>142</v>
      </c>
    </row>
    <row r="46" spans="1:12" ht="20" customHeight="1" x14ac:dyDescent="0.25">
      <c r="D46" s="26" t="s">
        <v>140</v>
      </c>
      <c r="E46" s="113" t="str">
        <f>"Issued for generated electricity"</f>
        <v>Issued for generated electricity</v>
      </c>
      <c r="F46" s="111">
        <v>44697</v>
      </c>
      <c r="G46" s="26">
        <v>10</v>
      </c>
      <c r="H46" s="28">
        <f>Table_Input_RECConsumedByEntity[[#This Row],[Number of certificates]]</f>
        <v>10</v>
      </c>
      <c r="I46" s="28" t="str">
        <f>IF(AND(Table_Input_RECConsumedByEntity[[#This Row],[Generation date]]&gt;=DATEVALUE($E$29), Table_Input_RECConsumedByEntity[[#This Row],[Generation date]]&lt;= DATEVALUE($E$30)), "Elegible", "Ineligible - outside reporting year")</f>
        <v>Ineligible - outside reporting year</v>
      </c>
    </row>
    <row r="47" spans="1:12" ht="20" customHeight="1" x14ac:dyDescent="0.25">
      <c r="D47" s="26" t="s">
        <v>152</v>
      </c>
      <c r="E47" s="113" t="str">
        <f>"Issued for generated electricity"</f>
        <v>Issued for generated electricity</v>
      </c>
      <c r="F47" s="111">
        <v>45483</v>
      </c>
      <c r="G47" s="26">
        <v>4</v>
      </c>
      <c r="H47" s="28">
        <f>Table_Input_RECConsumedByEntity[[#This Row],[Number of certificates]]</f>
        <v>4</v>
      </c>
      <c r="I47" s="28" t="str">
        <f>IF(AND(Table_Input_RECConsumedByEntity[[#This Row],[Generation date]]&gt;=DATEVALUE($E$29), Table_Input_RECConsumedByEntity[[#This Row],[Generation date]]&lt;= DATEVALUE($E$30)), "Elegible", "Ineligible - outside reporting year")</f>
        <v>Elegible</v>
      </c>
    </row>
    <row r="48" spans="1:12" ht="20" customHeight="1" x14ac:dyDescent="0.25">
      <c r="D48" s="118">
        <v>45597</v>
      </c>
      <c r="E48" s="113" t="str">
        <f>"Issued for generated electricity"</f>
        <v>Issued for generated electricity</v>
      </c>
      <c r="F48" s="111">
        <v>45607</v>
      </c>
      <c r="G48" s="26">
        <v>7</v>
      </c>
      <c r="H48" s="28">
        <f>Table_Input_RECConsumedByEntity[[#This Row],[Number of certificates]]</f>
        <v>7</v>
      </c>
      <c r="I48" s="28" t="str">
        <f>IF(AND(Table_Input_RECConsumedByEntity[[#This Row],[Generation date]]&gt;=DATEVALUE($E$29), Table_Input_RECConsumedByEntity[[#This Row],[Generation date]]&lt;= DATEVALUE($E$30)), "Elegible", "Ineligible - outside reporting year")</f>
        <v>Elegible</v>
      </c>
    </row>
    <row r="49" spans="4:6" ht="20" customHeight="1" x14ac:dyDescent="0.25"/>
    <row r="50" spans="4:6" ht="20" customHeight="1" x14ac:dyDescent="0.25">
      <c r="D50" s="1" t="s">
        <v>144</v>
      </c>
      <c r="E50" s="28">
        <f>SUMIF(Table_Input_RECConsumedByEntity[Elegibility], "Elegible", Table_Input_RECConsumedByEntity[Number of certificates])</f>
        <v>11</v>
      </c>
      <c r="F50" s="2" t="s">
        <v>121</v>
      </c>
    </row>
    <row r="51" spans="4:6" ht="20" customHeight="1" x14ac:dyDescent="0.25"/>
    <row r="52" spans="4:6" ht="20" customHeight="1" x14ac:dyDescent="0.25"/>
    <row r="53" spans="4:6" ht="20" customHeight="1" x14ac:dyDescent="0.25"/>
    <row r="54" spans="4:6" ht="20" customHeight="1" x14ac:dyDescent="0.25"/>
    <row r="55" spans="4:6" ht="20" customHeight="1" x14ac:dyDescent="0.25">
      <c r="D55" s="109"/>
    </row>
    <row r="56" spans="4:6" ht="20" customHeight="1" x14ac:dyDescent="0.25">
      <c r="D56" s="109"/>
    </row>
    <row r="57" spans="4:6" ht="20" customHeight="1" x14ac:dyDescent="0.25"/>
    <row r="58" spans="4:6" ht="20" customHeight="1" x14ac:dyDescent="0.25"/>
    <row r="59" spans="4:6" ht="20" customHeight="1" x14ac:dyDescent="0.25"/>
    <row r="60" spans="4:6" ht="20" customHeight="1" x14ac:dyDescent="0.25"/>
    <row r="61" spans="4:6" ht="20" customHeight="1" x14ac:dyDescent="0.25"/>
    <row r="62" spans="4:6" ht="20" customHeight="1" x14ac:dyDescent="0.25"/>
    <row r="63" spans="4:6" ht="20" customHeight="1" x14ac:dyDescent="0.25"/>
    <row r="64" spans="4:6"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365" spans="4:4" x14ac:dyDescent="0.25" ht="20" customHeight="1">
      <c r="D365" s="38"/>
    </row>
  </sheetData>
  <conditionalFormatting sqref="F130:F131">
    <cfRule type="cellIs" dxfId="16" priority="21" operator="lessThan">
      <formula>0</formula>
    </cfRule>
  </conditionalFormatting>
  <conditionalFormatting sqref="F142:F143">
    <cfRule type="cellIs" dxfId="15" priority="20" operator="lessThan">
      <formula>0</formula>
    </cfRule>
  </conditionalFormatting>
  <conditionalFormatting sqref="F154:F155">
    <cfRule type="cellIs" dxfId="14" priority="19" operator="lessThan">
      <formula>0</formula>
    </cfRule>
  </conditionalFormatting>
  <conditionalFormatting sqref="F166:F167">
    <cfRule type="cellIs" dxfId="13" priority="18" operator="lessThan">
      <formula>0</formula>
    </cfRule>
  </conditionalFormatting>
  <conditionalFormatting sqref="F254:F255">
    <cfRule type="cellIs" dxfId="12" priority="93" operator="lessThan">
      <formula>0</formula>
    </cfRule>
  </conditionalFormatting>
  <conditionalFormatting sqref="F259:F260">
    <cfRule type="cellIs" dxfId="11" priority="92" operator="lessThan">
      <formula>0</formula>
    </cfRule>
  </conditionalFormatting>
  <conditionalFormatting sqref="F264:F265">
    <cfRule type="cellIs" dxfId="10" priority="91" operator="lessThan">
      <formula>0</formula>
    </cfRule>
  </conditionalFormatting>
  <conditionalFormatting sqref="F288:F289">
    <cfRule type="cellIs" dxfId="9" priority="85" operator="lessThan">
      <formula>0</formula>
    </cfRule>
  </conditionalFormatting>
  <conditionalFormatting sqref="F293:F294">
    <cfRule type="cellIs" dxfId="8" priority="84" operator="lessThan">
      <formula>0</formula>
    </cfRule>
  </conditionalFormatting>
  <conditionalFormatting sqref="F298:F299">
    <cfRule type="cellIs" dxfId="7" priority="83" operator="lessThan">
      <formula>0</formula>
    </cfRule>
  </conditionalFormatting>
  <conditionalFormatting sqref="I59:I63">
    <cfRule type="cellIs" dxfId="6" priority="5" operator="lessThan">
      <formula>0</formula>
    </cfRule>
  </conditionalFormatting>
  <conditionalFormatting sqref="I67 I126">
    <cfRule type="cellIs" dxfId="5" priority="74" operator="lessThan">
      <formula>0</formula>
    </cfRule>
  </conditionalFormatting>
  <conditionalFormatting sqref="I78:I80">
    <cfRule type="cellIs" dxfId="4" priority="4" operator="lessThan">
      <formula>0</formula>
    </cfRule>
  </conditionalFormatting>
  <conditionalFormatting sqref="I84:I87">
    <cfRule type="cellIs" dxfId="3" priority="3" operator="lessThan">
      <formula>0</formula>
    </cfRule>
  </conditionalFormatting>
  <conditionalFormatting sqref="I91:I95">
    <cfRule type="cellIs" dxfId="2" priority="1" operator="lessThan">
      <formula>0</formula>
    </cfRule>
  </conditionalFormatting>
  <conditionalFormatting sqref="J35 I49:I50 H51:H53 I52 I54:I55 I206 I212 E214:G214">
    <cfRule type="cellIs" dxfId="1" priority="79" operator="lessThan">
      <formula>0</formula>
    </cfRule>
  </conditionalFormatting>
  <conditionalFormatting sqref="J39 I40 J41 I43">
    <cfRule type="cellIs" dxfId="0" priority="62" operator="lessThan">
      <formula>0</formula>
    </cfRule>
  </conditionalFormatting>
  <dataValidations count="7">
    <dataValidation type="list" allowBlank="1" showInputMessage="1" showErrorMessage="1" sqref="D281" xr:uid="{4E913AB3-F90B-4C35-BCE1-5DBB8FC05107}">
      <formula1>INDIRECT("Table_SourceData_PoultryMMSStage1[MMS]")</formula1>
    </dataValidation>
    <dataValidation type="list" allowBlank="1" showInputMessage="1" showErrorMessage="1" sqref="E229" xr:uid="{9FB53635-991F-44AA-A123-E8ABEF9EE0A6}">
      <formula1>INDIRECT("Table_SourceData_Dairy_ProductionSystemTemplates[Area]")</formula1>
    </dataValidation>
    <dataValidation type="list" allowBlank="1" showInputMessage="1" showErrorMessage="1" sqref="E253 E258 E263 E297 E292 E287 E165 E153 E129 E141" xr:uid="{00A4EA4C-90D3-4150-979D-4D71C7F37A31}">
      <formula1>"Yes, No"</formula1>
    </dataValidation>
    <dataValidation type="list" allowBlank="1" showInputMessage="1" showErrorMessage="1" sqref="E69" xr:uid="{DBA884B0-B52E-420E-8FD2-21B082EB75E2}">
      <formula1>INDIRECT("Table_SourceData_Swine_IrrigationMethods[Irrigation method]")</formula1>
    </dataValidation>
    <dataValidation type="list" allowBlank="1" showInputMessage="1" showErrorMessage="1" sqref="E17" xr:uid="{48A1E533-1334-4AAC-A5F5-B295A34573CB}">
      <formula1>INDIRECT("Table_SourceData_ElectricityEFs[State, Territory or grid description]")</formula1>
    </dataValidation>
    <dataValidation type="list" allowBlank="1" showInputMessage="1" showErrorMessage="1" sqref="E37:E39" xr:uid="{BE2CA0F8-93F9-493C-B304-DCA372760E4E}">
      <formula1>"Purchased certificate, Issued for generated electricity"</formula1>
    </dataValidation>
    <dataValidation type="list" allowBlank="1" showInputMessage="1" showErrorMessage="1" sqref="E5" xr:uid="{6E8FE260-89CA-4660-91C9-56FF67EFEEE9}">
      <formula1>"Location-based (simpler), Market-based (more complex)"</formula1>
    </dataValidation>
  </dataValidations>
  <pageMargins left="0.7" right="0.7" top="0.75" bottom="0.75" header="0.3" footer="0.3"/>
  <pageSetup paperSize="9" orientation="portrait"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K342"/>
  <sheetViews>
    <sheetView showGridLines="0" topLeftCell="C16"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8" customFormat="1" ht="30" customHeight="1" x14ac:dyDescent="0.35">
      <c r="A1" s="32" t="e" vm="1">
        <v>#VALUE!</v>
      </c>
      <c r="C1" s="8" t="s">
        <v>117</v>
      </c>
    </row>
    <row r="2" spans="1:11" s="9" customFormat="1" ht="20" customHeight="1" x14ac:dyDescent="0.25">
      <c r="A2"/>
    </row>
    <row r="3" spans="1:11" ht="20" customHeight="1" x14ac:dyDescent="0.25">
      <c r="A3" s="14" t="str">
        <f>HYPERLINK("#'Home'!A1", "Home")</f>
        <v>Home</v>
      </c>
      <c r="C3" s="4"/>
      <c r="D3" s="4" t="s">
        <v>48</v>
      </c>
      <c r="E3" s="4"/>
      <c r="F3" s="4"/>
      <c r="G3" s="4"/>
      <c r="H3" s="4"/>
      <c r="I3" s="4"/>
      <c r="J3" s="4"/>
      <c r="K3" s="4"/>
    </row>
    <row r="4" spans="1:11" ht="20" customHeight="1" x14ac:dyDescent="0.25">
      <c r="A4" s="14" t="str">
        <f>HYPERLINK("#'Overview'!A1", "Overview")</f>
        <v>Overview</v>
      </c>
    </row>
    <row r="5" spans="1:11" ht="20" customHeight="1" x14ac:dyDescent="0.25">
      <c r="A5" s="14" t="str">
        <f>HYPERLINK("#'Results'!A1", "Results")</f>
        <v>Results</v>
      </c>
      <c r="D5" s="6" t="str" cm="1">
        <f t="array" ref="D5">Electricity_Equations.VEERG_14_1_1__1_LocationBasedScopeElectricityEmissions_Title()</f>
        <v>Location-based Scope 2 emissions from purchased electricity</v>
      </c>
    </row>
    <row r="6" spans="1:11" ht="20" customHeight="1" x14ac:dyDescent="0.25">
      <c r="D6" s="5" t="str" cm="1">
        <f t="array" ref="D6">Electricity_Equations.VEERG_14_1_1__1_LocationBasedScopeElectricityEmissions_Source()</f>
        <v>VEERG 2026: 14.1.1, Equation (1)</v>
      </c>
    </row>
    <row r="7" spans="1:11" ht="20" customHeight="1" x14ac:dyDescent="0.25">
      <c r="D7" s="31" t="str" cm="1">
        <f t="array" ref="D7">Electricity_Equations.VEERG_14_1_1__1_LocationBasedScopeElectricityEmissions_Variation()</f>
        <v>Added g variable to capture which grid electricity was purchased from</v>
      </c>
    </row>
    <row r="8" spans="1:11" ht="20" customHeight="1" x14ac:dyDescent="0.25">
      <c r="A8" s="16" t="s">
        <v>0</v>
      </c>
      <c r="D8" s="11" t="s">
        <v>9</v>
      </c>
      <c r="E8" s="11" t="str">
        <f ca="1">Common_InputFunctions.Utility_DisplayFunctionName(VEERG_14_1_1__1_LocationBasedScopeElectricityEmissions_Result_Method1)</f>
        <v>=Electricity_Equations.VEERG_14_1_1__1_LocationBasedScopeElectricityEmissions</v>
      </c>
    </row>
    <row r="9" spans="1:11" ht="20" customHeight="1" x14ac:dyDescent="0.25">
      <c r="A9" s="14" t="str">
        <f>HYPERLINK("#'Input - Site'!A1", "Site")</f>
        <v>Site</v>
      </c>
    </row>
    <row r="10" spans="1:11" ht="20" customHeight="1" x14ac:dyDescent="0.25">
      <c r="A10" s="14" t="str">
        <f>HYPERLINK("#'Input - Electricity'!A1", "Electricity")</f>
        <v>Electricity</v>
      </c>
    </row>
    <row r="11" spans="1:11" ht="20" customHeight="1" x14ac:dyDescent="0.25">
      <c r="D11" s="29" t="s">
        <v>12</v>
      </c>
      <c r="E11" s="1" t="str" cm="1">
        <f t="array" ref="E11">Electricity_Equations.VEERG_14_1_1__1_LocationBasedScopeElectricityEmissions_Variable()</f>
        <v>E_2elec</v>
      </c>
    </row>
    <row r="12" spans="1:11" ht="20" customHeight="1" x14ac:dyDescent="0.25">
      <c r="D12" s="29" t="s">
        <v>4</v>
      </c>
      <c r="E12" s="30" t="str" cm="1">
        <f t="array" ref="E12">Electricity_Equations.VEERG_14_1_1__1_LocationBasedScopeElectricityEmissions_Unit()</f>
        <v>t CO2e</v>
      </c>
    </row>
    <row r="13" spans="1:11" ht="20" customHeight="1" x14ac:dyDescent="0.25">
      <c r="A13" s="15" t="s">
        <v>44</v>
      </c>
    </row>
    <row r="14" spans="1:11" ht="20" customHeight="1" x14ac:dyDescent="0.25">
      <c r="A14" s="116" t="str">
        <f>HYPERLINK("#'14.1.1-2 Purchased electricity'!A1", "14.1.1-2 Purchased electricity")</f>
        <v>14.1.1-2 Purchased electricity</v>
      </c>
      <c r="D14" s="48" t="str" cm="1">
        <f t="array" ref="D14:E16">_xlfn.CHOOSECOLS(Electricity_Equations.VEERG_14_1_1__1_LocationBasedScopeElectricityEmissions_Arguments(),1,2)</f>
        <v>Q_elec</v>
      </c>
      <c r="E14" s="50" t="str">
        <v>amount of electricity purchased from the grid</v>
      </c>
      <c r="F14" s="49"/>
      <c r="G14" s="48" t="str" cm="1">
        <f t="array" ref="G14:H16">_xlfn.CHOOSECOLS(Electricity_Equations.VEERG_14_1_1__1_LocationBasedScopeElectricityEmissions_Arguments(),3,4)</f>
        <v>kWh</v>
      </c>
      <c r="H14" s="45" t="str">
        <v>Input</v>
      </c>
      <c r="I14" s="50">
        <f>X_Cell_Electricity_Location_AmountPurchasedInkWh</f>
        <v>30000</v>
      </c>
      <c r="J14" s="49"/>
    </row>
    <row r="15" spans="1:11" ht="20" customHeight="1" x14ac:dyDescent="0.25">
      <c r="D15" s="48" t="str">
        <v>EF_2elec</v>
      </c>
      <c r="E15" s="50" t="str">
        <v>location-based Scope 2 emission factor for electricity</v>
      </c>
      <c r="F15" s="49"/>
      <c r="G15" s="48" t="str">
        <v>kg CO2e/kWh</v>
      </c>
      <c r="H15" s="44" t="str">
        <v>Constant</v>
      </c>
      <c r="I15" s="50" cm="1">
        <f t="array" ref="I15">Common_InputFunctions.Utility_LookupValueInTableNumber(I16,Table_SourceData_ElectricityEFs[State, Territory or grid description],Table_SourceData_ElectricityEFs[Scope 2 Emission Factors (kg CO2-e/kWh)])</f>
        <v>0.56000000000000005</v>
      </c>
      <c r="J15" s="49"/>
    </row>
    <row r="16" spans="1:11" ht="20" customHeight="1" x14ac:dyDescent="0.25">
      <c r="D16" s="48" t="str">
        <v>g</v>
      </c>
      <c r="E16" s="50" t="str">
        <v>Grid electricity was purchased from</v>
      </c>
      <c r="F16" s="49"/>
      <c r="G16" s="48" t="str">
        <v/>
      </c>
      <c r="H16" s="45" t="str">
        <v>Input</v>
      </c>
      <c r="I16" s="50" t="str">
        <f>X_Cell_Electricity_Location_GridElectricityPurchasedFrom</f>
        <v>Western Australia - North Western Interconnected System (NWIS)</v>
      </c>
      <c r="J16" s="49"/>
    </row>
    <row r="17" spans="1:11" ht="20" customHeight="1" x14ac:dyDescent="0.25">
      <c r="A17" s="119" t="s">
        <v>1</v>
      </c>
    </row>
    <row r="18" spans="1:11" ht="20" customHeight="1" x14ac:dyDescent="0.25">
      <c r="A18" s="14" t="str">
        <f>HYPERLINK("#'Constants - Electricity'!A1", "Constants - Electricity")</f>
        <v>Constants - Electricity</v>
      </c>
      <c r="D18" s="104" t="s">
        <v>116</v>
      </c>
      <c r="E18" s="106" cm="1">
        <f t="array" ref="E18">Electricity_Equations.VEERG_14_1_1__1_LocationBasedScopeElectricityEmissions(I14,I15)</f>
        <v>16.8</v>
      </c>
      <c r="F18" s="117" t="str">
        <f>$E$12</f>
        <v>t CO2e</v>
      </c>
    </row>
    <row r="19" spans="1:11" ht="20" customHeight="1" x14ac:dyDescent="0.25">
      <c r="A19" s="14" t="str">
        <f>HYPERLINK("#'Constants - Common'!A1", "Constants - Common")</f>
        <v>Constants - Common</v>
      </c>
    </row>
    <row r="20" spans="1:11" ht="20" customHeight="1" x14ac:dyDescent="0.25"/>
    <row r="21" spans="1:11" ht="20" customHeight="1" x14ac:dyDescent="0.25">
      <c r="C21" s="105"/>
      <c r="D21" s="105"/>
      <c r="E21" s="105"/>
      <c r="F21" s="105"/>
      <c r="G21" s="105"/>
      <c r="H21" s="105"/>
      <c r="I21" s="105"/>
      <c r="J21" s="105"/>
      <c r="K21" s="105"/>
    </row>
    <row r="22" spans="1:11" ht="20" customHeight="1" x14ac:dyDescent="0.25">
      <c r="D22" s="6" t="str" cm="1">
        <f t="array" ref="D22">Electricity_Equations.VEERG_14_1_2__1_MarketBasedScopeElectricityEmissions_Title()</f>
        <v>Market-based Scope 2 emissions from purchased electricity</v>
      </c>
    </row>
    <row r="23" spans="1:11" ht="20" customHeight="1" x14ac:dyDescent="0.25">
      <c r="D23" s="5" t="str" cm="1">
        <f t="array" ref="D23">Electricity_Equations.VEERG_14_1_2__1_MarketBasedScopeElectricityEmissions_Source()</f>
        <v>VEERG 2026: 14.1.2, Equation (1)</v>
      </c>
    </row>
    <row r="24" spans="1:11" ht="20" customHeight="1" x14ac:dyDescent="0.25">
      <c r="D24" s="31" t="str" cm="1">
        <f t="array" ref="D24">Electricity_Equations.VEERG_14_1_2__1_MarketBasedScopeElectricityEmissions_Variation()</f>
        <v>VARIATION ON SOURCE: In order to convert megawatt hours to kilowatt hours, the REC_surrendered and REC_onsite variables are multiplied by 10^3 instead of 10^-3.</v>
      </c>
    </row>
    <row r="25" spans="1:11" ht="20" customHeight="1" x14ac:dyDescent="0.25">
      <c r="D25" s="11" t="s">
        <v>9</v>
      </c>
      <c r="E25" s="11" t="str">
        <f ca="1">Common_InputFunctions.Utility_DisplayFunctionName(VEERG_14_1_2__1_MarketBasedScopeElectricityEmissionsVariation_Result_Method1)</f>
        <v>=Electricity_Equations.VEERG_14_1_2__1_MarketBasedScopeElectricityEmissionsVariation</v>
      </c>
    </row>
    <row r="26" spans="1:11" ht="20" customHeight="1" x14ac:dyDescent="0.25"/>
    <row r="27" spans="1:11" ht="20" customHeight="1" x14ac:dyDescent="0.25"/>
    <row r="28" spans="1:11" ht="20" customHeight="1" x14ac:dyDescent="0.25">
      <c r="D28" s="29" t="s">
        <v>12</v>
      </c>
      <c r="E28" s="1" t="str" cm="1">
        <f t="array" ref="E28">Electricity_Equations.VEERG_14_1_2__1_MarketBasedScopeElectricityEmissions_Variable()</f>
        <v>E_2elec</v>
      </c>
    </row>
    <row r="29" spans="1:11" ht="20" customHeight="1" x14ac:dyDescent="0.25">
      <c r="D29" s="29" t="s">
        <v>4</v>
      </c>
      <c r="E29" s="30" t="str" cm="1">
        <f t="array" ref="E29">Electricity_Equations.VEERG_14_1_2__1_MarketBasedScopeElectricityEmissions_Unit()</f>
        <v>t CO2e</v>
      </c>
    </row>
    <row r="30" spans="1:11" ht="20" customHeight="1" x14ac:dyDescent="0.25"/>
    <row r="31" spans="1:11" ht="20" customHeight="1" x14ac:dyDescent="0.25">
      <c r="D31" s="48" t="str" cm="1">
        <f t="array" ref="D31:E37">_xlfn.CHOOSECOLS(Electricity_Equations.VEERG_14_1_2__1_MarketBasedScopeElectricityEmissions_Arguments(),1,2)</f>
        <v>Q_elec</v>
      </c>
      <c r="E31" s="50" t="str">
        <v>amount of electricity purchased from the grid</v>
      </c>
      <c r="F31" s="107"/>
      <c r="G31" s="107"/>
      <c r="H31" s="48" t="str" cm="1">
        <f t="array" ref="H31:I37">_xlfn.CHOOSECOLS(Electricity_Equations.VEERG_14_1_2__1_MarketBasedScopeElectricityEmissions_Arguments(),3,4)</f>
        <v>kWh</v>
      </c>
      <c r="I31" s="45" t="str">
        <v>Input</v>
      </c>
      <c r="J31" s="48">
        <f>X_Cell_Electricity_Market_AmountPurchasedExcludingGreenPower</f>
        <v>30000</v>
      </c>
    </row>
    <row r="32" spans="1:11" ht="20" customHeight="1" x14ac:dyDescent="0.25">
      <c r="D32" s="48" t="str">
        <v>RPP</v>
      </c>
      <c r="E32" s="50" t="str">
        <v>Renewable Power Percentage under the Large-scale Renewable Energy Target (LRET)</v>
      </c>
      <c r="F32" s="107"/>
      <c r="G32" s="107"/>
      <c r="H32" s="48" t="str">
        <v>per cent</v>
      </c>
      <c r="I32" s="45" t="str">
        <v>Input</v>
      </c>
      <c r="J32" s="114">
        <f>X_Cell_Electricity_Market_RenewablePowerPercentage</f>
        <v>0.1</v>
      </c>
    </row>
    <row r="33" spans="4:10" ht="20" customHeight="1" x14ac:dyDescent="0.25">
      <c r="D33" s="48" t="str">
        <v>JRPP</v>
      </c>
      <c r="E33" s="50" t="str">
        <v>jurisdictional renewable power percentage for the applicable period (ACT only)</v>
      </c>
      <c r="F33" s="107"/>
      <c r="G33" s="107"/>
      <c r="H33" s="48" t="str">
        <v>per cent</v>
      </c>
      <c r="I33" s="45" t="str">
        <v>Input</v>
      </c>
      <c r="J33" s="114" t="str">
        <f>IF(J37="ACT", X_Cell_Electricity_Market_JurisdictionalRenewablePowerPercentage, "N/A")</f>
        <v>N/A</v>
      </c>
    </row>
    <row r="34" spans="4:10" ht="20" customHeight="1" x14ac:dyDescent="0.25">
      <c r="D34" s="48" t="str">
        <v>REC_surrendered</v>
      </c>
      <c r="E34" s="50" t="str">
        <v>Renewable Energy Certificates voluntarily surrendered in the reporting year</v>
      </c>
      <c r="F34" s="107"/>
      <c r="G34" s="107"/>
      <c r="H34" s="48" t="str">
        <v>MWh</v>
      </c>
      <c r="I34" s="45" t="str">
        <v>Input</v>
      </c>
      <c r="J34" s="48">
        <f>(X_Cell_Electricity_Market_AmountPurchasedGreenPower*10^-3)+X_Cell_TotalElegibleVoluntarilySurrenderedRECs</f>
        <v>20</v>
      </c>
    </row>
    <row r="35" spans="4:10" ht="20" customHeight="1" x14ac:dyDescent="0.25">
      <c r="D35" s="48" t="str">
        <v>REC_onsite</v>
      </c>
      <c r="E35" s="50" t="str">
        <v>Renewable Energy Certificates issued for electricity produced on-site during the year and consumed by the entity</v>
      </c>
      <c r="F35" s="107"/>
      <c r="G35" s="107"/>
      <c r="H35" s="48" t="str">
        <v>MWh</v>
      </c>
      <c r="I35" s="45" t="str">
        <v>Input</v>
      </c>
      <c r="J35" s="48">
        <f>X_Cell_TotalElegibleRECsForElectricityProducedOnSite</f>
        <v>11</v>
      </c>
    </row>
    <row r="36" spans="4:10" ht="20" customHeight="1" x14ac:dyDescent="0.25">
      <c r="D36" s="48" t="str">
        <v>EF_RMF2elec</v>
      </c>
      <c r="E36" s="50" t="str">
        <v>Scope 2 residual mix emission factor for electricity</v>
      </c>
      <c r="F36" s="107"/>
      <c r="G36" s="107"/>
      <c r="H36" s="48" t="str">
        <v>kg CO2e/kWh</v>
      </c>
      <c r="I36" s="44" t="str">
        <v>Constant</v>
      </c>
      <c r="J36" s="48" cm="1">
        <f t="array" ref="J36">Table_SourceData_ElectricityEFsMarketBased[Scope 2 EF (kg CO2-e/kWh)]</f>
        <v>0.81</v>
      </c>
    </row>
    <row r="37" spans="4:10" ht="20" customHeight="1" x14ac:dyDescent="0.25">
      <c r="D37" s="48" t="str">
        <v>i</v>
      </c>
      <c r="E37" s="50" t="str">
        <v>state</v>
      </c>
      <c r="F37" s="107"/>
      <c r="G37" s="49"/>
      <c r="H37" s="48" t="str">
        <v/>
      </c>
      <c r="I37" s="45" t="str">
        <v>Input</v>
      </c>
      <c r="J37" s="48" t="str">
        <f>X_Cell_Site_State</f>
        <v>Western Australia</v>
      </c>
    </row>
    <row r="38" spans="4:10" ht="20" customHeight="1" x14ac:dyDescent="0.25"/>
    <row r="39" spans="4:10" ht="20" customHeight="1" x14ac:dyDescent="0.25">
      <c r="D39" s="104" t="s">
        <v>116</v>
      </c>
      <c r="E39" s="106" cm="1">
        <f t="array" ref="E39">Electricity_Equations.VEERG_14_1_2__1_MarketBasedScopeElectricityEmissionsVariation(J31,J32,IF(ISNUMBER(J33), J33, 0),J34,J35,J36)</f>
        <v>14.580000000000002</v>
      </c>
      <c r="F39" s="117" t="str">
        <f>E29</f>
        <v>t CO2e</v>
      </c>
    </row>
    <row r="40" spans="4:10" ht="20" customHeight="1" x14ac:dyDescent="0.25">
      <c r="H40" s="1" t="s">
        <v>84</v>
      </c>
    </row>
    <row r="41" spans="4:10" ht="20" customHeight="1" x14ac:dyDescent="0.25"/>
    <row r="42" spans="4:10" ht="20" customHeight="1" x14ac:dyDescent="0.25"/>
    <row r="43" spans="4:10" ht="20" customHeight="1" x14ac:dyDescent="0.25"/>
    <row r="44" spans="4:10" ht="20" customHeight="1" x14ac:dyDescent="0.25">
      <c r="E44" s="46"/>
    </row>
    <row r="45" spans="4:10" ht="20" customHeight="1" x14ac:dyDescent="0.25"/>
    <row r="46" spans="4:10" ht="20" customHeight="1" x14ac:dyDescent="0.25"/>
    <row r="47" spans="4:10" ht="20" customHeight="1" x14ac:dyDescent="0.25"/>
    <row r="48" spans="4:10"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row r="166" ht="20" customHeight="1" x14ac:dyDescent="0.25"/>
    <row r="167" ht="20" customHeight="1" x14ac:dyDescent="0.25"/>
    <row r="168" ht="20" customHeight="1" x14ac:dyDescent="0.25"/>
    <row r="169" ht="20" customHeight="1" x14ac:dyDescent="0.25"/>
    <row r="170" ht="20" customHeight="1" x14ac:dyDescent="0.25"/>
    <row r="171" ht="20" customHeight="1" x14ac:dyDescent="0.25"/>
    <row r="172" ht="20" customHeight="1" x14ac:dyDescent="0.25"/>
    <row r="173" ht="20" customHeight="1" x14ac:dyDescent="0.25"/>
    <row r="174" ht="20" customHeight="1" x14ac:dyDescent="0.25"/>
    <row r="175" ht="20" customHeight="1" x14ac:dyDescent="0.25"/>
    <row r="176" ht="20" customHeight="1" x14ac:dyDescent="0.25"/>
    <row r="177" ht="20" customHeight="1" x14ac:dyDescent="0.25"/>
    <row r="178" ht="20" customHeight="1" x14ac:dyDescent="0.25"/>
    <row r="179" ht="20" customHeight="1" x14ac:dyDescent="0.25"/>
    <row r="180" ht="20" customHeight="1" x14ac:dyDescent="0.25"/>
    <row r="181" ht="20" customHeight="1" x14ac:dyDescent="0.25"/>
    <row r="182" ht="20" customHeight="1" x14ac:dyDescent="0.25"/>
    <row r="183" ht="20" customHeight="1" x14ac:dyDescent="0.25"/>
    <row r="184" ht="20" customHeight="1" x14ac:dyDescent="0.25"/>
    <row r="185" ht="20" customHeight="1" x14ac:dyDescent="0.25"/>
    <row r="186" ht="20" customHeight="1" x14ac:dyDescent="0.25"/>
    <row r="187" ht="20" customHeight="1" x14ac:dyDescent="0.25"/>
    <row r="188" ht="20" customHeight="1" x14ac:dyDescent="0.25"/>
    <row r="189" ht="20" customHeight="1" x14ac:dyDescent="0.25"/>
    <row r="190" ht="20" customHeight="1" x14ac:dyDescent="0.25"/>
    <row r="191" ht="20" customHeight="1" x14ac:dyDescent="0.25"/>
    <row r="192" ht="20" customHeight="1" x14ac:dyDescent="0.25"/>
    <row r="193" ht="20" customHeight="1" x14ac:dyDescent="0.25"/>
    <row r="194" ht="20" customHeight="1" x14ac:dyDescent="0.25"/>
    <row r="195" ht="20" customHeight="1" x14ac:dyDescent="0.25"/>
    <row r="196" ht="20" customHeight="1" x14ac:dyDescent="0.25"/>
    <row r="197" ht="20" customHeight="1" x14ac:dyDescent="0.25"/>
    <row r="198" ht="20" customHeight="1" x14ac:dyDescent="0.25"/>
    <row r="199" ht="20" customHeight="1" x14ac:dyDescent="0.25"/>
    <row r="200" ht="20" customHeight="1" x14ac:dyDescent="0.25"/>
    <row r="201" ht="20" customHeight="1" x14ac:dyDescent="0.25"/>
    <row r="202" ht="20" customHeight="1" x14ac:dyDescent="0.25"/>
    <row r="203" ht="20" customHeight="1" x14ac:dyDescent="0.25"/>
    <row r="204" ht="20" customHeight="1" x14ac:dyDescent="0.25"/>
    <row r="205" ht="20" customHeight="1" x14ac:dyDescent="0.25"/>
    <row r="206" ht="20" customHeight="1" x14ac:dyDescent="0.25"/>
    <row r="207" ht="20" customHeight="1" x14ac:dyDescent="0.25"/>
    <row r="208" ht="20" customHeight="1" x14ac:dyDescent="0.25"/>
    <row r="209" ht="20" customHeight="1" x14ac:dyDescent="0.25"/>
    <row r="210" ht="20" customHeight="1" x14ac:dyDescent="0.25"/>
    <row r="211" ht="20" customHeight="1" x14ac:dyDescent="0.25"/>
    <row r="212" ht="20" customHeight="1" x14ac:dyDescent="0.25"/>
    <row r="213" ht="20" customHeight="1" x14ac:dyDescent="0.25"/>
    <row r="214" ht="20" customHeight="1" x14ac:dyDescent="0.25"/>
    <row r="215" ht="20" customHeight="1" x14ac:dyDescent="0.25"/>
    <row r="216" ht="20" customHeight="1" x14ac:dyDescent="0.25"/>
    <row r="217" ht="20" customHeight="1" x14ac:dyDescent="0.25"/>
    <row r="218" ht="20" customHeight="1" x14ac:dyDescent="0.25"/>
    <row r="219" ht="20" customHeight="1" x14ac:dyDescent="0.25"/>
    <row r="220" ht="20" customHeight="1" x14ac:dyDescent="0.25"/>
    <row r="221" ht="20" customHeight="1" x14ac:dyDescent="0.25"/>
    <row r="222" ht="20" customHeight="1" x14ac:dyDescent="0.25"/>
    <row r="223" ht="20" customHeight="1" x14ac:dyDescent="0.25"/>
    <row r="224" ht="20" customHeight="1" x14ac:dyDescent="0.25"/>
    <row r="225" ht="20" customHeight="1" x14ac:dyDescent="0.25"/>
    <row r="226" ht="20" customHeight="1" x14ac:dyDescent="0.25"/>
    <row r="227" ht="20" customHeight="1" x14ac:dyDescent="0.25"/>
    <row r="228" ht="20" customHeight="1" x14ac:dyDescent="0.25"/>
    <row r="229" ht="20" customHeight="1" x14ac:dyDescent="0.25"/>
    <row r="230" ht="20" customHeight="1" x14ac:dyDescent="0.25"/>
    <row r="231" ht="20" customHeight="1" x14ac:dyDescent="0.25"/>
    <row r="232" ht="20" customHeight="1" x14ac:dyDescent="0.25"/>
    <row r="233" ht="20" customHeight="1" x14ac:dyDescent="0.25"/>
    <row r="234" ht="20" customHeight="1" x14ac:dyDescent="0.25"/>
    <row r="235" ht="20" customHeight="1" x14ac:dyDescent="0.25"/>
    <row r="236" ht="20" customHeight="1" x14ac:dyDescent="0.25"/>
    <row r="237" ht="20" customHeight="1" x14ac:dyDescent="0.25"/>
    <row r="238" ht="20" customHeight="1" x14ac:dyDescent="0.25"/>
    <row r="239" ht="20" customHeight="1" x14ac:dyDescent="0.25"/>
    <row r="240" ht="20" customHeight="1" x14ac:dyDescent="0.25"/>
    <row r="241" ht="20" customHeight="1" x14ac:dyDescent="0.25"/>
    <row r="242" ht="20" customHeight="1" x14ac:dyDescent="0.25"/>
    <row r="243" ht="20" customHeight="1" x14ac:dyDescent="0.25"/>
    <row r="244" ht="20" customHeight="1" x14ac:dyDescent="0.25"/>
    <row r="245" ht="20" customHeight="1" x14ac:dyDescent="0.25"/>
    <row r="246" ht="20" customHeight="1" x14ac:dyDescent="0.25"/>
    <row r="247" ht="20" customHeight="1" x14ac:dyDescent="0.25"/>
    <row r="248" ht="20" customHeight="1" x14ac:dyDescent="0.25"/>
    <row r="249" ht="20" customHeight="1" x14ac:dyDescent="0.25"/>
    <row r="250" ht="20" customHeight="1" x14ac:dyDescent="0.25"/>
    <row r="251" ht="20" customHeight="1" x14ac:dyDescent="0.25"/>
    <row r="252" ht="20" customHeight="1" x14ac:dyDescent="0.25"/>
    <row r="253" ht="20" customHeight="1" x14ac:dyDescent="0.25"/>
    <row r="254" ht="20" customHeight="1" x14ac:dyDescent="0.25"/>
    <row r="255" ht="20" customHeight="1" x14ac:dyDescent="0.25"/>
    <row r="256" ht="20" customHeight="1" x14ac:dyDescent="0.25"/>
    <row r="257" ht="20" customHeight="1" x14ac:dyDescent="0.25"/>
    <row r="258" ht="20" customHeight="1" x14ac:dyDescent="0.25"/>
    <row r="259" ht="20" customHeight="1" x14ac:dyDescent="0.25"/>
    <row r="260" ht="20" customHeight="1" x14ac:dyDescent="0.25"/>
    <row r="261" ht="20" customHeight="1" x14ac:dyDescent="0.25"/>
    <row r="262" ht="20" customHeight="1" x14ac:dyDescent="0.25"/>
    <row r="263" ht="20" customHeight="1" x14ac:dyDescent="0.25"/>
    <row r="264" ht="20" customHeight="1" x14ac:dyDescent="0.25"/>
    <row r="265" ht="20" customHeight="1" x14ac:dyDescent="0.25"/>
    <row r="266" ht="20" customHeight="1" x14ac:dyDescent="0.25"/>
    <row r="267" ht="20" customHeight="1" x14ac:dyDescent="0.25"/>
    <row r="268" ht="20" customHeight="1" x14ac:dyDescent="0.25"/>
    <row r="269" ht="20" customHeight="1" x14ac:dyDescent="0.25"/>
    <row r="270" ht="20" customHeight="1" x14ac:dyDescent="0.25"/>
    <row r="271" ht="20" customHeight="1" x14ac:dyDescent="0.25"/>
    <row r="341" spans="8:8" x14ac:dyDescent="0.25" ht="20" customHeight="1">
      <c r="H341" s="18"/>
    </row>
    <row r="342" spans="8:8" x14ac:dyDescent="0.25" ht="20" customHeight="1">
      <c r="H342" s="18"/>
    </row>
  </sheetData>
  <dataValidations disablePrompts="1" count="1">
    <dataValidation operator="equal" allowBlank="1" showInputMessage="1" showErrorMessage="1" sqref="E269 E228 G132 I129:I133 F134:I134 F129:F132 H128:H132 G129 F148:I148 I149 F150:I150"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sheetPr>
    <tabColor theme="2" tint="-0.499984740745262"/>
  </sheetPr>
  <dimension ref="A1:AI165"/>
  <sheetViews>
    <sheetView showGridLines="0" topLeftCell="A7" zoomScaleNormal="100" workbookViewId="0">
      <selection activeCell="A19" sqref="A19"/>
    </sheetView>
  </sheetViews>
  <sheetFormatPr defaultRowHeight="20" x14ac:dyDescent="0.25" customHeight="1"/>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8" customFormat="1" ht="30" customHeight="1" x14ac:dyDescent="0.35">
      <c r="A1" s="32" t="e" vm="1">
        <v>#VALUE!</v>
      </c>
      <c r="C1" s="8" t="s">
        <v>112</v>
      </c>
      <c r="AG1"/>
      <c r="AH1"/>
      <c r="AI1"/>
    </row>
    <row r="2" spans="1:35" s="9" customFormat="1" ht="20" customHeight="1" x14ac:dyDescent="0.25">
      <c r="A2"/>
      <c r="AG2"/>
      <c r="AH2"/>
      <c r="AI2"/>
    </row>
    <row r="3" spans="1:35" ht="20" customHeight="1" x14ac:dyDescent="0.25">
      <c r="A3" s="14"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 customHeight="1" x14ac:dyDescent="0.25">
      <c r="A4" s="14" t="str">
        <f>HYPERLINK("#'Overview'!A1", "Overview")</f>
        <v>Overview</v>
      </c>
    </row>
    <row r="5" spans="1:35" ht="20" customHeight="1" x14ac:dyDescent="0.25">
      <c r="A5" s="14" t="str">
        <f>HYPERLINK("#'Results'!A1", "Results")</f>
        <v>Results</v>
      </c>
      <c r="D5" s="6" t="str" cm="1">
        <f t="array" ref="D5">Electricity_SourceData.Electricity_Scope2Scope3LocationBased_Title()</f>
        <v>Electricity scope 2 and scope 3 location-based emission factors</v>
      </c>
    </row>
    <row r="6" spans="1:35" ht="20" customHeight="1" x14ac:dyDescent="0.25">
      <c r="D6" s="5" t="str" cm="1">
        <f t="array" ref="D6">Electricity_SourceData.Electricity_Scope2Scope3LocationBased_Source()</f>
        <v>Australian National Greenhouse Accounts Factors 2025 - Table 1</v>
      </c>
      <c r="E6" s="18"/>
      <c r="F6" s="18"/>
    </row>
    <row r="7" spans="1:35" ht="20" customHeight="1" x14ac:dyDescent="0.25">
      <c r="D7" s="31" t="str" cm="1">
        <f t="array" ref="D7">"⚠️" &amp; Electricity_SourceData.Electricity_Scope2Scope3LocationBased_Variation()</f>
        <v>⚠️VARIATION OF SOURCE DATA: NSW and ACT split into separate rows.</v>
      </c>
      <c r="E7" s="18"/>
      <c r="F7" s="18"/>
    </row>
    <row r="8" spans="1:35" ht="20" customHeight="1" x14ac:dyDescent="0.25">
      <c r="A8" s="16" t="s">
        <v>0</v>
      </c>
      <c r="D8" s="18"/>
      <c r="E8" s="18"/>
      <c r="F8" s="18"/>
    </row>
    <row r="9" spans="1:35" ht="20" customHeight="1" x14ac:dyDescent="0.25">
      <c r="A9" s="14" t="str">
        <f>HYPERLINK("#'Input - Site'!A1", "Site")</f>
        <v>Site</v>
      </c>
      <c r="D9" s="58" t="s">
        <v>113</v>
      </c>
      <c r="E9" s="58" t="s">
        <v>114</v>
      </c>
      <c r="F9" s="58" t="s">
        <v>115</v>
      </c>
    </row>
    <row r="10" spans="1:35" ht="20" customHeight="1" x14ac:dyDescent="0.25">
      <c r="A10" s="14" t="str">
        <f>HYPERLINK("#'Input - Electricity'!A1", "Electricity")</f>
        <v>Electricity</v>
      </c>
      <c r="D10" t="str" cm="1">
        <f t="array" ref="D10">Common_InputFunctions.Utility_DisplayArrayInTable(Electricity_SourceData.Electricity_Scope2Scope3LocationBased_Data(), Table_SourceData_ElectricityEFs[[#Headers],[State, Territory or grid description]], 0)</f>
        <v>New South Wales</v>
      </c>
      <c r="E10" cm="1">
        <f t="array" ref="E10">Common_InputFunctions.Utility_DisplayArrayInTable(Electricity_SourceData.Electricity_Scope2Scope3LocationBased_Data(), Table_SourceData_ElectricityEFs[[#Headers],[State, Territory or grid description]], 0)</f>
        <v>0.64</v>
      </c>
      <c r="F10" cm="1">
        <f t="array" ref="F10">Common_InputFunctions.Utility_DisplayArrayInTable(Electricity_SourceData.Electricity_Scope2Scope3LocationBased_Data(), Table_SourceData_ElectricityEFs[[#Headers],[State, Territory or grid description]], 0)</f>
        <v>0.03</v>
      </c>
    </row>
    <row r="11" spans="1:35" ht="20" customHeight="1" x14ac:dyDescent="0.25">
      <c r="D11" t="str" cm="1">
        <f t="array" ref="D11">Common_InputFunctions.Utility_DisplayArrayInTable(Electricity_SourceData.Electricity_Scope2Scope3LocationBased_Data(), Table_SourceData_ElectricityEFs[[#Headers],[State, Territory or grid description]], 0)</f>
        <v>ACT</v>
      </c>
      <c r="E11" cm="1">
        <f t="array" ref="E11">Common_InputFunctions.Utility_DisplayArrayInTable(Electricity_SourceData.Electricity_Scope2Scope3LocationBased_Data(), Table_SourceData_ElectricityEFs[[#Headers],[State, Territory or grid description]], 0)</f>
        <v>0.64</v>
      </c>
      <c r="F11" cm="1">
        <f t="array" ref="F11">Common_InputFunctions.Utility_DisplayArrayInTable(Electricity_SourceData.Electricity_Scope2Scope3LocationBased_Data(), Table_SourceData_ElectricityEFs[[#Headers],[State, Territory or grid description]], 0)</f>
        <v>0.03</v>
      </c>
    </row>
    <row r="12" spans="1:35" ht="20" customHeight="1" x14ac:dyDescent="0.25">
      <c r="D12" t="str" cm="1">
        <f t="array" ref="D12">Common_InputFunctions.Utility_DisplayArrayInTable(Electricity_SourceData.Electricity_Scope2Scope3LocationBased_Data(), Table_SourceData_ElectricityEFs[[#Headers],[State, Territory or grid description]], 0)</f>
        <v>Victoria</v>
      </c>
      <c r="E12" cm="1">
        <f t="array" ref="E12">Common_InputFunctions.Utility_DisplayArrayInTable(Electricity_SourceData.Electricity_Scope2Scope3LocationBased_Data(), Table_SourceData_ElectricityEFs[[#Headers],[State, Territory or grid description]], 0)</f>
        <v>0.78</v>
      </c>
      <c r="F12" cm="1">
        <f t="array" ref="F12">Common_InputFunctions.Utility_DisplayArrayInTable(Electricity_SourceData.Electricity_Scope2Scope3LocationBased_Data(), Table_SourceData_ElectricityEFs[[#Headers],[State, Territory or grid description]], 0)</f>
        <v>0.09</v>
      </c>
    </row>
    <row r="13" spans="1:35" ht="20" customHeight="1" x14ac:dyDescent="0.25">
      <c r="A13" s="15" t="s">
        <v>44</v>
      </c>
      <c r="D13" t="str" cm="1">
        <f t="array" ref="D13">Common_InputFunctions.Utility_DisplayArrayInTable(Electricity_SourceData.Electricity_Scope2Scope3LocationBased_Data(), Table_SourceData_ElectricityEFs[[#Headers],[State, Territory or grid description]], 0)</f>
        <v>Queensland</v>
      </c>
      <c r="E13" cm="1">
        <f t="array" ref="E13">Common_InputFunctions.Utility_DisplayArrayInTable(Electricity_SourceData.Electricity_Scope2Scope3LocationBased_Data(), Table_SourceData_ElectricityEFs[[#Headers],[State, Territory or grid description]], 0)</f>
        <v>0.67</v>
      </c>
      <c r="F13" cm="1">
        <f t="array" ref="F13">Common_InputFunctions.Utility_DisplayArrayInTable(Electricity_SourceData.Electricity_Scope2Scope3LocationBased_Data(), Table_SourceData_ElectricityEFs[[#Headers],[State, Territory or grid description]], 0)</f>
        <v>0.09</v>
      </c>
    </row>
    <row r="14" spans="1:35" ht="20" customHeight="1" x14ac:dyDescent="0.25">
      <c r="A14" s="14" t="str">
        <f>HYPERLINK("#'14.1.1-2 Purchased electricity'!A1", "14.1.1-2 Purchased electricity")</f>
        <v>14.1.1-2 Purchased electricity</v>
      </c>
      <c r="D14" t="str" cm="1">
        <f t="array" ref="D14">Common_InputFunctions.Utility_DisplayArrayInTable(Electricity_SourceData.Electricity_Scope2Scope3LocationBased_Data(), Table_SourceData_ElectricityEFs[[#Headers],[State, Territory or grid description]], 0)</f>
        <v>South Australia</v>
      </c>
      <c r="E14" cm="1">
        <f t="array" ref="E14">Common_InputFunctions.Utility_DisplayArrayInTable(Electricity_SourceData.Electricity_Scope2Scope3LocationBased_Data(), Table_SourceData_ElectricityEFs[[#Headers],[State, Territory or grid description]], 0)</f>
        <v>0.22</v>
      </c>
      <c r="F14" cm="1">
        <f t="array" ref="F14">Common_InputFunctions.Utility_DisplayArrayInTable(Electricity_SourceData.Electricity_Scope2Scope3LocationBased_Data(), Table_SourceData_ElectricityEFs[[#Headers],[State, Territory or grid description]], 0)</f>
        <v>0.04</v>
      </c>
    </row>
    <row r="15" spans="1:35" ht="20" customHeight="1" x14ac:dyDescent="0.25">
      <c r="D15" t="str" cm="1">
        <f t="array" ref="D15">Common_InputFunctions.Utility_DisplayArrayInTable(Electricity_SourceData.Electricity_Scope2Scope3LocationBased_Data(), Table_SourceData_ElectricityEFs[[#Headers],[State, Territory or grid description]], 0)</f>
        <v>Western Australia - South West Interconnected System (SWIS)</v>
      </c>
      <c r="E15" cm="1">
        <f t="array" ref="E15">Common_InputFunctions.Utility_DisplayArrayInTable(Electricity_SourceData.Electricity_Scope2Scope3LocationBased_Data(), Table_SourceData_ElectricityEFs[[#Headers],[State, Territory or grid description]], 0)</f>
        <v>0.5</v>
      </c>
      <c r="F15" cm="1">
        <f t="array" ref="F15">Common_InputFunctions.Utility_DisplayArrayInTable(Electricity_SourceData.Electricity_Scope2Scope3LocationBased_Data(), Table_SourceData_ElectricityEFs[[#Headers],[State, Territory or grid description]], 0)</f>
        <v>0.06</v>
      </c>
    </row>
    <row r="16" spans="1:35" ht="20" customHeight="1" x14ac:dyDescent="0.25">
      <c r="D16" t="str" cm="1">
        <f t="array" ref="D16">Common_InputFunctions.Utility_DisplayArrayInTable(Electricity_SourceData.Electricity_Scope2Scope3LocationBased_Data(), Table_SourceData_ElectricityEFs[[#Headers],[State, Territory or grid description]], 0)</f>
        <v>Western Australia - North Western Interconnected System (NWIS)</v>
      </c>
      <c r="E16" cm="1">
        <f t="array" ref="E16">Common_InputFunctions.Utility_DisplayArrayInTable(Electricity_SourceData.Electricity_Scope2Scope3LocationBased_Data(), Table_SourceData_ElectricityEFs[[#Headers],[State, Territory or grid description]], 0)</f>
        <v>0.56000000000000005</v>
      </c>
      <c r="F16" cm="1">
        <f t="array" ref="F16">Common_InputFunctions.Utility_DisplayArrayInTable(Electricity_SourceData.Electricity_Scope2Scope3LocationBased_Data(), Table_SourceData_ElectricityEFs[[#Headers],[State, Territory or grid description]], 0)</f>
        <v>0.09</v>
      </c>
    </row>
    <row r="17" spans="1:8" ht="20" customHeight="1" x14ac:dyDescent="0.25">
      <c r="A17" s="119" t="s">
        <v>1</v>
      </c>
      <c r="D17" t="str" cm="1">
        <f t="array" ref="D17">Common_InputFunctions.Utility_DisplayArrayInTable(Electricity_SourceData.Electricity_Scope2Scope3LocationBased_Data(), Table_SourceData_ElectricityEFs[[#Headers],[State, Territory or grid description]], 0)</f>
        <v>Tasmania</v>
      </c>
      <c r="E17" cm="1">
        <f t="array" ref="E17">Common_InputFunctions.Utility_DisplayArrayInTable(Electricity_SourceData.Electricity_Scope2Scope3LocationBased_Data(), Table_SourceData_ElectricityEFs[[#Headers],[State, Territory or grid description]], 0)</f>
        <v>0.2</v>
      </c>
      <c r="F17" cm="1">
        <f t="array" ref="F17">Common_InputFunctions.Utility_DisplayArrayInTable(Electricity_SourceData.Electricity_Scope2Scope3LocationBased_Data(), Table_SourceData_ElectricityEFs[[#Headers],[State, Territory or grid description]], 0)</f>
        <v>0.03</v>
      </c>
    </row>
    <row r="18" spans="1:8" ht="20" customHeight="1" x14ac:dyDescent="0.25">
      <c r="A18" s="57" t="str">
        <f>HYPERLINK("#'Constants - Electricity'!A1", "Constants - Electricity")</f>
        <v>Constants - Electricity</v>
      </c>
      <c r="D18" t="str" cm="1">
        <f t="array" ref="D18">Common_InputFunctions.Utility_DisplayArrayInTable(Electricity_SourceData.Electricity_Scope2Scope3LocationBased_Data(), Table_SourceData_ElectricityEFs[[#Headers],[State, Territory or grid description]], 0)</f>
        <v>Northern Territory - Darwin Katherine Interconnected System (DKIS)</v>
      </c>
      <c r="E18" cm="1">
        <f t="array" ref="E18">Common_InputFunctions.Utility_DisplayArrayInTable(Electricity_SourceData.Electricity_Scope2Scope3LocationBased_Data(), Table_SourceData_ElectricityEFs[[#Headers],[State, Territory or grid description]], 0)</f>
        <v>0.56000000000000005</v>
      </c>
      <c r="F18" cm="1">
        <f t="array" ref="F18">Common_InputFunctions.Utility_DisplayArrayInTable(Electricity_SourceData.Electricity_Scope2Scope3LocationBased_Data(), Table_SourceData_ElectricityEFs[[#Headers],[State, Territory or grid description]], 0)</f>
        <v>0.09</v>
      </c>
    </row>
    <row r="19" spans="1:8" ht="20" customHeight="1" x14ac:dyDescent="0.25">
      <c r="A19" s="14" t="str">
        <f>HYPERLINK("#'Constants - Common'!A1", "Constants - Common")</f>
        <v>Constants - Common</v>
      </c>
      <c r="D19" t="str" cm="1">
        <f t="array" ref="D19">Common_InputFunctions.Utility_DisplayArrayInTable(Electricity_SourceData.Electricity_Scope2Scope3LocationBased_Data(), Table_SourceData_ElectricityEFs[[#Headers],[State, Territory or grid description]], 0)</f>
        <v>National</v>
      </c>
      <c r="E19" cm="1">
        <f t="array" ref="E19">Common_InputFunctions.Utility_DisplayArrayInTable(Electricity_SourceData.Electricity_Scope2Scope3LocationBased_Data(), Table_SourceData_ElectricityEFs[[#Headers],[State, Territory or grid description]], 0)</f>
        <v>0.62</v>
      </c>
      <c r="F19" cm="1">
        <f t="array" ref="F19">Common_InputFunctions.Utility_DisplayArrayInTable(Electricity_SourceData.Electricity_Scope2Scope3LocationBased_Data(), Table_SourceData_ElectricityEFs[[#Headers],[State, Territory or grid description]], 0)</f>
        <v>7.0000000000000007E-2</v>
      </c>
    </row>
    <row r="20" spans="1:8" ht="20" customHeight="1" x14ac:dyDescent="0.25"/>
    <row r="21" spans="1:8" ht="20" customHeight="1" x14ac:dyDescent="0.25">
      <c r="D21" s="6" t="str" cm="1">
        <f t="array" ref="D21">Electricity_SourceData.Electricity_Scope2Scope3MarketBased_Title()</f>
        <v>Electricity scope 2 and scope 3 market-based emission factors</v>
      </c>
    </row>
    <row r="22" spans="1:8" ht="20" customHeight="1" x14ac:dyDescent="0.25">
      <c r="D22" s="5" t="str" cm="1">
        <f t="array" ref="D22">Electricity_SourceData.Electricity_Scope2Scope3MarketBased_Source()</f>
        <v>Australian National Greenhouse Accounts Factors 2025 - Table 2a</v>
      </c>
    </row>
    <row r="23" spans="1:8" ht="20" customHeight="1" x14ac:dyDescent="0.25"/>
    <row r="24" spans="1:8" ht="20" customHeight="1" x14ac:dyDescent="0.25">
      <c r="D24" s="115" t="s">
        <v>113</v>
      </c>
      <c r="E24" s="115" t="s">
        <v>136</v>
      </c>
      <c r="F24" s="115" t="s">
        <v>137</v>
      </c>
      <c r="G24" s="115" t="s">
        <v>138</v>
      </c>
      <c r="H24" s="115" t="s">
        <v>139</v>
      </c>
    </row>
    <row r="25" spans="1:8" ht="20" customHeight="1" x14ac:dyDescent="0.25">
      <c r="D25" t="str" cm="1">
        <f t="array" ref="D25">Common_InputFunctions.Utility_DisplayArrayInTable(Electricity_SourceData.Electricity_Scope2Scope3MarketBased_Data(), Table_SourceData_ElectricityEFsMarketBased[[#Headers],[State, Territory or grid description]], 0)</f>
        <v>National</v>
      </c>
      <c r="E25" cm="1">
        <f t="array" ref="E25">Common_InputFunctions.Utility_DisplayArrayInTable(Electricity_SourceData.Electricity_Scope2Scope3MarketBased_Data(), Table_SourceData_ElectricityEFsMarketBased[[#Headers],[State, Territory or grid description]], 0)</f>
        <v>0.81</v>
      </c>
      <c r="F25" cm="1">
        <f t="array" ref="F25">Common_InputFunctions.Utility_DisplayArrayInTable(Electricity_SourceData.Electricity_Scope2Scope3MarketBased_Data(), Table_SourceData_ElectricityEFsMarketBased[[#Headers],[State, Territory or grid description]], 0)</f>
        <v>226</v>
      </c>
      <c r="G25" cm="1">
        <f t="array" ref="G25">Common_InputFunctions.Utility_DisplayArrayInTable(Electricity_SourceData.Electricity_Scope2Scope3MarketBased_Data(), Table_SourceData_ElectricityEFsMarketBased[[#Headers],[State, Territory or grid description]], 0)</f>
        <v>0.1</v>
      </c>
      <c r="H25" cm="1">
        <f t="array" ref="H25">Common_InputFunctions.Utility_DisplayArrayInTable(Electricity_SourceData.Electricity_Scope2Scope3MarketBased_Data(), Table_SourceData_ElectricityEFsMarketBased[[#Headers],[State, Territory or grid description]], 0)</f>
        <v>29</v>
      </c>
    </row>
    <row r="26" spans="1:8" ht="20" customHeight="1" x14ac:dyDescent="0.25"/>
    <row r="27" spans="1:8" ht="20" customHeight="1" x14ac:dyDescent="0.25"/>
    <row r="28" spans="1:8" ht="20" customHeight="1" x14ac:dyDescent="0.25"/>
    <row r="29" spans="1:8" ht="20" customHeight="1" x14ac:dyDescent="0.25"/>
    <row r="30" spans="1:8" ht="20" customHeight="1" x14ac:dyDescent="0.25"/>
    <row r="31" spans="1:8" ht="20" customHeight="1" x14ac:dyDescent="0.25"/>
    <row r="32" spans="1:8"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row r="46" ht="20" customHeight="1" x14ac:dyDescent="0.25"/>
    <row r="47" ht="20" customHeight="1" x14ac:dyDescent="0.25"/>
    <row r="48" ht="20" customHeight="1" x14ac:dyDescent="0.25"/>
    <row r="49" ht="20" customHeight="1" x14ac:dyDescent="0.25"/>
    <row r="50" ht="20" customHeight="1" x14ac:dyDescent="0.25"/>
    <row r="51" ht="20" customHeight="1" x14ac:dyDescent="0.25"/>
    <row r="52" ht="20" customHeight="1" x14ac:dyDescent="0.25"/>
    <row r="53" ht="20" customHeight="1" x14ac:dyDescent="0.25"/>
    <row r="54" ht="20" customHeight="1" x14ac:dyDescent="0.25"/>
    <row r="55" ht="20" customHeight="1" x14ac:dyDescent="0.25"/>
    <row r="56" ht="20" customHeight="1" x14ac:dyDescent="0.25"/>
    <row r="57" ht="20" customHeight="1" x14ac:dyDescent="0.25"/>
    <row r="58" ht="20" customHeight="1" x14ac:dyDescent="0.25"/>
    <row r="59" ht="20" customHeight="1" x14ac:dyDescent="0.25"/>
    <row r="60" ht="20" customHeight="1" x14ac:dyDescent="0.25"/>
    <row r="61" ht="20" customHeight="1" x14ac:dyDescent="0.25"/>
    <row r="62" ht="20" customHeight="1" x14ac:dyDescent="0.25"/>
    <row r="63" ht="20" customHeight="1" x14ac:dyDescent="0.25"/>
    <row r="64"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row r="88" ht="20" customHeight="1" x14ac:dyDescent="0.25"/>
    <row r="89" ht="20" customHeight="1" x14ac:dyDescent="0.25"/>
    <row r="90" ht="20" customHeight="1" x14ac:dyDescent="0.25"/>
    <row r="91" ht="20" customHeight="1" x14ac:dyDescent="0.25"/>
    <row r="92" ht="20" customHeight="1" x14ac:dyDescent="0.25"/>
    <row r="93" ht="20" customHeight="1" x14ac:dyDescent="0.25"/>
    <row r="94" ht="20" customHeight="1" x14ac:dyDescent="0.25"/>
    <row r="95" ht="20" customHeight="1" x14ac:dyDescent="0.25"/>
    <row r="96"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row r="116" ht="20" customHeight="1" x14ac:dyDescent="0.25"/>
    <row r="117" ht="20" customHeight="1" x14ac:dyDescent="0.25"/>
    <row r="118" ht="20" customHeight="1" x14ac:dyDescent="0.25"/>
    <row r="119" ht="20" customHeight="1" x14ac:dyDescent="0.25"/>
    <row r="120" ht="20" customHeight="1" x14ac:dyDescent="0.25"/>
    <row r="121" ht="20" customHeight="1" x14ac:dyDescent="0.25"/>
    <row r="122" ht="20" customHeight="1" x14ac:dyDescent="0.25"/>
    <row r="123" ht="20" customHeight="1" x14ac:dyDescent="0.25"/>
    <row r="124" ht="20" customHeight="1" x14ac:dyDescent="0.25"/>
    <row r="125" ht="20" customHeight="1" x14ac:dyDescent="0.25"/>
    <row r="126" ht="20" customHeight="1" x14ac:dyDescent="0.25"/>
    <row r="127" ht="20" customHeight="1" x14ac:dyDescent="0.25"/>
    <row r="128" ht="20" customHeight="1" x14ac:dyDescent="0.25"/>
    <row r="129" ht="20" customHeight="1" x14ac:dyDescent="0.25"/>
    <row r="130" ht="20" customHeight="1" x14ac:dyDescent="0.25"/>
    <row r="131" ht="20" customHeight="1" x14ac:dyDescent="0.25"/>
    <row r="132" ht="20" customHeight="1" x14ac:dyDescent="0.25"/>
    <row r="133" ht="20" customHeight="1" x14ac:dyDescent="0.25"/>
    <row r="134" ht="20" customHeight="1" x14ac:dyDescent="0.25"/>
    <row r="135" ht="20" customHeight="1" x14ac:dyDescent="0.25"/>
    <row r="136" ht="20" customHeight="1" x14ac:dyDescent="0.25"/>
    <row r="137" ht="20" customHeight="1" x14ac:dyDescent="0.25"/>
    <row r="138" ht="20" customHeight="1" x14ac:dyDescent="0.25"/>
    <row r="139" ht="20" customHeight="1" x14ac:dyDescent="0.25"/>
    <row r="140" ht="20" customHeight="1" x14ac:dyDescent="0.25"/>
    <row r="141" ht="20" customHeight="1" x14ac:dyDescent="0.25"/>
    <row r="142" ht="20" customHeight="1" x14ac:dyDescent="0.25"/>
    <row r="143" ht="20" customHeight="1" x14ac:dyDescent="0.25"/>
    <row r="144" ht="20" customHeight="1" x14ac:dyDescent="0.25"/>
    <row r="145" ht="20" customHeight="1" x14ac:dyDescent="0.25"/>
    <row r="146" ht="20" customHeight="1" x14ac:dyDescent="0.25"/>
    <row r="147" ht="20" customHeight="1" x14ac:dyDescent="0.25"/>
    <row r="148" ht="20" customHeight="1" x14ac:dyDescent="0.25"/>
    <row r="149" ht="20" customHeight="1" x14ac:dyDescent="0.25"/>
    <row r="150" ht="20" customHeight="1" x14ac:dyDescent="0.25"/>
    <row r="151" ht="20" customHeight="1" x14ac:dyDescent="0.25"/>
    <row r="152" ht="20" customHeight="1" x14ac:dyDescent="0.25"/>
    <row r="153" ht="20" customHeight="1" x14ac:dyDescent="0.25"/>
    <row r="154" ht="20" customHeight="1" x14ac:dyDescent="0.25"/>
    <row r="155" ht="20" customHeight="1" x14ac:dyDescent="0.25"/>
    <row r="156" ht="20" customHeight="1" x14ac:dyDescent="0.25"/>
    <row r="157" ht="20" customHeight="1" x14ac:dyDescent="0.25"/>
    <row r="158" ht="20" customHeight="1" x14ac:dyDescent="0.25"/>
    <row r="159" ht="20" customHeight="1" x14ac:dyDescent="0.25"/>
    <row r="160" ht="20" customHeight="1" x14ac:dyDescent="0.25"/>
    <row r="161" ht="20" customHeight="1" x14ac:dyDescent="0.25"/>
    <row r="162" ht="20" customHeight="1" x14ac:dyDescent="0.25"/>
    <row r="163" ht="20" customHeight="1" x14ac:dyDescent="0.25"/>
    <row r="164" ht="20" customHeight="1" x14ac:dyDescent="0.25"/>
    <row r="165" ht="20" customHeight="1" x14ac:dyDescent="0.25"/>
  </sheetData>
  <phoneticPr fontId="21"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A86A-1A91-43DF-96F6-576688FCCF2C}">
  <sheetPr>
    <tabColor theme="2" tint="-0.499984740745262"/>
  </sheetPr>
  <dimension ref="A1:BY297"/>
  <sheetViews>
    <sheetView showGridLines="0" topLeftCell="A239" zoomScaleNormal="100" workbookViewId="0">
      <selection activeCell="I279" sqref="I279"/>
    </sheetView>
  </sheetViews>
  <sheetFormatPr defaultColWidth="9.140625" defaultRowHeight="20" x14ac:dyDescent="0.25" customHeight="1"/>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45</v>
      </c>
    </row>
    <row r="2" spans="1:65" s="9" customFormat="1" ht="20" customHeight="1" x14ac:dyDescent="0.25">
      <c r="A2"/>
    </row>
    <row r="3" spans="1:65" ht="20" customHeight="1" x14ac:dyDescent="0.25">
      <c r="A3" s="14" t="str">
        <f>HYPERLINK("#'Home'!A1", "Home")</f>
        <v>Home</v>
      </c>
      <c r="C3" s="4"/>
      <c r="D3" s="4"/>
      <c r="E3" s="4"/>
      <c r="F3" s="4"/>
      <c r="G3" s="4"/>
      <c r="H3" s="4"/>
      <c r="I3" s="4"/>
      <c r="J3" s="4"/>
      <c r="K3" s="4"/>
      <c r="L3" s="4"/>
      <c r="M3" s="4"/>
      <c r="N3" s="4"/>
      <c r="O3" s="4"/>
      <c r="P3" s="4"/>
      <c r="Q3" s="4"/>
      <c r="R3" s="4"/>
      <c r="S3" s="4"/>
      <c r="T3" s="4"/>
      <c r="U3" s="4"/>
      <c r="V3" s="10"/>
      <c r="W3" s="10"/>
    </row>
    <row r="4" spans="1:65" ht="20" customHeight="1" x14ac:dyDescent="0.25">
      <c r="A4"/>
      <c r="BM4" s="3"/>
    </row>
    <row r="5" spans="1:65" ht="20" customHeight="1" x14ac:dyDescent="0.25">
      <c r="A5"/>
      <c r="D5" s="6" t="str" cm="1">
        <f t="array" ref="D5">Common_SourceData.Common_SourceData_AustralianStatesTerritories_Title()</f>
        <v>Australian states and territories</v>
      </c>
      <c r="BM5" s="3"/>
    </row>
    <row r="6" spans="1:65" ht="20" customHeight="1" x14ac:dyDescent="0.25">
      <c r="A6" s="119" t="s">
        <v>1</v>
      </c>
      <c r="D6" s="26" t="s">
        <v>5</v>
      </c>
      <c r="E6" s="26" t="s">
        <v>6</v>
      </c>
      <c r="F6" s="26" t="s">
        <v>7</v>
      </c>
    </row>
    <row r="7" spans="1:65" ht="20" customHeight="1" x14ac:dyDescent="0.25">
      <c r="A7" s="57" t="str">
        <f>HYPERLINK("#'Constants - Common'!A1", "Constants - Common")</f>
        <v>Constants - Common</v>
      </c>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 customHeight="1" x14ac:dyDescent="0.25">
      <c r="A8" s="14" t="str">
        <f>HYPERLINK("#'Acknowledgements'!A1", "Acknowledgements")</f>
        <v>Acknowledgements</v>
      </c>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3"/>
    </row>
    <row r="12" spans="1:65" ht="20"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3"/>
    </row>
    <row r="13" spans="1:65" ht="20"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6" t="str" cm="1">
        <f t="array" ref="D18">Common_SourceData.Common_SourceData_WASA4Areas_Title()</f>
        <v>ABS Statistcal Areas Level 4 - Western Australia</v>
      </c>
    </row>
    <row r="19" spans="1:4" ht="20" customHeight="1" x14ac:dyDescent="0.25">
      <c r="A19"/>
      <c r="D19" s="5" t="str" cm="1">
        <f t="array" ref="D19">Common_SourceData.Common_SourceData_WASA4Areas_Source()</f>
        <v>Australian Bureau of Statistics (ABS) - Statistical Areas Level 2 - 2021 - Shapefile</v>
      </c>
    </row>
    <row r="20" spans="1:4" ht="20" customHeight="1" x14ac:dyDescent="0.25">
      <c r="A20"/>
      <c r="D20" s="26" t="s">
        <v>8</v>
      </c>
    </row>
    <row r="21" spans="1:4" ht="20" customHeight="1" x14ac:dyDescent="0.25">
      <c r="A21"/>
      <c r="D21" s="26" t="str" cm="1">
        <f t="array" ref="D21">Common_InputFunctions.Utility_DisplayArrayInTable(Common_SourceData.Common_SourceData_WASA4Areas_Data(), Table_WASA4Areas[[#Headers],[SA 4 Name]], 0)</f>
        <v>Bunbury</v>
      </c>
    </row>
    <row r="22" spans="1:4" ht="20" customHeight="1" x14ac:dyDescent="0.25">
      <c r="A22"/>
      <c r="D22" s="26" t="str" cm="1">
        <f t="array" ref="D22">Common_InputFunctions.Utility_DisplayArrayInTable(Common_SourceData.Common_SourceData_WASA4Areas_Data(), Table_WASA4Areas[[#Headers],[SA 4 Name]], 0)</f>
        <v>Mandurah</v>
      </c>
    </row>
    <row r="23" spans="1:4" ht="20" customHeight="1" x14ac:dyDescent="0.25">
      <c r="A23"/>
      <c r="D23" s="26" t="str" cm="1">
        <f t="array" ref="D23">Common_InputFunctions.Utility_DisplayArrayInTable(Common_SourceData.Common_SourceData_WASA4Areas_Data(), Table_WASA4Areas[[#Headers],[SA 4 Name]], 0)</f>
        <v>Perth - Inner</v>
      </c>
    </row>
    <row r="24" spans="1:4" ht="20" customHeight="1" x14ac:dyDescent="0.25">
      <c r="A24"/>
      <c r="D24" s="26" t="str" cm="1">
        <f t="array" ref="D24">Common_InputFunctions.Utility_DisplayArrayInTable(Common_SourceData.Common_SourceData_WASA4Areas_Data(), Table_WASA4Areas[[#Headers],[SA 4 Name]], 0)</f>
        <v>Perth - North East</v>
      </c>
    </row>
    <row r="25" spans="1:4" ht="20" customHeight="1" x14ac:dyDescent="0.25">
      <c r="A25"/>
      <c r="D25" s="26" t="str" cm="1">
        <f t="array" ref="D25">Common_InputFunctions.Utility_DisplayArrayInTable(Common_SourceData.Common_SourceData_WASA4Areas_Data(), Table_WASA4Areas[[#Headers],[SA 4 Name]], 0)</f>
        <v>Perth - North West</v>
      </c>
    </row>
    <row r="26" spans="1:4" ht="20" customHeight="1" x14ac:dyDescent="0.25">
      <c r="A26"/>
      <c r="D26" s="26" t="str" cm="1">
        <f t="array" ref="D26">Common_InputFunctions.Utility_DisplayArrayInTable(Common_SourceData.Common_SourceData_WASA4Areas_Data(), Table_WASA4Areas[[#Headers],[SA 4 Name]], 0)</f>
        <v>Perth - South East</v>
      </c>
    </row>
    <row r="27" spans="1:4" ht="20" customHeight="1" x14ac:dyDescent="0.25">
      <c r="A27"/>
      <c r="D27" s="26" t="str" cm="1">
        <f t="array" ref="D27">Common_InputFunctions.Utility_DisplayArrayInTable(Common_SourceData.Common_SourceData_WASA4Areas_Data(), Table_WASA4Areas[[#Headers],[SA 4 Name]], 0)</f>
        <v>Perth - South West</v>
      </c>
    </row>
    <row r="28" spans="1:4" ht="20" customHeight="1" x14ac:dyDescent="0.25">
      <c r="A28"/>
      <c r="D28" s="26" t="str" cm="1">
        <f t="array" ref="D28">Common_InputFunctions.Utility_DisplayArrayInTable(Common_SourceData.Common_SourceData_WASA4Areas_Data(), Table_WASA4Areas[[#Headers],[SA 4 Name]], 0)</f>
        <v>Western Australia - Wheat Belt</v>
      </c>
    </row>
    <row r="29" spans="1:4" ht="20" customHeight="1" x14ac:dyDescent="0.25">
      <c r="A29"/>
      <c r="D29" s="26" t="str" cm="1">
        <f t="array" ref="D29">Common_InputFunctions.Utility_DisplayArrayInTable(Common_SourceData.Common_SourceData_WASA4Areas_Data(), Table_WASA4Areas[[#Headers],[SA 4 Name]], 0)</f>
        <v>Western Australia - Outback (North)</v>
      </c>
    </row>
    <row r="30" spans="1:4" ht="20" customHeight="1" x14ac:dyDescent="0.25">
      <c r="A30"/>
      <c r="D30" s="26"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6" t="str" cm="1">
        <f t="array" ref="D34">Common_SourceData.Common_SourceData_GWP_Title()</f>
        <v>Global warming potential for greenhouse gases</v>
      </c>
    </row>
    <row r="35" spans="1:8" ht="20" customHeight="1" x14ac:dyDescent="0.25">
      <c r="A35"/>
      <c r="D35" s="5" t="str" cm="1">
        <f t="array" ref="D35">Common_SourceData.Common_SourceData_GWP_Source()</f>
        <v>XXXXXXX</v>
      </c>
    </row>
    <row r="36" spans="1:8" ht="20" customHeight="1" x14ac:dyDescent="0.25">
      <c r="A36"/>
      <c r="D36" s="26" t="s">
        <v>10</v>
      </c>
      <c r="E36" s="26" t="s">
        <v>11</v>
      </c>
    </row>
    <row r="37" spans="1:8" ht="20"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 customHeight="1" x14ac:dyDescent="0.25">
      <c r="A42"/>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 customHeight="1" x14ac:dyDescent="0.25">
      <c r="A43"/>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6" t="str" cm="1">
        <f t="array" ref="D45">Common_SourceData.Common_SourceData_ConvertGasElementalToMolecular_Title()</f>
        <v>Factor to convert elemental mass of gas to molecular mass</v>
      </c>
    </row>
    <row r="46" spans="1:8" ht="20" customHeight="1" x14ac:dyDescent="0.25">
      <c r="A46"/>
      <c r="D46" s="5" t="str" cm="1">
        <f t="array" ref="D46">Common_SourceData.Common_SourceData_ConvertGasElementalToMolecular_Source()</f>
        <v>XXXXXXX</v>
      </c>
    </row>
    <row r="47" spans="1:8" ht="20" customHeight="1" x14ac:dyDescent="0.25">
      <c r="A47"/>
      <c r="D47" s="26" t="s">
        <v>10</v>
      </c>
      <c r="E47" s="26" t="s">
        <v>13</v>
      </c>
      <c r="F47" s="26" t="s">
        <v>14</v>
      </c>
      <c r="G47" s="26" t="s">
        <v>15</v>
      </c>
      <c r="H47" s="26" t="s">
        <v>16</v>
      </c>
    </row>
    <row r="48" spans="1:8" ht="20" customHeight="1" x14ac:dyDescent="0.25">
      <c r="A48"/>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1:8" ht="20" customHeight="1" x14ac:dyDescent="0.25">
      <c r="A49"/>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1:8" ht="20" customHeight="1" x14ac:dyDescent="0.25">
      <c r="A50"/>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1:8" ht="20" customHeight="1" x14ac:dyDescent="0.25">
      <c r="A51"/>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1:8" ht="20" customHeight="1" x14ac:dyDescent="0.25">
      <c r="A52"/>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1:8" ht="20" customHeight="1" x14ac:dyDescent="0.25">
      <c r="A53"/>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1:8" ht="20" customHeight="1" x14ac:dyDescent="0.25">
      <c r="A54"/>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6" t="str" cm="1">
        <f t="array" ref="D57">Common_SourceData.Common_SourceData_WetAndDryZones_Title()</f>
        <v>VEERG Australian wet and dry zones</v>
      </c>
    </row>
    <row r="58" spans="1:8" ht="20" customHeight="1" x14ac:dyDescent="0.25">
      <c r="A58"/>
      <c r="D58" s="5" t="str" cm="1">
        <f t="array" ref="D58">Common_SourceData.Common_SourceData_WetAndDryZones_Source()</f>
        <v>VEERG 2026: Table 1.2: Translating climate zones to wet and dry zones</v>
      </c>
    </row>
    <row r="59" spans="1:8" ht="20" customHeight="1" x14ac:dyDescent="0.25">
      <c r="A59"/>
      <c r="D59" s="31" t="str" cm="1">
        <f t="array" ref="D59:D61">"⚠️" &amp; Common_SourceData.Common_SourceData_WetAndDryZones_Variation()</f>
        <v>⚠️VARIATION OF SOURCE DATA:</v>
      </c>
    </row>
    <row r="60" spans="1:8" ht="20" customHeight="1" x14ac:dyDescent="0.25">
      <c r="A60"/>
      <c r="D60" s="31" t="str">
        <v>⚠️Added warm / cool temperate moist / dry - low frost and high temp classes to accommodate climate scenarios excluded by VEERG criteria.</v>
      </c>
    </row>
    <row r="61" spans="1:8" ht="20" customHeight="1" x14ac:dyDescent="0.25">
      <c r="A61"/>
      <c r="D61" s="31" t="str">
        <v>⚠️Fixed typo - Changed 'Fry' to 'Dry'.</v>
      </c>
    </row>
    <row r="62" spans="1:8" ht="20" customHeight="1" x14ac:dyDescent="0.25">
      <c r="A62"/>
    </row>
    <row r="63" spans="1:8" ht="20" customHeight="1" x14ac:dyDescent="0.25">
      <c r="A63"/>
      <c r="D63" s="26" t="s">
        <v>3</v>
      </c>
      <c r="E63" s="26" t="s">
        <v>30</v>
      </c>
    </row>
    <row r="64" spans="1:8" ht="20" customHeight="1" x14ac:dyDescent="0.25">
      <c r="A64"/>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1:5" ht="20" customHeight="1" x14ac:dyDescent="0.25">
      <c r="A6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1:5" ht="20" customHeight="1" x14ac:dyDescent="0.25">
      <c r="A66"/>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1:5" ht="20" customHeight="1" x14ac:dyDescent="0.25">
      <c r="A67"/>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1:5" ht="20" customHeight="1" x14ac:dyDescent="0.25">
      <c r="A68"/>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1:5" ht="20" customHeight="1" x14ac:dyDescent="0.25">
      <c r="A69"/>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1:5" ht="20" customHeight="1" x14ac:dyDescent="0.25">
      <c r="A70"/>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1:5" ht="20" customHeight="1" x14ac:dyDescent="0.25">
      <c r="A71"/>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1:5" ht="20" customHeight="1" x14ac:dyDescent="0.25">
      <c r="A72"/>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1:5" ht="20" customHeight="1" x14ac:dyDescent="0.25">
      <c r="A73"/>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1:5" ht="20" customHeight="1" x14ac:dyDescent="0.25">
      <c r="A74"/>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1:5" ht="20" customHeight="1" x14ac:dyDescent="0.25">
      <c r="A7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1:5" ht="20" customHeight="1" x14ac:dyDescent="0.25">
      <c r="A76"/>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1:5" ht="20" customHeight="1" x14ac:dyDescent="0.25">
      <c r="A77"/>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6" t="str" cm="1">
        <f t="array" ref="D81">Common_SourceData.Common_SourceData_ClimateZones_Title()</f>
        <v>VEERG Australian climate zones</v>
      </c>
    </row>
    <row r="82" spans="1:20" ht="20" customHeight="1" x14ac:dyDescent="0.25">
      <c r="A82"/>
      <c r="D82" s="5" t="str" cm="1">
        <f t="array" ref="D82">Common_SourceData.Common_SourceData_ClimateZones_Source()</f>
        <v>VEERG 2026: Table 1.3: Climate and Rainfall zone classifications and definitions</v>
      </c>
    </row>
    <row r="83" spans="1:20" ht="20" customHeight="1" x14ac:dyDescent="0.25">
      <c r="A83"/>
      <c r="D83" s="31" t="str" cm="1">
        <f t="array" ref="D83:D87">"⚠️" &amp; Common_SourceData.Common_SourceData_ClimateZones_Variation()</f>
        <v>⚠️VARIATION OF SOURCE DATA:</v>
      </c>
    </row>
    <row r="84" spans="1:20" ht="20" customHeight="1" x14ac:dyDescent="0.25">
      <c r="A84"/>
      <c r="D84" s="31" t="str">
        <v>⚠️Added warm / cool temperate moist / dry - low frost and high temp classes to accommodate climate scenarios excluded by VEERG criteria.</v>
      </c>
    </row>
    <row r="85" spans="1:20" ht="20" customHeight="1" x14ac:dyDescent="0.25">
      <c r="A85"/>
      <c r="D85" s="31" t="str">
        <v>⚠️Fixed typo in MAT value for warm temperate dry - changed 10 to 11.</v>
      </c>
    </row>
    <row r="86" spans="1:20" ht="20" customHeight="1" x14ac:dyDescent="0.25">
      <c r="A86"/>
      <c r="D86" s="31" t="str">
        <v>⚠️Added min and max columns for MAT, MAP, frost days per year, elevation, MAP:PET to calculate zones from real climate data.</v>
      </c>
    </row>
    <row r="87" spans="1:20" ht="20" customHeight="1" x14ac:dyDescent="0.25">
      <c r="A87"/>
      <c r="D87" s="31" t="str">
        <v>⚠️GAF accepts rainfall as a proxy for precipitation.</v>
      </c>
    </row>
    <row r="88" spans="1:20" ht="20" customHeight="1" x14ac:dyDescent="0.25">
      <c r="A88"/>
    </row>
    <row r="89" spans="1:20" ht="20" customHeight="1" x14ac:dyDescent="0.25">
      <c r="A89"/>
      <c r="D89" s="26" t="s">
        <v>3</v>
      </c>
      <c r="E89" s="26" t="s">
        <v>18</v>
      </c>
      <c r="F89" s="26" t="s">
        <v>19</v>
      </c>
      <c r="G89" s="26" t="s">
        <v>20</v>
      </c>
      <c r="H89" s="26" t="s">
        <v>21</v>
      </c>
      <c r="I89" s="26" t="s">
        <v>22</v>
      </c>
      <c r="J89" s="26" t="s">
        <v>23</v>
      </c>
      <c r="K89" s="26" t="s">
        <v>24</v>
      </c>
      <c r="L89" s="26" t="s">
        <v>25</v>
      </c>
      <c r="M89" s="26" t="s">
        <v>26</v>
      </c>
      <c r="N89" s="26" t="s">
        <v>27</v>
      </c>
      <c r="O89" s="26" t="s">
        <v>31</v>
      </c>
      <c r="P89" s="26" t="s">
        <v>28</v>
      </c>
      <c r="Q89" s="26" t="s">
        <v>32</v>
      </c>
      <c r="R89" s="26" t="s">
        <v>29</v>
      </c>
      <c r="S89" s="26" t="s">
        <v>33</v>
      </c>
      <c r="T89" s="26"/>
    </row>
    <row r="90" spans="1:20" ht="20" customHeight="1" x14ac:dyDescent="0.25">
      <c r="A90"/>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1:20" ht="20" customHeight="1" x14ac:dyDescent="0.25">
      <c r="A91"/>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1:20" ht="20" customHeight="1" x14ac:dyDescent="0.25">
      <c r="A92"/>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1:20" ht="20" customHeight="1" x14ac:dyDescent="0.25">
      <c r="A93"/>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1:20" ht="20" customHeight="1" x14ac:dyDescent="0.25">
      <c r="A94"/>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1:20" ht="20" customHeight="1" x14ac:dyDescent="0.25">
      <c r="A9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1:20" ht="20" customHeight="1" x14ac:dyDescent="0.25">
      <c r="A96"/>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1:20" ht="20" customHeight="1" x14ac:dyDescent="0.25">
      <c r="A97"/>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1:20" ht="20" customHeight="1" x14ac:dyDescent="0.25">
      <c r="A98"/>
    </row>
    <row r="99" spans="1:20" ht="20" customHeight="1" x14ac:dyDescent="0.25">
      <c r="A99"/>
      <c r="D99" s="30" t="str" cm="1">
        <f t="array" ref="D99:D102">Common_SourceData.Common_SourceData_ClimateZones_Appendices()</f>
        <v>Note:</v>
      </c>
    </row>
    <row r="100" spans="1:20" ht="20" customHeight="1" x14ac:dyDescent="0.25">
      <c r="A100"/>
      <c r="D100" s="30" t="str">
        <v>MAT = mean annual temperature</v>
      </c>
    </row>
    <row r="101" spans="1:20" ht="20" customHeight="1" x14ac:dyDescent="0.25">
      <c r="A101"/>
      <c r="D101" s="30" t="str">
        <v>MAP = mean annual precipitation</v>
      </c>
    </row>
    <row r="102" spans="1:20" ht="20" customHeight="1" x14ac:dyDescent="0.25">
      <c r="A102"/>
      <c r="D102" s="30" t="str">
        <v>PET = potential evapotranspiration</v>
      </c>
    </row>
    <row r="103" spans="1:20" ht="20" customHeight="1" x14ac:dyDescent="0.25">
      <c r="A103"/>
      <c r="D103" s="30"/>
    </row>
    <row r="104" spans="1:20" ht="20" customHeight="1" x14ac:dyDescent="0.25">
      <c r="A104"/>
    </row>
    <row r="105" spans="1:20" ht="20" customHeight="1" x14ac:dyDescent="0.25">
      <c r="A105"/>
      <c r="D105" s="6" t="str" cm="1">
        <f t="array" ref="D105">Common_SourceData.Common_SourceData_TemperatureZones_Title()</f>
        <v>VEERG Australian temperature zones</v>
      </c>
    </row>
    <row r="106" spans="1:20" ht="20" customHeight="1" x14ac:dyDescent="0.25">
      <c r="A106"/>
      <c r="D106" s="5" t="str" cm="1">
        <f t="array" ref="D106">Common_SourceData.Common_SourceData_TemperatureZones_Source()</f>
        <v>VEERG 2026: Table 1.3: Climate and Rainfall zone classifications and definitions</v>
      </c>
    </row>
    <row r="107" spans="1:20" ht="20" customHeight="1" x14ac:dyDescent="0.25">
      <c r="A107"/>
      <c r="D107" s="31"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6" t="s">
        <v>35</v>
      </c>
      <c r="E109" s="26" t="s">
        <v>18</v>
      </c>
      <c r="F109" s="26" t="s">
        <v>36</v>
      </c>
      <c r="G109" s="26" t="s">
        <v>37</v>
      </c>
    </row>
    <row r="110" spans="1:20" ht="20" customHeight="1" x14ac:dyDescent="0.25">
      <c r="A110"/>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1:20" ht="20" customHeight="1" x14ac:dyDescent="0.25">
      <c r="A111"/>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6" t="str" cm="1">
        <f t="array" ref="D115">Common_SourceData.Common_SourceData_RainfallZones_Title()</f>
        <v>VEERG Australian rainfall zones</v>
      </c>
      <c r="BN115" s="7"/>
    </row>
    <row r="116" spans="1:66" ht="20" customHeight="1" x14ac:dyDescent="0.25">
      <c r="A116"/>
      <c r="D116" s="5" t="str" cm="1">
        <f t="array" ref="D116">Common_SourceData.Common_SourceData_RainfallZones_Source()</f>
        <v>VEERG 2026: Table 1.3: Climate and Rainfall zone classifications and definitions</v>
      </c>
      <c r="BN116" s="7"/>
    </row>
    <row r="117" spans="1:66" ht="20" customHeight="1" x14ac:dyDescent="0.25">
      <c r="A117"/>
      <c r="D117" s="31" t="str" cm="1">
        <f t="array" ref="D117">"⚠️" &amp; Common_SourceData.Common_SourceData_RainfallZones_Variation()</f>
        <v>⚠️VARIATION OF SOURCE DATA: Added extra Rainfall min and Rainfall max columns to calculate zone from real rainfall data.</v>
      </c>
      <c r="BN117" s="7"/>
    </row>
    <row r="118" spans="1:66" ht="20" customHeight="1" x14ac:dyDescent="0.25">
      <c r="A118"/>
      <c r="BN118" s="7"/>
    </row>
    <row r="119" spans="1:66" ht="20" customHeight="1" x14ac:dyDescent="0.25">
      <c r="A119"/>
      <c r="D119" s="26" t="s">
        <v>38</v>
      </c>
      <c r="E119" s="26" t="s">
        <v>39</v>
      </c>
      <c r="F119" s="26" t="s">
        <v>25</v>
      </c>
      <c r="G119" s="26" t="s">
        <v>26</v>
      </c>
      <c r="BN119" s="7"/>
    </row>
    <row r="120" spans="1:66" ht="20" customHeight="1" x14ac:dyDescent="0.25">
      <c r="A120"/>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7"/>
    </row>
    <row r="121" spans="1:66" ht="20" customHeight="1" x14ac:dyDescent="0.25">
      <c r="A121"/>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7"/>
    </row>
    <row r="122" spans="1:66" ht="20" customHeight="1" x14ac:dyDescent="0.25">
      <c r="A122"/>
      <c r="BN122" s="7"/>
    </row>
    <row r="123" spans="1:66" ht="20" customHeight="1" x14ac:dyDescent="0.25">
      <c r="A123"/>
    </row>
    <row r="124" spans="1:66" ht="20" customHeight="1" x14ac:dyDescent="0.25">
      <c r="A124"/>
      <c r="D124" s="6" t="str" cm="1">
        <f t="array" ref="D124">Common_SourceData.Common_SourceData_LeachingZones_Title()</f>
        <v>VEERG Australian leaching zones</v>
      </c>
    </row>
    <row r="125" spans="1:66" ht="20" customHeight="1" x14ac:dyDescent="0.25">
      <c r="A125"/>
      <c r="D125" s="5"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6" t="s">
        <v>40</v>
      </c>
      <c r="E127" s="26" t="s">
        <v>41</v>
      </c>
    </row>
    <row r="128" spans="1:66" ht="20" customHeight="1" x14ac:dyDescent="0.25">
      <c r="A128"/>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6" t="str" cm="1">
        <f t="array" ref="D132">Common_SourceData.Common_SourceData_FracWET_Title()</f>
        <v>Fraction of N that is available for leaching and runoff</v>
      </c>
      <c r="E132" s="18"/>
    </row>
    <row r="133" spans="1:77" ht="20" customHeight="1" x14ac:dyDescent="0.25">
      <c r="A133"/>
      <c r="D133" s="5" t="str" cm="1">
        <f t="array" ref="D133">Common_SourceData.Common_SourceData_FracWET_Source()</f>
        <v>VEERG 2026:5.5.2.3 Constant Parameters</v>
      </c>
      <c r="E133" s="18"/>
    </row>
    <row r="134" spans="1:77" ht="20" customHeight="1" x14ac:dyDescent="0.25">
      <c r="A134"/>
      <c r="D134" t="s">
        <v>46</v>
      </c>
      <c r="E134" t="s">
        <v>47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7"/>
      <c r="BO138" s="7"/>
      <c r="BP138" s="7"/>
      <c r="BQ138" s="7"/>
      <c r="BR138" s="7"/>
      <c r="BS138" s="7"/>
      <c r="BT138" s="7"/>
      <c r="BU138" s="7"/>
      <c r="BV138" s="7"/>
      <c r="BW138" s="7"/>
      <c r="BX138" s="7"/>
      <c r="BY138" s="7"/>
    </row>
    <row r="139" spans="1:77" ht="20"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 customHeight="1" x14ac:dyDescent="0.25">
      <c r="A141"/>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 customHeight="1" x14ac:dyDescent="0.25">
      <c r="A142"/>
      <c r="D142" s="26" t="s">
        <v>56</v>
      </c>
      <c r="E142" s="26" t="s">
        <v>47</v>
      </c>
      <c r="BN142" s="7"/>
    </row>
    <row r="143" spans="1:77" ht="20" customHeight="1" x14ac:dyDescent="0.25">
      <c r="A143"/>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7"/>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7"/>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7"/>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7"/>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7"/>
    </row>
    <row r="148" spans="1:66" ht="20" customHeight="1" x14ac:dyDescent="0.25">
      <c r="A148"/>
      <c r="BN148" s="7"/>
    </row>
    <row r="149" spans="1:66" ht="20" customHeight="1" x14ac:dyDescent="0.25">
      <c r="A149"/>
      <c r="BN149" s="7"/>
    </row>
    <row r="150" spans="1:66" ht="20" customHeight="1" x14ac:dyDescent="0.25">
      <c r="A150"/>
      <c r="D150" s="6" t="str" cm="1">
        <f t="array" ref="D150">Common_SourceData.Common_SourceData_DataScores_Scope3_Title()</f>
        <v>Australian data scores for scope 3</v>
      </c>
      <c r="BN150" s="7"/>
    </row>
    <row r="151" spans="1:66" ht="20" customHeight="1" x14ac:dyDescent="0.25">
      <c r="A151"/>
      <c r="D151" s="5" t="str" cm="1">
        <f t="array" ref="D151">Common_SourceData.Common_SourceData_DataScores_Scope3_Source()</f>
        <v>VEERG 2026: XXXXXXXX</v>
      </c>
      <c r="BN151" s="7"/>
    </row>
    <row r="152" spans="1:66" ht="20" customHeight="1" x14ac:dyDescent="0.25">
      <c r="A152"/>
      <c r="BN152" s="7"/>
    </row>
    <row r="153" spans="1:66" ht="20" customHeight="1" x14ac:dyDescent="0.25">
      <c r="A153"/>
      <c r="D153" s="26" t="s">
        <v>42</v>
      </c>
      <c r="E153" s="26" t="s">
        <v>43</v>
      </c>
      <c r="BC153" s="3"/>
      <c r="BD153" s="3"/>
      <c r="BE153" s="3"/>
      <c r="BF153" s="3"/>
      <c r="BG153" s="3"/>
      <c r="BH153" s="3"/>
      <c r="BI153" s="3"/>
      <c r="BJ153" s="3"/>
      <c r="BK153" s="3"/>
      <c r="BL153" s="3"/>
      <c r="BM153" s="3"/>
    </row>
    <row r="154" spans="1:66" ht="20" customHeight="1" x14ac:dyDescent="0.25">
      <c r="A154"/>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 customHeight="1" x14ac:dyDescent="0.25">
      <c r="A15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 customHeight="1" x14ac:dyDescent="0.25">
      <c r="A156"/>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1:66" ht="20" customHeight="1" x14ac:dyDescent="0.25">
      <c r="A157"/>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1:66" ht="20" customHeight="1" x14ac:dyDescent="0.25">
      <c r="A158"/>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6" t="str" cm="1">
        <f t="array" ref="D161">Common_SourceData.Common_SourceData_FracLEACH_Title()</f>
        <v>Fraction of N that is available for leaching and runoff</v>
      </c>
      <c r="E161" s="18"/>
    </row>
    <row r="162" spans="4:68" ht="20" customHeight="1" x14ac:dyDescent="0.25">
      <c r="D162" s="5" t="str" cm="1">
        <f t="array" ref="D162">Common_SourceData.Common_SourceData_FracLEACH_Source()</f>
        <v>VEERG 2026:5.5.2.3 Constant Parameters</v>
      </c>
      <c r="E162" s="18"/>
    </row>
    <row r="163" spans="4:68" ht="20" customHeight="1" x14ac:dyDescent="0.25">
      <c r="D163" s="5" t="str" cm="1">
        <f t="array" ref="D163">Common_SourceData.Common_SourceData_FracLEACH_NIRReference()</f>
        <v>National Inventory Report Volume 1: Leaching and runoff (3.D.b.2)</v>
      </c>
      <c r="E163" s="18"/>
    </row>
    <row r="164" spans="4:68" ht="20" customHeight="1" x14ac:dyDescent="0.25">
      <c r="D164" s="18" t="str" cm="1">
        <f t="array" ref="D164:E164">Common_SourceData.Common_SourceData_FracLEACH_Data()</f>
        <v>FracLEACH</v>
      </c>
      <c r="E164" s="18">
        <v>0.24</v>
      </c>
    </row>
    <row r="165" spans="4:68" ht="20" customHeight="1" x14ac:dyDescent="0.25">
      <c r="BN165" s="7"/>
      <c r="BO165" s="7"/>
      <c r="BP165" s="7"/>
    </row>
    <row r="166" spans="4:68" ht="20" customHeight="1" x14ac:dyDescent="0.25">
      <c r="BN166" s="7"/>
      <c r="BO166" s="7"/>
      <c r="BP166" s="7"/>
    </row>
    <row r="167" spans="4:68" ht="20" customHeight="1" x14ac:dyDescent="0.25">
      <c r="D167" s="6" t="str" cm="1">
        <f t="array" ref="D167">Common_SourceData.Common_SourceData_EFleach_Title()</f>
        <v>Emission factor for nitrogen leaching and runoff</v>
      </c>
      <c r="BN167" s="7"/>
      <c r="BO167" s="7"/>
      <c r="BP167" s="7"/>
    </row>
    <row r="168" spans="4:68" ht="20" customHeight="1" x14ac:dyDescent="0.25">
      <c r="D168" s="5" t="str" cm="1">
        <f t="array" ref="D168">Common_SourceData.Common_SourceData_EFleach_Source()</f>
        <v>VEERG 2026:5.5.2.3 Constant Parameters</v>
      </c>
      <c r="BN168" s="7"/>
      <c r="BO168" s="7"/>
      <c r="BP168" s="7"/>
    </row>
    <row r="169" spans="4:68" ht="20" customHeight="1" x14ac:dyDescent="0.25">
      <c r="D169" s="5" t="str" cm="1">
        <f t="array" ref="D169">Common_SourceData.Common_SourceData_EFleach_NIRReference()</f>
        <v>National Inventory Report Volume 1: Equation 3.D.B_10</v>
      </c>
      <c r="BN169" s="7"/>
      <c r="BO169" s="7"/>
      <c r="BP169" s="7"/>
    </row>
    <row r="170" spans="4:68" ht="20" customHeight="1" x14ac:dyDescent="0.25">
      <c r="D170" s="1" t="str" cm="1">
        <f t="array" ref="D170:E170">Common_SourceData.Common_SourceData_EFleach_Data()</f>
        <v>EFleach</v>
      </c>
      <c r="E170" s="1">
        <v>1.0999999999999999E-2</v>
      </c>
      <c r="BN170" s="7"/>
      <c r="BO170" s="7"/>
      <c r="BP170" s="7"/>
    </row>
    <row r="171" spans="4:68" ht="20" customHeight="1" x14ac:dyDescent="0.25">
      <c r="BN171" s="7"/>
      <c r="BO171" s="7"/>
      <c r="BP171" s="7"/>
    </row>
    <row r="172" spans="4:68" ht="20" customHeight="1" x14ac:dyDescent="0.25">
      <c r="BN172" s="7"/>
      <c r="BO172" s="7"/>
      <c r="BP172" s="7"/>
    </row>
    <row r="173" spans="4:68" ht="20" customHeight="1" x14ac:dyDescent="0.25">
      <c r="D173" s="6" t="str" cm="1">
        <f t="array" ref="D173">Common_SourceData.Common_SourceData_DensityOfMethane_Title()</f>
        <v>p = density of methane</v>
      </c>
      <c r="BN173" s="7"/>
      <c r="BO173" s="7"/>
      <c r="BP173" s="7"/>
    </row>
    <row r="174" spans="4:68" ht="20" customHeight="1" x14ac:dyDescent="0.25">
      <c r="D174" s="5" t="str" cm="1">
        <f t="array" ref="D174">Common_SourceData.Common_SourceData_DensityOfMethane_Source()</f>
        <v>National Inventory Report 2023 Volume 1: Equations 3.B.1a_2, 3.B.1c_2, 3.B.3_1, 3.B.4g_2</v>
      </c>
      <c r="BN174" s="7"/>
      <c r="BO174" s="7"/>
      <c r="BP174" s="7"/>
    </row>
    <row r="175" spans="4:68" ht="20" customHeight="1" x14ac:dyDescent="0.25">
      <c r="D175" s="1" cm="1">
        <f t="array" ref="D175">Common_SourceData.Common_SourceData_DensityOfMethane_Data()</f>
        <v>0.6784</v>
      </c>
      <c r="E175" s="30" t="str" cm="1">
        <f t="array" ref="E175">Common_SourceData.Common_SourceData_DensityOfMethane_Unit()</f>
        <v>kg/m3</v>
      </c>
      <c r="BN175" s="7"/>
      <c r="BO175" s="7"/>
      <c r="BP175" s="7"/>
    </row>
    <row r="176" spans="4:68" ht="20" customHeight="1" x14ac:dyDescent="0.25">
      <c r="BN176" s="7"/>
      <c r="BO176" s="7"/>
      <c r="BP176" s="7"/>
    </row>
    <row r="177" spans="4:68" ht="20" customHeight="1" x14ac:dyDescent="0.25">
      <c r="BN177" s="7"/>
      <c r="BO177" s="7"/>
      <c r="BP177" s="7"/>
    </row>
    <row r="178" spans="4:68" ht="20" customHeight="1" x14ac:dyDescent="0.25">
      <c r="D178" s="6" t="str" cm="1">
        <f t="array" ref="D178">Common_SourceData.Common_SourceData_EFN2O_Title()</f>
        <v>Nitrous oxide emission factors for inorganic fertiliser application</v>
      </c>
      <c r="BN178" s="7"/>
      <c r="BO178" s="7"/>
      <c r="BP178" s="7"/>
    </row>
    <row r="179" spans="4:68" ht="20" customHeight="1" x14ac:dyDescent="0.25">
      <c r="D179" s="5" t="str" cm="1">
        <f t="array" ref="D179">Common_SourceData.Common_SourceData_EFN2O_Source()</f>
        <v>VEERG 2026: Table A.2.2.1</v>
      </c>
      <c r="BN179" s="7"/>
      <c r="BO179" s="7"/>
      <c r="BP179" s="7"/>
    </row>
    <row r="180" spans="4:68" ht="20" customHeight="1" x14ac:dyDescent="0.25">
      <c r="D180" s="30" t="str" cm="1">
        <f t="array" ref="D180">Common_SourceData.Common_SourceData_EFN2O_Unit()</f>
        <v>(kg N2O-N / kg N</v>
      </c>
    </row>
    <row r="181" spans="4:68" ht="20" customHeight="1" x14ac:dyDescent="0.25">
      <c r="D181" s="31" t="str" cm="1">
        <f t="array" ref="D181:D185">Common_SourceData.Common_SourceData_EFN2O_Variation()</f>
        <v>VARIATION OF SOURCE DATA:</v>
      </c>
    </row>
    <row r="182" spans="4:68" ht="20" customHeight="1" x14ac:dyDescent="0.25">
      <c r="D182" s="31" t="str">
        <v>Removed duplicate 'Aquaculture' row.</v>
      </c>
    </row>
    <row r="183" spans="4:68" ht="20" customHeight="1" x14ac:dyDescent="0.25">
      <c r="D183" s="31" t="str">
        <v>Removed asterisks to aid lookup.</v>
      </c>
    </row>
    <row r="184" spans="4:68" ht="20" customHeight="1" x14ac:dyDescent="0.25">
      <c r="D184" s="31" t="str">
        <v>Added 'production system only', 'rainfall zone' and 'irrigation method' columns to aid lookup.</v>
      </c>
    </row>
    <row r="185" spans="4:68" ht="20" customHeight="1" x14ac:dyDescent="0.25">
      <c r="D185" s="31" t="str">
        <v>Duplicated 'non-irrigated pasture' row with same EF for low and high rainfall zones to aid lookup.</v>
      </c>
    </row>
    <row r="186" spans="4:68" ht="20" customHeight="1" x14ac:dyDescent="0.25">
      <c r="D186" s="26" t="s">
        <v>50</v>
      </c>
      <c r="E186" s="26" t="s">
        <v>51</v>
      </c>
      <c r="F186" s="26" t="s">
        <v>52</v>
      </c>
      <c r="G186" s="26" t="s">
        <v>53</v>
      </c>
      <c r="H186" s="26" t="s">
        <v>17</v>
      </c>
    </row>
    <row r="187" spans="4:68" ht="20"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ht="20" customHeight="1">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ht="20" customHeight="1">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ht="20" customHeight="1">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0" x14ac:dyDescent="0.25" customHeight="1">
      <c r="D202" s="6" t="str" cm="1">
        <f t="array" ref="D202">Common_SourceData.Common_SourceData_EFPastureRangeAndPaddock_Title()</f>
        <v>Emission factor for urine and dung deposited on pasture, range or paddock</v>
      </c>
    </row>
    <row r="203" spans="4:8" x14ac:dyDescent="0.25" ht="20" customHeight="1">
      <c r="D203" s="5" t="str" cm="1">
        <f t="array" ref="D203">Common_SourceData.Common_SourceData_EFPastureRangeAndPaddock_Source()</f>
        <v>VEERG 2026: Table A.2.2.2</v>
      </c>
    </row>
    <row r="204" spans="4:8" x14ac:dyDescent="0.25" ht="20" customHeight="1">
      <c r="D204" s="31" t="str" cm="1">
        <f t="array" ref="D204">Common_SourceData.Common_SourceData_EFPastureRangeAndPaddock_Variation()</f>
        <v>VARIATION FROM SOURCE DATA: Changed 'Dry climate zones' to singular 'Dry climate zone' to aid lookup.</v>
      </c>
    </row>
    <row r="205" spans="4:8" x14ac:dyDescent="0.25" ht="20" customHeight="1">
      <c r="D205" s="30" t="str" cm="1">
        <f t="array" ref="D205">Common_SourceData.Common_SourceData_EFPastureRangeAndPaddock_Unit()</f>
        <v>kg N2O - N / kg N</v>
      </c>
    </row>
    <row r="206" spans="4:8" x14ac:dyDescent="0.25" ht="20" customHeight="1">
      <c r="D206" s="26" t="s">
        <v>3</v>
      </c>
      <c r="E206" s="26" t="s">
        <v>58</v>
      </c>
    </row>
    <row r="207" spans="4:8" x14ac:dyDescent="0.25" ht="20" customHeight="1">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6" t="s">
        <v>55</v>
      </c>
      <c r="E212" s="26" t="s">
        <v>61</v>
      </c>
    </row>
    <row r="213" spans="4:5" x14ac:dyDescent="0.25" ht="20" customHeight="1">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0" x14ac:dyDescent="0.25" customHeight="1">
      <c r="D227" s="6" t="str" cm="1">
        <f t="array" ref="D227">Common_SourceData.Common_SourceData_MCFTemperatureZone_Title()</f>
        <v>Manure Management – Methane conversion factor per temperature zone (fraction) (MCFim)</v>
      </c>
    </row>
    <row r="228" spans="4:19" x14ac:dyDescent="0.25" ht="20" customHeight="1">
      <c r="D228" s="5" t="str" cm="1">
        <f t="array" ref="D228">Common_SourceData.Common_SourceData_MCFTemperatureZone_Source()</f>
        <v>VEERG 2026: Table A.1.8.1</v>
      </c>
    </row>
    <row r="229" spans="4:19" x14ac:dyDescent="0.25" ht="20" customHeight="1">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6" t="s">
        <v>34</v>
      </c>
      <c r="E231" s="26" t="s">
        <v>69</v>
      </c>
      <c r="F231" s="25" t="s">
        <v>70</v>
      </c>
      <c r="G231" s="26" t="s">
        <v>65</v>
      </c>
      <c r="H231" s="26" t="s">
        <v>71</v>
      </c>
      <c r="I231" s="26" t="s">
        <v>72</v>
      </c>
      <c r="J231" s="26" t="s">
        <v>64</v>
      </c>
      <c r="K231" s="26" t="s">
        <v>63</v>
      </c>
      <c r="L231" s="26" t="s">
        <v>73</v>
      </c>
      <c r="M231" s="26" t="s">
        <v>74</v>
      </c>
      <c r="N231" s="26" t="s">
        <v>62</v>
      </c>
      <c r="O231" s="26" t="s">
        <v>75</v>
      </c>
      <c r="P231" s="26" t="s">
        <v>67</v>
      </c>
      <c r="Q231" s="26" t="s">
        <v>68</v>
      </c>
      <c r="R231" s="26" t="s">
        <v>66</v>
      </c>
      <c r="S231" s="26" t="s">
        <v>76</v>
      </c>
    </row>
    <row r="232" spans="4:19" x14ac:dyDescent="0.25" ht="20" customHeight="1">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0" x14ac:dyDescent="0.25" customHeight="1">
      <c r="D253" s="6" t="str" cm="1">
        <f t="array" ref="D253">Common_SourceData.Common_SourceData_EFOrganicFertiliserAndCropResidues_Title()</f>
        <v>Emission factor for organic fertiliser and crop residues returned to the soil</v>
      </c>
    </row>
    <row r="254" spans="4:19" x14ac:dyDescent="0.25" ht="20" customHeight="1">
      <c r="D254" s="5"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30" t="str" cm="1">
        <f t="array" ref="D256">Common_SourceData.Common_SourceData_EFOrganicFertiliserAndCropResidues_Unit()</f>
        <v>kg N2O - N / kg N</v>
      </c>
    </row>
    <row r="257" spans="4:6" x14ac:dyDescent="0.25" ht="20" customHeight="1">
      <c r="D257" s="26" t="s">
        <v>77</v>
      </c>
      <c r="E257" s="26" t="s">
        <v>78</v>
      </c>
    </row>
    <row r="258" spans="4:6" x14ac:dyDescent="0.25" ht="20" customHeight="1">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row r="263" spans="4:6" ht="20" x14ac:dyDescent="0.25" customHeight="1">
      <c r="D263" s="6" t="s">
        <v>157</v>
      </c>
    </row>
    <row r="264" spans="4:6" x14ac:dyDescent="0.25" ht="20" customHeight="1">
      <c r="D264" s="1" t="s">
        <v>158</v>
      </c>
    </row>
    <row r="265" spans="4:6" x14ac:dyDescent="0.25" ht="20" customHeight="1">
      <c r="D265" s="26" t="s">
        <v>122</v>
      </c>
      <c r="E265" s="26" t="s">
        <v>159</v>
      </c>
      <c r="F265" s="26" t="s">
        <v>160</v>
      </c>
    </row>
    <row r="266" spans="4:6" x14ac:dyDescent="0.25" ht="20" customHeight="1">
      <c r="D266" s="26" t="s">
        <v>161</v>
      </c>
      <c r="E266" s="26" t="s">
        <v>162</v>
      </c>
      <c r="F266" s="26">
        <v>5</v>
      </c>
    </row>
    <row r="267" spans="4:6" x14ac:dyDescent="0.25" ht="20" customHeight="1">
      <c r="D267" s="26" t="s">
        <v>163</v>
      </c>
      <c r="E267" s="26" t="s">
        <v>164</v>
      </c>
      <c r="F267" s="26">
        <v>4</v>
      </c>
    </row>
    <row r="268" spans="4:6" x14ac:dyDescent="0.25" ht="20" customHeight="1">
      <c r="D268" s="26" t="s">
        <v>165</v>
      </c>
      <c r="E268" s="26" t="s">
        <v>166</v>
      </c>
      <c r="F268" s="26">
        <v>3</v>
      </c>
    </row>
    <row r="269" spans="4:6" x14ac:dyDescent="0.25" ht="20" customHeight="1">
      <c r="D269" s="26" t="s">
        <v>167</v>
      </c>
      <c r="E269" s="26" t="s">
        <v>168</v>
      </c>
      <c r="F269" s="26">
        <v>2</v>
      </c>
    </row>
    <row r="270" spans="4:6" x14ac:dyDescent="0.25" ht="20" customHeight="1">
      <c r="D270" s="26" t="s">
        <v>169</v>
      </c>
      <c r="E270" s="26" t="s">
        <v>170</v>
      </c>
      <c r="F270" s="26">
        <v>1</v>
      </c>
    </row>
    <row r="273" spans="4:6" x14ac:dyDescent="0.25" ht="20" customHeight="1">
      <c r="D273" s="1" t="s">
        <v>171</v>
      </c>
    </row>
    <row r="274" spans="4:6" x14ac:dyDescent="0.25" ht="20" customHeight="1">
      <c r="D274" s="26" t="s">
        <v>122</v>
      </c>
      <c r="E274" s="26" t="s">
        <v>159</v>
      </c>
      <c r="F274" s="26" t="s">
        <v>160</v>
      </c>
    </row>
    <row r="275" spans="4:6" x14ac:dyDescent="0.25" ht="20" customHeight="1">
      <c r="D275" s="26" t="s">
        <v>172</v>
      </c>
      <c r="E275" s="26" t="s">
        <v>173</v>
      </c>
      <c r="F275" s="26">
        <v>5</v>
      </c>
    </row>
    <row r="276" spans="4:6" x14ac:dyDescent="0.25" ht="20" customHeight="1">
      <c r="D276" s="26" t="s">
        <v>174</v>
      </c>
      <c r="E276" s="26" t="s">
        <v>175</v>
      </c>
      <c r="F276" s="26">
        <v>4</v>
      </c>
    </row>
    <row r="277" spans="4:6" x14ac:dyDescent="0.25" ht="20" customHeight="1">
      <c r="D277" s="26" t="s">
        <v>176</v>
      </c>
      <c r="E277" s="26" t="s">
        <v>177</v>
      </c>
      <c r="F277" s="26">
        <v>3</v>
      </c>
    </row>
    <row r="278" spans="4:6" x14ac:dyDescent="0.25" ht="20" customHeight="1">
      <c r="D278" s="26" t="s">
        <v>178</v>
      </c>
      <c r="E278" s="26" t="s">
        <v>179</v>
      </c>
      <c r="F278" s="26">
        <v>2</v>
      </c>
    </row>
    <row r="279" spans="4:6" x14ac:dyDescent="0.25" ht="20" customHeight="1">
      <c r="D279" s="26" t="s">
        <v>180</v>
      </c>
      <c r="E279" s="26" t="s">
        <v>181</v>
      </c>
      <c r="F279" s="26">
        <v>1</v>
      </c>
    </row>
    <row r="282" spans="4:6" x14ac:dyDescent="0.25" ht="20" customHeight="1">
      <c r="D282" s="1" t="s">
        <v>182</v>
      </c>
    </row>
    <row r="283" spans="4:6" x14ac:dyDescent="0.25" ht="20" customHeight="1">
      <c r="D283" s="26" t="s">
        <v>122</v>
      </c>
      <c r="E283" s="26" t="s">
        <v>159</v>
      </c>
      <c r="F283" s="26" t="s">
        <v>160</v>
      </c>
    </row>
    <row r="284" spans="4:6" x14ac:dyDescent="0.25" ht="20" customHeight="1">
      <c r="D284" s="26" t="s">
        <v>183</v>
      </c>
      <c r="E284" s="26" t="s">
        <v>184</v>
      </c>
      <c r="F284" s="26">
        <v>5</v>
      </c>
    </row>
    <row r="285" spans="4:6" x14ac:dyDescent="0.25" ht="20" customHeight="1">
      <c r="D285" s="26" t="s">
        <v>185</v>
      </c>
      <c r="E285" s="26" t="s">
        <v>186</v>
      </c>
      <c r="F285" s="26">
        <v>4</v>
      </c>
    </row>
    <row r="286" spans="4:6" x14ac:dyDescent="0.25" ht="20" customHeight="1">
      <c r="D286" s="26" t="s">
        <v>187</v>
      </c>
      <c r="E286" s="26" t="s">
        <v>188</v>
      </c>
      <c r="F286" s="26">
        <v>3</v>
      </c>
    </row>
    <row r="287" spans="4:6" x14ac:dyDescent="0.25" ht="20" customHeight="1">
      <c r="D287" s="26" t="s">
        <v>189</v>
      </c>
      <c r="E287" s="26" t="s">
        <v>190</v>
      </c>
      <c r="F287" s="26">
        <v>2</v>
      </c>
    </row>
    <row r="288" spans="4:6" x14ac:dyDescent="0.25" ht="20" customHeight="1">
      <c r="D288" s="26" t="s">
        <v>191</v>
      </c>
      <c r="E288" s="26" t="s">
        <v>192</v>
      </c>
      <c r="F288" s="26">
        <v>1</v>
      </c>
    </row>
    <row r="291" spans="4:6" x14ac:dyDescent="0.25" ht="20" customHeight="1">
      <c r="D291" s="1" t="s">
        <v>193</v>
      </c>
    </row>
    <row r="292" spans="4:6" x14ac:dyDescent="0.25" ht="20" customHeight="1">
      <c r="D292" s="26" t="s">
        <v>122</v>
      </c>
      <c r="E292" s="26" t="s">
        <v>159</v>
      </c>
      <c r="F292" s="26" t="s">
        <v>160</v>
      </c>
    </row>
    <row r="293" spans="4:6" x14ac:dyDescent="0.25" ht="20" customHeight="1">
      <c r="D293" s="26" t="s">
        <v>194</v>
      </c>
      <c r="E293" s="26" t="s">
        <v>195</v>
      </c>
      <c r="F293" s="26">
        <v>5</v>
      </c>
    </row>
    <row r="294" spans="4:6" x14ac:dyDescent="0.25" ht="20" customHeight="1">
      <c r="D294" s="26" t="s">
        <v>196</v>
      </c>
      <c r="E294" s="26" t="s">
        <v>197</v>
      </c>
      <c r="F294" s="26">
        <v>4</v>
      </c>
    </row>
    <row r="295" spans="4:6" x14ac:dyDescent="0.25" ht="20" customHeight="1">
      <c r="D295" s="26" t="s">
        <v>198</v>
      </c>
      <c r="E295" s="26" t="s">
        <v>199</v>
      </c>
      <c r="F295" s="26">
        <v>3</v>
      </c>
    </row>
    <row r="296" spans="4:6" x14ac:dyDescent="0.25" ht="20" customHeight="1">
      <c r="D296" s="26" t="s">
        <v>200</v>
      </c>
      <c r="E296" s="26" t="s">
        <v>201</v>
      </c>
      <c r="F296" s="26">
        <v>2</v>
      </c>
    </row>
    <row r="297" spans="4:6" x14ac:dyDescent="0.25" ht="20" customHeight="1">
      <c r="D297" s="26" t="s">
        <v>202</v>
      </c>
      <c r="E297" s="26" t="s">
        <v>203</v>
      </c>
      <c r="F297" s="26">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FAGwAZQBjAHQAcgBpAGMAaQB0AHkAXwBTAG8AdQByAGMAZQBEAGEAdABhACIALAAiAHQAZQB4AHQAIgA6ACIALwAqAFwAbgA9AD0APQA9AD0APQA9AD0APQA9AD0APQA9AD0APQA9AD0APQA9AD0APQA9AD0APQA9AD0APQA9AD0APQA9AD0APQA9AD0APQA9AD0APQA9AD0APQA9AD0APQA9AD0APQA9AD0APQA9AD0APQA9AD0APQA9AD0APQA9AD0APQA9AD0APQA9AD0APQA9AD0APQA9AD0APQA9AFwAbgBJAG4AZABpAHIAZQBjAHQAIAAoAHMAYwBvAHAAZQAgADIAIABhAG4AZAAgAHMAYwBvAHAAZQAgADMAKQAgAGwAbwBjAGEAdABpAG8AbgAtAGIAYQBzAGUAZAAgAGUAbQBpAHMAcwBpAG8AbgAgAGYAYQBjAHQAbwByAHMAIABhAHMAcwBvAGMAaQBhAHQAZQBkACAAdwBpAHQAaAAgAHQAaABlACAAYwBvAG4AcwB1AG0AcAB0AGkAbwBuACAAYQBuAGQAIABsAG8AcwBzAGUAcwAgAG8AZgAgAHAAdQByAGMAaABhAHMAZQBkACAAbwByACAAYQBjAHEAdQBpAHIAZQBkACAAZQBsAGUAYwB0AHIAaQBjAGkAdAB5ACA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wAbwBjAGEAdABpAG8AbgBCAGEAcwBlAGQAXwBUAGkAdABsAGUAXABuAD0ATABBAE0AQgBEAEEAKAAoAFwAIgBFAGwAZQBjAHQAcgBpAGMAaQB0AHkAIABzAGMAbwBwAGUAIAAyACAAYQBuAGQAIABzAGMAbwBwAGUAIAAzACAAbABvAGMAYQB0AGkAbwBuAC0AYgBhAHMAZQBkACAAZQBtAGkAcwBzAGkAbwBuACAAZgBhAGMAdABvAHIAcwBcACIAKQApADsAXABuAFwAbgBFAGwAZQBjAHQAcgBpAGMAaQB0AHkAXwBTAGMAbwBwAGUAMgBMAG8AYwBhAHQAaQBvAG4AQgBhAHMAZQBkAF8ARABlAHMAYwByAGkAcAB0AGkAbwBuAFwAbgA9AEwAQQBNAEIARABBACgAKABcACI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BcACIAKQApADsAXABuAFwAbgBFAGwAZQBjAHQAcgBpAGMAaQB0AHkAXwBTAGMAbwBwAGUAMgBTAGMAbwBwAGUAMwBMAG8AYwBhAHQAaQBvAG4AQgBhAHMAZQBkAF8AUwBvAHUAcgBjAGUAXABuAD0ATABBAE0AQgBEAEEAKAAoAFwAIgBBAHUAcwB0AHIAYQBsAGkAYQBuACAATgBhAHQAaQBvAG4AYQBsACAARwByAGUAZQBuAGgAbwB1AHMAZQAgAEEAYwBjAG8AdQBuAHQAcwAgAEYAYQBjAHQAbwByAHMAIAAyADAAMgA1ACAALQAgAFQAYQBiAGwAZQAgADEAXAAiACkAKQA7AFwAbgBcAG4ARQBsAGUAYwB0AHIAaQBjAGkAdAB5AF8AUwBjAG8AcABlADIAUwBjAG8AcABlADMATABvAGMAYQB0AGkAbwBuAEIAYQBzAGUAZABfAEQAYQB0AGEAXABuAD0ATABBAE0AQgBEAEEAKABcAG4AIAAgAE0AQQBLAEUAQQBSAFIAQQBZACgAMQAxACwAIAAzACwAXABuACAAIAAgACAATABBAE0AQgBEAEEAKAByACwAYwAsAFwAbgAgACAAIAAgACAAIABJAE4ARABFAFgAKAB7AFwAbgAgACAAIAAgACAAIAAgACAAXAAiAFMAdABhAHQAZQAsACAAVABlAHIAcgBpAHQAbwByAHkAIABvAHIAIABnAHIAaQBkACAAZABlAHMAYwByAGkAcAB0AGkAbwBuAFwAIgAsACAAXAAiAFMAYwBvAHAAZQAgADIAIABFAG0AaQBzAHMAaQBvAG4AIABGAGEAYwB0AG8AcgBzACAAKABrAGcAIABDAE8AMgAtAGUALwBrAFcAaAApAFwAIgAsACAAXAAiAFMAYwBvAHAAZQAgADMAIABFAG0AaQBzAHMAaQBvAG4AIABGAGEAYwB0AG8AcgBzACAAKABrAGcAIABDAE8AMgAtAGUALwBrAFcAaAApAFwAIgA7AFwAbgAgACAAIAAgACAAIAAgACAAXAAiAE4AZQB3ACAAUwBvAHUAdABoACAAVwBhAGwAZQBzAFwAIgAsACAAMAAuADYANAAsACAAMAAuADAAMwA7AFwAbgAgACAAIAAgACAAIAAgACAAXAAiAEEAQwBUAFwAIgAsACAAMAAuADYANAAsACAAMAAuADAAMwA7AFwAbgAgACAAIAAgACAAIAAgACAAXAAiAFYAaQBjAHQAbwByAGkAYQBcACIALAAgADAALgA3ADgALAAgADAALgAwADkAOwBcAG4AIAAgACAAIAAgACAAIAAgAFwAIgBRAHUAZQBlAG4AcwBsAGEAbgBkAFwAIgAsACAAMAAuADYANwAsACAAMAAuADAAOQA7AFwAbgAgACAAIAAgACAAIAAgACAAXAAiAFMAbwB1AHQAaAAgAEEAdQBzAHQAcgBhAGwAaQBhAFwAIgAsACAAMAAuADIAMgAsACAAMAAuADAANAA7AFwAbgAgACAAIAAgACAAIAAgACAAXAAiAFcAZQBzAHQAZQByAG4AIABBAHUAcwB0AHIAYQBsAGkAYQAgAC0AIABTAG8AdQB0AGgAIABXAGUAcwB0ACAASQBuAHQAZQByAGMAbwBuAG4AZQBjAHQAZQBkACAAUwB5AHMAdABlAG0AIAAoAFMAVwBJAFMAKQBcACIALAAgADAALgA1ADAALAAgADAALgAwADYAOwBcAG4AIAAgACAAIAAgACAAIAAgAFwAIgBXAGUAcwB0AGUAcgBuACAAQQB1AHMAdAByAGEAbABpAGEAIAAtACAATgBvAHIAdABoACAAVwBlAHMAdABlAHIAbgAgAEkAbgB0AGUAcgBjAG8AbgBuAGUAYwB0AGUAZAAgAFMAeQBzAHQAZQBtACAAKABOAFcASQBTACkAXAAiACwAIAAwAC4ANQA2ACwAIAAwAC4AMAA5ADsAXABuACAAIAAgACAAIAAgACAAIABcACIAVABhAHMAbQBhAG4AaQBhAFwAIgAsACAAMAAuADIAMAAsACAAMAAuADAAMwA7AFwAbgAgACAAIAAgACAAIAAgACAAXAAiAE4AbwByAHQAaABlAHIAbgAgAFQAZQByAHIAaQB0AG8AcgB5ACAALQAgAEQAYQByAHcAaQBuACAASwBhAHQAaABlAHIAaQBuAGUAIABJAG4AdABlAHIAYwBvAG4AbgBlAGMAdABlAGQAIABTAHkAcwB0AGUAbQAgACgARABLAEkAUwApAFwAIgAsACAAMAAuADUANgAsACAAMAAuADAAOQA7AFwAbgAgACAAIAAgACAAIAAgACAAXAAiAE4AYQB0AGkAbwBuAGEAbABcACIALAAgADAALgA2ADIALAAgADAALgAwADcAXABuACAAIAAgACAAIAAgAH0ALAAgAHIALAAgAGMAKQBcAG4AKQApACkAOwBcAG4AXABuAEUAbABlAGMAdAByAGkAYwBpAHQAeQBfAFMAYwBvAHAAZQAyAFMAYwBvAHAAZQAzAEwAbwBjAGEAdABpAG8AbgBCAGEAcwBlAGQAXwBWAGEAcgBpAGEAdABpAG8AbgBcAG4APQBMAEEATQBCAEQAQQAoACgAXAAiAFYAQQBSAEkAQQBUAEkATwBOACAATwBGACAAUwBPAFUAUgBDAEUAIABEAEEAVABBADoAIABOAFMAVwAgAGEAbgBkACAAQQBDAFQAIABzAHAAbABpAHQAIABpAG4AdABvACAAcwBlAHAAYQByAGEAdABlACAAcgBvAHcAcwAuAFwAIgApACkAOwBcAG4AXABuAFwAbgAvACoAXABuAD0APQA9AD0APQA9AD0APQA9AD0APQA9AD0APQA9AD0APQA9AD0APQA9AD0APQA9AD0APQA9AD0APQA9AD0APQA9AD0APQA9AD0APQA9AD0APQA9AD0APQA9AD0APQA9AD0APQA9AD0APQA9AD0APQA9AD0APQA9AD0APQA9AD0APQA9AD0APQA9AD0APQA9AD0APQA9AD0AXABuAFIAZQBzAGkAZAB1AGEAbAAgAE0AaQB4ACAARgBhAGMAdABvAHIAIABmAG8AcgAgAG0AYQByAGsAZQB0AC0AYgBhAHMAZQBkACAAZQBxAHUAYQB0AGkAbwBuAHMAXABuAD0APQA9AD0APQA9AD0APQA9AD0APQA9AD0APQA9AD0APQA9AD0APQA9AD0APQA9AD0APQA9AD0APQA9AD0APQA9AD0APQA9AD0APQA9AD0APQA9AD0APQA9AD0APQA9AD0APQA9AD0APQA9AD0APQA9AD0APQA9AD0APQA9AD0APQA9AD0APQA9AD0APQA9AD0APQA9AD0AXABuACoALwBcAG4AXABuAEUAbABlAGMAdAByAGkAYwBpAHQAeQBfAFMAYwBvAHAAZQAyAFMAYwBvAHAAZQAzAE0AYQByAGsAZQB0AEIAYQBzAGUAZABfAFQAaQB0AGwAZQBcAG4APQBMAEEATQBCAEQAQQAoACgAXAAiAEUAbABlAGMAdAByAGkAYwBpAHQAeQAgAHMAYwBvAHAAZQAgADIAIABhAG4AZAAgAHMAYwBvAHAAZQAgADMAIABtAGEAcgBrAGUAdAAtAGIAYQBzAGUAZAAgAGUAbQBpAHMAcwBpAG8AbgAgAGYAYQBjAHQAbwByAHMAXAAiACkAKQA7AFwAbgBcAG4ARQBsAGUAYwB0AHIAaQBjAGkAdAB5AF8AUwBjAG8AcABlADIATQBhAHIAawBlAHQAQgBhAHMAZQBkAF8ARABlAHMAYwByAGkAcAB0AGkAbwBuAFwAbgA9AEwAQQBNAEIARABBACgAKABcACIAVABhAGIAbABlACAAMgBhACAASQBuAGQAaQByAGUAYwB0ACAAKABzAGMAbwBwAGUAIAAyACAAYQBuAGQAIABzAGMAbwBwAGUAIAAzACkAIABlAG0AaQBzAHMAaQBvAG4AIABmAGEAYwB0AG8AcgBzACAAZgByAG8AbQAgAGMAbwBuAHMAdQBtAHAAdABpAG8AbgAgAG8AZgAgAHAAdQByAGMAaABhAHMAZQBkACAAbwByACAAYQBjAHEAdQBpAHIAZQBkACAAZQBsAGUAYwB0AHIAaQBjAGkAdAB5ADoAIABtAGEAcgBrAGUAdAAtAGIAYQBzAGUAZAAgAGYAYQBjAHQAbwByAHMAIABcACIAKQApADsAXABuAFwAbgBFAGwAZQBjAHQAcgBpAGMAaQB0AHkAXwBTAGMAbwBwAGUAMgBTAGMAbwBwAGUAMwBNAGEAcgBrAGUAdABCAGEAcwBlAGQAXwBTAG8AdQByAGMAZQBcAG4APQBMAEEATQBCAEQAQQAoACgAXAAiAEEAdQBzAHQAcgBhAGwAaQBhAG4AIABOAGEAdABpAG8AbgBhAGwAIABHAHIAZQBlAG4AaABvAHUAcwBlACAAQQBjAGMAbwB1AG4AdABzACAARgBhAGMAdABvAHIAcwAgADIAMAAyADUAIAAtACAAVABhAGIAbABlACAAMgBhAFwAIgApACkAOwBcAG4AXABuAEUAbABlAGMAdAByAGkAYwBpAHQAeQBfAFMAYwBvAHAAZQAyAFMAYwBvAHAAZQAzAE0AYQByAGsAZQB0AEIAYQBzAGUAZABfAEQAYQB0AGEAXABuAD0ATABBAE0AQgBEAEEAKABcAG4AIAAgAE0AQQBLAEUAQQBSAFIAQQBZACgAMgAsACAANQ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yACAARQBtAGkAcwBzAGkAbwBuACAARgBhAGMAdABvAHIAcwAgACgAawBnACAAQwBPADIALQBlAC8ARwBKACkAXAAiACwAIABcACIAUwBjAG8AcABlACAAMwAgAEUAbQBpAHMAcwBpAG8AbgAgAEYAYQBjAHQAbwByAHMAIAAoAGsAZwAgAEMATwAyACAALQAgAGUAIAAvACAAawBXAGgAKQBcACIALAAgAFwAIgBTAGMAbwBwAGUAIAAzACAARQBtAGkAcwBzAGkAbwBuACAARgBhAGMAdABvAHIAcwAgACgAawBnACAAQwBPADIAIAAtACAAZQAgAC8AIABHAEoAKQBcACIAOwBcAG4AIAAgACAAIAAgACAAIAAgAFwAIgBOAGEAdABpAG8AbgBhAGwAXAAiACwAIAAwAC4AOAAxACwAIAAyADIANgAsACAAMAAuADEAMAAsACAAMgA5AFwAbgAgACAAIAAgACAAIAB9ACwAIAByACwAIABjACkAXABuACkAKQApADsAXABuAFwAbgBFAGwAZQBjAHQAcgBpAGMAaQB0AHkAXwBTAGMAbwBwAGUAMgBTAGMAbwBwAGUAMwBNAGEAcgBrAGUAdABCAGEAcwBlAGQAXwBWAGEAcgBpAGEAdABpAG8AbgBcAG4APQBMAEEATQBCAEQAQQAoACgAXAAiAFwAIgApACkAOw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FAGwAZQBjAHQAcgBpAGMAaQB0AHkAXwBTAG8AdQByAGMAZQBEAGEAdABhAC4ARQBsAGUAYwB0AHIAaQBjAGkAdAB5AF8AUwBjAG8AcABlADIAUwBjAG8AcABlADMATABvAGMAYQB0AGkAbwBuAEIAYQBzAGUAZABfAFQAaQB0AGwAZQAiACwAIgBFAGwAZQBjAHQAcgBpAGMAaQB0AHkAXwBTAG8AdQByAGMAZQBEAGEAdABhAC4ARQBsAGUAYwB0AHIAaQBjAGkAdAB5AF8AUwBjAG8AcABlADIATABvAGMAYQB0AGkAbwBuAEIAYQBzAGUAZABfAEQAZQBzAGMAcgBpAHAAdABpAG8AbgAiACwAIgBFAGwAZQBjAHQAcgBpAGMAaQB0AHkAXwBTAG8AdQByAGMAZQBEAGEAdABhAC4ARQBsAGUAYwB0AHIAaQBjAGkAdAB5AF8AUwBjAG8AcABlADIAUwBjAG8AcABlADMATABvAGMAYQB0AGkAbwBuAEIAYQBzAGUAZABfAFMAbwB1AHIAYwBlACIALAAiAEUAbABlAGMAdAByAGkAYwBpAHQAeQBfAFMAbwB1AHIAYwBlAEQAYQB0AGEALgBFAGwAZQBjAHQAcgBpAGMAaQB0AHkAXwBTAGMAbwBwAGUAMgBTAGMAbwBwAGUAMwBMAG8AYwBhAHQAaQBvAG4AQgBhAHMAZQBkAF8ARABhAHQAYQAiACwAIgBFAGwAZQBjAHQAcgBpAGMAaQB0AHkAXwBTAG8AdQByAGMAZQBEAGEAdABhAC4ARQBsAGUAYwB0AHIAaQBjAGkAdAB5AF8AUwBjAG8AcABlADIAUwBjAG8AcABlADMATABvAGMAYQB0AGkAbwBuAEIAYQBzAGUAZABfAFYAYQByAGkAYQB0AGkAbwBuACIALAAiAEUAbABlAGMAdAByAGkAYwBpAHQAeQBfAFMAbwB1AHIAYwBlAEQAYQB0AGEALgBFAGwAZQBjAHQAcgBpAGMAaQB0AHkAXwBTAGMAbwBwAGUAMgBTAGMAbwBwAGUAMwBNAGEAcgBrAGUAdABCAGEAcwBlAGQAXwBUAGkAdABsAGUAIgAsACIARQBsAGUAYwB0AHIAaQBjAGkAdAB5AF8AUwBvAHUAcgBjAGUARABhAHQAYQAuAEUAbABlAGMAdAByAGkAYwBpAHQAeQBfAFMAYwBvAHAAZQAyAE0AYQByAGsAZQB0AEIAYQBzAGUAZABfAEQAZQBzAGMAcgBpAHAAdABpAG8AbgAiACwAIgBFAGwAZQBjAHQAcgBpAGMAaQB0AHkAXwBTAG8AdQByAGMAZQBEAGEAdABhAC4ARQBsAGUAYwB0AHIAaQBjAGkAdAB5AF8AUwBjAG8AcABlADIAUwBjAG8AcABlADMATQBhAHIAawBlAHQAQgBhAHMAZQBkAF8AUwBvAHUAcgBjAGUAIgAsACIARQBsAGUAYwB0AHIAaQBjAGkAdAB5AF8AUwBvAHUAcgBjAGUARABhAHQAYQAuAEUAbABlAGMAdAByAGkAYwBpAHQAeQBfAFMAYwBvAHAAZQAyAFMAYwBvAHAAZQAzAE0AYQByAGsAZQB0AEIAYQBzAGUAZABfAEQAYQB0AGEAIgAsACIARQBsAGUAYwB0AHIAaQBjAGkAdAB5AF8AUwBvAHUAcgBjAGUARABhAHQAYQAuAEUAbABlAGMAdAByAGkAYwBpAHQAeQBfAFMAYwBvAHAAZQAyAFMAYwBvAHAAZQAzAE0AYQByAGsAZQB0AEIAYQBzAGUAZABfAFYAYQByAGkAYQB0AGkAbwBuACIALAAiAEUAbABlAGMAdAByAGkAYwBpAHQAeQBfAEUAcQB1AGEAdABpAG8AbgBzAC4AVgBFAEUAUgBHAF8AMQA0AF8AMQBfADEAXwBfADEAXwBMAG8AYwBhAHQAaQBvAG4AQgBhAHMAZQBkAFMAYwBvAHAAZQBFAGwAZQBjAHQAcgBpAGMAaQB0AHkARQBtAGkAcwBzAGkAbwBuAHMAIgAsACIARQBsAGUAYwB0AHIAaQBjAGkAdAB5AF8ARQBxAHUAYQB0AGkAbwBuAHMALgBWAEUARQBSAEcAXwAxADQAXwAxAF8AMQBfAF8AMQBfAEwAbwBjAGEAdABpAG8AbgBCAGEAcwBlAGQAUwBjAG8AcABlAEUAbABlAGMAdAByAGkAYwBpAHQAeQBFAG0AaQBzAHMAaQBvAG4AcwBfAFQAaQB0AGwAZQAiACwAIgBFAGwAZQBjAHQAcgBpAGMAaQB0AHkAXwBFAHEAdQBhAHQAaQBvAG4AcwAuAFYARQBFAFIARwBfADEANABfADEAXwAxAF8AXwAxAF8ATABvAGMAYQB0AGkAbwBuAEIAYQBzAGUAZABTAGMAbwBwAGUARQBsAGUAYwB0AHIAaQBjAGkAdAB5AEUAbQBpAHMAcwBpAG8AbgBzAF8AVgBhAHIAaQBhAGIAbABlACIALAAiAEUAbABlAGMAdAByAGkAYwBpAHQAeQBfAEUAcQB1AGEAdABpAG8AbgBzAC4AVgBFAEUAUgBHAF8AMQA0AF8AMQBfADEAXwBfADEAXwBMAG8AYwBhAHQAaQBvAG4AQgBhAHMAZQBkAFMAYwBvAHAAZQBFAGwAZQBjAHQAcgBpAGMAaQB0AHkARQBtAGkAcwBzAGkAbwBuAHMAXwBVAG4AaQB0ACIALAAiAEUAbABlAGMAdAByAGkAYwBpAHQAeQBfAEUAcQB1AGEAdABpAG8AbgBzAC4AVgBFAEUAUgBHAF8AMQA0AF8AMQBfADEAXwBfADEAXwBMAG8AYwBhAHQAaQBvAG4AQgBhAHMAZQBkAFMAYwBvAHAAZQBFAGwAZQBjAHQAcgBpAGMAaQB0AHkARQBtAGkAcwBzAGkAbwBuAHMAXwBTAG8AdQByAGMAZQAiACwAIgBFAGwAZQBjAHQAcgBpAGMAaQB0AHkAXwBFAHEAdQBhAHQAaQBvAG4AcwAuAFYARQBFAFIARwBfADEANABfADEAXwAxAF8AXwAxAF8ATABvAGMAYQB0AGkAbwBuAEIAYQBzAGUAZABTAGMAbwBwAGUARQBsAGUAYwB0AHIAaQBjAGkAdAB5AEUAbQBpAHMAcwBpAG8AbgBzAF8ATgBJAFIAUgBlAGYAZQByAGUAbgBjAGUAIgAsACIARQBsAGUAYwB0AHIAaQBjAGkAdAB5AF8ARQBxAHUAYQB0AGkAbwBuAHMALgBWAEUARQBSAEcAXwAxADQAXwAxAF8AMQBfAF8AMQBfAEwAbwBjAGEAdABpAG8AbgBCAGEAcwBlAGQAUwBjAG8AcABlAEUAbABlAGMAdAByAGkAYwBpAHQAeQBFAG0AaQBzAHMAaQBvAG4AcwBfAEwAYQB0AGUAeABFAHEAdQBhAHQAaQBvAG4AIgAsACIARQBsAGUAYwB0AHIAaQBjAGkAdAB5AF8ARQBxAHUAYQB0AGkAbwBuAHMALgBWAEUARQBSAEcAXwAxADQAXwAxAF8AMQBfAF8AMQBfAEwAbwBjAGEAdABpAG8AbgBCAGEAcwBlAGQAUwBjAG8AcABlAEUAbABlAGMAdAByAGkAYwBpAHQAeQBFAG0AaQBzAHMAaQBvAG4AcwBfAEEAcgBnAHUAbQBlAG4AdABzACIALAAiAEUAbABlAGMAdAByAGkAYwBpAHQAeQBfAEUAcQB1AGEAdABpAG8AbgBzAC4AVgBFAEUAUgBHAF8AMQA0AF8AMQBfADEAXwBfADEAXwBMAG8AYwBhAHQAaQBvAG4AQgBhAHMAZQBkAFMAYwBvAHAAZQBFAGwAZQBjAHQAcgBpAGMAaQB0AHkARQBtAGkAcwBzAGkAbwBuAHMAXwBWAGEAcgBpAGEAdABpAG8AbgAiACwAIgBFAGwAZQBjAHQAcgBpAGMAaQB0AHkAXwBFAHEAdQBhAHQAaQBvAG4AcwAuAFYARQBFAFIARwBfADEANABfADEAXwAyAF8AXwAxAF8ATQBhAHIAawBlAHQAQgBhAHMAZQBkAFMAYwBvAHAAZQBFAGwAZQBjAHQAcgBpAGMAaQB0AHkARQBtAGkAcwBzAGkAbwBuAHMAIgAsACIARQBsAGUAYwB0AHIAaQBjAGkAdAB5AF8ARQBxAHUAYQB0AGkAbwBuAHMALgBWAEUARQBSAEcAXwAxADQAXwAxAF8AMgBfAF8AMQBfAE0AYQByAGsAZQB0AEIAYQBzAGUAZABTAGMAbwBwAGUARQBsAGUAYwB0AHIAaQBjAGkAdAB5AEUAbQBpAHMAcwBpAG8AbgBzAFYAYQByAGkAYQB0AGkAbwBuACIALAAiAEUAbABlAGMAdAByAGkAYwBpAHQAeQBfAEUAcQB1AGEAdABpAG8AbgBzAC4AVgBFAEUAUgBHAF8AMQA0AF8AMQBfADIAXwBfADEAXwBNAGEAcgBrAGUAdABCAGEAcwBlAGQAUwBjAG8AcABlAEUAbABlAGMAdAByAGkAYwBpAHQAeQBFAG0AaQBzAHMAaQBvAG4AcwBfAFQAaQB0AGwAZQAiACwAIgBFAGwAZQBjAHQAcgBpAGMAaQB0AHkAXwBFAHEAdQBhAHQAaQBvAG4AcwAuAFYARQBFAFIARwBfADEANABfADEAXwAyAF8AXwAxAF8ATQBhAHIAawBlAHQAQgBhAHMAZQBkAFMAYwBvAHAAZQBFAGwAZQBjAHQAcgBpAGMAaQB0AHkARQBtAGkAcwBzAGkAbwBuAHMAXwBWAGEAcgBpAGEAYgBsAGUAIgAsACIARQBsAGUAYwB0AHIAaQBjAGkAdAB5AF8ARQBxAHUAYQB0AGkAbwBuAHMALgBWAEUARQBSAEcAXwAxADQAXwAxAF8AMgBfAF8AMQBfAE0AYQByAGsAZQB0AEIAYQBzAGUAZABTAGMAbwBwAGUARQBsAGUAYwB0AHIAaQBjAGkAdAB5AEUAbQBpAHMAcwBpAG8AbgBzAF8AVQBuAGkAdAAiACwAIgBFAGwAZQBjAHQAcgBpAGMAaQB0AHkAXwBFAHEAdQBhAHQAaQBvAG4AcwAuAFYARQBFAFIARwBfADEANABfADEAXwAyAF8AXwAxAF8ATQBhAHIAawBlAHQAQgBhAHMAZQBkAFMAYwBvAHAAZQBFAGwAZQBjAHQAcgBpAGMAaQB0AHkARQBtAGkAcwBzAGkAbwBuAHMAXwBTAG8AdQByAGMAZQAiACwAIgBFAGwAZQBjAHQAcgBpAGMAaQB0AHkAXwBFAHEAdQBhAHQAaQBvAG4AcwAuAFYARQBFAFIARwBfADEANABfADEAXwAyAF8AXwAxAF8ATQBhAHIAawBlAHQAQgBhAHMAZQBkAFMAYwBvAHAAZQBFAGwAZQBjAHQAcgBpAGMAaQB0AHkARQBtAGkAcwBzAGkAbwBuAHMAXwBOAEkAUgBSAGUAZgBlAHIAZQBuAGMAZQAiACwAIgBFAGwAZQBjAHQAcgBpAGMAaQB0AHkAXwBFAHEAdQBhAHQAaQBvAG4AcwAuAFYARQBFAFIARwBfADEANABfADEAXwAyAF8AXwAxAF8ATQBhAHIAawBlAHQAQgBhAHMAZQBkAFMAYwBvAHAAZQBFAGwAZQBjAHQAcgBpAGMAaQB0AHkARQBtAGkAcwBzAGkAbwBuAHMAXwBMAGEAdABlAHgARQBxAHUAYQB0AGkAbwBuACIALAAiAEUAbABlAGMAdAByAGkAYwBpAHQAeQBfAEUAcQB1AGEAdABpAG8AbgBzAC4AVgBFAEUAUgBHAF8AMQA0AF8AMQBfADIAXwBfADEAXwBNAGEAcgBrAGUAdABCAGEAcwBlAGQAUwBjAG8AcABlAEUAbABlAGMAdAByAGkAYwBpAHQAeQBFAG0AaQBzAHMAaQBvAG4AcwBWAGEAcgBpAGEAdABpAG8AbgBfAEwAYQB0AGUAeABFAHEAdQBhAHQAaQBvAG4AIgAsACIARQBsAGUAYwB0AHIAaQBjAGkAdAB5AF8ARQBxAHUAYQB0AGkAbwBuAHMALgBWAEUARQBSAEcAXwAxADQAXwAxAF8AMgBfAF8AMQBfAE0AYQByAGsAZQB0AEIAYQBzAGUAZABTAGMAbwBwAGUARQBsAGUAYwB0AHIAaQBjAGkAdAB5AEUAbQBpAHMAcwBpAG8AbgBzAF8AQQByAGcAdQBtAGUAbgB0AHMAIgAsACIARQBsAGUAYwB0AHIAaQBjAGkAdAB5AF8ARQBxAHUAYQB0AGkAbwBuAHMALgBWAEUARQBSAEcAXwAxADQAXwAxAF8AMgBfAF8AMQBfAE0AYQByAGsAZQB0AEIAYQBzAGUAZABTAGMAbwBwAGUARQBsAGUAYwB0AHIAaQBjAGkAdAB5AEUAbQBpAHMAcwBp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18</vt:i4>
      </vt:variant>
    </vt:vector>
  </HeadingPairs>
  <TitlesOfParts>
    <vt:vector size="26" baseType="lpstr">
      <vt:lpstr>Home</vt:lpstr>
      <vt:lpstr>Overview</vt:lpstr>
      <vt:lpstr>Results</vt:lpstr>
      <vt:lpstr>Input - Site</vt:lpstr>
      <vt:lpstr>Input - Electricity</vt:lpstr>
      <vt:lpstr>14.1.1-2 Purchased electricity</vt:lpstr>
      <vt:lpstr>Constants - Electricity</vt:lpstr>
      <vt:lpstr>Constants - Common</vt:lpstr>
      <vt:lpstr>Common_SourceData_DensityOfMethane_Data</vt:lpstr>
      <vt:lpstr>VEERG_14_1_1__1_LocationBasedScopeElectricityEmissions_Result_Method1</vt:lpstr>
      <vt:lpstr>VEERG_14_1_2__1_MarketBasedScopeElectricityEmissionsVariation_Result_Method1</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X_Cell_Site_EndDate</vt:lpstr>
      <vt:lpstr>X_Cell_Site_FarmName</vt:lpstr>
      <vt:lpstr>X_Cell_Site_Region</vt:lpstr>
      <vt:lpstr>X_Cell_Site_ReportingEntityName</vt:lpstr>
      <vt:lpstr>X_Cell_Site_StartDate</vt:lpstr>
      <vt:lpstr>X_Cell_Site_State</vt:lpstr>
      <vt:lpstr>X_Cell_TotalElegibleRECsForElectricityProducedOnSite</vt:lpstr>
      <vt:lpstr>X_Cell_TotalElegibleVoluntarilySurrenderedRECs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2026-08-14T00:07:35Z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2026-09-02T17:27:02; rename=True resize=True scope=all</vt:lpwstr>
  </property>
</Properties>
</file>