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64BF629E-FC94-44E3-A9C6-BD1207950CDC}" xr6:coauthVersionLast="47" xr6:coauthVersionMax="47" xr10:uidLastSave="{00000000-0000-0000-0000-000000000000}"/>
  <bookViews>
    <workbookView xWindow="780" yWindow="780" windowWidth="28800" windowHeight="15345" firstSheet="2" activeTab="2" xr2:uid="{7E1466D3-CE15-41E6-A7E5-3351E07F3C93}"/>
  </bookViews>
  <sheets>
    <sheet name="Input - Planting" sheetId="4" r:id="rId1"/>
    <sheet name="Input - Data quality" sheetId="7" r:id="rId2"/>
    <sheet name="Constants - Common" sheetId="8" r:id="rId3"/>
  </sheets>
  <externalReferences>
    <externalReference r:id="rId4"/>
    <externalReference r:id="rId5"/>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'Input - Data quality'!Common_InputFunctions.Utility_LookupValueInTableNumber(_xlpm.LeachingZone, _xlpm.LeachingZoneLookup, _xlpm.LeachingZoneFracWETLookup), _xlpm.ProductionSystemFracWET, 'Input - Data quality'!Common_InputFunctions.Utility_LookupValueInTableNumber(_xlpm.ProductionSystem,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'Input - Data quality'!Common_InputFunctions.Utility_GetArrayTableRowStartNumber(_xlpm.TableheaderCell, _xlpm.RowsBetweenHeaderandArray), COLUMN() - 'Input - Data quality'!Common_InputFunctions.Utility_GetArrayTableColumnStartNumber(_xlpm.TableheaderCell)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[1]Results!$E$50</definedName>
    <definedName name="Result_EmissionsForWholeProductionCycle_Method1">[1]Results!$E$39</definedName>
    <definedName name="Result_EmissionsForWholeProductionCycle_Method2">[1]Results!$F$39</definedName>
    <definedName name="Result_Enterprise_Method1">[1]Results!$H$25</definedName>
    <definedName name="Result_Enterprise_Method2">[1]Results!$I$25</definedName>
    <definedName name="Result_NetEmissions_Method1">[1]Results!$E$56</definedName>
    <definedName name="Result_NetEmissions_Method2">[1]Results!$F$56</definedName>
    <definedName name="X_Cell_Enterprise_PercentIncomeFromGrain">'[1]Input - Enterprise'!$E$32</definedName>
    <definedName name="X_Cell_Enterprise_ProductionTimeframeEnd">'[1]Input - Enterprise'!$E$19</definedName>
    <definedName name="X_Cell_Enterprise_ProductionTimeframeStart">'[1]Input - Enterprise'!$E$18</definedName>
    <definedName name="X_Cell_Planting_Latitude">'Input - Planting'!$C$3</definedName>
    <definedName name="X_Cell_Planting_Longitude">'Input - Planting'!$C$4</definedName>
    <definedName name="X_Cell_Planting_PlantingAreaInHectares">'Input - Planting'!$C$8</definedName>
    <definedName name="X_Cell_Planting_PlantingDate">'Input - Planting'!$C$5</definedName>
    <definedName name="X_Cell_Planting_PlantingName">'Input - Planting'!$C$6</definedName>
    <definedName name="X_Cell_Site_EndDate">'Input - Planting'!$C$12</definedName>
    <definedName name="X_Cell_Site_StartDate" localSheetId="1">'[1]Input - Enterprise'!$E$12</definedName>
    <definedName name="X_Cell_Site_StartDate">'Input - Planting'!$C$11</definedName>
    <definedName name="X_Result_Planting_CarbonCapturedPerHectare">'Input - Planting'!$C$15</definedName>
    <definedName name="X_Result_Planting_CarbonCapturedTotalArea">'Input - Planting'!$C$16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8" l="1" a="1"/>
  <c r="E259" i="8" s="1"/>
  <c r="D259" i="8" a="1"/>
  <c r="D259" i="8" s="1"/>
  <c r="E258" i="8" a="1"/>
  <c r="E258" i="8" s="1"/>
  <c r="D258" i="8" a="1"/>
  <c r="D258" i="8" s="1"/>
  <c r="D256" i="8" a="1"/>
  <c r="D256" i="8" s="1"/>
  <c r="D255" i="8" a="1"/>
  <c r="D255" i="8" s="1"/>
  <c r="D254" i="8" a="1"/>
  <c r="D254" i="8" s="1"/>
  <c r="D253" i="8" a="1"/>
  <c r="D253" i="8" s="1"/>
  <c r="S250" i="8" a="1"/>
  <c r="S250" i="8" s="1"/>
  <c r="R250" i="8" a="1"/>
  <c r="R250" i="8" s="1"/>
  <c r="Q250" i="8" a="1"/>
  <c r="Q250" i="8" s="1"/>
  <c r="P250" i="8" a="1"/>
  <c r="P250" i="8" s="1"/>
  <c r="O250" i="8" a="1"/>
  <c r="O250" i="8" s="1"/>
  <c r="N250" i="8" a="1"/>
  <c r="N250" i="8" s="1"/>
  <c r="M250" i="8" a="1"/>
  <c r="M250" i="8" s="1"/>
  <c r="L250" i="8" a="1"/>
  <c r="L250" i="8" s="1"/>
  <c r="K250" i="8" a="1"/>
  <c r="K250" i="8" s="1"/>
  <c r="J250" i="8" a="1"/>
  <c r="J250" i="8" s="1"/>
  <c r="I250" i="8" a="1"/>
  <c r="I250" i="8" s="1"/>
  <c r="H250" i="8" a="1"/>
  <c r="H250" i="8" s="1"/>
  <c r="G250" i="8" a="1"/>
  <c r="G250" i="8" s="1"/>
  <c r="F250" i="8" a="1"/>
  <c r="F250" i="8" s="1"/>
  <c r="E250" i="8" a="1"/>
  <c r="E250" i="8" s="1"/>
  <c r="D250" i="8" a="1"/>
  <c r="D250" i="8" s="1"/>
  <c r="S249" i="8" a="1"/>
  <c r="S249" i="8" s="1"/>
  <c r="R249" i="8" a="1"/>
  <c r="R249" i="8" s="1"/>
  <c r="Q249" i="8" a="1"/>
  <c r="Q249" i="8" s="1"/>
  <c r="P249" i="8" a="1"/>
  <c r="P249" i="8" s="1"/>
  <c r="O249" i="8" a="1"/>
  <c r="O249" i="8" s="1"/>
  <c r="N249" i="8" a="1"/>
  <c r="N249" i="8" s="1"/>
  <c r="M249" i="8" a="1"/>
  <c r="M249" i="8" s="1"/>
  <c r="L249" i="8" a="1"/>
  <c r="L249" i="8" s="1"/>
  <c r="K249" i="8" a="1"/>
  <c r="K249" i="8" s="1"/>
  <c r="J249" i="8" a="1"/>
  <c r="J249" i="8" s="1"/>
  <c r="I249" i="8" a="1"/>
  <c r="I249" i="8" s="1"/>
  <c r="H249" i="8" a="1"/>
  <c r="H249" i="8" s="1"/>
  <c r="G249" i="8" a="1"/>
  <c r="G249" i="8" s="1"/>
  <c r="F249" i="8" a="1"/>
  <c r="F249" i="8" s="1"/>
  <c r="E249" i="8" a="1"/>
  <c r="E249" i="8" s="1"/>
  <c r="D249" i="8" a="1"/>
  <c r="D249" i="8" s="1"/>
  <c r="S248" i="8" a="1"/>
  <c r="S248" i="8" s="1"/>
  <c r="R248" i="8" a="1"/>
  <c r="R248" i="8" s="1"/>
  <c r="Q248" i="8" a="1"/>
  <c r="Q248" i="8" s="1"/>
  <c r="P248" i="8" a="1"/>
  <c r="P248" i="8" s="1"/>
  <c r="O248" i="8" a="1"/>
  <c r="O248" i="8" s="1"/>
  <c r="N248" i="8" a="1"/>
  <c r="N248" i="8" s="1"/>
  <c r="M248" i="8" a="1"/>
  <c r="M248" i="8" s="1"/>
  <c r="L248" i="8" a="1"/>
  <c r="L248" i="8" s="1"/>
  <c r="K248" i="8" a="1"/>
  <c r="K248" i="8" s="1"/>
  <c r="J248" i="8" a="1"/>
  <c r="J248" i="8" s="1"/>
  <c r="I248" i="8" a="1"/>
  <c r="I248" i="8" s="1"/>
  <c r="H248" i="8" a="1"/>
  <c r="H248" i="8" s="1"/>
  <c r="G248" i="8" a="1"/>
  <c r="G248" i="8" s="1"/>
  <c r="F248" i="8" a="1"/>
  <c r="F248" i="8" s="1"/>
  <c r="E248" i="8" a="1"/>
  <c r="E248" i="8" s="1"/>
  <c r="D248" i="8" a="1"/>
  <c r="D248" i="8" s="1"/>
  <c r="S247" i="8" a="1"/>
  <c r="S247" i="8" s="1"/>
  <c r="R247" i="8" a="1"/>
  <c r="R247" i="8" s="1"/>
  <c r="Q247" i="8" a="1"/>
  <c r="Q247" i="8" s="1"/>
  <c r="P247" i="8" a="1"/>
  <c r="P247" i="8" s="1"/>
  <c r="O247" i="8" a="1"/>
  <c r="O247" i="8" s="1"/>
  <c r="N247" i="8" a="1"/>
  <c r="N247" i="8" s="1"/>
  <c r="M247" i="8" a="1"/>
  <c r="M247" i="8" s="1"/>
  <c r="L247" i="8" a="1"/>
  <c r="L247" i="8" s="1"/>
  <c r="K247" i="8" a="1"/>
  <c r="K247" i="8" s="1"/>
  <c r="J247" i="8" a="1"/>
  <c r="J247" i="8" s="1"/>
  <c r="I247" i="8" a="1"/>
  <c r="I247" i="8" s="1"/>
  <c r="H247" i="8" a="1"/>
  <c r="H247" i="8" s="1"/>
  <c r="G247" i="8" a="1"/>
  <c r="G247" i="8" s="1"/>
  <c r="F247" i="8" a="1"/>
  <c r="F247" i="8" s="1"/>
  <c r="E247" i="8" a="1"/>
  <c r="E247" i="8" s="1"/>
  <c r="D247" i="8" a="1"/>
  <c r="D247" i="8" s="1"/>
  <c r="S246" i="8" a="1"/>
  <c r="S246" i="8" s="1"/>
  <c r="R246" i="8" a="1"/>
  <c r="R246" i="8" s="1"/>
  <c r="Q246" i="8" a="1"/>
  <c r="Q246" i="8" s="1"/>
  <c r="P246" i="8" a="1"/>
  <c r="P246" i="8" s="1"/>
  <c r="O246" i="8" a="1"/>
  <c r="O246" i="8" s="1"/>
  <c r="N246" i="8" a="1"/>
  <c r="N246" i="8" s="1"/>
  <c r="M246" i="8" a="1"/>
  <c r="M246" i="8" s="1"/>
  <c r="L246" i="8" a="1"/>
  <c r="L246" i="8" s="1"/>
  <c r="K246" i="8" a="1"/>
  <c r="K246" i="8" s="1"/>
  <c r="J246" i="8" a="1"/>
  <c r="J246" i="8" s="1"/>
  <c r="I246" i="8" a="1"/>
  <c r="I246" i="8" s="1"/>
  <c r="H246" i="8" a="1"/>
  <c r="H246" i="8" s="1"/>
  <c r="G246" i="8" a="1"/>
  <c r="G246" i="8" s="1"/>
  <c r="F246" i="8" a="1"/>
  <c r="F246" i="8" s="1"/>
  <c r="E246" i="8" a="1"/>
  <c r="E246" i="8" s="1"/>
  <c r="D246" i="8" a="1"/>
  <c r="D246" i="8" s="1"/>
  <c r="S245" i="8" a="1"/>
  <c r="S245" i="8" s="1"/>
  <c r="R245" i="8" a="1"/>
  <c r="R245" i="8" s="1"/>
  <c r="Q245" i="8" a="1"/>
  <c r="Q245" i="8" s="1"/>
  <c r="P245" i="8" a="1"/>
  <c r="P245" i="8" s="1"/>
  <c r="O245" i="8" a="1"/>
  <c r="O245" i="8" s="1"/>
  <c r="N245" i="8" a="1"/>
  <c r="N245" i="8" s="1"/>
  <c r="M245" i="8" a="1"/>
  <c r="M245" i="8" s="1"/>
  <c r="L245" i="8" a="1"/>
  <c r="L245" i="8" s="1"/>
  <c r="K245" i="8" a="1"/>
  <c r="K245" i="8" s="1"/>
  <c r="J245" i="8" a="1"/>
  <c r="J245" i="8" s="1"/>
  <c r="I245" i="8" a="1"/>
  <c r="I245" i="8" s="1"/>
  <c r="H245" i="8" a="1"/>
  <c r="H245" i="8" s="1"/>
  <c r="G245" i="8" a="1"/>
  <c r="G245" i="8" s="1"/>
  <c r="F245" i="8" a="1"/>
  <c r="F245" i="8" s="1"/>
  <c r="E245" i="8" a="1"/>
  <c r="E245" i="8" s="1"/>
  <c r="D245" i="8" a="1"/>
  <c r="D245" i="8" s="1"/>
  <c r="S244" i="8" a="1"/>
  <c r="S244" i="8" s="1"/>
  <c r="R244" i="8" a="1"/>
  <c r="R244" i="8" s="1"/>
  <c r="Q244" i="8" a="1"/>
  <c r="Q244" i="8" s="1"/>
  <c r="P244" i="8" a="1"/>
  <c r="P244" i="8" s="1"/>
  <c r="O244" i="8" a="1"/>
  <c r="O244" i="8" s="1"/>
  <c r="N244" i="8" a="1"/>
  <c r="N244" i="8" s="1"/>
  <c r="M244" i="8" a="1"/>
  <c r="M244" i="8" s="1"/>
  <c r="L244" i="8" a="1"/>
  <c r="L244" i="8" s="1"/>
  <c r="K244" i="8" a="1"/>
  <c r="K244" i="8" s="1"/>
  <c r="J244" i="8" a="1"/>
  <c r="J244" i="8" s="1"/>
  <c r="I244" i="8" a="1"/>
  <c r="I244" i="8" s="1"/>
  <c r="H244" i="8" a="1"/>
  <c r="H244" i="8" s="1"/>
  <c r="G244" i="8" a="1"/>
  <c r="G244" i="8" s="1"/>
  <c r="F244" i="8" a="1"/>
  <c r="F244" i="8" s="1"/>
  <c r="E244" i="8" a="1"/>
  <c r="E244" i="8" s="1"/>
  <c r="D244" i="8" a="1"/>
  <c r="D244" i="8" s="1"/>
  <c r="S243" i="8" a="1"/>
  <c r="S243" i="8" s="1"/>
  <c r="R243" i="8" a="1"/>
  <c r="R243" i="8" s="1"/>
  <c r="Q243" i="8" a="1"/>
  <c r="Q243" i="8" s="1"/>
  <c r="P243" i="8" a="1"/>
  <c r="P243" i="8" s="1"/>
  <c r="O243" i="8" a="1"/>
  <c r="O243" i="8" s="1"/>
  <c r="N243" i="8" a="1"/>
  <c r="N243" i="8" s="1"/>
  <c r="M243" i="8" a="1"/>
  <c r="M243" i="8" s="1"/>
  <c r="L243" i="8" a="1"/>
  <c r="L243" i="8" s="1"/>
  <c r="K243" i="8" a="1"/>
  <c r="K243" i="8" s="1"/>
  <c r="J243" i="8" a="1"/>
  <c r="J243" i="8" s="1"/>
  <c r="I243" i="8" a="1"/>
  <c r="I243" i="8" s="1"/>
  <c r="H243" i="8" a="1"/>
  <c r="H243" i="8" s="1"/>
  <c r="G243" i="8" a="1"/>
  <c r="G243" i="8" s="1"/>
  <c r="F243" i="8" a="1"/>
  <c r="F243" i="8" s="1"/>
  <c r="E243" i="8" a="1"/>
  <c r="E243" i="8" s="1"/>
  <c r="D243" i="8" a="1"/>
  <c r="D243" i="8" s="1"/>
  <c r="S242" i="8" a="1"/>
  <c r="S242" i="8" s="1"/>
  <c r="R242" i="8" a="1"/>
  <c r="R242" i="8" s="1"/>
  <c r="Q242" i="8" a="1"/>
  <c r="Q242" i="8" s="1"/>
  <c r="P242" i="8" a="1"/>
  <c r="P242" i="8" s="1"/>
  <c r="O242" i="8" a="1"/>
  <c r="O242" i="8" s="1"/>
  <c r="N242" i="8" a="1"/>
  <c r="N242" i="8" s="1"/>
  <c r="M242" i="8" a="1"/>
  <c r="M242" i="8" s="1"/>
  <c r="L242" i="8" a="1"/>
  <c r="L242" i="8" s="1"/>
  <c r="K242" i="8" a="1"/>
  <c r="K242" i="8" s="1"/>
  <c r="J242" i="8" a="1"/>
  <c r="J242" i="8" s="1"/>
  <c r="I242" i="8" a="1"/>
  <c r="I242" i="8" s="1"/>
  <c r="H242" i="8" a="1"/>
  <c r="H242" i="8" s="1"/>
  <c r="G242" i="8" a="1"/>
  <c r="G242" i="8" s="1"/>
  <c r="F242" i="8" a="1"/>
  <c r="F242" i="8" s="1"/>
  <c r="E242" i="8" a="1"/>
  <c r="E242" i="8" s="1"/>
  <c r="D242" i="8" a="1"/>
  <c r="D242" i="8" s="1"/>
  <c r="S241" i="8" a="1"/>
  <c r="S241" i="8" s="1"/>
  <c r="R241" i="8" a="1"/>
  <c r="R241" i="8" s="1"/>
  <c r="Q241" i="8" a="1"/>
  <c r="Q241" i="8" s="1"/>
  <c r="P241" i="8" a="1"/>
  <c r="P241" i="8" s="1"/>
  <c r="O241" i="8" a="1"/>
  <c r="O241" i="8" s="1"/>
  <c r="N241" i="8" a="1"/>
  <c r="N241" i="8" s="1"/>
  <c r="M241" i="8" a="1"/>
  <c r="M241" i="8" s="1"/>
  <c r="L241" i="8" a="1"/>
  <c r="L241" i="8" s="1"/>
  <c r="K241" i="8" a="1"/>
  <c r="K241" i="8" s="1"/>
  <c r="J241" i="8" a="1"/>
  <c r="J241" i="8" s="1"/>
  <c r="I241" i="8" a="1"/>
  <c r="I241" i="8" s="1"/>
  <c r="H241" i="8" a="1"/>
  <c r="H241" i="8" s="1"/>
  <c r="G241" i="8" a="1"/>
  <c r="G241" i="8" s="1"/>
  <c r="F241" i="8" a="1"/>
  <c r="F241" i="8" s="1"/>
  <c r="E241" i="8" a="1"/>
  <c r="E241" i="8" s="1"/>
  <c r="D241" i="8" a="1"/>
  <c r="D241" i="8" s="1"/>
  <c r="S240" i="8" a="1"/>
  <c r="S240" i="8" s="1"/>
  <c r="R240" i="8" a="1"/>
  <c r="R240" i="8" s="1"/>
  <c r="Q240" i="8" a="1"/>
  <c r="Q240" i="8" s="1"/>
  <c r="P240" i="8" a="1"/>
  <c r="P240" i="8" s="1"/>
  <c r="O240" i="8" a="1"/>
  <c r="O240" i="8" s="1"/>
  <c r="N240" i="8" a="1"/>
  <c r="N240" i="8" s="1"/>
  <c r="M240" i="8" a="1"/>
  <c r="M240" i="8" s="1"/>
  <c r="L240" i="8" a="1"/>
  <c r="L240" i="8" s="1"/>
  <c r="K240" i="8" a="1"/>
  <c r="K240" i="8" s="1"/>
  <c r="J240" i="8" a="1"/>
  <c r="J240" i="8" s="1"/>
  <c r="I240" i="8" a="1"/>
  <c r="I240" i="8" s="1"/>
  <c r="H240" i="8" a="1"/>
  <c r="H240" i="8" s="1"/>
  <c r="G240" i="8" a="1"/>
  <c r="G240" i="8" s="1"/>
  <c r="F240" i="8" a="1"/>
  <c r="F240" i="8" s="1"/>
  <c r="E240" i="8" a="1"/>
  <c r="E240" i="8" s="1"/>
  <c r="D240" i="8" a="1"/>
  <c r="D240" i="8" s="1"/>
  <c r="S239" i="8" a="1"/>
  <c r="S239" i="8" s="1"/>
  <c r="R239" i="8" a="1"/>
  <c r="R239" i="8" s="1"/>
  <c r="Q239" i="8" a="1"/>
  <c r="Q239" i="8" s="1"/>
  <c r="P239" i="8" a="1"/>
  <c r="P239" i="8" s="1"/>
  <c r="O239" i="8" a="1"/>
  <c r="O239" i="8" s="1"/>
  <c r="N239" i="8" a="1"/>
  <c r="N239" i="8" s="1"/>
  <c r="M239" i="8" a="1"/>
  <c r="M239" i="8" s="1"/>
  <c r="L239" i="8" a="1"/>
  <c r="L239" i="8" s="1"/>
  <c r="K239" i="8" a="1"/>
  <c r="K239" i="8" s="1"/>
  <c r="J239" i="8" a="1"/>
  <c r="J239" i="8" s="1"/>
  <c r="I239" i="8" a="1"/>
  <c r="I239" i="8" s="1"/>
  <c r="H239" i="8" a="1"/>
  <c r="H239" i="8" s="1"/>
  <c r="G239" i="8" a="1"/>
  <c r="G239" i="8" s="1"/>
  <c r="F239" i="8" a="1"/>
  <c r="F239" i="8" s="1"/>
  <c r="E239" i="8" a="1"/>
  <c r="E239" i="8" s="1"/>
  <c r="D239" i="8" a="1"/>
  <c r="D239" i="8" s="1"/>
  <c r="S238" i="8" a="1"/>
  <c r="S238" i="8" s="1"/>
  <c r="R238" i="8" a="1"/>
  <c r="R238" i="8" s="1"/>
  <c r="Q238" i="8" a="1"/>
  <c r="Q238" i="8" s="1"/>
  <c r="P238" i="8" a="1"/>
  <c r="P238" i="8" s="1"/>
  <c r="O238" i="8" a="1"/>
  <c r="O238" i="8" s="1"/>
  <c r="N238" i="8" a="1"/>
  <c r="N238" i="8" s="1"/>
  <c r="M238" i="8" a="1"/>
  <c r="M238" i="8" s="1"/>
  <c r="L238" i="8" a="1"/>
  <c r="L238" i="8" s="1"/>
  <c r="K238" i="8" a="1"/>
  <c r="K238" i="8" s="1"/>
  <c r="J238" i="8" a="1"/>
  <c r="J238" i="8" s="1"/>
  <c r="I238" i="8" a="1"/>
  <c r="I238" i="8" s="1"/>
  <c r="H238" i="8" a="1"/>
  <c r="H238" i="8" s="1"/>
  <c r="G238" i="8" a="1"/>
  <c r="G238" i="8" s="1"/>
  <c r="F238" i="8" a="1"/>
  <c r="F238" i="8" s="1"/>
  <c r="E238" i="8" a="1"/>
  <c r="E238" i="8" s="1"/>
  <c r="D238" i="8" a="1"/>
  <c r="D238" i="8" s="1"/>
  <c r="S237" i="8" a="1"/>
  <c r="S237" i="8" s="1"/>
  <c r="R237" i="8" a="1"/>
  <c r="R237" i="8" s="1"/>
  <c r="Q237" i="8" a="1"/>
  <c r="Q237" i="8" s="1"/>
  <c r="P237" i="8" a="1"/>
  <c r="P237" i="8" s="1"/>
  <c r="O237" i="8" a="1"/>
  <c r="O237" i="8" s="1"/>
  <c r="N237" i="8" a="1"/>
  <c r="N237" i="8" s="1"/>
  <c r="M237" i="8" a="1"/>
  <c r="M237" i="8" s="1"/>
  <c r="L237" i="8" a="1"/>
  <c r="L237" i="8" s="1"/>
  <c r="K237" i="8" a="1"/>
  <c r="K237" i="8" s="1"/>
  <c r="J237" i="8" a="1"/>
  <c r="J237" i="8" s="1"/>
  <c r="I237" i="8" a="1"/>
  <c r="I237" i="8" s="1"/>
  <c r="H237" i="8" a="1"/>
  <c r="H237" i="8" s="1"/>
  <c r="G237" i="8" a="1"/>
  <c r="G237" i="8" s="1"/>
  <c r="F237" i="8" a="1"/>
  <c r="F237" i="8" s="1"/>
  <c r="E237" i="8" a="1"/>
  <c r="E237" i="8" s="1"/>
  <c r="D237" i="8" a="1"/>
  <c r="D237" i="8" s="1"/>
  <c r="S236" i="8" a="1"/>
  <c r="S236" i="8" s="1"/>
  <c r="R236" i="8" a="1"/>
  <c r="R236" i="8" s="1"/>
  <c r="Q236" i="8" a="1"/>
  <c r="Q236" i="8" s="1"/>
  <c r="P236" i="8" a="1"/>
  <c r="P236" i="8" s="1"/>
  <c r="O236" i="8" a="1"/>
  <c r="O236" i="8" s="1"/>
  <c r="N236" i="8" a="1"/>
  <c r="N236" i="8" s="1"/>
  <c r="M236" i="8" a="1"/>
  <c r="M236" i="8" s="1"/>
  <c r="L236" i="8" a="1"/>
  <c r="L236" i="8" s="1"/>
  <c r="K236" i="8" a="1"/>
  <c r="K236" i="8" s="1"/>
  <c r="J236" i="8" a="1"/>
  <c r="J236" i="8" s="1"/>
  <c r="I236" i="8" a="1"/>
  <c r="I236" i="8" s="1"/>
  <c r="H236" i="8" a="1"/>
  <c r="H236" i="8" s="1"/>
  <c r="G236" i="8" a="1"/>
  <c r="G236" i="8" s="1"/>
  <c r="F236" i="8" a="1"/>
  <c r="F236" i="8" s="1"/>
  <c r="E236" i="8" a="1"/>
  <c r="E236" i="8" s="1"/>
  <c r="D236" i="8" a="1"/>
  <c r="D236" i="8" s="1"/>
  <c r="S235" i="8" a="1"/>
  <c r="S235" i="8" s="1"/>
  <c r="R235" i="8" a="1"/>
  <c r="R235" i="8" s="1"/>
  <c r="Q235" i="8" a="1"/>
  <c r="Q235" i="8" s="1"/>
  <c r="P235" i="8" a="1"/>
  <c r="P235" i="8" s="1"/>
  <c r="O235" i="8" a="1"/>
  <c r="O235" i="8" s="1"/>
  <c r="N235" i="8" a="1"/>
  <c r="N235" i="8" s="1"/>
  <c r="M235" i="8" a="1"/>
  <c r="M235" i="8" s="1"/>
  <c r="L235" i="8" a="1"/>
  <c r="L235" i="8" s="1"/>
  <c r="K235" i="8" a="1"/>
  <c r="K235" i="8" s="1"/>
  <c r="J235" i="8" a="1"/>
  <c r="J235" i="8" s="1"/>
  <c r="I235" i="8" a="1"/>
  <c r="I235" i="8" s="1"/>
  <c r="H235" i="8" a="1"/>
  <c r="H235" i="8" s="1"/>
  <c r="G235" i="8" a="1"/>
  <c r="G235" i="8" s="1"/>
  <c r="F235" i="8" a="1"/>
  <c r="F235" i="8" s="1"/>
  <c r="E235" i="8" a="1"/>
  <c r="E235" i="8" s="1"/>
  <c r="D235" i="8" a="1"/>
  <c r="D235" i="8" s="1"/>
  <c r="S234" i="8" a="1"/>
  <c r="S234" i="8" s="1"/>
  <c r="R234" i="8" a="1"/>
  <c r="R234" i="8" s="1"/>
  <c r="Q234" i="8" a="1"/>
  <c r="Q234" i="8" s="1"/>
  <c r="P234" i="8" a="1"/>
  <c r="P234" i="8" s="1"/>
  <c r="O234" i="8" a="1"/>
  <c r="O234" i="8" s="1"/>
  <c r="N234" i="8" a="1"/>
  <c r="N234" i="8" s="1"/>
  <c r="M234" i="8" a="1"/>
  <c r="M234" i="8" s="1"/>
  <c r="L234" i="8" a="1"/>
  <c r="L234" i="8" s="1"/>
  <c r="K234" i="8" a="1"/>
  <c r="K234" i="8" s="1"/>
  <c r="J234" i="8" a="1"/>
  <c r="J234" i="8" s="1"/>
  <c r="I234" i="8" a="1"/>
  <c r="I234" i="8" s="1"/>
  <c r="H234" i="8" a="1"/>
  <c r="H234" i="8" s="1"/>
  <c r="G234" i="8" a="1"/>
  <c r="G234" i="8" s="1"/>
  <c r="F234" i="8" a="1"/>
  <c r="F234" i="8" s="1"/>
  <c r="E234" i="8" a="1"/>
  <c r="E234" i="8" s="1"/>
  <c r="D234" i="8" a="1"/>
  <c r="D234" i="8" s="1"/>
  <c r="S233" i="8" a="1"/>
  <c r="S233" i="8" s="1"/>
  <c r="R233" i="8" a="1"/>
  <c r="R233" i="8" s="1"/>
  <c r="Q233" i="8" a="1"/>
  <c r="Q233" i="8" s="1"/>
  <c r="P233" i="8" a="1"/>
  <c r="P233" i="8" s="1"/>
  <c r="O233" i="8" a="1"/>
  <c r="O233" i="8" s="1"/>
  <c r="N233" i="8" a="1"/>
  <c r="N233" i="8" s="1"/>
  <c r="M233" i="8" a="1"/>
  <c r="M233" i="8" s="1"/>
  <c r="L233" i="8" a="1"/>
  <c r="L233" i="8" s="1"/>
  <c r="K233" i="8" a="1"/>
  <c r="K233" i="8" s="1"/>
  <c r="J233" i="8" a="1"/>
  <c r="J233" i="8" s="1"/>
  <c r="I233" i="8" a="1"/>
  <c r="I233" i="8" s="1"/>
  <c r="H233" i="8" a="1"/>
  <c r="H233" i="8" s="1"/>
  <c r="G233" i="8" a="1"/>
  <c r="G233" i="8" s="1"/>
  <c r="F233" i="8" a="1"/>
  <c r="F233" i="8" s="1"/>
  <c r="E233" i="8" a="1"/>
  <c r="E233" i="8" s="1"/>
  <c r="D233" i="8" a="1"/>
  <c r="D233" i="8" s="1"/>
  <c r="S232" i="8" a="1"/>
  <c r="S232" i="8" s="1"/>
  <c r="R232" i="8" a="1"/>
  <c r="R232" i="8" s="1"/>
  <c r="Q232" i="8" a="1"/>
  <c r="Q232" i="8" s="1"/>
  <c r="P232" i="8" a="1"/>
  <c r="P232" i="8" s="1"/>
  <c r="O232" i="8" a="1"/>
  <c r="O232" i="8" s="1"/>
  <c r="N232" i="8" a="1"/>
  <c r="N232" i="8" s="1"/>
  <c r="M232" i="8" a="1"/>
  <c r="M232" i="8" s="1"/>
  <c r="L232" i="8" a="1"/>
  <c r="L232" i="8" s="1"/>
  <c r="K232" i="8" a="1"/>
  <c r="K232" i="8" s="1"/>
  <c r="J232" i="8" a="1"/>
  <c r="J232" i="8" s="1"/>
  <c r="I232" i="8" a="1"/>
  <c r="I232" i="8" s="1"/>
  <c r="H232" i="8" a="1"/>
  <c r="H232" i="8" s="1"/>
  <c r="G232" i="8" a="1"/>
  <c r="G232" i="8" s="1"/>
  <c r="F232" i="8" a="1"/>
  <c r="F232" i="8" s="1"/>
  <c r="E232" i="8" a="1"/>
  <c r="E232" i="8" s="1"/>
  <c r="D232" i="8" a="1"/>
  <c r="D232" i="8" s="1"/>
  <c r="D229" i="8" a="1"/>
  <c r="D229" i="8" s="1"/>
  <c r="D228" i="8" a="1"/>
  <c r="D228" i="8" s="1"/>
  <c r="D227" i="8" a="1"/>
  <c r="D227" i="8" s="1"/>
  <c r="E224" i="8" a="1"/>
  <c r="E224" i="8" s="1"/>
  <c r="D224" i="8" a="1"/>
  <c r="D224" i="8" s="1"/>
  <c r="E223" i="8" a="1"/>
  <c r="E223" i="8" s="1"/>
  <c r="D223" i="8" a="1"/>
  <c r="D223" i="8" s="1"/>
  <c r="E222" i="8" a="1"/>
  <c r="E222" i="8" s="1"/>
  <c r="D222" i="8" a="1"/>
  <c r="D222" i="8" s="1"/>
  <c r="E221" i="8" a="1"/>
  <c r="E221" i="8" s="1"/>
  <c r="D221" i="8" a="1"/>
  <c r="D221" i="8" s="1"/>
  <c r="E220" i="8" a="1"/>
  <c r="E220" i="8" s="1"/>
  <c r="D220" i="8" a="1"/>
  <c r="D220" i="8" s="1"/>
  <c r="E219" i="8" a="1"/>
  <c r="E219" i="8" s="1"/>
  <c r="D219" i="8" a="1"/>
  <c r="D219" i="8" s="1"/>
  <c r="E218" i="8" a="1"/>
  <c r="E218" i="8" s="1"/>
  <c r="D218" i="8" a="1"/>
  <c r="D218" i="8" s="1"/>
  <c r="E217" i="8" a="1"/>
  <c r="E217" i="8" s="1"/>
  <c r="D217" i="8" a="1"/>
  <c r="D217" i="8" s="1"/>
  <c r="E216" i="8" a="1"/>
  <c r="E216" i="8" s="1"/>
  <c r="D216" i="8" a="1"/>
  <c r="D216" i="8" s="1"/>
  <c r="E215" i="8" a="1"/>
  <c r="E215" i="8" s="1"/>
  <c r="D215" i="8" a="1"/>
  <c r="D215" i="8" s="1"/>
  <c r="E214" i="8" a="1"/>
  <c r="E214" i="8" s="1"/>
  <c r="D214" i="8" a="1"/>
  <c r="D214" i="8" s="1"/>
  <c r="E213" i="8" a="1"/>
  <c r="E213" i="8" s="1"/>
  <c r="D213" i="8" a="1"/>
  <c r="D213" i="8" s="1"/>
  <c r="D211" i="8" a="1"/>
  <c r="D211" i="8" s="1"/>
  <c r="E208" i="8" a="1"/>
  <c r="E208" i="8" s="1"/>
  <c r="D208" i="8" a="1"/>
  <c r="D208" i="8" s="1"/>
  <c r="E207" i="8" a="1"/>
  <c r="E207" i="8" s="1"/>
  <c r="D207" i="8" a="1"/>
  <c r="D207" i="8" s="1"/>
  <c r="D205" i="8" a="1"/>
  <c r="D205" i="8" s="1"/>
  <c r="D204" i="8" a="1"/>
  <c r="D204" i="8" s="1"/>
  <c r="D203" i="8" a="1"/>
  <c r="D203" i="8" s="1"/>
  <c r="D202" i="8" a="1"/>
  <c r="D202" i="8" s="1"/>
  <c r="H199" i="8" a="1"/>
  <c r="H199" i="8" s="1"/>
  <c r="G199" i="8" a="1"/>
  <c r="G199" i="8" s="1"/>
  <c r="F199" i="8" a="1"/>
  <c r="F199" i="8" s="1"/>
  <c r="E199" i="8" a="1"/>
  <c r="E199" i="8" s="1"/>
  <c r="D199" i="8" a="1"/>
  <c r="D199" i="8" s="1"/>
  <c r="H198" i="8" a="1"/>
  <c r="H198" i="8" s="1"/>
  <c r="G198" i="8" a="1"/>
  <c r="G198" i="8" s="1"/>
  <c r="F198" i="8" a="1"/>
  <c r="F198" i="8" s="1"/>
  <c r="E198" i="8" a="1"/>
  <c r="E198" i="8" s="1"/>
  <c r="D198" i="8" a="1"/>
  <c r="D198" i="8" s="1"/>
  <c r="H197" i="8" a="1"/>
  <c r="H197" i="8" s="1"/>
  <c r="G197" i="8" a="1"/>
  <c r="G197" i="8" s="1"/>
  <c r="F197" i="8" a="1"/>
  <c r="F197" i="8" s="1"/>
  <c r="E197" i="8" a="1"/>
  <c r="E197" i="8" s="1"/>
  <c r="D197" i="8" a="1"/>
  <c r="D197" i="8" s="1"/>
  <c r="H196" i="8" a="1"/>
  <c r="H196" i="8" s="1"/>
  <c r="G196" i="8" a="1"/>
  <c r="G196" i="8" s="1"/>
  <c r="F196" i="8" a="1"/>
  <c r="F196" i="8" s="1"/>
  <c r="E196" i="8" a="1"/>
  <c r="E196" i="8" s="1"/>
  <c r="D196" i="8" a="1"/>
  <c r="D196" i="8" s="1"/>
  <c r="H195" i="8" a="1"/>
  <c r="H195" i="8" s="1"/>
  <c r="G195" i="8" a="1"/>
  <c r="G195" i="8" s="1"/>
  <c r="F195" i="8" a="1"/>
  <c r="F195" i="8" s="1"/>
  <c r="E195" i="8" a="1"/>
  <c r="E195" i="8" s="1"/>
  <c r="D195" i="8" a="1"/>
  <c r="D195" i="8" s="1"/>
  <c r="H194" i="8" a="1"/>
  <c r="H194" i="8" s="1"/>
  <c r="G194" i="8" a="1"/>
  <c r="G194" i="8" s="1"/>
  <c r="F194" i="8" a="1"/>
  <c r="F194" i="8" s="1"/>
  <c r="E194" i="8" a="1"/>
  <c r="E194" i="8" s="1"/>
  <c r="D194" i="8" a="1"/>
  <c r="D194" i="8" s="1"/>
  <c r="H193" i="8" a="1"/>
  <c r="H193" i="8" s="1"/>
  <c r="G193" i="8" a="1"/>
  <c r="G193" i="8" s="1"/>
  <c r="F193" i="8" a="1"/>
  <c r="F193" i="8" s="1"/>
  <c r="E193" i="8" a="1"/>
  <c r="E193" i="8" s="1"/>
  <c r="D193" i="8" a="1"/>
  <c r="D193" i="8" s="1"/>
  <c r="H192" i="8" a="1"/>
  <c r="H192" i="8" s="1"/>
  <c r="G192" i="8" a="1"/>
  <c r="G192" i="8" s="1"/>
  <c r="F192" i="8" a="1"/>
  <c r="F192" i="8" s="1"/>
  <c r="E192" i="8" a="1"/>
  <c r="E192" i="8" s="1"/>
  <c r="D192" i="8" a="1"/>
  <c r="D192" i="8" s="1"/>
  <c r="H191" i="8" a="1"/>
  <c r="H191" i="8" s="1"/>
  <c r="G191" i="8" a="1"/>
  <c r="G191" i="8" s="1"/>
  <c r="F191" i="8" a="1"/>
  <c r="F191" i="8" s="1"/>
  <c r="E191" i="8" a="1"/>
  <c r="E191" i="8" s="1"/>
  <c r="D191" i="8" a="1"/>
  <c r="D191" i="8" s="1"/>
  <c r="H190" i="8" a="1"/>
  <c r="H190" i="8" s="1"/>
  <c r="G190" i="8" a="1"/>
  <c r="G190" i="8" s="1"/>
  <c r="F190" i="8" a="1"/>
  <c r="F190" i="8" s="1"/>
  <c r="E190" i="8" a="1"/>
  <c r="E190" i="8" s="1"/>
  <c r="D190" i="8" a="1"/>
  <c r="D190" i="8" s="1"/>
  <c r="H189" i="8" a="1"/>
  <c r="H189" i="8" s="1"/>
  <c r="G189" i="8" a="1"/>
  <c r="G189" i="8" s="1"/>
  <c r="F189" i="8" a="1"/>
  <c r="F189" i="8" s="1"/>
  <c r="E189" i="8" a="1"/>
  <c r="E189" i="8" s="1"/>
  <c r="D189" i="8" a="1"/>
  <c r="D189" i="8" s="1"/>
  <c r="H188" i="8" a="1"/>
  <c r="H188" i="8" s="1"/>
  <c r="G188" i="8" a="1"/>
  <c r="G188" i="8" s="1"/>
  <c r="F188" i="8" a="1"/>
  <c r="F188" i="8" s="1"/>
  <c r="E188" i="8" a="1"/>
  <c r="E188" i="8" s="1"/>
  <c r="D188" i="8" a="1"/>
  <c r="D188" i="8" s="1"/>
  <c r="H187" i="8" a="1"/>
  <c r="H187" i="8" s="1"/>
  <c r="G187" i="8" a="1"/>
  <c r="G187" i="8" s="1"/>
  <c r="F187" i="8" a="1"/>
  <c r="F187" i="8" s="1"/>
  <c r="E187" i="8" a="1"/>
  <c r="E187" i="8" s="1"/>
  <c r="D187" i="8" a="1"/>
  <c r="D187" i="8" s="1"/>
  <c r="D181" i="8" a="1"/>
  <c r="D181" i="8" s="1"/>
  <c r="D180" i="8" a="1"/>
  <c r="D180" i="8" s="1"/>
  <c r="D179" i="8" a="1"/>
  <c r="D179" i="8" s="1"/>
  <c r="D178" i="8" a="1"/>
  <c r="D178" i="8" s="1"/>
  <c r="E175" i="8" a="1"/>
  <c r="E175" i="8" s="1"/>
  <c r="D175" i="8" a="1"/>
  <c r="D175" i="8" s="1"/>
  <c r="D174" i="8" a="1"/>
  <c r="D174" i="8" s="1"/>
  <c r="D173" i="8" a="1"/>
  <c r="D173" i="8" s="1"/>
  <c r="D170" i="8" a="1"/>
  <c r="D170" i="8" s="1"/>
  <c r="D169" i="8" a="1"/>
  <c r="D169" i="8" s="1"/>
  <c r="D168" i="8" a="1"/>
  <c r="D168" i="8" s="1"/>
  <c r="D167" i="8" a="1"/>
  <c r="D167" i="8" s="1"/>
  <c r="D164" i="8" a="1"/>
  <c r="D164" i="8" s="1"/>
  <c r="D163" i="8" a="1"/>
  <c r="D163" i="8" s="1"/>
  <c r="D162" i="8" a="1"/>
  <c r="D162" i="8" s="1"/>
  <c r="D161" i="8" a="1"/>
  <c r="D161" i="8" s="1"/>
  <c r="E158" i="8" a="1"/>
  <c r="E158" i="8" s="1"/>
  <c r="D158" i="8" a="1"/>
  <c r="D158" i="8" s="1"/>
  <c r="E157" i="8" a="1"/>
  <c r="E157" i="8" s="1"/>
  <c r="D157" i="8" a="1"/>
  <c r="D157" i="8" s="1"/>
  <c r="E156" i="8" a="1"/>
  <c r="E156" i="8" s="1"/>
  <c r="D156" i="8" a="1"/>
  <c r="D156" i="8" s="1"/>
  <c r="E155" i="8" a="1"/>
  <c r="E155" i="8" s="1"/>
  <c r="D155" i="8" a="1"/>
  <c r="D155" i="8" s="1"/>
  <c r="E154" i="8" a="1"/>
  <c r="E154" i="8" s="1"/>
  <c r="D154" i="8" a="1"/>
  <c r="D154" i="8" s="1"/>
  <c r="D151" i="8" a="1"/>
  <c r="D151" i="8" s="1"/>
  <c r="D150" i="8" a="1"/>
  <c r="D150" i="8" s="1"/>
  <c r="E147" i="8" a="1"/>
  <c r="E147" i="8" s="1"/>
  <c r="D147" i="8" a="1"/>
  <c r="D147" i="8" s="1"/>
  <c r="E146" i="8" a="1"/>
  <c r="E146" i="8" s="1"/>
  <c r="D146" i="8" a="1"/>
  <c r="D146" i="8" s="1"/>
  <c r="E145" i="8" a="1"/>
  <c r="E145" i="8" s="1"/>
  <c r="D145" i="8" a="1"/>
  <c r="D145" i="8" s="1"/>
  <c r="E144" i="8" a="1"/>
  <c r="E144" i="8" s="1"/>
  <c r="D144" i="8" a="1"/>
  <c r="D144" i="8" s="1"/>
  <c r="E143" i="8" a="1"/>
  <c r="E143" i="8" s="1"/>
  <c r="D143" i="8" a="1"/>
  <c r="D143" i="8" s="1"/>
  <c r="D141" i="8" a="1"/>
  <c r="D141" i="8" s="1"/>
  <c r="D140" i="8" a="1"/>
  <c r="D140" i="8" s="1"/>
  <c r="D139" i="8" a="1"/>
  <c r="D139" i="8" s="1"/>
  <c r="E136" i="8" a="1"/>
  <c r="E136" i="8" s="1"/>
  <c r="D136" i="8" a="1"/>
  <c r="D136" i="8" s="1"/>
  <c r="E135" i="8" a="1"/>
  <c r="E135" i="8" s="1"/>
  <c r="D135" i="8" a="1"/>
  <c r="D135" i="8" s="1"/>
  <c r="D133" i="8" a="1"/>
  <c r="D133" i="8" s="1"/>
  <c r="D132" i="8" a="1"/>
  <c r="D132" i="8" s="1"/>
  <c r="E129" i="8" a="1"/>
  <c r="E129" i="8" s="1"/>
  <c r="D129" i="8" a="1"/>
  <c r="D129" i="8" s="1"/>
  <c r="E128" i="8" a="1"/>
  <c r="E128" i="8" s="1"/>
  <c r="D128" i="8" a="1"/>
  <c r="D128" i="8" s="1"/>
  <c r="D125" i="8" a="1"/>
  <c r="D125" i="8" s="1"/>
  <c r="D124" i="8" a="1"/>
  <c r="D124" i="8" s="1"/>
  <c r="G121" i="8" a="1"/>
  <c r="G121" i="8" s="1"/>
  <c r="F121" i="8" a="1"/>
  <c r="F121" i="8" s="1"/>
  <c r="E121" i="8" a="1"/>
  <c r="E121" i="8" s="1"/>
  <c r="D121" i="8" a="1"/>
  <c r="D121" i="8" s="1"/>
  <c r="G120" i="8" a="1"/>
  <c r="G120" i="8" s="1"/>
  <c r="F120" i="8" a="1"/>
  <c r="F120" i="8" s="1"/>
  <c r="E120" i="8" a="1"/>
  <c r="E120" i="8" s="1"/>
  <c r="D120" i="8" a="1"/>
  <c r="D120" i="8" s="1"/>
  <c r="D117" i="8" a="1"/>
  <c r="D117" i="8" s="1"/>
  <c r="D116" i="8" a="1"/>
  <c r="D116" i="8" s="1"/>
  <c r="D115" i="8" a="1"/>
  <c r="D115" i="8" s="1"/>
  <c r="G112" i="8" a="1"/>
  <c r="G112" i="8" s="1"/>
  <c r="F112" i="8" a="1"/>
  <c r="F112" i="8" s="1"/>
  <c r="E112" i="8" a="1"/>
  <c r="E112" i="8" s="1"/>
  <c r="D112" i="8" a="1"/>
  <c r="D112" i="8" s="1"/>
  <c r="G111" i="8" a="1"/>
  <c r="G111" i="8" s="1"/>
  <c r="F111" i="8" a="1"/>
  <c r="F111" i="8" s="1"/>
  <c r="E111" i="8" a="1"/>
  <c r="E111" i="8" s="1"/>
  <c r="D111" i="8" a="1"/>
  <c r="D111" i="8" s="1"/>
  <c r="G110" i="8" a="1"/>
  <c r="G110" i="8" s="1"/>
  <c r="F110" i="8" a="1"/>
  <c r="F110" i="8" s="1"/>
  <c r="E110" i="8" a="1"/>
  <c r="E110" i="8" s="1"/>
  <c r="D110" i="8" a="1"/>
  <c r="D110" i="8" s="1"/>
  <c r="D107" i="8" a="1"/>
  <c r="D107" i="8" s="1"/>
  <c r="D106" i="8" a="1"/>
  <c r="D106" i="8" s="1"/>
  <c r="D105" i="8" a="1"/>
  <c r="D105" i="8" s="1"/>
  <c r="D99" i="8" a="1"/>
  <c r="D99" i="8" s="1"/>
  <c r="S97" i="8" a="1"/>
  <c r="S97" i="8" s="1"/>
  <c r="R97" i="8" a="1"/>
  <c r="R97" i="8" s="1"/>
  <c r="Q97" i="8" a="1"/>
  <c r="Q97" i="8" s="1"/>
  <c r="P97" i="8" a="1"/>
  <c r="P97" i="8" s="1"/>
  <c r="O97" i="8" a="1"/>
  <c r="O97" i="8" s="1"/>
  <c r="N97" i="8" a="1"/>
  <c r="N97" i="8" s="1"/>
  <c r="M97" i="8" a="1"/>
  <c r="M97" i="8" s="1"/>
  <c r="L97" i="8" a="1"/>
  <c r="L97" i="8" s="1"/>
  <c r="K97" i="8" a="1"/>
  <c r="K97" i="8" s="1"/>
  <c r="J97" i="8" a="1"/>
  <c r="J97" i="8" s="1"/>
  <c r="I97" i="8" a="1"/>
  <c r="I97" i="8" s="1"/>
  <c r="H97" i="8" a="1"/>
  <c r="H97" i="8" s="1"/>
  <c r="G97" i="8" a="1"/>
  <c r="G97" i="8" s="1"/>
  <c r="F97" i="8" a="1"/>
  <c r="F97" i="8" s="1"/>
  <c r="E97" i="8" a="1"/>
  <c r="E97" i="8" s="1"/>
  <c r="D97" i="8" a="1"/>
  <c r="D97" i="8" s="1"/>
  <c r="S96" i="8" a="1"/>
  <c r="S96" i="8" s="1"/>
  <c r="R96" i="8" a="1"/>
  <c r="R96" i="8" s="1"/>
  <c r="Q96" i="8" a="1"/>
  <c r="Q96" i="8" s="1"/>
  <c r="P96" i="8" a="1"/>
  <c r="P96" i="8" s="1"/>
  <c r="O96" i="8" a="1"/>
  <c r="O96" i="8" s="1"/>
  <c r="N96" i="8" a="1"/>
  <c r="N96" i="8" s="1"/>
  <c r="M96" i="8" a="1"/>
  <c r="M96" i="8" s="1"/>
  <c r="L96" i="8" a="1"/>
  <c r="L96" i="8" s="1"/>
  <c r="K96" i="8" a="1"/>
  <c r="K96" i="8" s="1"/>
  <c r="J96" i="8" a="1"/>
  <c r="J96" i="8" s="1"/>
  <c r="I96" i="8" a="1"/>
  <c r="I96" i="8" s="1"/>
  <c r="H96" i="8" a="1"/>
  <c r="H96" i="8" s="1"/>
  <c r="G96" i="8" a="1"/>
  <c r="G96" i="8" s="1"/>
  <c r="F96" i="8" a="1"/>
  <c r="F96" i="8" s="1"/>
  <c r="E96" i="8" a="1"/>
  <c r="E96" i="8" s="1"/>
  <c r="D96" i="8" a="1"/>
  <c r="D96" i="8" s="1"/>
  <c r="S95" i="8" a="1"/>
  <c r="S95" i="8" s="1"/>
  <c r="R95" i="8" a="1"/>
  <c r="R95" i="8" s="1"/>
  <c r="Q95" i="8" a="1"/>
  <c r="Q95" i="8" s="1"/>
  <c r="P95" i="8" a="1"/>
  <c r="P95" i="8" s="1"/>
  <c r="O95" i="8" a="1"/>
  <c r="O95" i="8" s="1"/>
  <c r="N95" i="8" a="1"/>
  <c r="N95" i="8" s="1"/>
  <c r="M95" i="8" a="1"/>
  <c r="M95" i="8" s="1"/>
  <c r="L95" i="8" a="1"/>
  <c r="L95" i="8" s="1"/>
  <c r="K95" i="8" a="1"/>
  <c r="K95" i="8" s="1"/>
  <c r="J95" i="8" a="1"/>
  <c r="J95" i="8" s="1"/>
  <c r="I95" i="8" a="1"/>
  <c r="I95" i="8" s="1"/>
  <c r="H95" i="8" a="1"/>
  <c r="H95" i="8" s="1"/>
  <c r="G95" i="8" a="1"/>
  <c r="G95" i="8" s="1"/>
  <c r="F95" i="8" a="1"/>
  <c r="F95" i="8" s="1"/>
  <c r="E95" i="8" a="1"/>
  <c r="E95" i="8" s="1"/>
  <c r="D95" i="8" a="1"/>
  <c r="D95" i="8" s="1"/>
  <c r="S94" i="8" a="1"/>
  <c r="S94" i="8" s="1"/>
  <c r="R94" i="8" a="1"/>
  <c r="R94" i="8" s="1"/>
  <c r="Q94" i="8" a="1"/>
  <c r="Q94" i="8" s="1"/>
  <c r="P94" i="8" a="1"/>
  <c r="P94" i="8" s="1"/>
  <c r="O94" i="8" a="1"/>
  <c r="O94" i="8" s="1"/>
  <c r="N94" i="8" a="1"/>
  <c r="N94" i="8" s="1"/>
  <c r="M94" i="8" a="1"/>
  <c r="M94" i="8" s="1"/>
  <c r="L94" i="8" a="1"/>
  <c r="L94" i="8" s="1"/>
  <c r="K94" i="8" a="1"/>
  <c r="K94" i="8" s="1"/>
  <c r="J94" i="8" a="1"/>
  <c r="J94" i="8" s="1"/>
  <c r="I94" i="8" a="1"/>
  <c r="I94" i="8" s="1"/>
  <c r="H94" i="8" a="1"/>
  <c r="H94" i="8" s="1"/>
  <c r="G94" i="8" a="1"/>
  <c r="G94" i="8" s="1"/>
  <c r="F94" i="8" a="1"/>
  <c r="F94" i="8" s="1"/>
  <c r="E94" i="8" a="1"/>
  <c r="E94" i="8" s="1"/>
  <c r="D94" i="8" a="1"/>
  <c r="D94" i="8" s="1"/>
  <c r="S93" i="8" a="1"/>
  <c r="S93" i="8" s="1"/>
  <c r="R93" i="8" a="1"/>
  <c r="R93" i="8" s="1"/>
  <c r="Q93" i="8" a="1"/>
  <c r="Q93" i="8" s="1"/>
  <c r="P93" i="8" a="1"/>
  <c r="P93" i="8" s="1"/>
  <c r="O93" i="8" a="1"/>
  <c r="O93" i="8" s="1"/>
  <c r="N93" i="8" a="1"/>
  <c r="N93" i="8" s="1"/>
  <c r="M93" i="8" a="1"/>
  <c r="M93" i="8" s="1"/>
  <c r="L93" i="8" a="1"/>
  <c r="L93" i="8" s="1"/>
  <c r="K93" i="8" a="1"/>
  <c r="K93" i="8" s="1"/>
  <c r="J93" i="8" a="1"/>
  <c r="J93" i="8" s="1"/>
  <c r="I93" i="8" a="1"/>
  <c r="I93" i="8" s="1"/>
  <c r="H93" i="8" a="1"/>
  <c r="H93" i="8" s="1"/>
  <c r="G93" i="8" a="1"/>
  <c r="G93" i="8" s="1"/>
  <c r="F93" i="8" a="1"/>
  <c r="F93" i="8" s="1"/>
  <c r="E93" i="8" a="1"/>
  <c r="E93" i="8" s="1"/>
  <c r="D93" i="8" a="1"/>
  <c r="D93" i="8" s="1"/>
  <c r="S92" i="8" a="1"/>
  <c r="S92" i="8" s="1"/>
  <c r="R92" i="8" a="1"/>
  <c r="R92" i="8" s="1"/>
  <c r="Q92" i="8" a="1"/>
  <c r="Q92" i="8" s="1"/>
  <c r="P92" i="8" a="1"/>
  <c r="P92" i="8" s="1"/>
  <c r="O92" i="8" a="1"/>
  <c r="O92" i="8" s="1"/>
  <c r="N92" i="8" a="1"/>
  <c r="N92" i="8" s="1"/>
  <c r="M92" i="8" a="1"/>
  <c r="M92" i="8" s="1"/>
  <c r="L92" i="8" a="1"/>
  <c r="L92" i="8" s="1"/>
  <c r="K92" i="8" a="1"/>
  <c r="K92" i="8" s="1"/>
  <c r="J92" i="8" a="1"/>
  <c r="J92" i="8" s="1"/>
  <c r="I92" i="8" a="1"/>
  <c r="I92" i="8" s="1"/>
  <c r="H92" i="8" a="1"/>
  <c r="H92" i="8" s="1"/>
  <c r="G92" i="8" a="1"/>
  <c r="G92" i="8" s="1"/>
  <c r="F92" i="8" a="1"/>
  <c r="F92" i="8" s="1"/>
  <c r="E92" i="8" a="1"/>
  <c r="E92" i="8" s="1"/>
  <c r="D92" i="8" a="1"/>
  <c r="D92" i="8" s="1"/>
  <c r="S91" i="8" a="1"/>
  <c r="S91" i="8" s="1"/>
  <c r="R91" i="8" a="1"/>
  <c r="R91" i="8" s="1"/>
  <c r="Q91" i="8" a="1"/>
  <c r="Q91" i="8" s="1"/>
  <c r="P91" i="8" a="1"/>
  <c r="P91" i="8" s="1"/>
  <c r="O91" i="8" a="1"/>
  <c r="O91" i="8" s="1"/>
  <c r="N91" i="8" a="1"/>
  <c r="N91" i="8" s="1"/>
  <c r="M91" i="8" a="1"/>
  <c r="M91" i="8" s="1"/>
  <c r="L91" i="8" a="1"/>
  <c r="L91" i="8" s="1"/>
  <c r="K91" i="8" a="1"/>
  <c r="K91" i="8" s="1"/>
  <c r="J91" i="8" a="1"/>
  <c r="J91" i="8" s="1"/>
  <c r="I91" i="8" a="1"/>
  <c r="I91" i="8" s="1"/>
  <c r="H91" i="8" a="1"/>
  <c r="H91" i="8" s="1"/>
  <c r="G91" i="8" a="1"/>
  <c r="G91" i="8" s="1"/>
  <c r="F91" i="8" a="1"/>
  <c r="F91" i="8" s="1"/>
  <c r="E91" i="8" a="1"/>
  <c r="E91" i="8" s="1"/>
  <c r="D91" i="8" a="1"/>
  <c r="D91" i="8" s="1"/>
  <c r="S90" i="8" a="1"/>
  <c r="S90" i="8" s="1"/>
  <c r="R90" i="8" a="1"/>
  <c r="R90" i="8" s="1"/>
  <c r="Q90" i="8" a="1"/>
  <c r="Q90" i="8" s="1"/>
  <c r="P90" i="8" a="1"/>
  <c r="P90" i="8" s="1"/>
  <c r="O90" i="8" a="1"/>
  <c r="O90" i="8" s="1"/>
  <c r="N90" i="8" a="1"/>
  <c r="N90" i="8" s="1"/>
  <c r="M90" i="8" a="1"/>
  <c r="M90" i="8" s="1"/>
  <c r="L90" i="8" a="1"/>
  <c r="L90" i="8" s="1"/>
  <c r="K90" i="8" a="1"/>
  <c r="K90" i="8" s="1"/>
  <c r="J90" i="8" a="1"/>
  <c r="J90" i="8" s="1"/>
  <c r="I90" i="8" a="1"/>
  <c r="I90" i="8" s="1"/>
  <c r="H90" i="8" a="1"/>
  <c r="H90" i="8" s="1"/>
  <c r="G90" i="8" a="1"/>
  <c r="G90" i="8" s="1"/>
  <c r="F90" i="8" a="1"/>
  <c r="F90" i="8" s="1"/>
  <c r="E90" i="8" a="1"/>
  <c r="E90" i="8" s="1"/>
  <c r="D90" i="8" a="1"/>
  <c r="D90" i="8" s="1"/>
  <c r="D83" i="8" a="1"/>
  <c r="D83" i="8" s="1"/>
  <c r="D82" i="8" a="1"/>
  <c r="D82" i="8" s="1"/>
  <c r="D81" i="8" a="1"/>
  <c r="D81" i="8" s="1"/>
  <c r="E77" i="8" a="1"/>
  <c r="E77" i="8" s="1"/>
  <c r="D77" i="8" a="1"/>
  <c r="D77" i="8" s="1"/>
  <c r="E76" i="8" a="1"/>
  <c r="E76" i="8" s="1"/>
  <c r="D76" i="8" a="1"/>
  <c r="D76" i="8" s="1"/>
  <c r="E75" i="8" a="1"/>
  <c r="E75" i="8" s="1"/>
  <c r="D75" i="8" a="1"/>
  <c r="D75" i="8" s="1"/>
  <c r="E74" i="8" a="1"/>
  <c r="E74" i="8" s="1"/>
  <c r="D74" i="8" a="1"/>
  <c r="D74" i="8" s="1"/>
  <c r="E73" i="8" a="1"/>
  <c r="E73" i="8" s="1"/>
  <c r="D73" i="8" a="1"/>
  <c r="D73" i="8" s="1"/>
  <c r="E72" i="8" a="1"/>
  <c r="E72" i="8" s="1"/>
  <c r="D72" i="8" a="1"/>
  <c r="D72" i="8" s="1"/>
  <c r="E71" i="8" a="1"/>
  <c r="E71" i="8" s="1"/>
  <c r="D71" i="8" a="1"/>
  <c r="D71" i="8" s="1"/>
  <c r="E70" i="8" a="1"/>
  <c r="E70" i="8" s="1"/>
  <c r="D70" i="8" a="1"/>
  <c r="D70" i="8" s="1"/>
  <c r="E69" i="8" a="1"/>
  <c r="E69" i="8" s="1"/>
  <c r="D69" i="8" a="1"/>
  <c r="D69" i="8" s="1"/>
  <c r="E68" i="8" a="1"/>
  <c r="E68" i="8" s="1"/>
  <c r="D68" i="8" a="1"/>
  <c r="D68" i="8" s="1"/>
  <c r="E67" i="8" a="1"/>
  <c r="E67" i="8" s="1"/>
  <c r="D67" i="8" a="1"/>
  <c r="D67" i="8" s="1"/>
  <c r="E66" i="8" a="1"/>
  <c r="E66" i="8" s="1"/>
  <c r="D66" i="8" a="1"/>
  <c r="D66" i="8" s="1"/>
  <c r="E65" i="8" a="1"/>
  <c r="E65" i="8" s="1"/>
  <c r="D65" i="8" a="1"/>
  <c r="D65" i="8" s="1"/>
  <c r="E64" i="8" a="1"/>
  <c r="E64" i="8" s="1"/>
  <c r="D64" i="8" a="1"/>
  <c r="D64" i="8" s="1"/>
  <c r="D59" i="8" a="1"/>
  <c r="D59" i="8" s="1"/>
  <c r="D58" i="8" a="1"/>
  <c r="D58" i="8" s="1"/>
  <c r="D57" i="8" a="1"/>
  <c r="D57" i="8" s="1"/>
  <c r="G54" i="8" a="1"/>
  <c r="G54" i="8" s="1"/>
  <c r="F54" i="8" a="1"/>
  <c r="F54" i="8" s="1"/>
  <c r="E54" i="8" a="1"/>
  <c r="E54" i="8" s="1"/>
  <c r="D54" i="8" a="1"/>
  <c r="D54" i="8" s="1"/>
  <c r="G53" i="8" a="1"/>
  <c r="G53" i="8" s="1"/>
  <c r="F53" i="8" a="1"/>
  <c r="F53" i="8" s="1"/>
  <c r="E53" i="8" a="1"/>
  <c r="E53" i="8" s="1"/>
  <c r="D53" i="8" a="1"/>
  <c r="D53" i="8" s="1"/>
  <c r="G52" i="8" a="1"/>
  <c r="G52" i="8" s="1"/>
  <c r="F52" i="8" a="1"/>
  <c r="F52" i="8" s="1"/>
  <c r="E52" i="8" a="1"/>
  <c r="E52" i="8" s="1"/>
  <c r="D52" i="8" a="1"/>
  <c r="D52" i="8" s="1"/>
  <c r="G51" i="8" a="1"/>
  <c r="G51" i="8" s="1"/>
  <c r="F51" i="8" a="1"/>
  <c r="F51" i="8" s="1"/>
  <c r="H51" i="8" s="1"/>
  <c r="E51" i="8" a="1"/>
  <c r="E51" i="8" s="1"/>
  <c r="D51" i="8" a="1"/>
  <c r="D51" i="8" s="1"/>
  <c r="G50" i="8" a="1"/>
  <c r="G50" i="8" s="1"/>
  <c r="H50" i="8" s="1"/>
  <c r="F50" i="8" a="1"/>
  <c r="F50" i="8" s="1"/>
  <c r="E50" i="8" a="1"/>
  <c r="E50" i="8" s="1"/>
  <c r="D50" i="8" a="1"/>
  <c r="D50" i="8" s="1"/>
  <c r="G49" i="8" a="1"/>
  <c r="G49" i="8" s="1"/>
  <c r="F49" i="8" a="1"/>
  <c r="F49" i="8" s="1"/>
  <c r="E49" i="8" a="1"/>
  <c r="E49" i="8" s="1"/>
  <c r="D49" i="8" a="1"/>
  <c r="D49" i="8" s="1"/>
  <c r="G48" i="8" a="1"/>
  <c r="G48" i="8" s="1"/>
  <c r="F48" i="8" a="1"/>
  <c r="F48" i="8" s="1"/>
  <c r="H48" i="8" s="1"/>
  <c r="E48" i="8" a="1"/>
  <c r="E48" i="8" s="1"/>
  <c r="D48" i="8" a="1"/>
  <c r="D48" i="8" s="1"/>
  <c r="D46" i="8" a="1"/>
  <c r="D46" i="8" s="1"/>
  <c r="D45" i="8" a="1"/>
  <c r="D45" i="8" s="1"/>
  <c r="E43" i="8" a="1"/>
  <c r="E43" i="8" s="1"/>
  <c r="D43" i="8" a="1"/>
  <c r="D43" i="8" s="1"/>
  <c r="E42" i="8" a="1"/>
  <c r="E42" i="8" s="1"/>
  <c r="D42" i="8" a="1"/>
  <c r="D42" i="8" s="1"/>
  <c r="E41" i="8" a="1"/>
  <c r="E41" i="8" s="1"/>
  <c r="D41" i="8" a="1"/>
  <c r="D41" i="8" s="1"/>
  <c r="E40" i="8" a="1"/>
  <c r="E40" i="8" s="1"/>
  <c r="D40" i="8" a="1"/>
  <c r="D40" i="8" s="1"/>
  <c r="E39" i="8" a="1"/>
  <c r="E39" i="8" s="1"/>
  <c r="D39" i="8" a="1"/>
  <c r="D39" i="8" s="1"/>
  <c r="E38" i="8" a="1"/>
  <c r="E38" i="8" s="1"/>
  <c r="D38" i="8" a="1"/>
  <c r="D38" i="8" s="1"/>
  <c r="E37" i="8" a="1"/>
  <c r="E37" i="8" s="1"/>
  <c r="D37" i="8" a="1"/>
  <c r="D37" i="8" s="1"/>
  <c r="D35" i="8" a="1"/>
  <c r="D35" i="8" s="1"/>
  <c r="D34" i="8" a="1"/>
  <c r="D34" i="8" s="1"/>
  <c r="D30" i="8" a="1"/>
  <c r="D30" i="8" s="1"/>
  <c r="D29" i="8" a="1"/>
  <c r="D29" i="8" s="1"/>
  <c r="D28" i="8" a="1"/>
  <c r="D28" i="8" s="1"/>
  <c r="D27" i="8" a="1"/>
  <c r="D27" i="8" s="1"/>
  <c r="D26" i="8" a="1"/>
  <c r="D26" i="8" s="1"/>
  <c r="D25" i="8" a="1"/>
  <c r="D25" i="8" s="1"/>
  <c r="D24" i="8" a="1"/>
  <c r="D24" i="8" s="1"/>
  <c r="D23" i="8" a="1"/>
  <c r="D23" i="8" s="1"/>
  <c r="D22" i="8" a="1"/>
  <c r="D22" i="8" s="1"/>
  <c r="D21" i="8" a="1"/>
  <c r="D21" i="8" s="1"/>
  <c r="D19" i="8" a="1"/>
  <c r="D19" i="8" s="1"/>
  <c r="D18" i="8" a="1"/>
  <c r="D18" i="8" s="1"/>
  <c r="F14" i="8" a="1"/>
  <c r="F14" i="8" s="1"/>
  <c r="E14" i="8" a="1"/>
  <c r="E14" i="8" s="1"/>
  <c r="D14" i="8" a="1"/>
  <c r="D14" i="8" s="1"/>
  <c r="F13" i="8" a="1"/>
  <c r="F13" i="8" s="1"/>
  <c r="E13" i="8" a="1"/>
  <c r="E13" i="8" s="1"/>
  <c r="D13" i="8" a="1"/>
  <c r="D13" i="8" s="1"/>
  <c r="F12" i="8" a="1"/>
  <c r="F12" i="8" s="1"/>
  <c r="E12" i="8" a="1"/>
  <c r="E12" i="8" s="1"/>
  <c r="D12" i="8" a="1"/>
  <c r="D12" i="8" s="1"/>
  <c r="F11" i="8" a="1"/>
  <c r="F11" i="8" s="1"/>
  <c r="E11" i="8" a="1"/>
  <c r="E11" i="8" s="1"/>
  <c r="D11" i="8" a="1"/>
  <c r="D11" i="8" s="1"/>
  <c r="F10" i="8" a="1"/>
  <c r="F10" i="8" s="1"/>
  <c r="E10" i="8" a="1"/>
  <c r="E10" i="8" s="1"/>
  <c r="D10" i="8" a="1"/>
  <c r="D10" i="8" s="1"/>
  <c r="F9" i="8" a="1"/>
  <c r="F9" i="8" s="1"/>
  <c r="E9" i="8" a="1"/>
  <c r="E9" i="8" s="1"/>
  <c r="D9" i="8" a="1"/>
  <c r="D9" i="8" s="1"/>
  <c r="F8" i="8" a="1"/>
  <c r="F8" i="8" s="1"/>
  <c r="E8" i="8" a="1"/>
  <c r="E8" i="8" s="1"/>
  <c r="D8" i="8" a="1"/>
  <c r="D8" i="8" s="1"/>
  <c r="A8" i="8"/>
  <c r="F7" i="8" a="1"/>
  <c r="F7" i="8" s="1"/>
  <c r="E7" i="8" a="1"/>
  <c r="E7" i="8" s="1"/>
  <c r="D7" i="8" a="1"/>
  <c r="D7" i="8" s="1"/>
  <c r="A7" i="8"/>
  <c r="D5" i="8" a="1"/>
  <c r="D5" i="8" s="1"/>
  <c r="A3" i="8"/>
  <c r="J7" i="7"/>
  <c r="H53" i="8" l="1"/>
  <c r="H54" i="8"/>
  <c r="H52" i="8"/>
  <c r="H49" i="8"/>
  <c r="C16" i="4" l="1"/>
  <c r="C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F89DCB-CD77-4E25-A615-F0CC75B80B15}" name="test-fullcam-even" type="4" refreshedVersion="0" background="1">
    <webPr xml="1" sourceData="1" url="C:\Users\PaulKotz\OneDrive - Zero Net Emissions from Agriculture CRC\Documents\test-fullcam-even.xml" htmlTables="1" htmlFormat="all"/>
  </connection>
  <connection id="2" xr16:uid="{19B58FF6-2624-4C55-B996-4F625FEA0F06}" name="test-fullcam-even1" type="4" refreshedVersion="0" background="1">
    <webPr xml="1" sourceData="1" url="C:\Users\PaulKotz\OneDrive - Zero Net Emissions from Agriculture CRC\Documents\test-fullcam-even.xml" htmlTables="1" htmlFormat="al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<sst xmlns="http://schemas.openxmlformats.org/spreadsheetml/2006/main" count="156" uniqueCount="136">
  <si>
    <t>My cool thing</t>
  </si>
  <si>
    <t>FullCAM simulation results</t>
  </si>
  <si>
    <t>tonnes CO2</t>
  </si>
  <si>
    <t>Latitude</t>
  </si>
  <si>
    <t>Longitude</t>
  </si>
  <si>
    <t>Date planted</t>
  </si>
  <si>
    <t>Planting area in hectares</t>
  </si>
  <si>
    <t>Emissions calculation period start date</t>
  </si>
  <si>
    <t>Emissions calculation period end date</t>
  </si>
  <si>
    <t>Carbon captured per hectare</t>
  </si>
  <si>
    <t>tonnes CO2/hectare</t>
  </si>
  <si>
    <t>Total carbon captured</t>
  </si>
  <si>
    <t>Planting name</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</si>
  <si>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</si>
  <si>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</si>
  <si>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</si>
  <si>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</si>
  <si>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</si>
  <si>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</si>
  <si>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</si>
  <si>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</si>
  <si>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</si>
  <si>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</si>
  <si>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</si>
  <si>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</si>
  <si>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</si>
  <si>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</si>
  <si>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</si>
  <si>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</si>
  <si>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</si>
  <si>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</si>
  <si>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</si>
  <si>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</si>
  <si>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</si>
  <si>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</si>
  <si>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</si>
  <si>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</si>
  <si>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</si>
  <si>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</si>
  <si>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</si>
  <si>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</si>
  <si>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</si>
  <si>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</si>
  <si>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</si>
  <si>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</si>
  <si>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</si>
  <si>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</si>
  <si>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</si>
  <si>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</si>
  <si>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</si>
  <si>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</si>
  <si>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</si>
  <si>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</si>
  <si>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</si>
  <si>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</si>
  <si>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</si>
  <si>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</si>
  <si>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</si>
  <si>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</si>
  <si>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</si>
  <si>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</si>
  <si>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</si>
  <si>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</si>
  <si>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</si>
  <si>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</si>
  <si>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</si>
  <si>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</si>
  <si>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</si>
  <si>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</si>
  <si>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</si>
  <si>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</si>
  <si>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</si>
  <si>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</si>
  <si>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</si>
  <si>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</si>
  <si>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</si>
  <si>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</si>
  <si>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</si>
  <si>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</si>
  <si>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Data quality</t>
  </si>
  <si>
    <t>Input</t>
  </si>
  <si>
    <t>Temporal representativeness</t>
  </si>
  <si>
    <t>Spatial resolution</t>
  </si>
  <si>
    <t>Sample size</t>
  </si>
  <si>
    <t>Notes</t>
  </si>
  <si>
    <t>Evidence files</t>
  </si>
  <si>
    <t>Score</t>
  </si>
  <si>
    <t>Input name</t>
  </si>
  <si>
    <t>TR4</t>
  </si>
  <si>
    <t>SR5</t>
  </si>
  <si>
    <t>SS3</t>
  </si>
  <si>
    <t>APPENDICES</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</si>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</sst>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C09]dd\-mmmm\-yyyy;@"/>
    <numFmt numFmtId="165" formatCode="d/mm/yyyy;@"/>
  </numFmts>
  <fonts count="21" x14ac:knownFonts="1">
    <font>
      <sz val="10"/>
      <color theme="1"/>
      <name val="Arial"/>
      <family val="2"/>
    </font>
    <font>
      <b/>
      <sz val="10"/>
      <color theme="1"/>
      <name val="Arial"/>
      <family val="1"/>
    </font>
    <font>
      <i/>
      <sz val="10"/>
      <color theme="1"/>
      <name val="Arial"/>
      <family val="1"/>
    </font>
    <font>
      <b/>
      <sz val="16"/>
      <color theme="1"/>
      <name val="Arial"/>
      <family val="1"/>
    </font>
    <font>
      <b/>
      <sz val="10"/>
      <color theme="1" tint="0.14999847407452621"/>
      <name val="Arial"/>
      <family val="1"/>
    </font>
    <font>
      <sz val="10"/>
      <color theme="1" tint="0.14999847407452621"/>
      <name val="Arial"/>
      <family val="1"/>
    </font>
    <font>
      <sz val="9"/>
      <color theme="1" tint="0.34998626667073579"/>
      <name val="Arial"/>
      <family val="1"/>
    </font>
    <font>
      <b/>
      <sz val="18"/>
      <color rgb="FF183C1B"/>
      <name val="Arial"/>
      <family val="1"/>
    </font>
    <font>
      <i/>
      <sz val="10"/>
      <color theme="1" tint="0.499984740745262"/>
      <name val="Arial"/>
      <family val="1"/>
    </font>
    <font>
      <sz val="10"/>
      <color theme="1"/>
      <name val="Aptos Narrow"/>
      <family val="2"/>
      <scheme val="minor"/>
    </font>
    <font>
      <b/>
      <sz val="14"/>
      <color theme="0"/>
      <name val="Arial"/>
      <family val="1"/>
    </font>
    <font>
      <sz val="10"/>
      <color theme="1" tint="0.24994659260841701"/>
      <name val="Arial"/>
      <family val="1"/>
    </font>
    <font>
      <sz val="16"/>
      <color theme="1" tint="0.14996795556505021"/>
      <name val="Arial"/>
      <family val="1"/>
    </font>
    <font>
      <sz val="10"/>
      <color rgb="FF008000"/>
      <name val="Arial"/>
      <family val="1"/>
    </font>
    <font>
      <sz val="10"/>
      <color rgb="FFC44340"/>
      <name val="Arial"/>
      <family val="1"/>
    </font>
    <font>
      <i/>
      <sz val="10"/>
      <color theme="1" tint="0.34998626667073579"/>
      <name val="Arial"/>
      <family val="1"/>
    </font>
    <font>
      <b/>
      <sz val="18"/>
      <color rgb="FFCC6600"/>
      <name val="Arial"/>
      <family val="1"/>
    </font>
    <font>
      <b/>
      <sz val="10"/>
      <color rgb="FF533001"/>
      <name val="Arial"/>
      <family val="1"/>
    </font>
    <font>
      <sz val="9"/>
      <color theme="1" tint="0.249977111117893"/>
      <name val="Arial"/>
      <family val="1"/>
    </font>
    <font>
      <sz val="9"/>
      <color rgb="FF404040"/>
      <name val="Arial"/>
      <family val="1"/>
    </font>
    <font>
      <sz val="10"/>
      <color theme="0"/>
      <name val="Arial"/>
      <family val="1"/>
    </font>
  </fonts>
  <fills count="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533001"/>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theme="0"/>
        <bgColor indexed="64"/>
      </patternFill>
    </fill>
    <fill>
      <patternFill patternType="solid">
        <fgColor theme="1" tint="0.499984740745262"/>
        <bgColor indexed="64"/>
      </patternFill>
    </fill>
  </fills>
  <borders count="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s>
  <cellStyleXfs count="22">
    <xf numFmtId="0" fontId="0" fillId="0" borderId="0"/>
    <xf numFmtId="0" fontId="4" fillId="2" borderId="0">
      <alignment horizontal="left" vertical="center"/>
    </xf>
    <xf numFmtId="164" fontId="5" fillId="0" borderId="1">
      <alignment horizontal="center" vertical="center"/>
    </xf>
    <xf numFmtId="3" fontId="6" fillId="2" borderId="1">
      <alignment horizontal="center" vertical="center"/>
    </xf>
    <xf numFmtId="0" fontId="7" fillId="0" borderId="0"/>
    <xf numFmtId="0" fontId="8" fillId="0" borderId="0">
      <alignment vertical="center"/>
    </xf>
    <xf numFmtId="0" fontId="9" fillId="0" borderId="0"/>
    <xf numFmtId="0" fontId="10" fillId="3" borderId="0">
      <alignment vertical="center"/>
    </xf>
    <xf numFmtId="0" fontId="11" fillId="2" borderId="0">
      <alignment horizontal="left" vertical="center"/>
    </xf>
    <xf numFmtId="0" fontId="12" fillId="2" borderId="0">
      <alignment horizontal="left" vertical="center"/>
    </xf>
    <xf numFmtId="0" fontId="13" fillId="2" borderId="0">
      <alignment vertical="center"/>
    </xf>
    <xf numFmtId="0" fontId="14" fillId="2" borderId="0">
      <alignment horizontal="left" vertical="center"/>
    </xf>
    <xf numFmtId="0" fontId="15" fillId="2" borderId="0">
      <alignment horizontal="left" vertical="center"/>
    </xf>
    <xf numFmtId="0" fontId="16" fillId="0" borderId="0"/>
    <xf numFmtId="0" fontId="10" fillId="4" borderId="0">
      <alignment vertical="center"/>
    </xf>
    <xf numFmtId="0" fontId="17" fillId="5" borderId="0">
      <alignment horizontal="center" vertical="center"/>
      <protection locked="0"/>
    </xf>
    <xf numFmtId="0" fontId="5" fillId="0" borderId="1">
      <alignment horizontal="center" vertical="center"/>
    </xf>
    <xf numFmtId="0" fontId="4" fillId="6" borderId="1">
      <alignment horizontal="center" vertical="center"/>
    </xf>
    <xf numFmtId="0" fontId="6" fillId="2" borderId="1">
      <alignment horizontal="center" vertical="center"/>
    </xf>
    <xf numFmtId="0" fontId="5" fillId="0" borderId="0">
      <alignment horizontal="left" vertical="center" indent="1"/>
    </xf>
    <xf numFmtId="0" fontId="18" fillId="7" borderId="2">
      <alignment horizontal="left" vertical="center" indent="1"/>
    </xf>
    <xf numFmtId="0" fontId="20" fillId="8" borderId="0">
      <alignment horizontal="left" vertical="center" indent="1"/>
    </xf>
  </cellStyleXfs>
  <cellXfs count="32">
    <xf numFmtId="0" fontId="0" fillId="0" borderId="0" xfId="0"/>
    <xf numFmtId="0" fontId="1" fillId="0" borderId="0" xfId="0" applyFont="1"/>
    <xf numFmtId="0" fontId="2" fillId="0" borderId="0" xfId="0" applyFont="1"/>
    <xf numFmtId="15" fontId="0" fillId="0" borderId="0" xfId="0" applyNumberFormat="1"/>
    <xf numFmtId="0" fontId="3" fillId="0" borderId="0" xfId="0" applyFont="1"/>
    <xf numFmtId="0" fontId="5" fillId="2" borderId="0" xfId="1" applyFont="1">
      <alignment horizontal="left" vertical="center"/>
    </xf>
    <xf numFmtId="164" fontId="5" fillId="0" borderId="1" xfId="2">
      <alignment horizontal="center" vertical="center"/>
    </xf>
    <xf numFmtId="165" fontId="6" fillId="2" borderId="1" xfId="3" applyNumberFormat="1">
      <alignment horizontal="center" vertical="center"/>
    </xf>
    <xf numFmtId="0" fontId="7" fillId="0" borderId="0" xfId="4"/>
    <xf numFmtId="0" fontId="8" fillId="0" borderId="0" xfId="5">
      <alignment vertical="center"/>
    </xf>
    <xf numFmtId="0" fontId="9" fillId="0" borderId="0" xfId="6"/>
    <xf numFmtId="0" fontId="4" fillId="0" borderId="0" xfId="1" applyFill="1">
      <alignment horizontal="left" vertical="center"/>
    </xf>
    <xf numFmtId="0" fontId="10" fillId="3" borderId="0" xfId="7">
      <alignment vertical="center"/>
    </xf>
    <xf numFmtId="0" fontId="10" fillId="0" borderId="0" xfId="7" applyFill="1">
      <alignment vertical="center"/>
    </xf>
    <xf numFmtId="0" fontId="4" fillId="2" borderId="0" xfId="1">
      <alignment horizontal="left" vertical="center"/>
    </xf>
    <xf numFmtId="0" fontId="11" fillId="2" borderId="0" xfId="8">
      <alignment horizontal="left" vertical="center"/>
    </xf>
    <xf numFmtId="0" fontId="12" fillId="2" borderId="0" xfId="9">
      <alignment horizontal="left" vertical="center"/>
    </xf>
    <xf numFmtId="0" fontId="0" fillId="0" borderId="0" xfId="8" applyFont="1" applyFill="1">
      <alignment horizontal="left" vertical="center"/>
    </xf>
    <xf numFmtId="0" fontId="13" fillId="2" borderId="0" xfId="10">
      <alignment vertical="center"/>
    </xf>
    <xf numFmtId="0" fontId="14" fillId="2" borderId="0" xfId="11">
      <alignment horizontal="left" vertical="center"/>
    </xf>
    <xf numFmtId="0" fontId="15" fillId="2" borderId="0" xfId="12">
      <alignment horizontal="left" vertical="center"/>
    </xf>
    <xf numFmtId="0" fontId="9" fillId="2" borderId="0" xfId="6" applyFill="1"/>
    <xf numFmtId="0" fontId="0" fillId="0" borderId="0" xfId="1" applyFont="1" applyFill="1">
      <alignment horizontal="left" vertical="center"/>
    </xf>
    <xf numFmtId="0" fontId="16" fillId="0" borderId="0" xfId="13"/>
    <xf numFmtId="0" fontId="10" fillId="4" borderId="0" xfId="14">
      <alignment vertical="center"/>
    </xf>
    <xf numFmtId="0" fontId="17" fillId="5" borderId="0" xfId="15">
      <alignment horizontal="center" vertical="center"/>
      <protection locked="0"/>
    </xf>
    <xf numFmtId="0" fontId="0" fillId="0" borderId="0" xfId="16" applyFont="1" applyBorder="1">
      <alignment horizontal="center" vertical="center"/>
    </xf>
    <xf numFmtId="0" fontId="4" fillId="6" borderId="1" xfId="17">
      <alignment horizontal="center" vertical="center"/>
    </xf>
    <xf numFmtId="0" fontId="6" fillId="2" borderId="1" xfId="18">
      <alignment horizontal="center" vertical="center"/>
    </xf>
    <xf numFmtId="0" fontId="5" fillId="0" borderId="0" xfId="19">
      <alignment horizontal="left" vertical="center" indent="1"/>
    </xf>
    <xf numFmtId="0" fontId="19" fillId="7" borderId="2" xfId="20" applyFont="1">
      <alignment horizontal="left" vertical="center" indent="1"/>
    </xf>
    <xf numFmtId="0" fontId="20" fillId="8" borderId="0" xfId="21">
      <alignment horizontal="left" vertical="center" indent="1"/>
    </xf>
  </cellXfs>
  <cellStyles count="22">
    <cellStyle name="Block heading" xfId="9" xr:uid="{6065A2C3-09F5-4515-87ED-A07ECE03B60A}"/>
    <cellStyle name="Content bold" xfId="1" xr:uid="{90EECC7A-90CF-4913-9525-0D57B2C3C25A}"/>
    <cellStyle name="Content normal" xfId="8" xr:uid="{7064D260-35DF-4E40-B005-5927849D5F2D}"/>
    <cellStyle name="Equation source" xfId="10" xr:uid="{A6980CD5-F033-4A4E-A310-20CA2DBA147C}"/>
    <cellStyle name="Information variation" xfId="11" xr:uid="{3DFDDBB8-017E-4A9E-BD36-920C2DA5EB07}"/>
    <cellStyle name="Input date" xfId="2" xr:uid="{2CBAF3EB-BBB3-44B0-B98B-27C0B711C4C8}"/>
    <cellStyle name="Input number general calculated" xfId="18" xr:uid="{17116EAE-73FE-4584-B1D1-DA7A2E1BE7F3}"/>
    <cellStyle name="Input number no decimals calculated" xfId="3" xr:uid="{3E2DE6DD-181A-4A3F-B39E-0927DF0A1DA2}"/>
    <cellStyle name="Input page heading" xfId="13" xr:uid="{1040356A-2362-4675-A6C2-D285FDE9B237}"/>
    <cellStyle name="Input page section heading" xfId="14" xr:uid="{B0C6AFFF-01F0-417A-921C-B83B5F6523C6}"/>
    <cellStyle name="Input select" xfId="17" xr:uid="{5330A20B-6680-4771-B4C8-C6ABDA2A591E}"/>
    <cellStyle name="Input table column header" xfId="15" xr:uid="{9C39E355-B94C-4E3D-B2C2-ACCB276438BC}"/>
    <cellStyle name="Input text" xfId="16" xr:uid="{5F26ED4A-B6DD-42BD-95D5-C01AC860788C}"/>
    <cellStyle name="Menu link default" xfId="19" xr:uid="{F18E4333-B96F-4E07-90FB-6EDE21B99D41}"/>
    <cellStyle name="Menu link selected" xfId="21" xr:uid="{4D086C84-4B2C-49AA-916D-60A51A6710C6}"/>
    <cellStyle name="Menu section title" xfId="20" xr:uid="{BBD1C251-AE66-410B-B804-15966527D315}"/>
    <cellStyle name="Normal" xfId="0" builtinId="0"/>
    <cellStyle name="Normal 2" xfId="6" xr:uid="{EE6542E1-CDF9-4701-B44A-AABE5F401092}"/>
    <cellStyle name="Page heading" xfId="4" xr:uid="{5606267B-8272-44F0-B060-3CC8D7791322}"/>
    <cellStyle name="Page section heading" xfId="7" xr:uid="{0C5541E1-B1FC-4A0E-9019-EAF0F6D84C6B}"/>
    <cellStyle name="Page source" xfId="5" xr:uid="{BDB1E337-77B0-445D-A39B-72CE8D02F2A9}"/>
    <cellStyle name="Unit no indent" xfId="12" xr:uid="{1E2A3F46-D52F-45EA-B250-19AA59D3DC20}"/>
  </cellStyles>
  <dxfs count="49">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BB0715A8-E541-48D6-9C7A-67E469073C29}">
      <tableStyleElement type="wholeTable" dxfId="48"/>
      <tableStyleElement type="headerRow" dxfId="47"/>
      <tableStyleElement type="totalRow" dxfId="46"/>
      <tableStyleElement type="firstColumn" dxfId="45"/>
      <tableStyleElement type="firstRowStripe" dxfId="44"/>
      <tableStyleElement type="secondRowStripe" dxfId="43"/>
    </tableStyle>
    <tableStyle name="Equation table" pivot="0" count="6" xr9:uid="{F81B4736-567E-441A-AD84-F5C27A32236A}">
      <tableStyleElement type="wholeTable" dxfId="42"/>
      <tableStyleElement type="headerRow" dxfId="41"/>
      <tableStyleElement type="totalRow" dxfId="40"/>
      <tableStyleElement type="firstColumn" dxfId="39"/>
      <tableStyleElement type="firstRowStripe" dxfId="38"/>
      <tableStyleElement type="secondRowStripe" dxfId="3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22/10/relationships/richValueRel" Target="richData/richValueRel.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externalLink" Target="externalLinks/externalLink1.xml"/><Relationship Id="rId9" Type="http://schemas.openxmlformats.org/officeDocument/2006/relationships/sharedStrings" Target="sharedString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Enterprises\Enterprise_CroppingGrains_Template_WIP_v01.xlsx" TargetMode="External"/><Relationship Id="rId1" Type="http://schemas.openxmlformats.org/officeDocument/2006/relationships/externalLinkPath" Target="Enterprise_CroppingGrains_Template_WIP_v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ommon_v03.xlsx" TargetMode="External"/><Relationship Id="rId2" Type="http://schemas.openxmlformats.org/officeDocument/2006/relationships/externalLinkPath" Target="file:///C:\htdocs\zneagcrc\GAF-VEERG-Functions\Excel\Common_v03.xlsx" TargetMode="External"/><Relationship Id="rId1" Type="http://schemas.openxmlformats.org/officeDocument/2006/relationships/externalLinkPath" Target="/htdocs/zneagcrc/GAF-VEERG-Functions/Excel/Common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Results"/>
      <sheetName val="Input - Site"/>
      <sheetName val="Input - Enterprise"/>
      <sheetName val="Input - Fert Prod System"/>
      <sheetName val="Input - Data quality"/>
      <sheetName val="Constants - Common"/>
    </sheetNames>
    <sheetDataSet>
      <sheetData sheetId="0"/>
      <sheetData sheetId="1">
        <row r="25">
          <cell r="H25" t="e">
            <v>#NAME?</v>
          </cell>
          <cell r="I25" t="e">
            <v>#NAME?</v>
          </cell>
        </row>
        <row r="39">
          <cell r="E39" t="e">
            <v>#NAME?</v>
          </cell>
          <cell r="F39" t="e">
            <v>#NAME?</v>
          </cell>
        </row>
        <row r="50">
          <cell r="E50">
            <v>0</v>
          </cell>
        </row>
        <row r="56">
          <cell r="E56" t="e">
            <v>#NAME?</v>
          </cell>
          <cell r="F56" t="e">
            <v>#NAME?</v>
          </cell>
        </row>
      </sheetData>
      <sheetData sheetId="2"/>
      <sheetData sheetId="3">
        <row r="12">
          <cell r="E12">
            <v>45658</v>
          </cell>
        </row>
        <row r="18">
          <cell r="E18">
            <v>45962</v>
          </cell>
        </row>
        <row r="19">
          <cell r="E19">
            <v>46112</v>
          </cell>
        </row>
        <row r="32">
          <cell r="E32">
            <v>0.8</v>
          </cell>
        </row>
      </sheetData>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4E1D2F-185E-4B56-9A04-9422B9FAEAAE}" name="Table_Input_DataQuality" displayName="Table_Input_DataQuality" ref="D6:J7" totalsRowShown="0" headerRowCellStyle="Input table column header">
  <autoFilter ref="D6:J7" xr:uid="{13023411-FAD9-40B6-9366-7826422CB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A5B16F9-8C3A-4E71-8E75-E40E63477857}" name="Input"/>
    <tableColumn id="2" xr3:uid="{B36C3A6D-5D2A-411F-8FDF-551B0F91C2B2}" name="Temporal representativeness" dataCellStyle="Input select"/>
    <tableColumn id="3" xr3:uid="{A6FBA595-4E78-4D43-B95A-D7307772AFEE}" name="Spatial resolution" dataCellStyle="Input select"/>
    <tableColumn id="4" xr3:uid="{A2F061E9-0C51-48C7-A233-819FE284ECD7}" name="Sample size" dataCellStyle="Input select"/>
    <tableColumn id="5" xr3:uid="{2E8B5CE6-9BDF-4858-A2F6-C5AE1E37112E}" name="Notes"/>
    <tableColumn id="6" xr3:uid="{4EADE9A3-44EC-401C-9228-5E041AD07075}" name="Evidence files"/>
    <tableColumn id="7" xr3:uid="{B03E4480-1618-4C18-9AFD-9C12B3203028}" name="Score" dataCellStyle="Input number general calculated">
      <calculatedColumnFormula>_xlfn.XLOOKUP(Table_Input_DataQuality[[#This Row],[Temporal representativeness]],[2]!Table_SourceData_DataQuality_TemporalRepresentativeness[ID],[2]!Table_SourceData_DataQuality_TemporalRepresentativeness[Score])+_xlfn.XLOOKUP(Table_Input_DataQuality[[#This Row],[Spatial resolution]],[2]!Table_SourceData_DataQuality_SpatialRepresentativeness[ID],[2]!Table_SourceData_DataQuality_SpatialRepresentativeness[Score])+_xlfn.XLOOKUP(Table_Input_DataQuality[[#This Row],[Sample size]],[2]!Table_SourceData_DataQuality_SampleSize[ID],[2]!Table_SourceData_DataQuality_SampleSize[Score])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2DCCCF6-9623-46D4-8FAD-3F97A156B46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A37AD80-26B8-4BF8-ADF5-D6550355DD28}" name="State/Territory">
      <calculatedColumnFormula array="1">Common_InputFunctions.Utility_DisplayArrayInTable(Common_SourceData.Common_SourceData_AustralianStatesTerritories_Data(),Table_AustralianStates[[#Headers],[State/Territory]],0)</calculatedColumnFormula>
    </tableColumn>
    <tableColumn id="2" xr3:uid="{4B8C4193-DBF9-40D7-BE6F-B61A78972A19}" name="Common Name">
      <calculatedColumnFormula array="1">Common_InputFunctions.Utility_DisplayArrayInTable(Common_SourceData.Common_SourceData_AustralianStatesTerritories_Data(),Table_AustralianStates[[#Headers],[State/Territory]],0)</calculatedColumnFormula>
    </tableColumn>
    <tableColumn id="3" xr3:uid="{D734512A-DF1F-4675-84DB-6631F0B5F09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A12BF50-B2C0-4F28-B769-DF65D965FAE9}" name="Table_WASA4Areas" displayName="Table_WASA4Areas" ref="D20:D30" totalsRowShown="0">
  <autoFilter ref="D20:D30" xr:uid="{5FA81339-C6C8-4D36-BEEA-6C4AEDD9E676}">
    <filterColumn colId="0" hiddenButton="1"/>
  </autoFilter>
  <tableColumns count="1">
    <tableColumn id="1" xr3:uid="{4BF14B43-C5E4-43E5-94C6-5CC3A372759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D775225-E136-4188-80E7-4D6D9C573916}" name="Table_GWPData" displayName="Table_GWPData" ref="D36:E43" totalsRowShown="0">
  <autoFilter ref="D36:E43" xr:uid="{B8E87A66-3E41-4AD3-925D-01EE21B43D7A}">
    <filterColumn colId="0" hiddenButton="1"/>
    <filterColumn colId="1" hiddenButton="1"/>
  </autoFilter>
  <tableColumns count="2">
    <tableColumn id="1" xr3:uid="{76E3CEEF-940D-4F96-9826-4894969F6766}" name="Gas">
      <calculatedColumnFormula array="1">Common_InputFunctions.Utility_DisplayArrayInTable(Common_SourceData.Common_SourceData_GWP_Data(), Table_GWPData[[#Headers],[Gas]], 0)</calculatedColumnFormula>
    </tableColumn>
    <tableColumn id="2" xr3:uid="{76A8CD4A-9663-4DC0-9557-E51650245E1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67B7C6-11CC-4998-A676-0EA0F8A7CB1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AF6AFF8-7156-4068-AFA1-A05A77586EE1}" name="Gas">
      <calculatedColumnFormula array="1">Common_InputFunctions.Utility_DisplayArrayInTable(Common_SourceData.Common_SourceData_ConvertGasElementalToMolecular_Data(),Table_GasToMolecularConversionFactor[[#Headers],[Gas]], 0)</calculatedColumnFormula>
    </tableColumn>
    <tableColumn id="5" xr3:uid="{4A3CCAEC-4580-4A55-8150-10E53100F1D8}" name="Conversion factor">
      <calculatedColumnFormula array="1">Common_InputFunctions.Utility_DisplayArrayInTable(Common_SourceData.Common_SourceData_ConvertGasElementalToMolecular_Data(),Table_GasToMolecularConversionFactor[[#Headers],[Gas]], 0)</calculatedColumnFormula>
    </tableColumn>
    <tableColumn id="2" xr3:uid="{F1FE2B8A-3DB9-435C-89C3-EE2E9DD4241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5131E514-D05A-475A-9713-A54EB9EB24A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F394157-5599-422B-89CD-3C15030D9AB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F0D4774-559F-4D21-BE5C-CCE562DDF9F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42CCBAE-686B-4EA5-A752-7B43B2E847A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CA2244E-2A25-461B-8103-77F0B17AC271}"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EF3A0CD1-0E95-4732-8878-F26CFFAA5745}"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5486BCB9-64F4-459D-8E1B-B9A9836223CD}"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D08F1118-3EE8-41F0-9822-F9358692BF2C}"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59390B9F-BBD8-4C3D-A119-7915AD070A8C}"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0B01CD16-6DBD-43A9-82CA-F5212C850250}"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BFAF9C24-619D-4491-9D0B-DF338BE3E5E3}"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D7F3DAD5-7145-4A67-8FC9-2D27551FD5CD}"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E77D8F4B-389D-4C0D-8D94-BC51C1C18896}"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DEFFDA3B-EDA2-42E1-9850-2492F98E80CE}"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A6466F2B-43B8-4175-AEF1-A494CB1D1D19}"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BC52070D-5AF4-474F-9883-B217986F2622}"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861834F0-AF8C-4233-B4CF-01A3E8DB9BDC}"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921A837F-DDC9-4B53-9BF3-BFDC1DFD52DD}"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67A2EF78-7EE9-4443-8505-B027EAC097D7}"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6624F3F-9605-4A37-9233-97F41645AA6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416A4B8-0477-4863-A2EB-08D05A0719A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BA0391C-8096-44D4-9318-58AE5A117EA6}"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B211F2B-68EE-405C-B7A4-7A621E0786D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CBC1D43-6B70-48EA-964A-AE7905EA8045}" name="Temperature Zone">
      <calculatedColumnFormula array="1">Common_InputFunctions.Utility_DisplayArrayInTable(Common_SourceData.Common_SourceData_TemperatureZones_Data(),Table_SourceData_TemperatureZones[[#Headers],[Temperature Zone]],0)</calculatedColumnFormula>
    </tableColumn>
    <tableColumn id="2" xr3:uid="{F955B53F-9C0C-4BBF-8A27-7D26986B3892}" name="MAT">
      <calculatedColumnFormula array="1">Common_InputFunctions.Utility_DisplayArrayInTable(Common_SourceData.Common_SourceData_TemperatureZones_Data(),Table_SourceData_TemperatureZones[[#Headers],[Temperature Zone]],0)</calculatedColumnFormula>
    </tableColumn>
    <tableColumn id="3" xr3:uid="{3F76A906-5C61-497F-A5D4-E37963640E92}" name="Min MAT">
      <calculatedColumnFormula array="1">Common_InputFunctions.Utility_DisplayArrayInTable(Common_SourceData.Common_SourceData_TemperatureZones_Data(),Table_SourceData_TemperatureZones[[#Headers],[Temperature Zone]],0)</calculatedColumnFormula>
    </tableColumn>
    <tableColumn id="4" xr3:uid="{39D12633-A5DE-4059-AD8B-4A37B67A6CA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6C97AB-258B-4141-911E-681B0F45FD41}"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8F62325-70AC-4FE5-8B91-C8B0897947C8}" name="Rainfall Zone">
      <calculatedColumnFormula array="1">Common_InputFunctions.Utility_DisplayArrayInTable(Common_SourceData.Common_SourceData_RainfallZones_Data(),Table_SourceData_RainfallZones[[#Headers],[Rainfall Zone]],0)</calculatedColumnFormula>
    </tableColumn>
    <tableColumn id="2" xr3:uid="{EA8B3174-62BF-4413-A1D1-AD7F17E48855}" name="Annual rainfall">
      <calculatedColumnFormula array="1">Common_InputFunctions.Utility_DisplayArrayInTable(Common_SourceData.Common_SourceData_RainfallZones_Data(),Table_SourceData_RainfallZones[[#Headers],[Rainfall Zone]],0)</calculatedColumnFormula>
    </tableColumn>
    <tableColumn id="3" xr3:uid="{B53FD3EB-06E6-4D73-B2A4-D010E7F5AC22}" name="Min rainfall">
      <calculatedColumnFormula array="1">Common_InputFunctions.Utility_DisplayArrayInTable(Common_SourceData.Common_SourceData_RainfallZones_Data(),Table_SourceData_RainfallZones[[#Headers],[Rainfall Zone]],0)</calculatedColumnFormula>
    </tableColumn>
    <tableColumn id="4" xr3:uid="{C2A3929C-6753-4380-8588-A8AF6B35312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8C75C6C-5A0F-4F18-86D2-07FDA33A7B8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C328FE0-0CC1-4AA8-8657-CCA18A9AB819}" name="Leaching Zone">
      <calculatedColumnFormula array="1">Common_InputFunctions.Utility_DisplayArrayInTable(Common_SourceData.Common_SourceData_LeachingZones_Data(), Table_SourceData_LeachingZones[[#Headers],[Leaching Zone]], 0)</calculatedColumnFormula>
    </tableColumn>
    <tableColumn id="2" xr3:uid="{B4BBC09D-25D5-48C6-8EC8-101E73DD5C6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9654206-678F-4FA3-8759-43E5E56FE33A}"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EDEBA4C-5C70-4CA5-B3ED-D58AD25021BB}" name="Data source">
      <calculatedColumnFormula array="1">Common_InputFunctions.Utility_DisplayArrayInTable(Common_SourceData.Common_SourceData_DataScores_Scope3_Data(), Table_SourceData_DataScores_Scope3[[#Headers],[Data source]], 0)</calculatedColumnFormula>
    </tableColumn>
    <tableColumn id="2" xr3:uid="{759DB2A8-829E-4DCA-B4B8-695E00D419A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AE17E78-ADE5-4F24-85E6-1AFFF21DD51F}" name="Table_SourceData_FracWET" displayName="Table_SourceData_FracWET" ref="D134:E136" totalsRowShown="0">
  <autoFilter ref="D134:E136" xr:uid="{308E99BE-FE1F-47A4-B2CA-97217277C4E9}">
    <filterColumn colId="0" hiddenButton="1"/>
    <filterColumn colId="1" hiddenButton="1"/>
  </autoFilter>
  <tableColumns count="2">
    <tableColumn id="1" xr3:uid="{71AC32D5-1F95-44E3-8A60-C83C205D0818}" name="Is in leaching zone">
      <calculatedColumnFormula array="1">Common_InputFunctions.Utility_DisplayArrayInTable(Common_SourceData.Common_SourceData_FracWET_Data(),Table_SourceData_FracWET[[#Headers],[Is in leaching zone]],0)</calculatedColumnFormula>
    </tableColumn>
    <tableColumn id="2" xr3:uid="{3A7C4543-4EFE-4C64-AD4E-C77F5BE87759}"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6608166-ED7B-4FA2-871D-42591D9F82C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A15BAC9-3A79-4F09-A7D6-8521CE1E9BF8}" name="Production system j">
      <calculatedColumnFormula array="1">Common_InputFunctions.Utility_DisplayArrayInTable(Common_SourceData.Common_SourceData_EFN2O_Data(), Table_SourceData_Common_EFN2O[[#Headers],[Production system j]], 0)</calculatedColumnFormula>
    </tableColumn>
    <tableColumn id="2" xr3:uid="{13D7BC03-63FB-4FA8-8275-F1DBB7E79167}" name="EFN2O">
      <calculatedColumnFormula array="1">Common_InputFunctions.Utility_DisplayArrayInTable(Common_SourceData.Common_SourceData_EFN2O_Data(), Table_SourceData_Common_EFN2O[[#Headers],[Production system j]], 0)</calculatedColumnFormula>
    </tableColumn>
    <tableColumn id="3" xr3:uid="{9355E005-41CB-4244-A426-F8EB6685118F}" name="Production system only">
      <calculatedColumnFormula array="1">Common_InputFunctions.Utility_DisplayArrayInTable(Common_SourceData.Common_SourceData_EFN2O_Data(), Table_SourceData_Common_EFN2O[[#Headers],[Production system j]], 0)</calculatedColumnFormula>
    </tableColumn>
    <tableColumn id="4" xr3:uid="{422AF928-8B9C-45BF-9BBF-F63CF34891ED}" name="Irrigation method">
      <calculatedColumnFormula array="1">Common_InputFunctions.Utility_DisplayArrayInTable(Common_SourceData.Common_SourceData_EFN2O_Data(), Table_SourceData_Common_EFN2O[[#Headers],[Production system j]], 0)</calculatedColumnFormula>
    </tableColumn>
    <tableColumn id="5" xr3:uid="{F9EB399F-F634-432D-BA5A-8AA76782DFB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64AFF8B-A35D-44E3-BBA4-7453B49075CB}"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C01D62F-1834-40C2-9BB0-EF7883C29AFC}" name="Irrigation type i">
      <calculatedColumnFormula array="1">Common_InputFunctions.Utility_DisplayArrayInTable(Common_SourceData.Common_SourceData_FracWETIrrigation_Data(), Table_SourceData_FracWETIrrigation[[#Headers],[Irrigation type i]], 0)</calculatedColumnFormula>
    </tableColumn>
    <tableColumn id="2" xr3:uid="{B92BCEE4-C7BC-4A60-9296-D3BA7D319EA3}"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C831A5D-7F53-410A-B535-C272EB0CBE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A61B0B2-01D4-4265-AC07-0C283A45B5F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40FBA7D-F946-42E5-8840-79709FC7DADB}"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726EC83-D820-400A-94FF-13B9640357C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721320A-BD46-462E-AED0-02D5CE592D82}" name="Month">
      <calculatedColumnFormula array="1">Common_InputFunctions.Utility_DisplayArrayInTable(Common_SourceData.Common_SourceData_MonthsToSeasons_Data(), Table_SourceData_Common_MonthToSeason[[#Headers],[Month]], 0)</calculatedColumnFormula>
    </tableColumn>
    <tableColumn id="2" xr3:uid="{F7CBC3F4-82AC-4D05-80E8-BFBA082C1C08}"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90FBD30-3454-4C59-B8ED-87A62E67E23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ECFE791-4613-4588-9A30-C29680420CF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6DDCA26-F494-42AB-A341-2DC2A530F7CC}"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6110C1E-C462-4548-B0C3-C8EFC0C38A75}"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FCF1518-11A1-4DAB-8850-4699547B9209}"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4E75798-E773-4384-9856-BEB52763DFC8}"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1E1BAEC1-8F66-4698-B266-E544A9B86C3D}"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B59E468-F7A4-44DF-B374-097C483D5326}"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B7F802C-0201-408A-BEF5-CD2D19A9080D}"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143B192-6129-465D-A688-665AF0B535FE}"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82D2E9A-41C6-445C-BFB4-E1444428C570}"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8073C9F-1A83-427D-856A-DB1534978205}"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F593F6-8D3E-4B06-B5DB-C9209871B77B}"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49F4794-93EE-4A09-B993-C22CAEC678F8}"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FE83EF1-4D9B-45AC-91B4-64A2E71A2F50}"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CB4EB58-FA64-44C2-AA67-6810721CAC40}"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095F771-5FAE-48A2-AF9C-2B56CD96483C}"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9AE98D8-CC96-471E-B1D3-FB22978A6B7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5AD13E31-F648-4032-B880-8C3DC06557B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9FE2A71-FC7A-47D0-AA83-D3562A6EB39B}"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A8B56D7-73C1-4434-B635-62A4FE1B21A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6441DED1-920D-4CB4-B8A8-3F0C5B739B56}" name="Description" dataDxfId="0" dataCellStyle="Content normal"/>
    <tableColumn id="1" xr3:uid="{AA1DC1FA-EB99-4596-B85B-373F7C251A0D}" name="ID"/>
    <tableColumn id="3" xr3:uid="{CEAC8412-8D56-4472-9490-372300404E71}" name="Score"/>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4AB1286-5DC9-4762-A6AA-D093231314F6}"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EBBACF02-33BC-4292-8543-F247A435C522}" name="Description"/>
    <tableColumn id="2" xr3:uid="{B310906E-1AC5-4843-9892-59B23A1D23C2}" name="ID"/>
    <tableColumn id="3" xr3:uid="{589E59E0-58F2-42CE-8617-1665EFC533CA}" name="Score"/>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86C1717-3603-49EF-9C09-DA0C4735664F}"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1BD732EC-E6B3-44AA-BFE9-9E2254CDCD8A}" name="Description"/>
    <tableColumn id="2" xr3:uid="{8DEAED7E-6A13-45F6-846B-44DE802BBE60}" name="ID"/>
    <tableColumn id="3" xr3:uid="{5C7CE100-C218-4681-9F3C-2FF959368A77}" name="Score"/>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A567294-FA43-4897-9A33-CB51AB292826}"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5E552CA8-52EE-41D1-ABF8-8FB1356BEA62}" name="Description"/>
    <tableColumn id="2" xr3:uid="{2383AD31-3BF1-4EF2-B544-5DDF8FC65A08}" name="ID"/>
    <tableColumn id="3" xr3:uid="{10BC2248-A94C-48DC-90EC-B199EB163A27}"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Arial"/>
        <a:font script="Hebr" typeface="Arial"/>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F0985D-D7F1-471F-BE9B-96EB85DEE4F5}">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CDB3165D-9942-4FD4-A356-0CB3EECA2EB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printerSettings" Target="../printerSettings/printerSettings1.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2BE2-6618-4872-A066-84342C0AF67F}">
  <dimension ref="B3:D16"/>
  <sheetViews>
    <sheetView zoomScaleNormal="100" workbookViewId="0">
      <selection activeCell="C16" sqref="C16"/>
    </sheetView>
  </sheetViews>
  <sheetFormatPr defaultRowHeight="20" x14ac:dyDescent="0.25" customHeight="1"/>
  <cols>
    <col min="1" max="1" width="28.25" customWidth="1"/>
    <col min="2" max="2" width="41.75" style="1" customWidth="1"/>
    <col min="3" max="3" width="39.75" customWidth="1"/>
    <col min="4" max="4" width="22.25" customWidth="1"/>
    <col min="5" max="5" width="30.25" customWidth="1"/>
  </cols>
  <sheetData>
    <row r="1" ht="30" customHeight="1"/>
    <row r="3" spans="2:4" x14ac:dyDescent="0.25" ht="20" customHeight="1">
      <c r="B3" s="1" t="s">
        <v>3</v>
      </c>
      <c r="C3">
        <v>-33.8688</v>
      </c>
    </row>
    <row r="4" spans="2:4" x14ac:dyDescent="0.25" ht="20" customHeight="1">
      <c r="B4" s="1" t="s">
        <v>4</v>
      </c>
      <c r="C4">
        <v>151.20930000000001</v>
      </c>
    </row>
    <row r="5" spans="2:4" x14ac:dyDescent="0.25" ht="20" customHeight="1">
      <c r="B5" s="1" t="s">
        <v>5</v>
      </c>
      <c r="C5" s="3">
        <v>43831</v>
      </c>
    </row>
    <row r="6" spans="2:4" x14ac:dyDescent="0.25" ht="20" customHeight="1">
      <c r="B6" s="1" t="s">
        <v>12</v>
      </c>
      <c r="C6" t="s">
        <v>0</v>
      </c>
    </row>
    <row r="8" spans="2:4" x14ac:dyDescent="0.25" ht="20" customHeight="1">
      <c r="B8" s="1" t="s">
        <v>6</v>
      </c>
      <c r="C8">
        <v>100</v>
      </c>
    </row>
    <row r="11" spans="2:4" x14ac:dyDescent="0.25" ht="20" customHeight="1">
      <c r="B11" s="5" t="s">
        <v>7</v>
      </c>
      <c r="C11" s="6">
        <v>45292</v>
      </c>
    </row>
    <row r="12" spans="2:4" x14ac:dyDescent="0.25" ht="20" customHeight="1">
      <c r="B12" s="5" t="s">
        <v>8</v>
      </c>
      <c r="C12" s="7">
        <f>DATE(YEAR(C11)+1,MONTH(C11),DAY(C11))-1</f>
        <v>45657</v>
      </c>
    </row>
    <row r="14" spans="2:4" ht="20" x14ac:dyDescent="0.3" customHeight="1">
      <c r="B14" s="4" t="s">
        <v>1</v>
      </c>
    </row>
    <row r="15" spans="2:4" x14ac:dyDescent="0.25" ht="20" customHeight="1">
      <c r="B15" s="1" t="s">
        <v>9</v>
      </c>
      <c r="C15">
        <v>123</v>
      </c>
      <c r="D15" s="2" t="s">
        <v>10</v>
      </c>
    </row>
    <row r="16" spans="2:4" x14ac:dyDescent="0.25" ht="20" customHeight="1">
      <c r="B16" s="1" t="s">
        <v>11</v>
      </c>
      <c r="C16">
        <f>C8*X_Result_Planting_CarbonCapturedPerHectare</f>
        <v>12300</v>
      </c>
      <c r="D16" s="2"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0AF6D-9069-486F-86F8-B38023044376}">
  <sheetPr>
    <tabColor rgb="FFCC6600"/>
  </sheetPr>
  <dimension ref="C1:M7"/>
  <sheetViews>
    <sheetView showGridLines="0" zoomScaleNormal="100" workbookViewId="0">
      <selection activeCell="I18" sqref="I18"/>
    </sheetView>
  </sheetViews>
  <sheetFormatPr defaultRowHeight="20" x14ac:dyDescent="0.25" customHeight="1"/>
  <cols>
    <col min="1" max="1" width="26.875" style="10" customWidth="1"/>
    <col min="2" max="2" width="4.125" style="10" customWidth="1"/>
    <col min="3" max="3" width="4.125" style="15" customWidth="1"/>
    <col min="4" max="4" width="42.875" style="15" customWidth="1"/>
    <col min="5" max="7" width="26.875" style="15" customWidth="1"/>
    <col min="8" max="8" width="88.625" style="15" customWidth="1"/>
    <col min="9" max="9" width="65.25" style="15" customWidth="1"/>
    <col min="10" max="13" width="26.875" style="15" customWidth="1"/>
    <col min="14" max="14" width="26.875" style="10" customWidth="1"/>
    <col min="15" max="16384" width="9" style="10"/>
  </cols>
  <sheetData>
    <row r="1" spans="3:13" s="23" customFormat="1" ht="30" x14ac:dyDescent="0.35" customHeight="1">
      <c r="C1" s="23" t="s">
        <v>79</v>
      </c>
    </row>
    <row r="2" spans="3:13" s="9" customFormat="1" x14ac:dyDescent="0.25" ht="20" customHeight="1"/>
    <row r="3" spans="3:13" ht="20" x14ac:dyDescent="0.25" customHeight="1">
      <c r="C3" s="24"/>
      <c r="D3" s="24"/>
      <c r="E3" s="24"/>
      <c r="F3" s="24"/>
      <c r="G3" s="24"/>
      <c r="H3" s="24"/>
      <c r="I3" s="24"/>
      <c r="J3" s="24"/>
      <c r="K3" s="24"/>
      <c r="L3" s="24"/>
      <c r="M3" s="24"/>
    </row>
    <row r="6" spans="3:13" x14ac:dyDescent="0.25" ht="20" customHeight="1">
      <c r="D6" s="25" t="s">
        <v>80</v>
      </c>
      <c r="E6" s="25" t="s">
        <v>81</v>
      </c>
      <c r="F6" s="25" t="s">
        <v>82</v>
      </c>
      <c r="G6" s="25" t="s">
        <v>83</v>
      </c>
      <c r="H6" s="25" t="s">
        <v>84</v>
      </c>
      <c r="I6" s="25" t="s">
        <v>85</v>
      </c>
      <c r="J6" s="25" t="s">
        <v>86</v>
      </c>
    </row>
    <row r="7" spans="3:13" x14ac:dyDescent="0.25" ht="20" customHeight="1">
      <c r="D7" s="26" t="s">
        <v>87</v>
      </c>
      <c r="E7" s="27" t="s">
        <v>88</v>
      </c>
      <c r="F7" s="27" t="s">
        <v>89</v>
      </c>
      <c r="G7" s="27" t="s">
        <v>90</v>
      </c>
      <c r="H7" s="26"/>
      <c r="I7" s="26"/>
      <c r="J7" s="28">
        <f>_xlfn.XLOOKUP(Table_Input_DataQuality[[#This Row],[Temporal representativeness]],[2]!Table_SourceData_DataQuality_TemporalRepresentativeness[ID],[2]!Table_SourceData_DataQuality_TemporalRepresentativeness[Score])+_xlfn.XLOOKUP(Table_Input_DataQuality[[#This Row],[Spatial resolution]],[2]!Table_SourceData_DataQuality_SpatialRepresentativeness[ID],[2]!Table_SourceData_DataQuality_SpatialRepresentativeness[Score])+_xlfn.XLOOKUP(Table_Input_DataQuality[[#This Row],[Sample size]],[2]!Table_SourceData_DataQuality_SampleSize[ID],[2]!Table_SourceData_DataQuality_SampleSize[Score])</f>
        <v>12</v>
      </c>
    </row>
  </sheetData>
  <dataValidations count="3">
    <dataValidation type="list" allowBlank="1" showInputMessage="1" showErrorMessage="1" sqref="G7" xr:uid="{55B06BCC-92EE-40E9-96B5-52BD30A8679E}">
      <formula1>INDIRECT("Table_SourceData_DataQuality_SampleSize[ID]")</formula1>
    </dataValidation>
    <dataValidation type="list" allowBlank="1" showInputMessage="1" showErrorMessage="1" sqref="F7" xr:uid="{31066E02-D9AC-4AF9-AA7B-2A1D321E9C14}">
      <formula1>INDIRECT("Table_SourceData_DataQuality_SpatialRepresentativeness[ID]")</formula1>
    </dataValidation>
    <dataValidation type="list" allowBlank="1" showInputMessage="1" showErrorMessage="1" sqref="E7" xr:uid="{D7E1FE23-F157-4ED2-B848-454A8FC55D46}">
      <formula1>INDIRECT("Table_SourceData_DataQuality_TemporalRepresentativeness[ID]")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7D1F-70E7-47A5-BFDD-AB62CDFC8688}">
  <sheetPr>
    <tabColor theme="2" tint="-0.499984740745262"/>
  </sheetPr>
  <dimension ref="A1:BY297"/>
  <sheetViews>
    <sheetView showGridLines="0" tabSelected="1" topLeftCell="A239" zoomScaleNormal="100" workbookViewId="0">
      <selection activeCell="I279" sqref="I279"/>
    </sheetView>
  </sheetViews>
  <sheetFormatPr defaultColWidth="8" defaultRowHeight="20" x14ac:dyDescent="0.25" customHeight="1"/>
  <cols>
    <col min="1" max="1" width="26.875" style="11" customWidth="1"/>
    <col min="2" max="2" width="2.375" style="11" customWidth="1"/>
    <col min="3" max="3" width="4.125" style="15" customWidth="1"/>
    <col min="4" max="4" width="42" style="15" customWidth="1"/>
    <col min="5" max="6" width="18.125" style="15" customWidth="1"/>
    <col min="7" max="7" width="26.5" style="15" customWidth="1"/>
    <col min="8" max="9" width="18.125" style="15" customWidth="1"/>
    <col min="10" max="10" width="30" style="15" customWidth="1"/>
    <col min="11" max="13" width="18.125" style="15" customWidth="1"/>
    <col min="14" max="14" width="29" style="15" customWidth="1"/>
    <col min="15" max="15" width="31.875" style="15" customWidth="1"/>
    <col min="16" max="16" width="18.375" style="15" customWidth="1"/>
    <col min="17" max="17" width="18.625" style="15" customWidth="1"/>
    <col min="18" max="18" width="27.25" style="15" customWidth="1"/>
    <col min="19" max="20" width="18.125" style="15" customWidth="1"/>
    <col min="21" max="21" width="4.125" style="15" customWidth="1"/>
    <col min="22" max="33" width="18.125" style="11" customWidth="1"/>
    <col min="34" max="39" width="19.125" style="11" customWidth="1"/>
    <col min="40" max="44" width="18.125" style="11" customWidth="1"/>
    <col min="45" max="65" width="8" style="11"/>
    <col min="66" max="16384" width="8" style="14"/>
  </cols>
  <sheetData>
    <row r="1" spans="1:65" s="8" customFormat="1" ht="30" customHeight="1" x14ac:dyDescent="0.35">
      <c r="A1" s="8" t="e" vm="1">
        <v>#VALUE!</v>
      </c>
      <c r="C1" s="8" t="s">
        <v>13</v>
      </c>
    </row>
    <row r="2" spans="1:65" s="9" customFormat="1" ht="20" customHeight="1" x14ac:dyDescent="0.25">
      <c r="A2" s="10"/>
    </row>
    <row r="3" spans="1:65" ht="20" customHeight="1" x14ac:dyDescent="0.25">
      <c r="A3" s="29" t="str">
        <f>HYPERLINK("#'Home'!A1", "Home")</f>
        <v>Home</v>
      </c>
      <c r="C3" s="12"/>
      <c r="D3" s="12"/>
      <c r="E3" s="12"/>
      <c r="F3" s="12"/>
      <c r="G3" s="12"/>
      <c r="H3" s="12"/>
      <c r="I3" s="12"/>
      <c r="J3" s="12"/>
      <c r="K3" s="12"/>
      <c r="L3" s="12"/>
      <c r="M3" s="12"/>
      <c r="N3" s="12"/>
      <c r="O3" s="12"/>
      <c r="P3" s="12"/>
      <c r="Q3" s="12"/>
      <c r="R3" s="12"/>
      <c r="S3" s="12"/>
      <c r="T3" s="12"/>
      <c r="U3" s="12"/>
      <c r="V3" s="13"/>
      <c r="W3" s="13"/>
    </row>
    <row r="4" spans="1:65" ht="20" customHeight="1" x14ac:dyDescent="0.25">
      <c r="A4" s="10"/>
      <c r="BM4" s="14"/>
    </row>
    <row r="5" spans="1:65" ht="20" customHeight="1" x14ac:dyDescent="0.25">
      <c r="A5" s="10"/>
      <c r="D5" s="16" t="str" cm="1">
        <f t="array" ref="D5">Common_SourceData.Common_SourceData_AustralianStatesTerritories_Title()</f>
        <v>Australian states and territories</v>
      </c>
      <c r="BM5" s="14"/>
    </row>
    <row r="6" spans="1:65" ht="20" customHeight="1" x14ac:dyDescent="0.25">
      <c r="A6" s="30" t="s">
        <v>91</v>
      </c>
      <c r="D6" s="17" t="s">
        <v>14</v>
      </c>
      <c r="E6" s="17" t="s">
        <v>15</v>
      </c>
      <c r="F6" s="17" t="s">
        <v>16</v>
      </c>
    </row>
    <row r="7" spans="1:65" ht="20" customHeight="1" x14ac:dyDescent="0.25">
      <c r="A7" s="31" t="str">
        <f>HYPERLINK("#'Constants - Common'!A1", "Constants - Common")</f>
        <v>Constants - Common</v>
      </c>
      <c r="D7" s="17" t="str" cm="1">
        <f t="array" aca="1" ref="D7" ca="1">Common_InputFunctions.Utility_DisplayArrayInTable(Common_SourceData.Common_SourceData_AustralianStatesTerritories_Data(),Table_AustralianStates[[#Headers],[State/Territory]],0)</f>
        <v/>
      </c>
      <c r="E7" s="17" t="str" cm="1">
        <f t="array" aca="1" ref="E7" ca="1">Common_InputFunctions.Utility_DisplayArrayInTable(Common_SourceData.Common_SourceData_AustralianStatesTerritories_Data(),Table_AustralianStates[[#Headers],[State/Territory]],0)</f>
        <v/>
      </c>
      <c r="F7" s="17" t="str" cm="1">
        <f t="array" aca="1" ref="F7" ca="1">Common_InputFunctions.Utility_DisplayArrayInTable(Common_SourceData.Common_SourceData_AustralianStatesTerritories_Data(),Table_AustralianStates[[#Headers],[State/Territory]],0)</f>
        <v/>
      </c>
    </row>
    <row r="8" spans="1:65" ht="20" customHeight="1" x14ac:dyDescent="0.25">
      <c r="A8" s="29" t="str">
        <f>HYPERLINK("#'Acknowledgements'!A1", "Acknowledgements")</f>
        <v>Acknowledgements</v>
      </c>
      <c r="D8" s="17" t="str" cm="1">
        <f t="array" aca="1" ref="D8" ca="1">Common_InputFunctions.Utility_DisplayArrayInTable(Common_SourceData.Common_SourceData_AustralianStatesTerritories_Data(),Table_AustralianStates[[#Headers],[State/Territory]],0)</f>
        <v/>
      </c>
      <c r="E8" s="17" t="str" cm="1">
        <f t="array" aca="1" ref="E8" ca="1">Common_InputFunctions.Utility_DisplayArrayInTable(Common_SourceData.Common_SourceData_AustralianStatesTerritories_Data(),Table_AustralianStates[[#Headers],[State/Territory]],0)</f>
        <v/>
      </c>
      <c r="F8" s="17" t="str" cm="1">
        <f t="array" aca="1" ref="F8" ca="1">Common_InputFunctions.Utility_DisplayArrayInTable(Common_SourceData.Common_SourceData_AustralianStatesTerritories_Data(),Table_AustralianStates[[#Headers],[State/Territory]],0)</f>
        <v/>
      </c>
    </row>
    <row r="9" spans="1:65" ht="20" customHeight="1" x14ac:dyDescent="0.25">
      <c r="A9" s="10"/>
      <c r="D9" s="17" t="str" cm="1">
        <f t="array" aca="1" ref="D9" ca="1">Common_InputFunctions.Utility_DisplayArrayInTable(Common_SourceData.Common_SourceData_AustralianStatesTerritories_Data(),Table_AustralianStates[[#Headers],[State/Territory]],0)</f>
        <v/>
      </c>
      <c r="E9" s="17" t="str" cm="1">
        <f t="array" aca="1" ref="E9" ca="1">Common_InputFunctions.Utility_DisplayArrayInTable(Common_SourceData.Common_SourceData_AustralianStatesTerritories_Data(),Table_AustralianStates[[#Headers],[State/Territory]],0)</f>
        <v/>
      </c>
      <c r="F9" s="17" t="str" cm="1">
        <f t="array" aca="1" ref="F9" ca="1">Common_InputFunctions.Utility_DisplayArrayInTable(Common_SourceData.Common_SourceData_AustralianStatesTerritories_Data(),Table_AustralianStates[[#Headers],[State/Territory]],0)</f>
        <v/>
      </c>
    </row>
    <row r="10" spans="1:65" ht="20" customHeight="1" x14ac:dyDescent="0.25">
      <c r="A10" s="10"/>
      <c r="D10" s="17" t="str" cm="1">
        <f t="array" aca="1" ref="D10" ca="1">Common_InputFunctions.Utility_DisplayArrayInTable(Common_SourceData.Common_SourceData_AustralianStatesTerritories_Data(),Table_AustralianStates[[#Headers],[State/Territory]],0)</f>
        <v/>
      </c>
      <c r="E10" s="17" t="str" cm="1">
        <f t="array" aca="1" ref="E10" ca="1">Common_InputFunctions.Utility_DisplayArrayInTable(Common_SourceData.Common_SourceData_AustralianStatesTerritories_Data(),Table_AustralianStates[[#Headers],[State/Territory]],0)</f>
        <v/>
      </c>
      <c r="F10" s="17" t="str" cm="1">
        <f t="array" aca="1" ref="F10" ca="1">Common_InputFunctions.Utility_DisplayArrayInTable(Common_SourceData.Common_SourceData_AustralianStatesTerritories_Data(),Table_AustralianStates[[#Headers],[State/Territory]],0)</f>
        <v/>
      </c>
    </row>
    <row r="11" spans="1:65" ht="20" customHeight="1" x14ac:dyDescent="0.25">
      <c r="A11" s="10"/>
      <c r="D11" s="17" t="str" cm="1">
        <f t="array" aca="1" ref="D11" ca="1">Common_InputFunctions.Utility_DisplayArrayInTable(Common_SourceData.Common_SourceData_AustralianStatesTerritories_Data(),Table_AustralianStates[[#Headers],[State/Territory]],0)</f>
        <v/>
      </c>
      <c r="E11" s="17" t="str" cm="1">
        <f t="array" aca="1" ref="E11" ca="1">Common_InputFunctions.Utility_DisplayArrayInTable(Common_SourceData.Common_SourceData_AustralianStatesTerritories_Data(),Table_AustralianStates[[#Headers],[State/Territory]],0)</f>
        <v/>
      </c>
      <c r="F11" s="17" t="str" cm="1">
        <f t="array" aca="1" ref="F11" ca="1">Common_InputFunctions.Utility_DisplayArrayInTable(Common_SourceData.Common_SourceData_AustralianStatesTerritories_Data(),Table_AustralianStates[[#Headers],[State/Territory]],0)</f>
        <v/>
      </c>
      <c r="BM11" s="14"/>
    </row>
    <row r="12" spans="1:65" ht="20" customHeight="1" x14ac:dyDescent="0.25">
      <c r="A12" s="10"/>
      <c r="D12" s="17" t="str" cm="1">
        <f t="array" aca="1" ref="D12" ca="1">Common_InputFunctions.Utility_DisplayArrayInTable(Common_SourceData.Common_SourceData_AustralianStatesTerritories_Data(),Table_AustralianStates[[#Headers],[State/Territory]],0)</f>
        <v/>
      </c>
      <c r="E12" s="17" t="str" cm="1">
        <f t="array" aca="1" ref="E12" ca="1">Common_InputFunctions.Utility_DisplayArrayInTable(Common_SourceData.Common_SourceData_AustralianStatesTerritories_Data(),Table_AustralianStates[[#Headers],[State/Territory]],0)</f>
        <v/>
      </c>
      <c r="F12" s="17" t="str" cm="1">
        <f t="array" aca="1" ref="F12" ca="1">Common_InputFunctions.Utility_DisplayArrayInTable(Common_SourceData.Common_SourceData_AustralianStatesTerritories_Data(),Table_AustralianStates[[#Headers],[State/Territory]],0)</f>
        <v/>
      </c>
      <c r="BM12" s="14"/>
    </row>
    <row r="13" spans="1:65" ht="20" customHeight="1" x14ac:dyDescent="0.25">
      <c r="A13" s="10"/>
      <c r="D13" s="17" t="str" cm="1">
        <f t="array" aca="1" ref="D13" ca="1">Common_InputFunctions.Utility_DisplayArrayInTable(Common_SourceData.Common_SourceData_AustralianStatesTerritories_Data(),Table_AustralianStates[[#Headers],[State/Territory]],0)</f>
        <v/>
      </c>
      <c r="E13" s="17" t="str" cm="1">
        <f t="array" aca="1" ref="E13" ca="1">Common_InputFunctions.Utility_DisplayArrayInTable(Common_SourceData.Common_SourceData_AustralianStatesTerritories_Data(),Table_AustralianStates[[#Headers],[State/Territory]],0)</f>
        <v/>
      </c>
      <c r="F13" s="17" t="str" cm="1">
        <f t="array" aca="1" ref="F13" ca="1">Common_InputFunctions.Utility_DisplayArrayInTable(Common_SourceData.Common_SourceData_AustralianStatesTerritories_Data(),Table_AustralianStates[[#Headers],[State/Territory]],0)</f>
        <v/>
      </c>
    </row>
    <row r="14" spans="1:65" ht="20" customHeight="1" x14ac:dyDescent="0.25">
      <c r="A14" s="10"/>
      <c r="D14" s="17" t="str" cm="1">
        <f t="array" aca="1" ref="D14" ca="1">Common_InputFunctions.Utility_DisplayArrayInTable(Common_SourceData.Common_SourceData_AustralianStatesTerritories_Data(),Table_AustralianStates[[#Headers],[State/Territory]],0)</f>
        <v/>
      </c>
      <c r="E14" s="17" t="str" cm="1">
        <f t="array" aca="1" ref="E14" ca="1">Common_InputFunctions.Utility_DisplayArrayInTable(Common_SourceData.Common_SourceData_AustralianStatesTerritories_Data(),Table_AustralianStates[[#Headers],[State/Territory]],0)</f>
        <v/>
      </c>
      <c r="F14" s="17" t="str" cm="1">
        <f t="array" aca="1" ref="F14" ca="1">Common_InputFunctions.Utility_DisplayArrayInTable(Common_SourceData.Common_SourceData_AustralianStatesTerritories_Data(),Table_AustralianStates[[#Headers],[State/Territory]],0)</f>
        <v/>
      </c>
    </row>
    <row r="15" spans="1:65" ht="20" customHeight="1" x14ac:dyDescent="0.25">
      <c r="A15" s="10"/>
    </row>
    <row r="16" spans="1:65" ht="20" customHeight="1" x14ac:dyDescent="0.25">
      <c r="A16" s="10"/>
    </row>
    <row r="17" spans="1:4" ht="20" customHeight="1" x14ac:dyDescent="0.25">
      <c r="A17" s="10"/>
    </row>
    <row r="18" spans="1:4" ht="20" customHeight="1" x14ac:dyDescent="0.25">
      <c r="A18" s="10"/>
      <c r="D18" s="16" t="str" cm="1">
        <f t="array" ref="D18">Common_SourceData.Common_SourceData_WASA4Areas_Title()</f>
        <v>ABS Statistcal Areas Level 4 - Western Australia</v>
      </c>
    </row>
    <row r="19" spans="1:4" ht="20" customHeight="1" x14ac:dyDescent="0.25">
      <c r="A19" s="10"/>
      <c r="D19" s="18" t="str" cm="1">
        <f t="array" ref="D19">Common_SourceData.Common_SourceData_WASA4Areas_Source()</f>
        <v>Australian Bureau of Statistics (ABS) - Statistical Areas Level 2 - 2021 - Shapefile</v>
      </c>
    </row>
    <row r="20" spans="1:4" ht="20" customHeight="1" x14ac:dyDescent="0.25">
      <c r="A20" s="10"/>
      <c r="D20" s="17" t="s">
        <v>17</v>
      </c>
    </row>
    <row r="21" spans="1:4" ht="20" customHeight="1" x14ac:dyDescent="0.25">
      <c r="A21" s="10"/>
      <c r="D21" s="17" t="str" cm="1">
        <f t="array" aca="1" ref="D21" ca="1">Common_InputFunctions.Utility_DisplayArrayInTable(Common_SourceData.Common_SourceData_WASA4Areas_Data(), Table_WASA4Areas[[#Headers],[SA 4 Name]], 0)</f>
        <v/>
      </c>
    </row>
    <row r="22" spans="1:4" ht="20" customHeight="1" x14ac:dyDescent="0.25">
      <c r="A22" s="10"/>
      <c r="D22" s="17" t="str" cm="1">
        <f t="array" aca="1" ref="D22" ca="1">Common_InputFunctions.Utility_DisplayArrayInTable(Common_SourceData.Common_SourceData_WASA4Areas_Data(), Table_WASA4Areas[[#Headers],[SA 4 Name]], 0)</f>
        <v/>
      </c>
    </row>
    <row r="23" spans="1:4" ht="20" customHeight="1" x14ac:dyDescent="0.25">
      <c r="A23" s="10"/>
      <c r="D23" s="17" t="str" cm="1">
        <f t="array" aca="1" ref="D23" ca="1">Common_InputFunctions.Utility_DisplayArrayInTable(Common_SourceData.Common_SourceData_WASA4Areas_Data(), Table_WASA4Areas[[#Headers],[SA 4 Name]], 0)</f>
        <v/>
      </c>
    </row>
    <row r="24" spans="1:4" ht="20" customHeight="1" x14ac:dyDescent="0.25">
      <c r="A24" s="10"/>
      <c r="D24" s="17" t="str" cm="1">
        <f t="array" aca="1" ref="D24" ca="1">Common_InputFunctions.Utility_DisplayArrayInTable(Common_SourceData.Common_SourceData_WASA4Areas_Data(), Table_WASA4Areas[[#Headers],[SA 4 Name]], 0)</f>
        <v/>
      </c>
    </row>
    <row r="25" spans="1:4" ht="20" customHeight="1" x14ac:dyDescent="0.25">
      <c r="A25" s="10"/>
      <c r="D25" s="17" t="str" cm="1">
        <f t="array" aca="1" ref="D25" ca="1">Common_InputFunctions.Utility_DisplayArrayInTable(Common_SourceData.Common_SourceData_WASA4Areas_Data(), Table_WASA4Areas[[#Headers],[SA 4 Name]], 0)</f>
        <v/>
      </c>
    </row>
    <row r="26" spans="1:4" ht="20" customHeight="1" x14ac:dyDescent="0.25">
      <c r="A26" s="10"/>
      <c r="D26" s="17" t="str" cm="1">
        <f t="array" aca="1" ref="D26" ca="1">Common_InputFunctions.Utility_DisplayArrayInTable(Common_SourceData.Common_SourceData_WASA4Areas_Data(), Table_WASA4Areas[[#Headers],[SA 4 Name]], 0)</f>
        <v/>
      </c>
    </row>
    <row r="27" spans="1:4" ht="20" customHeight="1" x14ac:dyDescent="0.25">
      <c r="A27" s="10"/>
      <c r="D27" s="17" t="str" cm="1">
        <f t="array" aca="1" ref="D27" ca="1">Common_InputFunctions.Utility_DisplayArrayInTable(Common_SourceData.Common_SourceData_WASA4Areas_Data(), Table_WASA4Areas[[#Headers],[SA 4 Name]], 0)</f>
        <v/>
      </c>
    </row>
    <row r="28" spans="1:4" ht="20" customHeight="1" x14ac:dyDescent="0.25">
      <c r="A28" s="10"/>
      <c r="D28" s="17" t="str" cm="1">
        <f t="array" aca="1" ref="D28" ca="1">Common_InputFunctions.Utility_DisplayArrayInTable(Common_SourceData.Common_SourceData_WASA4Areas_Data(), Table_WASA4Areas[[#Headers],[SA 4 Name]], 0)</f>
        <v/>
      </c>
    </row>
    <row r="29" spans="1:4" ht="20" customHeight="1" x14ac:dyDescent="0.25">
      <c r="A29" s="10"/>
      <c r="D29" s="17" t="str" cm="1">
        <f t="array" aca="1" ref="D29" ca="1">Common_InputFunctions.Utility_DisplayArrayInTable(Common_SourceData.Common_SourceData_WASA4Areas_Data(), Table_WASA4Areas[[#Headers],[SA 4 Name]], 0)</f>
        <v/>
      </c>
    </row>
    <row r="30" spans="1:4" ht="20" customHeight="1" x14ac:dyDescent="0.25">
      <c r="A30" s="10"/>
      <c r="D30" s="17" t="str" cm="1">
        <f t="array" aca="1" ref="D30" ca="1">Common_InputFunctions.Utility_DisplayArrayInTable(Common_SourceData.Common_SourceData_WASA4Areas_Data(), Table_WASA4Areas[[#Headers],[SA 4 Name]], 0)</f>
        <v/>
      </c>
    </row>
    <row r="31" spans="1:4" ht="20" customHeight="1" x14ac:dyDescent="0.25">
      <c r="A31" s="10"/>
    </row>
    <row r="32" spans="1:4" ht="20" customHeight="1" x14ac:dyDescent="0.25">
      <c r="A32" s="10"/>
    </row>
    <row r="33" spans="1:8" ht="20" customHeight="1" x14ac:dyDescent="0.25">
      <c r="A33" s="10"/>
    </row>
    <row r="34" spans="1:8" ht="20" customHeight="1" x14ac:dyDescent="0.25">
      <c r="A34" s="10"/>
      <c r="D34" s="16" t="str" cm="1">
        <f t="array" ref="D34">Common_SourceData.Common_SourceData_GWP_Title()</f>
        <v>Global warming potential for greenhouse gases</v>
      </c>
    </row>
    <row r="35" spans="1:8" ht="20" customHeight="1" x14ac:dyDescent="0.25">
      <c r="A35" s="10"/>
      <c r="D35" s="18" t="str" cm="1">
        <f t="array" ref="D35">Common_SourceData.Common_SourceData_GWP_Source()</f>
        <v>XXXXXXX</v>
      </c>
    </row>
    <row r="36" spans="1:8" ht="20" customHeight="1" x14ac:dyDescent="0.25">
      <c r="A36" s="10"/>
      <c r="D36" s="17" t="s">
        <v>18</v>
      </c>
      <c r="E36" s="17" t="s">
        <v>19</v>
      </c>
    </row>
    <row r="37" spans="1:8" ht="20" customHeight="1" x14ac:dyDescent="0.25">
      <c r="A37" s="10"/>
      <c r="D37" s="17" t="str" cm="1">
        <f t="array" aca="1" ref="D37" ca="1">Common_InputFunctions.Utility_DisplayArrayInTable(Common_SourceData.Common_SourceData_GWP_Data(), Table_GWPData[[#Headers],[Gas]], 0)</f>
        <v/>
      </c>
      <c r="E37" s="17" t="str" cm="1">
        <f t="array" aca="1" ref="E37" ca="1">Common_InputFunctions.Utility_DisplayArrayInTable(Common_SourceData.Common_SourceData_GWP_Data(), Table_GWPData[[#Headers],[Gas]], 0)</f>
        <v/>
      </c>
    </row>
    <row r="38" spans="1:8" ht="20" customHeight="1" x14ac:dyDescent="0.25">
      <c r="A38" s="10"/>
      <c r="D38" s="17" t="str" cm="1">
        <f t="array" aca="1" ref="D38" ca="1">Common_InputFunctions.Utility_DisplayArrayInTable(Common_SourceData.Common_SourceData_GWP_Data(), Table_GWPData[[#Headers],[Gas]], 0)</f>
        <v/>
      </c>
      <c r="E38" s="17" t="str" cm="1">
        <f t="array" aca="1" ref="E38" ca="1">Common_InputFunctions.Utility_DisplayArrayInTable(Common_SourceData.Common_SourceData_GWP_Data(), Table_GWPData[[#Headers],[Gas]], 0)</f>
        <v/>
      </c>
    </row>
    <row r="39" spans="1:8" ht="20" customHeight="1" x14ac:dyDescent="0.25">
      <c r="A39" s="10"/>
      <c r="D39" s="17" t="str" cm="1">
        <f t="array" aca="1" ref="D39" ca="1">Common_InputFunctions.Utility_DisplayArrayInTable(Common_SourceData.Common_SourceData_GWP_Data(), Table_GWPData[[#Headers],[Gas]], 0)</f>
        <v/>
      </c>
      <c r="E39" s="17" t="str" cm="1">
        <f t="array" aca="1" ref="E39" ca="1">Common_InputFunctions.Utility_DisplayArrayInTable(Common_SourceData.Common_SourceData_GWP_Data(), Table_GWPData[[#Headers],[Gas]], 0)</f>
        <v/>
      </c>
    </row>
    <row r="40" spans="1:8" ht="20" customHeight="1" x14ac:dyDescent="0.25">
      <c r="A40" s="10"/>
      <c r="D40" s="17" t="str" cm="1">
        <f t="array" aca="1" ref="D40" ca="1">Common_InputFunctions.Utility_DisplayArrayInTable(Common_SourceData.Common_SourceData_GWP_Data(), Table_GWPData[[#Headers],[Gas]], 0)</f>
        <v/>
      </c>
      <c r="E40" s="17" t="str" cm="1">
        <f t="array" aca="1" ref="E40" ca="1">Common_InputFunctions.Utility_DisplayArrayInTable(Common_SourceData.Common_SourceData_GWP_Data(), Table_GWPData[[#Headers],[Gas]], 0)</f>
        <v/>
      </c>
    </row>
    <row r="41" spans="1:8" ht="20" customHeight="1" x14ac:dyDescent="0.25">
      <c r="A41" s="10"/>
      <c r="D41" s="17" t="str" cm="1">
        <f t="array" aca="1" ref="D41" ca="1">Common_InputFunctions.Utility_DisplayArrayInTable(Common_SourceData.Common_SourceData_GWP_Data(), Table_GWPData[[#Headers],[Gas]], 0)</f>
        <v/>
      </c>
      <c r="E41" s="17" t="str" cm="1">
        <f t="array" aca="1" ref="E41" ca="1">Common_InputFunctions.Utility_DisplayArrayInTable(Common_SourceData.Common_SourceData_GWP_Data(), Table_GWPData[[#Headers],[Gas]], 0)</f>
        <v/>
      </c>
    </row>
    <row r="42" spans="1:8" ht="20" customHeight="1" x14ac:dyDescent="0.25">
      <c r="A42" s="10"/>
      <c r="D42" s="17" t="str" cm="1">
        <f t="array" aca="1" ref="D42" ca="1">Common_InputFunctions.Utility_DisplayArrayInTable(Common_SourceData.Common_SourceData_GWP_Data(), Table_GWPData[[#Headers],[Gas]], 0)</f>
        <v/>
      </c>
      <c r="E42" s="17" t="str" cm="1">
        <f t="array" aca="1" ref="E42" ca="1">Common_InputFunctions.Utility_DisplayArrayInTable(Common_SourceData.Common_SourceData_GWP_Data(), Table_GWPData[[#Headers],[Gas]], 0)</f>
        <v/>
      </c>
    </row>
    <row r="43" spans="1:8" ht="20" customHeight="1" x14ac:dyDescent="0.25">
      <c r="A43" s="10"/>
      <c r="D43" s="17" t="str" cm="1">
        <f t="array" aca="1" ref="D43" ca="1">Common_InputFunctions.Utility_DisplayArrayInTable(Common_SourceData.Common_SourceData_GWP_Data(), Table_GWPData[[#Headers],[Gas]], 0)</f>
        <v/>
      </c>
      <c r="E43" s="17" t="str" cm="1">
        <f t="array" aca="1" ref="E43" ca="1">Common_InputFunctions.Utility_DisplayArrayInTable(Common_SourceData.Common_SourceData_GWP_Data(), Table_GWPData[[#Headers],[Gas]], 0)</f>
        <v/>
      </c>
    </row>
    <row r="44" spans="1:8" ht="20" customHeight="1" x14ac:dyDescent="0.25">
      <c r="A44" s="10"/>
    </row>
    <row r="45" spans="1:8" ht="20" customHeight="1" x14ac:dyDescent="0.25">
      <c r="A45" s="10"/>
      <c r="D45" s="16" t="str" cm="1">
        <f t="array" ref="D45">Common_SourceData.Common_SourceData_ConvertGasElementalToMolecular_Title()</f>
        <v>Factor to convert elemental mass of gas to molecular mass</v>
      </c>
    </row>
    <row r="46" spans="1:8" ht="20" customHeight="1" x14ac:dyDescent="0.25">
      <c r="A46" s="10"/>
      <c r="D46" s="18" t="str" cm="1">
        <f t="array" ref="D46">Common_SourceData.Common_SourceData_ConvertGasElementalToMolecular_Source()</f>
        <v>XXXXXXX</v>
      </c>
    </row>
    <row r="47" spans="1:8" ht="20" customHeight="1" x14ac:dyDescent="0.25">
      <c r="A47" s="10"/>
      <c r="D47" s="17" t="s">
        <v>18</v>
      </c>
      <c r="E47" s="17" t="s">
        <v>20</v>
      </c>
      <c r="F47" s="17" t="s">
        <v>21</v>
      </c>
      <c r="G47" s="17" t="s">
        <v>22</v>
      </c>
      <c r="H47" s="17" t="s">
        <v>23</v>
      </c>
    </row>
    <row r="48" spans="1:8" ht="20" customHeight="1" x14ac:dyDescent="0.25">
      <c r="A48" s="10"/>
      <c r="D48" s="17" t="str" cm="1">
        <f t="array" aca="1" ref="D48" ca="1">Common_InputFunctions.Utility_DisplayArrayInTable(Common_SourceData.Common_SourceData_ConvertGasElementalToMolecular_Data(),Table_GasToMolecularConversionFactor[[#Headers],[Gas]], 0)</f>
        <v/>
      </c>
      <c r="E48" s="17" t="str" cm="1">
        <f t="array" aca="1" ref="E48" ca="1">Common_InputFunctions.Utility_DisplayArrayInTable(Common_SourceData.Common_SourceData_ConvertGasElementalToMolecular_Data(),Table_GasToMolecularConversionFactor[[#Headers],[Gas]], 0)</f>
        <v/>
      </c>
      <c r="F48" s="17" t="str" cm="1">
        <f t="array" aca="1" ref="F48" ca="1">Common_InputFunctions.Utility_DisplayArrayInTable(Common_SourceData.Common_SourceData_ConvertGasElementalToMolecular_Data(),Table_GasToMolecularConversionFactor[[#Headers],[Gas]], 0)</f>
        <v/>
      </c>
      <c r="G48" s="17" t="str" cm="1">
        <f t="array" aca="1" ref="G48" ca="1">Common_InputFunctions.Utility_DisplayArrayInTable(Common_SourceData.Common_SourceData_ConvertGasElementalToMolecular_Data(),Table_GasToMolecularConversionFactor[[#Headers],[Gas]], 0)</f>
        <v/>
      </c>
      <c r="H48" s="17" t="e">
        <f ca="1">Table_GasToMolecularConversionFactor[[#This Row],[Conversion factor 1]]/Table_GasToMolecularConversionFactor[[#This Row],[Conversion factor 2]]</f>
        <v>#VALUE!</v>
      </c>
    </row>
    <row r="49" spans="1:8" ht="20" customHeight="1" x14ac:dyDescent="0.25">
      <c r="A49" s="10"/>
      <c r="D49" s="17" t="str" cm="1">
        <f t="array" aca="1" ref="D49" ca="1">Common_InputFunctions.Utility_DisplayArrayInTable(Common_SourceData.Common_SourceData_ConvertGasElementalToMolecular_Data(),Table_GasToMolecularConversionFactor[[#Headers],[Gas]], 0)</f>
        <v/>
      </c>
      <c r="E49" s="17" t="str" cm="1">
        <f t="array" aca="1" ref="E49" ca="1">Common_InputFunctions.Utility_DisplayArrayInTable(Common_SourceData.Common_SourceData_ConvertGasElementalToMolecular_Data(),Table_GasToMolecularConversionFactor[[#Headers],[Gas]], 0)</f>
        <v/>
      </c>
      <c r="F49" s="17" t="str" cm="1">
        <f t="array" aca="1" ref="F49" ca="1">Common_InputFunctions.Utility_DisplayArrayInTable(Common_SourceData.Common_SourceData_ConvertGasElementalToMolecular_Data(),Table_GasToMolecularConversionFactor[[#Headers],[Gas]], 0)</f>
        <v/>
      </c>
      <c r="G49" s="17" t="str" cm="1">
        <f t="array" aca="1" ref="G49" ca="1">Common_InputFunctions.Utility_DisplayArrayInTable(Common_SourceData.Common_SourceData_ConvertGasElementalToMolecular_Data(),Table_GasToMolecularConversionFactor[[#Headers],[Gas]], 0)</f>
        <v/>
      </c>
      <c r="H49" s="17" t="e">
        <f ca="1">Table_GasToMolecularConversionFactor[[#This Row],[Conversion factor 1]]/Table_GasToMolecularConversionFactor[[#This Row],[Conversion factor 2]]</f>
        <v>#VALUE!</v>
      </c>
    </row>
    <row r="50" spans="1:8" ht="20" customHeight="1" x14ac:dyDescent="0.25">
      <c r="A50" s="10"/>
      <c r="D50" s="17" t="str" cm="1">
        <f t="array" aca="1" ref="D50" ca="1">Common_InputFunctions.Utility_DisplayArrayInTable(Common_SourceData.Common_SourceData_ConvertGasElementalToMolecular_Data(),Table_GasToMolecularConversionFactor[[#Headers],[Gas]], 0)</f>
        <v/>
      </c>
      <c r="E50" s="17" t="str" cm="1">
        <f t="array" aca="1" ref="E50" ca="1">Common_InputFunctions.Utility_DisplayArrayInTable(Common_SourceData.Common_SourceData_ConvertGasElementalToMolecular_Data(),Table_GasToMolecularConversionFactor[[#Headers],[Gas]], 0)</f>
        <v/>
      </c>
      <c r="F50" s="17" t="str" cm="1">
        <f t="array" aca="1" ref="F50" ca="1">Common_InputFunctions.Utility_DisplayArrayInTable(Common_SourceData.Common_SourceData_ConvertGasElementalToMolecular_Data(),Table_GasToMolecularConversionFactor[[#Headers],[Gas]], 0)</f>
        <v/>
      </c>
      <c r="G50" s="17" t="str" cm="1">
        <f t="array" aca="1" ref="G50" ca="1">Common_InputFunctions.Utility_DisplayArrayInTable(Common_SourceData.Common_SourceData_ConvertGasElementalToMolecular_Data(),Table_GasToMolecularConversionFactor[[#Headers],[Gas]], 0)</f>
        <v/>
      </c>
      <c r="H50" s="17" t="e">
        <f ca="1">Table_GasToMolecularConversionFactor[[#This Row],[Conversion factor 1]]/Table_GasToMolecularConversionFactor[[#This Row],[Conversion factor 2]]</f>
        <v>#VALUE!</v>
      </c>
    </row>
    <row r="51" spans="1:8" ht="20" customHeight="1" x14ac:dyDescent="0.25">
      <c r="A51" s="10"/>
      <c r="D51" s="17" t="str" cm="1">
        <f t="array" aca="1" ref="D51" ca="1">Common_InputFunctions.Utility_DisplayArrayInTable(Common_SourceData.Common_SourceData_ConvertGasElementalToMolecular_Data(),Table_GasToMolecularConversionFactor[[#Headers],[Gas]], 0)</f>
        <v/>
      </c>
      <c r="E51" s="17" t="str" cm="1">
        <f t="array" aca="1" ref="E51" ca="1">Common_InputFunctions.Utility_DisplayArrayInTable(Common_SourceData.Common_SourceData_ConvertGasElementalToMolecular_Data(),Table_GasToMolecularConversionFactor[[#Headers],[Gas]], 0)</f>
        <v/>
      </c>
      <c r="F51" s="17" t="str" cm="1">
        <f t="array" aca="1" ref="F51" ca="1">Common_InputFunctions.Utility_DisplayArrayInTable(Common_SourceData.Common_SourceData_ConvertGasElementalToMolecular_Data(),Table_GasToMolecularConversionFactor[[#Headers],[Gas]], 0)</f>
        <v/>
      </c>
      <c r="G51" s="17" t="str" cm="1">
        <f t="array" aca="1" ref="G51" ca="1">Common_InputFunctions.Utility_DisplayArrayInTable(Common_SourceData.Common_SourceData_ConvertGasElementalToMolecular_Data(),Table_GasToMolecularConversionFactor[[#Headers],[Gas]], 0)</f>
        <v/>
      </c>
      <c r="H51" s="17" t="e">
        <f ca="1">Table_GasToMolecularConversionFactor[[#This Row],[Conversion factor 1]]/Table_GasToMolecularConversionFactor[[#This Row],[Conversion factor 2]]</f>
        <v>#VALUE!</v>
      </c>
    </row>
    <row r="52" spans="1:8" ht="20" customHeight="1" x14ac:dyDescent="0.25">
      <c r="A52" s="10"/>
      <c r="D52" s="17" t="str" cm="1">
        <f t="array" aca="1" ref="D52" ca="1">Common_InputFunctions.Utility_DisplayArrayInTable(Common_SourceData.Common_SourceData_ConvertGasElementalToMolecular_Data(),Table_GasToMolecularConversionFactor[[#Headers],[Gas]], 0)</f>
        <v/>
      </c>
      <c r="E52" s="17" t="str" cm="1">
        <f t="array" aca="1" ref="E52" ca="1">Common_InputFunctions.Utility_DisplayArrayInTable(Common_SourceData.Common_SourceData_ConvertGasElementalToMolecular_Data(),Table_GasToMolecularConversionFactor[[#Headers],[Gas]], 0)</f>
        <v/>
      </c>
      <c r="F52" s="17" t="str" cm="1">
        <f t="array" aca="1" ref="F52" ca="1">Common_InputFunctions.Utility_DisplayArrayInTable(Common_SourceData.Common_SourceData_ConvertGasElementalToMolecular_Data(),Table_GasToMolecularConversionFactor[[#Headers],[Gas]], 0)</f>
        <v/>
      </c>
      <c r="G52" s="17" t="str" cm="1">
        <f t="array" aca="1" ref="G52" ca="1">Common_InputFunctions.Utility_DisplayArrayInTable(Common_SourceData.Common_SourceData_ConvertGasElementalToMolecular_Data(),Table_GasToMolecularConversionFactor[[#Headers],[Gas]], 0)</f>
        <v/>
      </c>
      <c r="H52" s="17" t="e">
        <f ca="1">Table_GasToMolecularConversionFactor[[#This Row],[Conversion factor 1]]/Table_GasToMolecularConversionFactor[[#This Row],[Conversion factor 2]]</f>
        <v>#VALUE!</v>
      </c>
    </row>
    <row r="53" spans="1:8" ht="20" customHeight="1" x14ac:dyDescent="0.25">
      <c r="A53" s="10"/>
      <c r="D53" s="17" t="str" cm="1">
        <f t="array" aca="1" ref="D53" ca="1">Common_InputFunctions.Utility_DisplayArrayInTable(Common_SourceData.Common_SourceData_ConvertGasElementalToMolecular_Data(),Table_GasToMolecularConversionFactor[[#Headers],[Gas]], 0)</f>
        <v/>
      </c>
      <c r="E53" s="17" t="str" cm="1">
        <f t="array" aca="1" ref="E53" ca="1">Common_InputFunctions.Utility_DisplayArrayInTable(Common_SourceData.Common_SourceData_ConvertGasElementalToMolecular_Data(),Table_GasToMolecularConversionFactor[[#Headers],[Gas]], 0)</f>
        <v/>
      </c>
      <c r="F53" s="17" t="str" cm="1">
        <f t="array" aca="1" ref="F53" ca="1">Common_InputFunctions.Utility_DisplayArrayInTable(Common_SourceData.Common_SourceData_ConvertGasElementalToMolecular_Data(),Table_GasToMolecularConversionFactor[[#Headers],[Gas]], 0)</f>
        <v/>
      </c>
      <c r="G53" s="17" t="str" cm="1">
        <f t="array" aca="1" ref="G53" ca="1">Common_InputFunctions.Utility_DisplayArrayInTable(Common_SourceData.Common_SourceData_ConvertGasElementalToMolecular_Data(),Table_GasToMolecularConversionFactor[[#Headers],[Gas]], 0)</f>
        <v/>
      </c>
      <c r="H53" s="17" t="e">
        <f ca="1">Table_GasToMolecularConversionFactor[[#This Row],[Conversion factor 1]]/Table_GasToMolecularConversionFactor[[#This Row],[Conversion factor 2]]</f>
        <v>#VALUE!</v>
      </c>
    </row>
    <row r="54" spans="1:8" ht="20" customHeight="1" x14ac:dyDescent="0.25">
      <c r="A54" s="10"/>
      <c r="D54" s="17" t="str" cm="1">
        <f t="array" aca="1" ref="D54" ca="1">Common_InputFunctions.Utility_DisplayArrayInTable(Common_SourceData.Common_SourceData_ConvertGasElementalToMolecular_Data(),Table_GasToMolecularConversionFactor[[#Headers],[Gas]], 0)</f>
        <v/>
      </c>
      <c r="E54" s="17" t="str" cm="1">
        <f t="array" aca="1" ref="E54" ca="1">Common_InputFunctions.Utility_DisplayArrayInTable(Common_SourceData.Common_SourceData_ConvertGasElementalToMolecular_Data(),Table_GasToMolecularConversionFactor[[#Headers],[Gas]], 0)</f>
        <v/>
      </c>
      <c r="F54" s="17" t="str" cm="1">
        <f t="array" aca="1" ref="F54" ca="1">Common_InputFunctions.Utility_DisplayArrayInTable(Common_SourceData.Common_SourceData_ConvertGasElementalToMolecular_Data(),Table_GasToMolecularConversionFactor[[#Headers],[Gas]], 0)</f>
        <v/>
      </c>
      <c r="G54" s="17" t="str" cm="1">
        <f t="array" aca="1" ref="G54" ca="1">Common_InputFunctions.Utility_DisplayArrayInTable(Common_SourceData.Common_SourceData_ConvertGasElementalToMolecular_Data(),Table_GasToMolecularConversionFactor[[#Headers],[Gas]], 0)</f>
        <v/>
      </c>
      <c r="H54" s="17" t="e">
        <f ca="1">Table_GasToMolecularConversionFactor[[#This Row],[Conversion factor 1]]/Table_GasToMolecularConversionFactor[[#This Row],[Conversion factor 2]]</f>
        <v>#VALUE!</v>
      </c>
    </row>
    <row r="55" spans="1:8" ht="20" customHeight="1" x14ac:dyDescent="0.25">
      <c r="A55" s="10"/>
    </row>
    <row r="56" spans="1:8" ht="20" customHeight="1" x14ac:dyDescent="0.25">
      <c r="A56" s="10"/>
    </row>
    <row r="57" spans="1:8" ht="20" customHeight="1" x14ac:dyDescent="0.25">
      <c r="A57" s="10"/>
      <c r="D57" s="16" t="str" cm="1">
        <f t="array" ref="D57">Common_SourceData.Common_SourceData_WetAndDryZones_Title()</f>
        <v>VEERG Australian wet and dry zones</v>
      </c>
    </row>
    <row r="58" spans="1:8" ht="20" customHeight="1" x14ac:dyDescent="0.25">
      <c r="A58" s="10"/>
      <c r="D58" s="18" t="str" cm="1">
        <f t="array" ref="D58">Common_SourceData.Common_SourceData_WetAndDryZones_Source()</f>
        <v>VEERG 2026: Table 1.2: Translating climate zones to wet and dry zones</v>
      </c>
    </row>
    <row r="59" spans="1:8" ht="20" customHeight="1" x14ac:dyDescent="0.25">
      <c r="A59" s="10"/>
      <c r="D59" s="19" t="str" cm="1">
        <f t="array" ref="D59:D61">"⚠️" &amp; Common_SourceData.Common_SourceData_WetAndDryZones_Variation()</f>
        <v>⚠️VARIATION OF SOURCE DATA:</v>
      </c>
    </row>
    <row r="60" spans="1:8" ht="20" customHeight="1" x14ac:dyDescent="0.25">
      <c r="A60" s="10"/>
      <c r="D60" s="19" t="str">
        <v>⚠️Added warm / cool temperate moist / dry - low frost and high temp classes to accommodate climate scenarios excluded by VEERG criteria.</v>
      </c>
    </row>
    <row r="61" spans="1:8" ht="20" customHeight="1" x14ac:dyDescent="0.25">
      <c r="A61" s="10"/>
      <c r="D61" s="19" t="str">
        <v>⚠️Fixed typo - Changed 'Fry' to 'Dry'.</v>
      </c>
    </row>
    <row r="62" spans="1:8" ht="20" customHeight="1" x14ac:dyDescent="0.25">
      <c r="A62" s="10"/>
    </row>
    <row r="63" spans="1:8" ht="20" customHeight="1" x14ac:dyDescent="0.25">
      <c r="A63" s="10"/>
      <c r="D63" s="17" t="s">
        <v>24</v>
      </c>
      <c r="E63" s="17" t="s">
        <v>25</v>
      </c>
    </row>
    <row r="64" spans="1:8" ht="20" customHeight="1" x14ac:dyDescent="0.25">
      <c r="A64" s="10"/>
      <c r="D64" s="17" t="str" cm="1">
        <f t="array" aca="1" ref="D64" ca="1">Common_InputFunctions.Utility_DisplayArrayInTable(Common_SourceData.Common_SourceData_WetAndDryZones_Data(), Table_SourceData_WetDryZones[[#Headers],[Climate zone]], 0)</f>
        <v/>
      </c>
      <c r="E64" s="17" t="str" cm="1">
        <f t="array" aca="1" ref="E64" ca="1">Common_InputFunctions.Utility_DisplayArrayInTable(Common_SourceData.Common_SourceData_WetAndDryZones_Data(), Table_SourceData_WetDryZones[[#Headers],[Climate zone]], 0)</f>
        <v/>
      </c>
    </row>
    <row r="65" spans="1:5" ht="20" customHeight="1" x14ac:dyDescent="0.25">
      <c r="A65" s="10"/>
      <c r="D65" s="17" t="str" cm="1">
        <f t="array" aca="1" ref="D65" ca="1">Common_InputFunctions.Utility_DisplayArrayInTable(Common_SourceData.Common_SourceData_WetAndDryZones_Data(), Table_SourceData_WetDryZones[[#Headers],[Climate zone]], 0)</f>
        <v/>
      </c>
      <c r="E65" s="17" t="str" cm="1">
        <f t="array" aca="1" ref="E65" ca="1">Common_InputFunctions.Utility_DisplayArrayInTable(Common_SourceData.Common_SourceData_WetAndDryZones_Data(), Table_SourceData_WetDryZones[[#Headers],[Climate zone]], 0)</f>
        <v/>
      </c>
    </row>
    <row r="66" spans="1:5" ht="20" customHeight="1" x14ac:dyDescent="0.25">
      <c r="A66" s="10"/>
      <c r="D66" s="17" t="str" cm="1">
        <f t="array" aca="1" ref="D66" ca="1">Common_InputFunctions.Utility_DisplayArrayInTable(Common_SourceData.Common_SourceData_WetAndDryZones_Data(), Table_SourceData_WetDryZones[[#Headers],[Climate zone]], 0)</f>
        <v/>
      </c>
      <c r="E66" s="17" t="str" cm="1">
        <f t="array" aca="1" ref="E66" ca="1">Common_InputFunctions.Utility_DisplayArrayInTable(Common_SourceData.Common_SourceData_WetAndDryZones_Data(), Table_SourceData_WetDryZones[[#Headers],[Climate zone]], 0)</f>
        <v/>
      </c>
    </row>
    <row r="67" spans="1:5" ht="20" customHeight="1" x14ac:dyDescent="0.25">
      <c r="A67" s="10"/>
      <c r="D67" s="17" t="str" cm="1">
        <f t="array" aca="1" ref="D67" ca="1">Common_InputFunctions.Utility_DisplayArrayInTable(Common_SourceData.Common_SourceData_WetAndDryZones_Data(), Table_SourceData_WetDryZones[[#Headers],[Climate zone]], 0)</f>
        <v/>
      </c>
      <c r="E67" s="17" t="str" cm="1">
        <f t="array" aca="1" ref="E67" ca="1">Common_InputFunctions.Utility_DisplayArrayInTable(Common_SourceData.Common_SourceData_WetAndDryZones_Data(), Table_SourceData_WetDryZones[[#Headers],[Climate zone]], 0)</f>
        <v/>
      </c>
    </row>
    <row r="68" spans="1:5" ht="20" customHeight="1" x14ac:dyDescent="0.25">
      <c r="A68" s="10"/>
      <c r="D68" s="17" t="str" cm="1">
        <f t="array" aca="1" ref="D68" ca="1">Common_InputFunctions.Utility_DisplayArrayInTable(Common_SourceData.Common_SourceData_WetAndDryZones_Data(), Table_SourceData_WetDryZones[[#Headers],[Climate zone]], 0)</f>
        <v/>
      </c>
      <c r="E68" s="17" t="str" cm="1">
        <f t="array" aca="1" ref="E68" ca="1">Common_InputFunctions.Utility_DisplayArrayInTable(Common_SourceData.Common_SourceData_WetAndDryZones_Data(), Table_SourceData_WetDryZones[[#Headers],[Climate zone]], 0)</f>
        <v/>
      </c>
    </row>
    <row r="69" spans="1:5" ht="20" customHeight="1" x14ac:dyDescent="0.25">
      <c r="A69" s="10"/>
      <c r="D69" s="17" t="str" cm="1">
        <f t="array" aca="1" ref="D69" ca="1">Common_InputFunctions.Utility_DisplayArrayInTable(Common_SourceData.Common_SourceData_WetAndDryZones_Data(), Table_SourceData_WetDryZones[[#Headers],[Climate zone]], 0)</f>
        <v/>
      </c>
      <c r="E69" s="17" t="str" cm="1">
        <f t="array" aca="1" ref="E69" ca="1">Common_InputFunctions.Utility_DisplayArrayInTable(Common_SourceData.Common_SourceData_WetAndDryZones_Data(), Table_SourceData_WetDryZones[[#Headers],[Climate zone]], 0)</f>
        <v/>
      </c>
    </row>
    <row r="70" spans="1:5" ht="20" customHeight="1" x14ac:dyDescent="0.25">
      <c r="A70" s="10"/>
      <c r="D70" s="17" t="str" cm="1">
        <f t="array" aca="1" ref="D70" ca="1">Common_InputFunctions.Utility_DisplayArrayInTable(Common_SourceData.Common_SourceData_WetAndDryZones_Data(), Table_SourceData_WetDryZones[[#Headers],[Climate zone]], 0)</f>
        <v/>
      </c>
      <c r="E70" s="17" t="str" cm="1">
        <f t="array" aca="1" ref="E70" ca="1">Common_InputFunctions.Utility_DisplayArrayInTable(Common_SourceData.Common_SourceData_WetAndDryZones_Data(), Table_SourceData_WetDryZones[[#Headers],[Climate zone]], 0)</f>
        <v/>
      </c>
    </row>
    <row r="71" spans="1:5" ht="20" customHeight="1" x14ac:dyDescent="0.25">
      <c r="A71" s="10"/>
      <c r="D71" s="17" t="str" cm="1">
        <f t="array" aca="1" ref="D71" ca="1">Common_InputFunctions.Utility_DisplayArrayInTable(Common_SourceData.Common_SourceData_WetAndDryZones_Data(), Table_SourceData_WetDryZones[[#Headers],[Climate zone]], 0)</f>
        <v/>
      </c>
      <c r="E71" s="17" t="str" cm="1">
        <f t="array" aca="1" ref="E71" ca="1">Common_InputFunctions.Utility_DisplayArrayInTable(Common_SourceData.Common_SourceData_WetAndDryZones_Data(), Table_SourceData_WetDryZones[[#Headers],[Climate zone]], 0)</f>
        <v/>
      </c>
    </row>
    <row r="72" spans="1:5" ht="20" customHeight="1" x14ac:dyDescent="0.25">
      <c r="A72" s="10"/>
      <c r="D72" s="17" t="str" cm="1">
        <f t="array" aca="1" ref="D72" ca="1">Common_InputFunctions.Utility_DisplayArrayInTable(Common_SourceData.Common_SourceData_WetAndDryZones_Data(), Table_SourceData_WetDryZones[[#Headers],[Climate zone]], 0)</f>
        <v/>
      </c>
      <c r="E72" s="17" t="str" cm="1">
        <f t="array" aca="1" ref="E72" ca="1">Common_InputFunctions.Utility_DisplayArrayInTable(Common_SourceData.Common_SourceData_WetAndDryZones_Data(), Table_SourceData_WetDryZones[[#Headers],[Climate zone]], 0)</f>
        <v/>
      </c>
    </row>
    <row r="73" spans="1:5" ht="20" customHeight="1" x14ac:dyDescent="0.25">
      <c r="A73" s="10"/>
      <c r="D73" s="17" t="str" cm="1">
        <f t="array" aca="1" ref="D73" ca="1">Common_InputFunctions.Utility_DisplayArrayInTable(Common_SourceData.Common_SourceData_WetAndDryZones_Data(), Table_SourceData_WetDryZones[[#Headers],[Climate zone]], 0)</f>
        <v/>
      </c>
      <c r="E73" s="17" t="str" cm="1">
        <f t="array" aca="1" ref="E73" ca="1">Common_InputFunctions.Utility_DisplayArrayInTable(Common_SourceData.Common_SourceData_WetAndDryZones_Data(), Table_SourceData_WetDryZones[[#Headers],[Climate zone]], 0)</f>
        <v/>
      </c>
    </row>
    <row r="74" spans="1:5" ht="20" customHeight="1" x14ac:dyDescent="0.25">
      <c r="A74" s="10"/>
      <c r="D74" s="17" t="str" cm="1">
        <f t="array" aca="1" ref="D74" ca="1">Common_InputFunctions.Utility_DisplayArrayInTable(Common_SourceData.Common_SourceData_WetAndDryZones_Data(), Table_SourceData_WetDryZones[[#Headers],[Climate zone]], 0)</f>
        <v/>
      </c>
      <c r="E74" s="17" t="str" cm="1">
        <f t="array" aca="1" ref="E74" ca="1">Common_InputFunctions.Utility_DisplayArrayInTable(Common_SourceData.Common_SourceData_WetAndDryZones_Data(), Table_SourceData_WetDryZones[[#Headers],[Climate zone]], 0)</f>
        <v/>
      </c>
    </row>
    <row r="75" spans="1:5" ht="20" customHeight="1" x14ac:dyDescent="0.25">
      <c r="A75" s="10"/>
      <c r="D75" s="17" t="str" cm="1">
        <f t="array" aca="1" ref="D75" ca="1">Common_InputFunctions.Utility_DisplayArrayInTable(Common_SourceData.Common_SourceData_WetAndDryZones_Data(), Table_SourceData_WetDryZones[[#Headers],[Climate zone]], 0)</f>
        <v/>
      </c>
      <c r="E75" s="17" t="str" cm="1">
        <f t="array" aca="1" ref="E75" ca="1">Common_InputFunctions.Utility_DisplayArrayInTable(Common_SourceData.Common_SourceData_WetAndDryZones_Data(), Table_SourceData_WetDryZones[[#Headers],[Climate zone]], 0)</f>
        <v/>
      </c>
    </row>
    <row r="76" spans="1:5" ht="20" customHeight="1" x14ac:dyDescent="0.25">
      <c r="A76" s="10"/>
      <c r="D76" s="17" t="str" cm="1">
        <f t="array" aca="1" ref="D76" ca="1">Common_InputFunctions.Utility_DisplayArrayInTable(Common_SourceData.Common_SourceData_WetAndDryZones_Data(), Table_SourceData_WetDryZones[[#Headers],[Climate zone]], 0)</f>
        <v/>
      </c>
      <c r="E76" s="17" t="str" cm="1">
        <f t="array" aca="1" ref="E76" ca="1">Common_InputFunctions.Utility_DisplayArrayInTable(Common_SourceData.Common_SourceData_WetAndDryZones_Data(), Table_SourceData_WetDryZones[[#Headers],[Climate zone]], 0)</f>
        <v/>
      </c>
    </row>
    <row r="77" spans="1:5" ht="20" customHeight="1" x14ac:dyDescent="0.25">
      <c r="A77" s="10"/>
      <c r="D77" s="17" t="str" cm="1">
        <f t="array" aca="1" ref="D77" ca="1">Common_InputFunctions.Utility_DisplayArrayInTable(Common_SourceData.Common_SourceData_WetAndDryZones_Data(), Table_SourceData_WetDryZones[[#Headers],[Climate zone]], 0)</f>
        <v/>
      </c>
      <c r="E77" s="17" t="str" cm="1">
        <f t="array" aca="1" ref="E77" ca="1">Common_InputFunctions.Utility_DisplayArrayInTable(Common_SourceData.Common_SourceData_WetAndDryZones_Data(), Table_SourceData_WetDryZones[[#Headers],[Climate zone]], 0)</f>
        <v/>
      </c>
    </row>
    <row r="78" spans="1:5" ht="20" customHeight="1" x14ac:dyDescent="0.25">
      <c r="A78" s="10"/>
    </row>
    <row r="79" spans="1:5" ht="20" customHeight="1" x14ac:dyDescent="0.25">
      <c r="A79" s="10"/>
    </row>
    <row r="80" spans="1:5" ht="20" customHeight="1" x14ac:dyDescent="0.25">
      <c r="A80" s="10"/>
    </row>
    <row r="81" spans="1:20" ht="20" customHeight="1" x14ac:dyDescent="0.25">
      <c r="A81" s="10"/>
      <c r="D81" s="16" t="str" cm="1">
        <f t="array" ref="D81">Common_SourceData.Common_SourceData_ClimateZones_Title()</f>
        <v>VEERG Australian climate zones</v>
      </c>
    </row>
    <row r="82" spans="1:20" ht="20" customHeight="1" x14ac:dyDescent="0.25">
      <c r="A82" s="10"/>
      <c r="D82" s="18" t="str" cm="1">
        <f t="array" ref="D82">Common_SourceData.Common_SourceData_ClimateZones_Source()</f>
        <v>VEERG 2026: Table 1.3: Climate and Rainfall zone classifications and definitions</v>
      </c>
    </row>
    <row r="83" spans="1:20" ht="20" customHeight="1" x14ac:dyDescent="0.25">
      <c r="A83" s="10"/>
      <c r="D83" s="19" t="str" cm="1">
        <f t="array" ref="D83:D87">"⚠️" &amp; Common_SourceData.Common_SourceData_ClimateZones_Variation()</f>
        <v>⚠️VARIATION OF SOURCE DATA:</v>
      </c>
    </row>
    <row r="84" spans="1:20" ht="20" customHeight="1" x14ac:dyDescent="0.25">
      <c r="A84" s="10"/>
      <c r="D84" s="19" t="str">
        <v>⚠️Added warm / cool temperate moist / dry - low frost and high temp classes to accommodate climate scenarios excluded by VEERG criteria.</v>
      </c>
    </row>
    <row r="85" spans="1:20" ht="20" customHeight="1" x14ac:dyDescent="0.25">
      <c r="A85" s="10"/>
      <c r="D85" s="19" t="str">
        <v>⚠️Fixed typo in MAT value for warm temperate dry - changed 10 to 11.</v>
      </c>
    </row>
    <row r="86" spans="1:20" ht="20" customHeight="1" x14ac:dyDescent="0.25">
      <c r="A86" s="10"/>
      <c r="D86" s="19" t="str">
        <v>⚠️Added min and max columns for MAT, MAP, frost days per year, elevation, MAP:PET to calculate zones from real climate data.</v>
      </c>
    </row>
    <row r="87" spans="1:20" ht="20" customHeight="1" x14ac:dyDescent="0.25">
      <c r="A87" s="10"/>
      <c r="D87" s="19" t="str">
        <v>⚠️GAF accepts rainfall as a proxy for precipitation.</v>
      </c>
    </row>
    <row r="88" spans="1:20" ht="20" customHeight="1" x14ac:dyDescent="0.25">
      <c r="A88" s="10"/>
    </row>
    <row r="89" spans="1:20" ht="20" customHeight="1" x14ac:dyDescent="0.25">
      <c r="A89" s="10"/>
      <c r="D89" s="17" t="s">
        <v>24</v>
      </c>
      <c r="E89" s="17" t="s">
        <v>26</v>
      </c>
      <c r="F89" s="17" t="s">
        <v>27</v>
      </c>
      <c r="G89" s="17" t="s">
        <v>28</v>
      </c>
      <c r="H89" s="17" t="s">
        <v>29</v>
      </c>
      <c r="I89" s="17" t="s">
        <v>30</v>
      </c>
      <c r="J89" s="17" t="s">
        <v>31</v>
      </c>
      <c r="K89" s="17" t="s">
        <v>32</v>
      </c>
      <c r="L89" s="17" t="s">
        <v>33</v>
      </c>
      <c r="M89" s="17" t="s">
        <v>34</v>
      </c>
      <c r="N89" s="17" t="s">
        <v>35</v>
      </c>
      <c r="O89" s="17" t="s">
        <v>36</v>
      </c>
      <c r="P89" s="17" t="s">
        <v>37</v>
      </c>
      <c r="Q89" s="17" t="s">
        <v>38</v>
      </c>
      <c r="R89" s="17" t="s">
        <v>39</v>
      </c>
      <c r="S89" s="17" t="s">
        <v>40</v>
      </c>
      <c r="T89" s="17"/>
    </row>
    <row r="90" spans="1:20" ht="20" customHeight="1" x14ac:dyDescent="0.25">
      <c r="A90" s="10"/>
      <c r="D90" s="17" t="str" cm="1">
        <f t="array" aca="1" ref="D90" ca="1">Common_InputFunctions.Utility_DisplayArrayInTable(Common_SourceData.Common_SourceData_ClimateZones_Data(), Table_SourceData_ClimateZones[[#Headers],[Climate zone]], 0)</f>
        <v/>
      </c>
      <c r="E90" s="17" t="str" cm="1">
        <f t="array" aca="1" ref="E90" ca="1">Common_InputFunctions.Utility_DisplayArrayInTable(Common_SourceData.Common_SourceData_ClimateZones_Data(), Table_SourceData_ClimateZones[[#Headers],[Climate zone]], 0)</f>
        <v/>
      </c>
      <c r="F90" s="17" t="str" cm="1">
        <f t="array" aca="1" ref="F90" ca="1">Common_InputFunctions.Utility_DisplayArrayInTable(Common_SourceData.Common_SourceData_ClimateZones_Data(), Table_SourceData_ClimateZones[[#Headers],[Climate zone]], 0)</f>
        <v/>
      </c>
      <c r="G90" s="17" t="str" cm="1">
        <f t="array" aca="1" ref="G90" ca="1">Common_InputFunctions.Utility_DisplayArrayInTable(Common_SourceData.Common_SourceData_ClimateZones_Data(), Table_SourceData_ClimateZones[[#Headers],[Climate zone]], 0)</f>
        <v/>
      </c>
      <c r="H90" s="17" t="str" cm="1">
        <f t="array" aca="1" ref="H90" ca="1">Common_InputFunctions.Utility_DisplayArrayInTable(Common_SourceData.Common_SourceData_ClimateZones_Data(), Table_SourceData_ClimateZones[[#Headers],[Climate zone]], 0)</f>
        <v/>
      </c>
      <c r="I90" s="17" t="str" cm="1">
        <f t="array" aca="1" ref="I90" ca="1">Common_InputFunctions.Utility_DisplayArrayInTable(Common_SourceData.Common_SourceData_ClimateZones_Data(), Table_SourceData_ClimateZones[[#Headers],[Climate zone]], 0)</f>
        <v/>
      </c>
      <c r="J90" s="17" t="str" cm="1">
        <f t="array" aca="1" ref="J90" ca="1">Common_InputFunctions.Utility_DisplayArrayInTable(Common_SourceData.Common_SourceData_ClimateZones_Data(), Table_SourceData_ClimateZones[[#Headers],[Climate zone]], 0)</f>
        <v/>
      </c>
      <c r="K90" s="17" t="str" cm="1">
        <f t="array" aca="1" ref="K90" ca="1">Common_InputFunctions.Utility_DisplayArrayInTable(Common_SourceData.Common_SourceData_ClimateZones_Data(), Table_SourceData_ClimateZones[[#Headers],[Climate zone]], 0)</f>
        <v/>
      </c>
      <c r="L90" s="17" t="str" cm="1">
        <f t="array" aca="1" ref="L90" ca="1">Common_InputFunctions.Utility_DisplayArrayInTable(Common_SourceData.Common_SourceData_ClimateZones_Data(), Table_SourceData_ClimateZones[[#Headers],[Climate zone]], 0)</f>
        <v/>
      </c>
      <c r="M90" s="17" t="str" cm="1">
        <f t="array" aca="1" ref="M90" ca="1">Common_InputFunctions.Utility_DisplayArrayInTable(Common_SourceData.Common_SourceData_ClimateZones_Data(), Table_SourceData_ClimateZones[[#Headers],[Climate zone]], 0)</f>
        <v/>
      </c>
      <c r="N90" s="17" t="str" cm="1">
        <f t="array" aca="1" ref="N90" ca="1">Common_InputFunctions.Utility_DisplayArrayInTable(Common_SourceData.Common_SourceData_ClimateZones_Data(), Table_SourceData_ClimateZones[[#Headers],[Climate zone]], 0)</f>
        <v/>
      </c>
      <c r="O90" s="17" t="str" cm="1">
        <f t="array" aca="1" ref="O90" ca="1">Common_InputFunctions.Utility_DisplayArrayInTable(Common_SourceData.Common_SourceData_ClimateZones_Data(), Table_SourceData_ClimateZones[[#Headers],[Climate zone]], 0)</f>
        <v/>
      </c>
      <c r="P90" s="17" t="str" cm="1">
        <f t="array" aca="1" ref="P90" ca="1">Common_InputFunctions.Utility_DisplayArrayInTable(Common_SourceData.Common_SourceData_ClimateZones_Data(), Table_SourceData_ClimateZones[[#Headers],[Climate zone]], 0)</f>
        <v/>
      </c>
      <c r="Q90" s="17" t="str" cm="1">
        <f t="array" aca="1" ref="Q90" ca="1">Common_InputFunctions.Utility_DisplayArrayInTable(Common_SourceData.Common_SourceData_ClimateZones_Data(), Table_SourceData_ClimateZones[[#Headers],[Climate zone]], 0)</f>
        <v/>
      </c>
      <c r="R90" s="17" t="str" cm="1">
        <f t="array" aca="1" ref="R90" ca="1">Common_InputFunctions.Utility_DisplayArrayInTable(Common_SourceData.Common_SourceData_ClimateZones_Data(), Table_SourceData_ClimateZones[[#Headers],[Climate zone]], 0)</f>
        <v/>
      </c>
      <c r="S90" s="17" t="str" cm="1">
        <f t="array" aca="1" ref="S90" ca="1">Common_InputFunctions.Utility_DisplayArrayInTable(Common_SourceData.Common_SourceData_ClimateZones_Data(), Table_SourceData_ClimateZones[[#Headers],[Climate zone]], 0)</f>
        <v/>
      </c>
      <c r="T90" s="17"/>
    </row>
    <row r="91" spans="1:20" ht="20" customHeight="1" x14ac:dyDescent="0.25">
      <c r="A91" s="10"/>
      <c r="D91" s="17" t="str" cm="1">
        <f t="array" aca="1" ref="D91" ca="1">Common_InputFunctions.Utility_DisplayArrayInTable(Common_SourceData.Common_SourceData_ClimateZones_Data(), Table_SourceData_ClimateZones[[#Headers],[Climate zone]], 0)</f>
        <v/>
      </c>
      <c r="E91" s="17" t="str" cm="1">
        <f t="array" aca="1" ref="E91" ca="1">Common_InputFunctions.Utility_DisplayArrayInTable(Common_SourceData.Common_SourceData_ClimateZones_Data(), Table_SourceData_ClimateZones[[#Headers],[Climate zone]], 0)</f>
        <v/>
      </c>
      <c r="F91" s="17" t="str" cm="1">
        <f t="array" aca="1" ref="F91" ca="1">Common_InputFunctions.Utility_DisplayArrayInTable(Common_SourceData.Common_SourceData_ClimateZones_Data(), Table_SourceData_ClimateZones[[#Headers],[Climate zone]], 0)</f>
        <v/>
      </c>
      <c r="G91" s="17" t="str" cm="1">
        <f t="array" aca="1" ref="G91" ca="1">Common_InputFunctions.Utility_DisplayArrayInTable(Common_SourceData.Common_SourceData_ClimateZones_Data(), Table_SourceData_ClimateZones[[#Headers],[Climate zone]], 0)</f>
        <v/>
      </c>
      <c r="H91" s="17" t="str" cm="1">
        <f t="array" aca="1" ref="H91" ca="1">Common_InputFunctions.Utility_DisplayArrayInTable(Common_SourceData.Common_SourceData_ClimateZones_Data(), Table_SourceData_ClimateZones[[#Headers],[Climate zone]], 0)</f>
        <v/>
      </c>
      <c r="I91" s="17" t="str" cm="1">
        <f t="array" aca="1" ref="I91" ca="1">Common_InputFunctions.Utility_DisplayArrayInTable(Common_SourceData.Common_SourceData_ClimateZones_Data(), Table_SourceData_ClimateZones[[#Headers],[Climate zone]], 0)</f>
        <v/>
      </c>
      <c r="J91" s="17" t="str" cm="1">
        <f t="array" aca="1" ref="J91" ca="1">Common_InputFunctions.Utility_DisplayArrayInTable(Common_SourceData.Common_SourceData_ClimateZones_Data(), Table_SourceData_ClimateZones[[#Headers],[Climate zone]], 0)</f>
        <v/>
      </c>
      <c r="K91" s="17" t="str" cm="1">
        <f t="array" aca="1" ref="K91" ca="1">Common_InputFunctions.Utility_DisplayArrayInTable(Common_SourceData.Common_SourceData_ClimateZones_Data(), Table_SourceData_ClimateZones[[#Headers],[Climate zone]], 0)</f>
        <v/>
      </c>
      <c r="L91" s="17" t="str" cm="1">
        <f t="array" aca="1" ref="L91" ca="1">Common_InputFunctions.Utility_DisplayArrayInTable(Common_SourceData.Common_SourceData_ClimateZones_Data(), Table_SourceData_ClimateZones[[#Headers],[Climate zone]], 0)</f>
        <v/>
      </c>
      <c r="M91" s="17" t="str" cm="1">
        <f t="array" aca="1" ref="M91" ca="1">Common_InputFunctions.Utility_DisplayArrayInTable(Common_SourceData.Common_SourceData_ClimateZones_Data(), Table_SourceData_ClimateZones[[#Headers],[Climate zone]], 0)</f>
        <v/>
      </c>
      <c r="N91" s="17" t="str" cm="1">
        <f t="array" aca="1" ref="N91" ca="1">Common_InputFunctions.Utility_DisplayArrayInTable(Common_SourceData.Common_SourceData_ClimateZones_Data(), Table_SourceData_ClimateZones[[#Headers],[Climate zone]], 0)</f>
        <v/>
      </c>
      <c r="O91" s="17" t="str" cm="1">
        <f t="array" aca="1" ref="O91" ca="1">Common_InputFunctions.Utility_DisplayArrayInTable(Common_SourceData.Common_SourceData_ClimateZones_Data(), Table_SourceData_ClimateZones[[#Headers],[Climate zone]], 0)</f>
        <v/>
      </c>
      <c r="P91" s="17" t="str" cm="1">
        <f t="array" aca="1" ref="P91" ca="1">Common_InputFunctions.Utility_DisplayArrayInTable(Common_SourceData.Common_SourceData_ClimateZones_Data(), Table_SourceData_ClimateZones[[#Headers],[Climate zone]], 0)</f>
        <v/>
      </c>
      <c r="Q91" s="17" t="str" cm="1">
        <f t="array" aca="1" ref="Q91" ca="1">Common_InputFunctions.Utility_DisplayArrayInTable(Common_SourceData.Common_SourceData_ClimateZones_Data(), Table_SourceData_ClimateZones[[#Headers],[Climate zone]], 0)</f>
        <v/>
      </c>
      <c r="R91" s="17" t="str" cm="1">
        <f t="array" aca="1" ref="R91" ca="1">Common_InputFunctions.Utility_DisplayArrayInTable(Common_SourceData.Common_SourceData_ClimateZones_Data(), Table_SourceData_ClimateZones[[#Headers],[Climate zone]], 0)</f>
        <v/>
      </c>
      <c r="S91" s="17" t="str" cm="1">
        <f t="array" aca="1" ref="S91" ca="1">Common_InputFunctions.Utility_DisplayArrayInTable(Common_SourceData.Common_SourceData_ClimateZones_Data(), Table_SourceData_ClimateZones[[#Headers],[Climate zone]], 0)</f>
        <v/>
      </c>
      <c r="T91" s="17"/>
    </row>
    <row r="92" spans="1:20" ht="20" customHeight="1" x14ac:dyDescent="0.25">
      <c r="A92" s="10"/>
      <c r="D92" s="17" t="str" cm="1">
        <f t="array" aca="1" ref="D92" ca="1">Common_InputFunctions.Utility_DisplayArrayInTable(Common_SourceData.Common_SourceData_ClimateZones_Data(), Table_SourceData_ClimateZones[[#Headers],[Climate zone]], 0)</f>
        <v/>
      </c>
      <c r="E92" s="17" t="str" cm="1">
        <f t="array" aca="1" ref="E92" ca="1">Common_InputFunctions.Utility_DisplayArrayInTable(Common_SourceData.Common_SourceData_ClimateZones_Data(), Table_SourceData_ClimateZones[[#Headers],[Climate zone]], 0)</f>
        <v/>
      </c>
      <c r="F92" s="17" t="str" cm="1">
        <f t="array" aca="1" ref="F92" ca="1">Common_InputFunctions.Utility_DisplayArrayInTable(Common_SourceData.Common_SourceData_ClimateZones_Data(), Table_SourceData_ClimateZones[[#Headers],[Climate zone]], 0)</f>
        <v/>
      </c>
      <c r="G92" s="17" t="str" cm="1">
        <f t="array" aca="1" ref="G92" ca="1">Common_InputFunctions.Utility_DisplayArrayInTable(Common_SourceData.Common_SourceData_ClimateZones_Data(), Table_SourceData_ClimateZones[[#Headers],[Climate zone]], 0)</f>
        <v/>
      </c>
      <c r="H92" s="17" t="str" cm="1">
        <f t="array" aca="1" ref="H92" ca="1">Common_InputFunctions.Utility_DisplayArrayInTable(Common_SourceData.Common_SourceData_ClimateZones_Data(), Table_SourceData_ClimateZones[[#Headers],[Climate zone]], 0)</f>
        <v/>
      </c>
      <c r="I92" s="17" t="str" cm="1">
        <f t="array" aca="1" ref="I92" ca="1">Common_InputFunctions.Utility_DisplayArrayInTable(Common_SourceData.Common_SourceData_ClimateZones_Data(), Table_SourceData_ClimateZones[[#Headers],[Climate zone]], 0)</f>
        <v/>
      </c>
      <c r="J92" s="17" t="str" cm="1">
        <f t="array" aca="1" ref="J92" ca="1">Common_InputFunctions.Utility_DisplayArrayInTable(Common_SourceData.Common_SourceData_ClimateZones_Data(), Table_SourceData_ClimateZones[[#Headers],[Climate zone]], 0)</f>
        <v/>
      </c>
      <c r="K92" s="17" t="str" cm="1">
        <f t="array" aca="1" ref="K92" ca="1">Common_InputFunctions.Utility_DisplayArrayInTable(Common_SourceData.Common_SourceData_ClimateZones_Data(), Table_SourceData_ClimateZones[[#Headers],[Climate zone]], 0)</f>
        <v/>
      </c>
      <c r="L92" s="17" t="str" cm="1">
        <f t="array" aca="1" ref="L92" ca="1">Common_InputFunctions.Utility_DisplayArrayInTable(Common_SourceData.Common_SourceData_ClimateZones_Data(), Table_SourceData_ClimateZones[[#Headers],[Climate zone]], 0)</f>
        <v/>
      </c>
      <c r="M92" s="17" t="str" cm="1">
        <f t="array" aca="1" ref="M92" ca="1">Common_InputFunctions.Utility_DisplayArrayInTable(Common_SourceData.Common_SourceData_ClimateZones_Data(), Table_SourceData_ClimateZones[[#Headers],[Climate zone]], 0)</f>
        <v/>
      </c>
      <c r="N92" s="17" t="str" cm="1">
        <f t="array" aca="1" ref="N92" ca="1">Common_InputFunctions.Utility_DisplayArrayInTable(Common_SourceData.Common_SourceData_ClimateZones_Data(), Table_SourceData_ClimateZones[[#Headers],[Climate zone]], 0)</f>
        <v/>
      </c>
      <c r="O92" s="17" t="str" cm="1">
        <f t="array" aca="1" ref="O92" ca="1">Common_InputFunctions.Utility_DisplayArrayInTable(Common_SourceData.Common_SourceData_ClimateZones_Data(), Table_SourceData_ClimateZones[[#Headers],[Climate zone]], 0)</f>
        <v/>
      </c>
      <c r="P92" s="17" t="str" cm="1">
        <f t="array" aca="1" ref="P92" ca="1">Common_InputFunctions.Utility_DisplayArrayInTable(Common_SourceData.Common_SourceData_ClimateZones_Data(), Table_SourceData_ClimateZones[[#Headers],[Climate zone]], 0)</f>
        <v/>
      </c>
      <c r="Q92" s="17" t="str" cm="1">
        <f t="array" aca="1" ref="Q92" ca="1">Common_InputFunctions.Utility_DisplayArrayInTable(Common_SourceData.Common_SourceData_ClimateZones_Data(), Table_SourceData_ClimateZones[[#Headers],[Climate zone]], 0)</f>
        <v/>
      </c>
      <c r="R92" s="17" t="str" cm="1">
        <f t="array" aca="1" ref="R92" ca="1">Common_InputFunctions.Utility_DisplayArrayInTable(Common_SourceData.Common_SourceData_ClimateZones_Data(), Table_SourceData_ClimateZones[[#Headers],[Climate zone]], 0)</f>
        <v/>
      </c>
      <c r="S92" s="17" t="str" cm="1">
        <f t="array" aca="1" ref="S92" ca="1">Common_InputFunctions.Utility_DisplayArrayInTable(Common_SourceData.Common_SourceData_ClimateZones_Data(), Table_SourceData_ClimateZones[[#Headers],[Climate zone]], 0)</f>
        <v/>
      </c>
      <c r="T92" s="17"/>
    </row>
    <row r="93" spans="1:20" ht="20" customHeight="1" x14ac:dyDescent="0.25">
      <c r="A93" s="10"/>
      <c r="D93" s="17" t="str" cm="1">
        <f t="array" aca="1" ref="D93" ca="1">Common_InputFunctions.Utility_DisplayArrayInTable(Common_SourceData.Common_SourceData_ClimateZones_Data(), Table_SourceData_ClimateZones[[#Headers],[Climate zone]], 0)</f>
        <v/>
      </c>
      <c r="E93" s="17" t="str" cm="1">
        <f t="array" aca="1" ref="E93" ca="1">Common_InputFunctions.Utility_DisplayArrayInTable(Common_SourceData.Common_SourceData_ClimateZones_Data(), Table_SourceData_ClimateZones[[#Headers],[Climate zone]], 0)</f>
        <v/>
      </c>
      <c r="F93" s="17" t="str" cm="1">
        <f t="array" aca="1" ref="F93" ca="1">Common_InputFunctions.Utility_DisplayArrayInTable(Common_SourceData.Common_SourceData_ClimateZones_Data(), Table_SourceData_ClimateZones[[#Headers],[Climate zone]], 0)</f>
        <v/>
      </c>
      <c r="G93" s="17" t="str" cm="1">
        <f t="array" aca="1" ref="G93" ca="1">Common_InputFunctions.Utility_DisplayArrayInTable(Common_SourceData.Common_SourceData_ClimateZones_Data(), Table_SourceData_ClimateZones[[#Headers],[Climate zone]], 0)</f>
        <v/>
      </c>
      <c r="H93" s="17" t="str" cm="1">
        <f t="array" aca="1" ref="H93" ca="1">Common_InputFunctions.Utility_DisplayArrayInTable(Common_SourceData.Common_SourceData_ClimateZones_Data(), Table_SourceData_ClimateZones[[#Headers],[Climate zone]], 0)</f>
        <v/>
      </c>
      <c r="I93" s="17" t="str" cm="1">
        <f t="array" aca="1" ref="I93" ca="1">Common_InputFunctions.Utility_DisplayArrayInTable(Common_SourceData.Common_SourceData_ClimateZones_Data(), Table_SourceData_ClimateZones[[#Headers],[Climate zone]], 0)</f>
        <v/>
      </c>
      <c r="J93" s="17" t="str" cm="1">
        <f t="array" aca="1" ref="J93" ca="1">Common_InputFunctions.Utility_DisplayArrayInTable(Common_SourceData.Common_SourceData_ClimateZones_Data(), Table_SourceData_ClimateZones[[#Headers],[Climate zone]], 0)</f>
        <v/>
      </c>
      <c r="K93" s="17" t="str" cm="1">
        <f t="array" aca="1" ref="K93" ca="1">Common_InputFunctions.Utility_DisplayArrayInTable(Common_SourceData.Common_SourceData_ClimateZones_Data(), Table_SourceData_ClimateZones[[#Headers],[Climate zone]], 0)</f>
        <v/>
      </c>
      <c r="L93" s="17" t="str" cm="1">
        <f t="array" aca="1" ref="L93" ca="1">Common_InputFunctions.Utility_DisplayArrayInTable(Common_SourceData.Common_SourceData_ClimateZones_Data(), Table_SourceData_ClimateZones[[#Headers],[Climate zone]], 0)</f>
        <v/>
      </c>
      <c r="M93" s="17" t="str" cm="1">
        <f t="array" aca="1" ref="M93" ca="1">Common_InputFunctions.Utility_DisplayArrayInTable(Common_SourceData.Common_SourceData_ClimateZones_Data(), Table_SourceData_ClimateZones[[#Headers],[Climate zone]], 0)</f>
        <v/>
      </c>
      <c r="N93" s="17" t="str" cm="1">
        <f t="array" aca="1" ref="N93" ca="1">Common_InputFunctions.Utility_DisplayArrayInTable(Common_SourceData.Common_SourceData_ClimateZones_Data(), Table_SourceData_ClimateZones[[#Headers],[Climate zone]], 0)</f>
        <v/>
      </c>
      <c r="O93" s="17" t="str" cm="1">
        <f t="array" aca="1" ref="O93" ca="1">Common_InputFunctions.Utility_DisplayArrayInTable(Common_SourceData.Common_SourceData_ClimateZones_Data(), Table_SourceData_ClimateZones[[#Headers],[Climate zone]], 0)</f>
        <v/>
      </c>
      <c r="P93" s="17" t="str" cm="1">
        <f t="array" aca="1" ref="P93" ca="1">Common_InputFunctions.Utility_DisplayArrayInTable(Common_SourceData.Common_SourceData_ClimateZones_Data(), Table_SourceData_ClimateZones[[#Headers],[Climate zone]], 0)</f>
        <v/>
      </c>
      <c r="Q93" s="17" t="str" cm="1">
        <f t="array" aca="1" ref="Q93" ca="1">Common_InputFunctions.Utility_DisplayArrayInTable(Common_SourceData.Common_SourceData_ClimateZones_Data(), Table_SourceData_ClimateZones[[#Headers],[Climate zone]], 0)</f>
        <v/>
      </c>
      <c r="R93" s="17" t="str" cm="1">
        <f t="array" aca="1" ref="R93" ca="1">Common_InputFunctions.Utility_DisplayArrayInTable(Common_SourceData.Common_SourceData_ClimateZones_Data(), Table_SourceData_ClimateZones[[#Headers],[Climate zone]], 0)</f>
        <v/>
      </c>
      <c r="S93" s="17" t="str" cm="1">
        <f t="array" aca="1" ref="S93" ca="1">Common_InputFunctions.Utility_DisplayArrayInTable(Common_SourceData.Common_SourceData_ClimateZones_Data(), Table_SourceData_ClimateZones[[#Headers],[Climate zone]], 0)</f>
        <v/>
      </c>
      <c r="T93" s="17"/>
    </row>
    <row r="94" spans="1:20" ht="20" customHeight="1" x14ac:dyDescent="0.25">
      <c r="A94" s="10"/>
      <c r="D94" s="17" t="str" cm="1">
        <f t="array" aca="1" ref="D94" ca="1">Common_InputFunctions.Utility_DisplayArrayInTable(Common_SourceData.Common_SourceData_ClimateZones_Data(), Table_SourceData_ClimateZones[[#Headers],[Climate zone]], 0)</f>
        <v/>
      </c>
      <c r="E94" s="17" t="str" cm="1">
        <f t="array" aca="1" ref="E94" ca="1">Common_InputFunctions.Utility_DisplayArrayInTable(Common_SourceData.Common_SourceData_ClimateZones_Data(), Table_SourceData_ClimateZones[[#Headers],[Climate zone]], 0)</f>
        <v/>
      </c>
      <c r="F94" s="17" t="str" cm="1">
        <f t="array" aca="1" ref="F94" ca="1">Common_InputFunctions.Utility_DisplayArrayInTable(Common_SourceData.Common_SourceData_ClimateZones_Data(), Table_SourceData_ClimateZones[[#Headers],[Climate zone]], 0)</f>
        <v/>
      </c>
      <c r="G94" s="17" t="str" cm="1">
        <f t="array" aca="1" ref="G94" ca="1">Common_InputFunctions.Utility_DisplayArrayInTable(Common_SourceData.Common_SourceData_ClimateZones_Data(), Table_SourceData_ClimateZones[[#Headers],[Climate zone]], 0)</f>
        <v/>
      </c>
      <c r="H94" s="17" t="str" cm="1">
        <f t="array" aca="1" ref="H94" ca="1">Common_InputFunctions.Utility_DisplayArrayInTable(Common_SourceData.Common_SourceData_ClimateZones_Data(), Table_SourceData_ClimateZones[[#Headers],[Climate zone]], 0)</f>
        <v/>
      </c>
      <c r="I94" s="17" t="str" cm="1">
        <f t="array" aca="1" ref="I94" ca="1">Common_InputFunctions.Utility_DisplayArrayInTable(Common_SourceData.Common_SourceData_ClimateZones_Data(), Table_SourceData_ClimateZones[[#Headers],[Climate zone]], 0)</f>
        <v/>
      </c>
      <c r="J94" s="17" t="str" cm="1">
        <f t="array" aca="1" ref="J94" ca="1">Common_InputFunctions.Utility_DisplayArrayInTable(Common_SourceData.Common_SourceData_ClimateZones_Data(), Table_SourceData_ClimateZones[[#Headers],[Climate zone]], 0)</f>
        <v/>
      </c>
      <c r="K94" s="17" t="str" cm="1">
        <f t="array" aca="1" ref="K94" ca="1">Common_InputFunctions.Utility_DisplayArrayInTable(Common_SourceData.Common_SourceData_ClimateZones_Data(), Table_SourceData_ClimateZones[[#Headers],[Climate zone]], 0)</f>
        <v/>
      </c>
      <c r="L94" s="17" t="str" cm="1">
        <f t="array" aca="1" ref="L94" ca="1">Common_InputFunctions.Utility_DisplayArrayInTable(Common_SourceData.Common_SourceData_ClimateZones_Data(), Table_SourceData_ClimateZones[[#Headers],[Climate zone]], 0)</f>
        <v/>
      </c>
      <c r="M94" s="17" t="str" cm="1">
        <f t="array" aca="1" ref="M94" ca="1">Common_InputFunctions.Utility_DisplayArrayInTable(Common_SourceData.Common_SourceData_ClimateZones_Data(), Table_SourceData_ClimateZones[[#Headers],[Climate zone]], 0)</f>
        <v/>
      </c>
      <c r="N94" s="17" t="str" cm="1">
        <f t="array" aca="1" ref="N94" ca="1">Common_InputFunctions.Utility_DisplayArrayInTable(Common_SourceData.Common_SourceData_ClimateZones_Data(), Table_SourceData_ClimateZones[[#Headers],[Climate zone]], 0)</f>
        <v/>
      </c>
      <c r="O94" s="17" t="str" cm="1">
        <f t="array" aca="1" ref="O94" ca="1">Common_InputFunctions.Utility_DisplayArrayInTable(Common_SourceData.Common_SourceData_ClimateZones_Data(), Table_SourceData_ClimateZones[[#Headers],[Climate zone]], 0)</f>
        <v/>
      </c>
      <c r="P94" s="17" t="str" cm="1">
        <f t="array" aca="1" ref="P94" ca="1">Common_InputFunctions.Utility_DisplayArrayInTable(Common_SourceData.Common_SourceData_ClimateZones_Data(), Table_SourceData_ClimateZones[[#Headers],[Climate zone]], 0)</f>
        <v/>
      </c>
      <c r="Q94" s="17" t="str" cm="1">
        <f t="array" aca="1" ref="Q94" ca="1">Common_InputFunctions.Utility_DisplayArrayInTable(Common_SourceData.Common_SourceData_ClimateZones_Data(), Table_SourceData_ClimateZones[[#Headers],[Climate zone]], 0)</f>
        <v/>
      </c>
      <c r="R94" s="17" t="str" cm="1">
        <f t="array" aca="1" ref="R94" ca="1">Common_InputFunctions.Utility_DisplayArrayInTable(Common_SourceData.Common_SourceData_ClimateZones_Data(), Table_SourceData_ClimateZones[[#Headers],[Climate zone]], 0)</f>
        <v/>
      </c>
      <c r="S94" s="17" t="str" cm="1">
        <f t="array" aca="1" ref="S94" ca="1">Common_InputFunctions.Utility_DisplayArrayInTable(Common_SourceData.Common_SourceData_ClimateZones_Data(), Table_SourceData_ClimateZones[[#Headers],[Climate zone]], 0)</f>
        <v/>
      </c>
      <c r="T94" s="17"/>
    </row>
    <row r="95" spans="1:20" ht="20" customHeight="1" x14ac:dyDescent="0.25">
      <c r="A95" s="10"/>
      <c r="D95" s="17" t="str" cm="1">
        <f t="array" aca="1" ref="D95" ca="1">Common_InputFunctions.Utility_DisplayArrayInTable(Common_SourceData.Common_SourceData_ClimateZones_Data(), Table_SourceData_ClimateZones[[#Headers],[Climate zone]], 0)</f>
        <v/>
      </c>
      <c r="E95" s="17" t="str" cm="1">
        <f t="array" aca="1" ref="E95" ca="1">Common_InputFunctions.Utility_DisplayArrayInTable(Common_SourceData.Common_SourceData_ClimateZones_Data(), Table_SourceData_ClimateZones[[#Headers],[Climate zone]], 0)</f>
        <v/>
      </c>
      <c r="F95" s="17" t="str" cm="1">
        <f t="array" aca="1" ref="F95" ca="1">Common_InputFunctions.Utility_DisplayArrayInTable(Common_SourceData.Common_SourceData_ClimateZones_Data(), Table_SourceData_ClimateZones[[#Headers],[Climate zone]], 0)</f>
        <v/>
      </c>
      <c r="G95" s="17" t="str" cm="1">
        <f t="array" aca="1" ref="G95" ca="1">Common_InputFunctions.Utility_DisplayArrayInTable(Common_SourceData.Common_SourceData_ClimateZones_Data(), Table_SourceData_ClimateZones[[#Headers],[Climate zone]], 0)</f>
        <v/>
      </c>
      <c r="H95" s="17" t="str" cm="1">
        <f t="array" aca="1" ref="H95" ca="1">Common_InputFunctions.Utility_DisplayArrayInTable(Common_SourceData.Common_SourceData_ClimateZones_Data(), Table_SourceData_ClimateZones[[#Headers],[Climate zone]], 0)</f>
        <v/>
      </c>
      <c r="I95" s="17" t="str" cm="1">
        <f t="array" aca="1" ref="I95" ca="1">Common_InputFunctions.Utility_DisplayArrayInTable(Common_SourceData.Common_SourceData_ClimateZones_Data(), Table_SourceData_ClimateZones[[#Headers],[Climate zone]], 0)</f>
        <v/>
      </c>
      <c r="J95" s="17" t="str" cm="1">
        <f t="array" aca="1" ref="J95" ca="1">Common_InputFunctions.Utility_DisplayArrayInTable(Common_SourceData.Common_SourceData_ClimateZones_Data(), Table_SourceData_ClimateZones[[#Headers],[Climate zone]], 0)</f>
        <v/>
      </c>
      <c r="K95" s="17" t="str" cm="1">
        <f t="array" aca="1" ref="K95" ca="1">Common_InputFunctions.Utility_DisplayArrayInTable(Common_SourceData.Common_SourceData_ClimateZones_Data(), Table_SourceData_ClimateZones[[#Headers],[Climate zone]], 0)</f>
        <v/>
      </c>
      <c r="L95" s="17" t="str" cm="1">
        <f t="array" aca="1" ref="L95" ca="1">Common_InputFunctions.Utility_DisplayArrayInTable(Common_SourceData.Common_SourceData_ClimateZones_Data(), Table_SourceData_ClimateZones[[#Headers],[Climate zone]], 0)</f>
        <v/>
      </c>
      <c r="M95" s="17" t="str" cm="1">
        <f t="array" aca="1" ref="M95" ca="1">Common_InputFunctions.Utility_DisplayArrayInTable(Common_SourceData.Common_SourceData_ClimateZones_Data(), Table_SourceData_ClimateZones[[#Headers],[Climate zone]], 0)</f>
        <v/>
      </c>
      <c r="N95" s="17" t="str" cm="1">
        <f t="array" aca="1" ref="N95" ca="1">Common_InputFunctions.Utility_DisplayArrayInTable(Common_SourceData.Common_SourceData_ClimateZones_Data(), Table_SourceData_ClimateZones[[#Headers],[Climate zone]], 0)</f>
        <v/>
      </c>
      <c r="O95" s="17" t="str" cm="1">
        <f t="array" aca="1" ref="O95" ca="1">Common_InputFunctions.Utility_DisplayArrayInTable(Common_SourceData.Common_SourceData_ClimateZones_Data(), Table_SourceData_ClimateZones[[#Headers],[Climate zone]], 0)</f>
        <v/>
      </c>
      <c r="P95" s="17" t="str" cm="1">
        <f t="array" aca="1" ref="P95" ca="1">Common_InputFunctions.Utility_DisplayArrayInTable(Common_SourceData.Common_SourceData_ClimateZones_Data(), Table_SourceData_ClimateZones[[#Headers],[Climate zone]], 0)</f>
        <v/>
      </c>
      <c r="Q95" s="17" t="str" cm="1">
        <f t="array" aca="1" ref="Q95" ca="1">Common_InputFunctions.Utility_DisplayArrayInTable(Common_SourceData.Common_SourceData_ClimateZones_Data(), Table_SourceData_ClimateZones[[#Headers],[Climate zone]], 0)</f>
        <v/>
      </c>
      <c r="R95" s="17" t="str" cm="1">
        <f t="array" aca="1" ref="R95" ca="1">Common_InputFunctions.Utility_DisplayArrayInTable(Common_SourceData.Common_SourceData_ClimateZones_Data(), Table_SourceData_ClimateZones[[#Headers],[Climate zone]], 0)</f>
        <v/>
      </c>
      <c r="S95" s="17" t="str" cm="1">
        <f t="array" aca="1" ref="S95" ca="1">Common_InputFunctions.Utility_DisplayArrayInTable(Common_SourceData.Common_SourceData_ClimateZones_Data(), Table_SourceData_ClimateZones[[#Headers],[Climate zone]], 0)</f>
        <v/>
      </c>
      <c r="T95" s="17"/>
    </row>
    <row r="96" spans="1:20" ht="20" customHeight="1" x14ac:dyDescent="0.25">
      <c r="A96" s="10"/>
      <c r="D96" s="17" t="str" cm="1">
        <f t="array" aca="1" ref="D96" ca="1">Common_InputFunctions.Utility_DisplayArrayInTable(Common_SourceData.Common_SourceData_ClimateZones_Data(), Table_SourceData_ClimateZones[[#Headers],[Climate zone]], 0)</f>
        <v/>
      </c>
      <c r="E96" s="17" t="str" cm="1">
        <f t="array" aca="1" ref="E96" ca="1">Common_InputFunctions.Utility_DisplayArrayInTable(Common_SourceData.Common_SourceData_ClimateZones_Data(), Table_SourceData_ClimateZones[[#Headers],[Climate zone]], 0)</f>
        <v/>
      </c>
      <c r="F96" s="17" t="str" cm="1">
        <f t="array" aca="1" ref="F96" ca="1">Common_InputFunctions.Utility_DisplayArrayInTable(Common_SourceData.Common_SourceData_ClimateZones_Data(), Table_SourceData_ClimateZones[[#Headers],[Climate zone]], 0)</f>
        <v/>
      </c>
      <c r="G96" s="17" t="str" cm="1">
        <f t="array" aca="1" ref="G96" ca="1">Common_InputFunctions.Utility_DisplayArrayInTable(Common_SourceData.Common_SourceData_ClimateZones_Data(), Table_SourceData_ClimateZones[[#Headers],[Climate zone]], 0)</f>
        <v/>
      </c>
      <c r="H96" s="17" t="str" cm="1">
        <f t="array" aca="1" ref="H96" ca="1">Common_InputFunctions.Utility_DisplayArrayInTable(Common_SourceData.Common_SourceData_ClimateZones_Data(), Table_SourceData_ClimateZones[[#Headers],[Climate zone]], 0)</f>
        <v/>
      </c>
      <c r="I96" s="17" t="str" cm="1">
        <f t="array" aca="1" ref="I96" ca="1">Common_InputFunctions.Utility_DisplayArrayInTable(Common_SourceData.Common_SourceData_ClimateZones_Data(), Table_SourceData_ClimateZones[[#Headers],[Climate zone]], 0)</f>
        <v/>
      </c>
      <c r="J96" s="17" t="str" cm="1">
        <f t="array" aca="1" ref="J96" ca="1">Common_InputFunctions.Utility_DisplayArrayInTable(Common_SourceData.Common_SourceData_ClimateZones_Data(), Table_SourceData_ClimateZones[[#Headers],[Climate zone]], 0)</f>
        <v/>
      </c>
      <c r="K96" s="17" t="str" cm="1">
        <f t="array" aca="1" ref="K96" ca="1">Common_InputFunctions.Utility_DisplayArrayInTable(Common_SourceData.Common_SourceData_ClimateZones_Data(), Table_SourceData_ClimateZones[[#Headers],[Climate zone]], 0)</f>
        <v/>
      </c>
      <c r="L96" s="17" t="str" cm="1">
        <f t="array" aca="1" ref="L96" ca="1">Common_InputFunctions.Utility_DisplayArrayInTable(Common_SourceData.Common_SourceData_ClimateZones_Data(), Table_SourceData_ClimateZones[[#Headers],[Climate zone]], 0)</f>
        <v/>
      </c>
      <c r="M96" s="17" t="str" cm="1">
        <f t="array" aca="1" ref="M96" ca="1">Common_InputFunctions.Utility_DisplayArrayInTable(Common_SourceData.Common_SourceData_ClimateZones_Data(), Table_SourceData_ClimateZones[[#Headers],[Climate zone]], 0)</f>
        <v/>
      </c>
      <c r="N96" s="17" t="str" cm="1">
        <f t="array" aca="1" ref="N96" ca="1">Common_InputFunctions.Utility_DisplayArrayInTable(Common_SourceData.Common_SourceData_ClimateZones_Data(), Table_SourceData_ClimateZones[[#Headers],[Climate zone]], 0)</f>
        <v/>
      </c>
      <c r="O96" s="17" t="str" cm="1">
        <f t="array" aca="1" ref="O96" ca="1">Common_InputFunctions.Utility_DisplayArrayInTable(Common_SourceData.Common_SourceData_ClimateZones_Data(), Table_SourceData_ClimateZones[[#Headers],[Climate zone]], 0)</f>
        <v/>
      </c>
      <c r="P96" s="17" t="str" cm="1">
        <f t="array" aca="1" ref="P96" ca="1">Common_InputFunctions.Utility_DisplayArrayInTable(Common_SourceData.Common_SourceData_ClimateZones_Data(), Table_SourceData_ClimateZones[[#Headers],[Climate zone]], 0)</f>
        <v/>
      </c>
      <c r="Q96" s="17" t="str" cm="1">
        <f t="array" aca="1" ref="Q96" ca="1">Common_InputFunctions.Utility_DisplayArrayInTable(Common_SourceData.Common_SourceData_ClimateZones_Data(), Table_SourceData_ClimateZones[[#Headers],[Climate zone]], 0)</f>
        <v/>
      </c>
      <c r="R96" s="17" t="str" cm="1">
        <f t="array" aca="1" ref="R96" ca="1">Common_InputFunctions.Utility_DisplayArrayInTable(Common_SourceData.Common_SourceData_ClimateZones_Data(), Table_SourceData_ClimateZones[[#Headers],[Climate zone]], 0)</f>
        <v/>
      </c>
      <c r="S96" s="17" t="str" cm="1">
        <f t="array" aca="1" ref="S96" ca="1">Common_InputFunctions.Utility_DisplayArrayInTable(Common_SourceData.Common_SourceData_ClimateZones_Data(), Table_SourceData_ClimateZones[[#Headers],[Climate zone]], 0)</f>
        <v/>
      </c>
      <c r="T96" s="17"/>
    </row>
    <row r="97" spans="1:20" ht="20" customHeight="1" x14ac:dyDescent="0.25">
      <c r="A97" s="10"/>
      <c r="D97" s="17" t="str" cm="1">
        <f t="array" aca="1" ref="D97" ca="1">Common_InputFunctions.Utility_DisplayArrayInTable(Common_SourceData.Common_SourceData_ClimateZones_Data(), Table_SourceData_ClimateZones[[#Headers],[Climate zone]], 0)</f>
        <v/>
      </c>
      <c r="E97" s="17" t="str" cm="1">
        <f t="array" aca="1" ref="E97" ca="1">Common_InputFunctions.Utility_DisplayArrayInTable(Common_SourceData.Common_SourceData_ClimateZones_Data(), Table_SourceData_ClimateZones[[#Headers],[Climate zone]], 0)</f>
        <v/>
      </c>
      <c r="F97" s="17" t="str" cm="1">
        <f t="array" aca="1" ref="F97" ca="1">Common_InputFunctions.Utility_DisplayArrayInTable(Common_SourceData.Common_SourceData_ClimateZones_Data(), Table_SourceData_ClimateZones[[#Headers],[Climate zone]], 0)</f>
        <v/>
      </c>
      <c r="G97" s="17" t="str" cm="1">
        <f t="array" aca="1" ref="G97" ca="1">Common_InputFunctions.Utility_DisplayArrayInTable(Common_SourceData.Common_SourceData_ClimateZones_Data(), Table_SourceData_ClimateZones[[#Headers],[Climate zone]], 0)</f>
        <v/>
      </c>
      <c r="H97" s="17" t="str" cm="1">
        <f t="array" aca="1" ref="H97" ca="1">Common_InputFunctions.Utility_DisplayArrayInTable(Common_SourceData.Common_SourceData_ClimateZones_Data(), Table_SourceData_ClimateZones[[#Headers],[Climate zone]], 0)</f>
        <v/>
      </c>
      <c r="I97" s="17" t="str" cm="1">
        <f t="array" aca="1" ref="I97" ca="1">Common_InputFunctions.Utility_DisplayArrayInTable(Common_SourceData.Common_SourceData_ClimateZones_Data(), Table_SourceData_ClimateZones[[#Headers],[Climate zone]], 0)</f>
        <v/>
      </c>
      <c r="J97" s="17" t="str" cm="1">
        <f t="array" aca="1" ref="J97" ca="1">Common_InputFunctions.Utility_DisplayArrayInTable(Common_SourceData.Common_SourceData_ClimateZones_Data(), Table_SourceData_ClimateZones[[#Headers],[Climate zone]], 0)</f>
        <v/>
      </c>
      <c r="K97" s="17" t="str" cm="1">
        <f t="array" aca="1" ref="K97" ca="1">Common_InputFunctions.Utility_DisplayArrayInTable(Common_SourceData.Common_SourceData_ClimateZones_Data(), Table_SourceData_ClimateZones[[#Headers],[Climate zone]], 0)</f>
        <v/>
      </c>
      <c r="L97" s="17" t="str" cm="1">
        <f t="array" aca="1" ref="L97" ca="1">Common_InputFunctions.Utility_DisplayArrayInTable(Common_SourceData.Common_SourceData_ClimateZones_Data(), Table_SourceData_ClimateZones[[#Headers],[Climate zone]], 0)</f>
        <v/>
      </c>
      <c r="M97" s="17" t="str" cm="1">
        <f t="array" aca="1" ref="M97" ca="1">Common_InputFunctions.Utility_DisplayArrayInTable(Common_SourceData.Common_SourceData_ClimateZones_Data(), Table_SourceData_ClimateZones[[#Headers],[Climate zone]], 0)</f>
        <v/>
      </c>
      <c r="N97" s="17" t="str" cm="1">
        <f t="array" aca="1" ref="N97" ca="1">Common_InputFunctions.Utility_DisplayArrayInTable(Common_SourceData.Common_SourceData_ClimateZones_Data(), Table_SourceData_ClimateZones[[#Headers],[Climate zone]], 0)</f>
        <v/>
      </c>
      <c r="O97" s="17" t="str" cm="1">
        <f t="array" aca="1" ref="O97" ca="1">Common_InputFunctions.Utility_DisplayArrayInTable(Common_SourceData.Common_SourceData_ClimateZones_Data(), Table_SourceData_ClimateZones[[#Headers],[Climate zone]], 0)</f>
        <v/>
      </c>
      <c r="P97" s="17" t="str" cm="1">
        <f t="array" aca="1" ref="P97" ca="1">Common_InputFunctions.Utility_DisplayArrayInTable(Common_SourceData.Common_SourceData_ClimateZones_Data(), Table_SourceData_ClimateZones[[#Headers],[Climate zone]], 0)</f>
        <v/>
      </c>
      <c r="Q97" s="17" t="str" cm="1">
        <f t="array" aca="1" ref="Q97" ca="1">Common_InputFunctions.Utility_DisplayArrayInTable(Common_SourceData.Common_SourceData_ClimateZones_Data(), Table_SourceData_ClimateZones[[#Headers],[Climate zone]], 0)</f>
        <v/>
      </c>
      <c r="R97" s="17" t="str" cm="1">
        <f t="array" aca="1" ref="R97" ca="1">Common_InputFunctions.Utility_DisplayArrayInTable(Common_SourceData.Common_SourceData_ClimateZones_Data(), Table_SourceData_ClimateZones[[#Headers],[Climate zone]], 0)</f>
        <v/>
      </c>
      <c r="S97" s="17" t="str" cm="1">
        <f t="array" aca="1" ref="S97" ca="1">Common_InputFunctions.Utility_DisplayArrayInTable(Common_SourceData.Common_SourceData_ClimateZones_Data(), Table_SourceData_ClimateZones[[#Headers],[Climate zone]], 0)</f>
        <v/>
      </c>
      <c r="T97" s="17"/>
    </row>
    <row r="98" spans="1:20" ht="20" customHeight="1" x14ac:dyDescent="0.25">
      <c r="A98" s="10"/>
    </row>
    <row r="99" spans="1:20" ht="20" customHeight="1" x14ac:dyDescent="0.25">
      <c r="A99" s="10"/>
      <c r="D99" s="20" t="str" cm="1">
        <f t="array" ref="D99:D102">Common_SourceData.Common_SourceData_ClimateZones_Appendices()</f>
        <v>Note:</v>
      </c>
    </row>
    <row r="100" spans="1:20" ht="20" customHeight="1" x14ac:dyDescent="0.25">
      <c r="A100" s="10"/>
      <c r="D100" s="20" t="str">
        <v>MAT = mean annual temperature</v>
      </c>
    </row>
    <row r="101" spans="1:20" ht="20" customHeight="1" x14ac:dyDescent="0.25">
      <c r="A101" s="10"/>
      <c r="D101" s="20" t="str">
        <v>MAP = mean annual precipitation</v>
      </c>
    </row>
    <row r="102" spans="1:20" ht="20" customHeight="1" x14ac:dyDescent="0.25">
      <c r="A102" s="10"/>
      <c r="D102" s="20" t="str">
        <v>PET = potential evapotranspiration</v>
      </c>
    </row>
    <row r="103" spans="1:20" ht="20" customHeight="1" x14ac:dyDescent="0.25">
      <c r="A103" s="10"/>
      <c r="D103" s="20"/>
    </row>
    <row r="104" spans="1:20" ht="20" customHeight="1" x14ac:dyDescent="0.25">
      <c r="A104" s="10"/>
    </row>
    <row r="105" spans="1:20" ht="20" customHeight="1" x14ac:dyDescent="0.25">
      <c r="A105" s="10"/>
      <c r="D105" s="16" t="str" cm="1">
        <f t="array" ref="D105">Common_SourceData.Common_SourceData_TemperatureZones_Title()</f>
        <v>VEERG Australian temperature zones</v>
      </c>
    </row>
    <row r="106" spans="1:20" ht="20" customHeight="1" x14ac:dyDescent="0.25">
      <c r="A106" s="10"/>
      <c r="D106" s="18" t="str" cm="1">
        <f t="array" ref="D106">Common_SourceData.Common_SourceData_TemperatureZones_Source()</f>
        <v>VEERG 2026: Table 1.3: Climate and Rainfall zone classifications and definitions</v>
      </c>
    </row>
    <row r="107" spans="1:20" ht="20" customHeight="1" x14ac:dyDescent="0.25">
      <c r="A107" s="10"/>
      <c r="D107" s="19" t="str" cm="1">
        <f t="array" ref="D107">"⚠️" &amp; Common_SourceData.Common_SourceData_TemperatureZones_Variation()</f>
        <v>⚠️VARIATION OF SOURCE DATA: Added extra MAT min and MAT max columns to calculate zone from real temperature data.</v>
      </c>
    </row>
    <row r="108" spans="1:20" ht="20" customHeight="1" x14ac:dyDescent="0.25">
      <c r="A108" s="10"/>
    </row>
    <row r="109" spans="1:20" ht="20" customHeight="1" x14ac:dyDescent="0.25">
      <c r="A109" s="10"/>
      <c r="D109" s="17" t="s">
        <v>41</v>
      </c>
      <c r="E109" s="17" t="s">
        <v>26</v>
      </c>
      <c r="F109" s="17" t="s">
        <v>42</v>
      </c>
      <c r="G109" s="17" t="s">
        <v>43</v>
      </c>
    </row>
    <row r="110" spans="1:20" ht="20" customHeight="1" x14ac:dyDescent="0.25">
      <c r="A110" s="10"/>
      <c r="D110" s="17" t="str" cm="1">
        <f t="array" aca="1" ref="D110" ca="1">Common_InputFunctions.Utility_DisplayArrayInTable(Common_SourceData.Common_SourceData_TemperatureZones_Data(),Table_SourceData_TemperatureZones[[#Headers],[Temperature Zone]],0)</f>
        <v/>
      </c>
      <c r="E110" s="17" t="str" cm="1">
        <f t="array" aca="1" ref="E110" ca="1">Common_InputFunctions.Utility_DisplayArrayInTable(Common_SourceData.Common_SourceData_TemperatureZones_Data(),Table_SourceData_TemperatureZones[[#Headers],[Temperature Zone]],0)</f>
        <v/>
      </c>
      <c r="F110" s="17" t="str" cm="1">
        <f t="array" aca="1" ref="F110" ca="1">Common_InputFunctions.Utility_DisplayArrayInTable(Common_SourceData.Common_SourceData_TemperatureZones_Data(),Table_SourceData_TemperatureZones[[#Headers],[Temperature Zone]],0)</f>
        <v/>
      </c>
      <c r="G110" s="17" t="str" cm="1">
        <f t="array" aca="1" ref="G110" ca="1">Common_InputFunctions.Utility_DisplayArrayInTable(Common_SourceData.Common_SourceData_TemperatureZones_Data(),Table_SourceData_TemperatureZones[[#Headers],[Temperature Zone]],0)</f>
        <v/>
      </c>
    </row>
    <row r="111" spans="1:20" ht="20" customHeight="1" x14ac:dyDescent="0.25">
      <c r="A111" s="10"/>
      <c r="D111" s="17" t="str" cm="1">
        <f t="array" aca="1" ref="D111" ca="1">Common_InputFunctions.Utility_DisplayArrayInTable(Common_SourceData.Common_SourceData_TemperatureZones_Data(),Table_SourceData_TemperatureZones[[#Headers],[Temperature Zone]],0)</f>
        <v/>
      </c>
      <c r="E111" s="17" t="str" cm="1">
        <f t="array" aca="1" ref="E111" ca="1">Common_InputFunctions.Utility_DisplayArrayInTable(Common_SourceData.Common_SourceData_TemperatureZones_Data(),Table_SourceData_TemperatureZones[[#Headers],[Temperature Zone]],0)</f>
        <v/>
      </c>
      <c r="F111" s="17" t="str" cm="1">
        <f t="array" aca="1" ref="F111" ca="1">Common_InputFunctions.Utility_DisplayArrayInTable(Common_SourceData.Common_SourceData_TemperatureZones_Data(),Table_SourceData_TemperatureZones[[#Headers],[Temperature Zone]],0)</f>
        <v/>
      </c>
      <c r="G111" s="17" t="str" cm="1">
        <f t="array" aca="1" ref="G111" ca="1">Common_InputFunctions.Utility_DisplayArrayInTable(Common_SourceData.Common_SourceData_TemperatureZones_Data(),Table_SourceData_TemperatureZones[[#Headers],[Temperature Zone]],0)</f>
        <v/>
      </c>
    </row>
    <row r="112" spans="1:20" ht="20" customHeight="1" x14ac:dyDescent="0.25">
      <c r="A112" s="10"/>
      <c r="D112" s="17" t="str" cm="1">
        <f t="array" aca="1" ref="D112" ca="1">Common_InputFunctions.Utility_DisplayArrayInTable(Common_SourceData.Common_SourceData_TemperatureZones_Data(),Table_SourceData_TemperatureZones[[#Headers],[Temperature Zone]],0)</f>
        <v/>
      </c>
      <c r="E112" s="17" t="str" cm="1">
        <f t="array" aca="1" ref="E112" ca="1">Common_InputFunctions.Utility_DisplayArrayInTable(Common_SourceData.Common_SourceData_TemperatureZones_Data(),Table_SourceData_TemperatureZones[[#Headers],[Temperature Zone]],0)</f>
        <v/>
      </c>
      <c r="F112" s="17" t="str" cm="1">
        <f t="array" aca="1" ref="F112" ca="1">Common_InputFunctions.Utility_DisplayArrayInTable(Common_SourceData.Common_SourceData_TemperatureZones_Data(),Table_SourceData_TemperatureZones[[#Headers],[Temperature Zone]],0)</f>
        <v/>
      </c>
      <c r="G112" s="17" t="str" cm="1">
        <f t="array" aca="1" ref="G112" ca="1">Common_InputFunctions.Utility_DisplayArrayInTable(Common_SourceData.Common_SourceData_TemperatureZones_Data(),Table_SourceData_TemperatureZones[[#Headers],[Temperature Zone]],0)</f>
        <v/>
      </c>
    </row>
    <row r="113" spans="1:66" ht="20" customHeight="1" x14ac:dyDescent="0.25">
      <c r="A113" s="10"/>
    </row>
    <row r="114" spans="1:66" ht="20" customHeight="1" x14ac:dyDescent="0.25">
      <c r="A114" s="10"/>
    </row>
    <row r="115" spans="1:66" ht="20" customHeight="1" x14ac:dyDescent="0.25">
      <c r="A115" s="10"/>
      <c r="D115" s="16" t="str" cm="1">
        <f t="array" ref="D115">Common_SourceData.Common_SourceData_RainfallZones_Title()</f>
        <v>VEERG Australian rainfall zones</v>
      </c>
      <c r="BN115" s="11"/>
    </row>
    <row r="116" spans="1:66" ht="20" customHeight="1" x14ac:dyDescent="0.25">
      <c r="A116" s="10"/>
      <c r="D116" s="18" t="str" cm="1">
        <f t="array" ref="D116">Common_SourceData.Common_SourceData_RainfallZones_Source()</f>
        <v>VEERG 2026: Table 1.3: Climate and Rainfall zone classifications and definitions</v>
      </c>
      <c r="BN116" s="11"/>
    </row>
    <row r="117" spans="1:66" ht="20" customHeight="1" x14ac:dyDescent="0.25">
      <c r="A117" s="10"/>
      <c r="D117" s="19" t="str" cm="1">
        <f t="array" ref="D117">"⚠️" &amp; Common_SourceData.Common_SourceData_RainfallZones_Variation()</f>
        <v>⚠️VARIATION OF SOURCE DATA: Added extra Rainfall min and Rainfall max columns to calculate zone from real rainfall data.</v>
      </c>
      <c r="BN117" s="11"/>
    </row>
    <row r="118" spans="1:66" ht="20" customHeight="1" x14ac:dyDescent="0.25">
      <c r="A118" s="10"/>
      <c r="BN118" s="11"/>
    </row>
    <row r="119" spans="1:66" ht="20" customHeight="1" x14ac:dyDescent="0.25">
      <c r="A119" s="10"/>
      <c r="D119" s="17" t="s">
        <v>44</v>
      </c>
      <c r="E119" s="17" t="s">
        <v>45</v>
      </c>
      <c r="F119" s="17" t="s">
        <v>33</v>
      </c>
      <c r="G119" s="17" t="s">
        <v>34</v>
      </c>
      <c r="BN119" s="11"/>
    </row>
    <row r="120" spans="1:66" ht="20" customHeight="1" x14ac:dyDescent="0.25">
      <c r="A120" s="10"/>
      <c r="D120" s="17" t="str" cm="1">
        <f t="array" aca="1" ref="D120" ca="1">Common_InputFunctions.Utility_DisplayArrayInTable(Common_SourceData.Common_SourceData_RainfallZones_Data(),Table_SourceData_RainfallZones[[#Headers],[Rainfall Zone]],0)</f>
        <v/>
      </c>
      <c r="E120" s="17" t="str" cm="1">
        <f t="array" aca="1" ref="E120" ca="1">Common_InputFunctions.Utility_DisplayArrayInTable(Common_SourceData.Common_SourceData_RainfallZones_Data(),Table_SourceData_RainfallZones[[#Headers],[Rainfall Zone]],0)</f>
        <v/>
      </c>
      <c r="F120" s="17" t="str" cm="1">
        <f t="array" aca="1" ref="F120" ca="1">Common_InputFunctions.Utility_DisplayArrayInTable(Common_SourceData.Common_SourceData_RainfallZones_Data(),Table_SourceData_RainfallZones[[#Headers],[Rainfall Zone]],0)</f>
        <v/>
      </c>
      <c r="G120" s="17" t="str" cm="1">
        <f t="array" aca="1" ref="G120" ca="1">Common_InputFunctions.Utility_DisplayArrayInTable(Common_SourceData.Common_SourceData_RainfallZones_Data(),Table_SourceData_RainfallZones[[#Headers],[Rainfall Zone]],0)</f>
        <v/>
      </c>
      <c r="BN120" s="11"/>
    </row>
    <row r="121" spans="1:66" ht="20" customHeight="1" x14ac:dyDescent="0.25">
      <c r="A121" s="10"/>
      <c r="D121" s="17" t="str" cm="1">
        <f t="array" aca="1" ref="D121" ca="1">Common_InputFunctions.Utility_DisplayArrayInTable(Common_SourceData.Common_SourceData_RainfallZones_Data(),Table_SourceData_RainfallZones[[#Headers],[Rainfall Zone]],0)</f>
        <v/>
      </c>
      <c r="E121" s="17" t="str" cm="1">
        <f t="array" aca="1" ref="E121" ca="1">Common_InputFunctions.Utility_DisplayArrayInTable(Common_SourceData.Common_SourceData_RainfallZones_Data(),Table_SourceData_RainfallZones[[#Headers],[Rainfall Zone]],0)</f>
        <v/>
      </c>
      <c r="F121" s="17" t="str" cm="1">
        <f t="array" aca="1" ref="F121" ca="1">Common_InputFunctions.Utility_DisplayArrayInTable(Common_SourceData.Common_SourceData_RainfallZones_Data(),Table_SourceData_RainfallZones[[#Headers],[Rainfall Zone]],0)</f>
        <v/>
      </c>
      <c r="G121" s="17" t="str" cm="1">
        <f t="array" aca="1" ref="G121" ca="1">Common_InputFunctions.Utility_DisplayArrayInTable(Common_SourceData.Common_SourceData_RainfallZones_Data(),Table_SourceData_RainfallZones[[#Headers],[Rainfall Zone]],0)</f>
        <v/>
      </c>
      <c r="BN121" s="11"/>
    </row>
    <row r="122" spans="1:66" ht="20" customHeight="1" x14ac:dyDescent="0.25">
      <c r="A122" s="10"/>
      <c r="BN122" s="11"/>
    </row>
    <row r="123" spans="1:66" ht="20" customHeight="1" x14ac:dyDescent="0.25">
      <c r="A123" s="10"/>
    </row>
    <row r="124" spans="1:66" ht="20" customHeight="1" x14ac:dyDescent="0.25">
      <c r="A124" s="10"/>
      <c r="D124" s="16" t="str" cm="1">
        <f t="array" ref="D124">Common_SourceData.Common_SourceData_LeachingZones_Title()</f>
        <v>VEERG Australian leaching zones</v>
      </c>
    </row>
    <row r="125" spans="1:66" ht="20" customHeight="1" x14ac:dyDescent="0.25">
      <c r="A125" s="10"/>
      <c r="D125" s="18" t="str" cm="1">
        <f t="array" ref="D125">Common_SourceData.Common_SourceData_LeachingZones_Source()</f>
        <v>VEERG 2026: Table 1.3: Climate and Rainfall zone classifications and definitions</v>
      </c>
    </row>
    <row r="126" spans="1:66" ht="20" customHeight="1" x14ac:dyDescent="0.25">
      <c r="A126" s="10"/>
    </row>
    <row r="127" spans="1:66" ht="20" customHeight="1" x14ac:dyDescent="0.25">
      <c r="A127" s="10"/>
      <c r="D127" s="17" t="s">
        <v>46</v>
      </c>
      <c r="E127" s="17" t="s">
        <v>47</v>
      </c>
    </row>
    <row r="128" spans="1:66" ht="20" customHeight="1" x14ac:dyDescent="0.25">
      <c r="A128" s="10"/>
      <c r="D128" s="17" t="str" cm="1">
        <f t="array" aca="1" ref="D128" ca="1">Common_InputFunctions.Utility_DisplayArrayInTable(Common_SourceData.Common_SourceData_LeachingZones_Data(), Table_SourceData_LeachingZones[[#Headers],[Leaching Zone]], 0)</f>
        <v/>
      </c>
      <c r="E128" s="17" t="str" cm="1">
        <f t="array" aca="1" ref="E128" ca="1">Common_InputFunctions.Utility_DisplayArrayInTable(Common_SourceData.Common_SourceData_LeachingZones_Data(), Table_SourceData_LeachingZones[[#Headers],[Leaching Zone]], 0)</f>
        <v/>
      </c>
    </row>
    <row r="129" spans="1:77" ht="20" customHeight="1" x14ac:dyDescent="0.25">
      <c r="A129" s="10"/>
      <c r="D129" s="17" t="str" cm="1">
        <f t="array" aca="1" ref="D129" ca="1">Common_InputFunctions.Utility_DisplayArrayInTable(Common_SourceData.Common_SourceData_LeachingZones_Data(), Table_SourceData_LeachingZones[[#Headers],[Leaching Zone]], 0)</f>
        <v/>
      </c>
      <c r="E129" s="17" t="str" cm="1">
        <f t="array" aca="1" ref="E129" ca="1">Common_InputFunctions.Utility_DisplayArrayInTable(Common_SourceData.Common_SourceData_LeachingZones_Data(), Table_SourceData_LeachingZones[[#Headers],[Leaching Zone]], 0)</f>
        <v/>
      </c>
    </row>
    <row r="130" spans="1:77" ht="20" customHeight="1" x14ac:dyDescent="0.25">
      <c r="A130" s="10"/>
    </row>
    <row r="131" spans="1:77" ht="20" customHeight="1" x14ac:dyDescent="0.25">
      <c r="A131" s="10"/>
    </row>
    <row r="132" spans="1:77" ht="20" customHeight="1" x14ac:dyDescent="0.25">
      <c r="A132" s="10"/>
      <c r="D132" s="16" t="str" cm="1">
        <f t="array" ref="D132">Common_SourceData.Common_SourceData_FracWET_Title()</f>
        <v>Fraction of N that is available for leaching and runoff</v>
      </c>
      <c r="E132" s="21"/>
    </row>
    <row r="133" spans="1:77" ht="20" customHeight="1" x14ac:dyDescent="0.25">
      <c r="A133" s="10"/>
      <c r="D133" s="18" t="str" cm="1">
        <f t="array" ref="D133">Common_SourceData.Common_SourceData_FracWET_Source()</f>
        <v>VEERG 2026:5.5.2.3 Constant Parameters</v>
      </c>
      <c r="E133" s="21"/>
    </row>
    <row r="134" spans="1:77" ht="20" customHeight="1" x14ac:dyDescent="0.25">
      <c r="A134" s="10"/>
      <c r="D134" s="10" t="s">
        <v>48</v>
      </c>
      <c r="E134" s="10" t="s">
        <v>49</v>
      </c>
    </row>
    <row r="135" spans="1:77" ht="20" customHeight="1" x14ac:dyDescent="0.25">
      <c r="A135" s="10"/>
      <c r="D135" s="10" t="str" cm="1">
        <f t="array" aca="1" ref="D135" ca="1">Common_InputFunctions.Utility_DisplayArrayInTable(Common_SourceData.Common_SourceData_FracWET_Data(),Table_SourceData_FracWET[[#Headers],[Is in leaching zone]],0)</f>
        <v/>
      </c>
      <c r="E135" s="10" t="str" cm="1">
        <f t="array" aca="1" ref="E135" ca="1">Common_InputFunctions.Utility_DisplayArrayInTable(Common_SourceData.Common_SourceData_FracWET_Data(),Table_SourceData_FracWET[[#Headers],[Is in leaching zone]],0)</f>
        <v/>
      </c>
    </row>
    <row r="136" spans="1:77" ht="20" customHeight="1" x14ac:dyDescent="0.25">
      <c r="A136" s="10"/>
      <c r="D136" s="15" t="str" cm="1">
        <f t="array" aca="1" ref="D136" ca="1">Common_InputFunctions.Utility_DisplayArrayInTable(Common_SourceData.Common_SourceData_FracWET_Data(),Table_SourceData_FracWET[[#Headers],[Is in leaching zone]],0)</f>
        <v/>
      </c>
      <c r="E136" s="17" t="str" cm="1">
        <f t="array" aca="1" ref="E136" ca="1">Common_InputFunctions.Utility_DisplayArrayInTable(Common_SourceData.Common_SourceData_FracWET_Data(),Table_SourceData_FracWET[[#Headers],[Is in leaching zone]],0)</f>
        <v/>
      </c>
    </row>
    <row r="137" spans="1:77" ht="20" customHeight="1" x14ac:dyDescent="0.25">
      <c r="A137" s="10"/>
    </row>
    <row r="138" spans="1:77" ht="20" customHeight="1" x14ac:dyDescent="0.25">
      <c r="A138" s="10"/>
      <c r="BN138" s="11"/>
      <c r="BO138" s="11"/>
      <c r="BP138" s="11"/>
      <c r="BQ138" s="11"/>
      <c r="BR138" s="11"/>
      <c r="BS138" s="11"/>
      <c r="BT138" s="11"/>
      <c r="BU138" s="11"/>
      <c r="BV138" s="11"/>
      <c r="BW138" s="11"/>
      <c r="BX138" s="11"/>
      <c r="BY138" s="11"/>
    </row>
    <row r="139" spans="1:77" ht="20" customHeight="1" x14ac:dyDescent="0.25">
      <c r="A139" s="10"/>
      <c r="D139" s="16" t="str" cm="1">
        <f t="array" ref="D139">Common_SourceData.Common_SourceData_FracWETIrrigation_Title()</f>
        <v>FracWET for irrigation types</v>
      </c>
      <c r="BN139" s="11"/>
      <c r="BO139" s="11"/>
      <c r="BP139" s="11"/>
      <c r="BQ139" s="11"/>
      <c r="BR139" s="11"/>
      <c r="BS139" s="11"/>
      <c r="BT139" s="11"/>
      <c r="BU139" s="11"/>
      <c r="BV139" s="11"/>
      <c r="BW139" s="11"/>
      <c r="BX139" s="11"/>
      <c r="BY139" s="11"/>
    </row>
    <row r="140" spans="1:77" ht="20" customHeight="1" x14ac:dyDescent="0.25">
      <c r="A140" s="10"/>
      <c r="D140" s="18" t="str" cm="1">
        <f t="array" ref="D140">Common_SourceData.Common_SourceData_FracWETIrrigation_Source()</f>
        <v>VEERG 2026: Chapter 1, section 1.8.2 Leaching, climate and rainfall zones</v>
      </c>
      <c r="BN140" s="11"/>
      <c r="BO140" s="11"/>
      <c r="BP140" s="11"/>
      <c r="BQ140" s="11"/>
      <c r="BR140" s="11"/>
      <c r="BS140" s="11"/>
      <c r="BT140" s="11"/>
      <c r="BU140" s="11"/>
      <c r="BV140" s="11"/>
      <c r="BW140" s="11"/>
      <c r="BX140" s="11"/>
      <c r="BY140" s="11"/>
    </row>
    <row r="141" spans="1:77" ht="20" customHeight="1" x14ac:dyDescent="0.25">
      <c r="A141" s="10"/>
      <c r="D141" s="19" t="str" cm="1">
        <f t="array" ref="D141">Common_SourceData.Common_SourceData_FracWETIrrigation_Variation()</f>
        <v>VARIATION FROM SOURCE DATA: Table created based on VEERG text 'Areas are subject to leaching (i.e., in the leaching zone) when... the land is irrigated (except drip irrigation).'</v>
      </c>
      <c r="BN141" s="11"/>
    </row>
    <row r="142" spans="1:77" ht="20" customHeight="1" x14ac:dyDescent="0.25">
      <c r="A142" s="10"/>
      <c r="D142" s="17" t="s">
        <v>50</v>
      </c>
      <c r="E142" s="17" t="s">
        <v>49</v>
      </c>
      <c r="BN142" s="11"/>
    </row>
    <row r="143" spans="1:77" ht="20" customHeight="1" x14ac:dyDescent="0.25">
      <c r="A143" s="10"/>
      <c r="D143" s="17" t="str" cm="1">
        <f t="array" aca="1" ref="D143" ca="1">Common_InputFunctions.Utility_DisplayArrayInTable(Common_SourceData.Common_SourceData_FracWETIrrigation_Data(), Table_SourceData_FracWETIrrigation[[#Headers],[Irrigation type i]], 0)</f>
        <v/>
      </c>
      <c r="E143" s="17" t="str" cm="1">
        <f t="array" aca="1" ref="E143" ca="1">Common_InputFunctions.Utility_DisplayArrayInTable(Common_SourceData.Common_SourceData_FracWETIrrigation_Data(), Table_SourceData_FracWETIrrigation[[#Headers],[Irrigation type i]], 0)</f>
        <v/>
      </c>
      <c r="BN143" s="11"/>
    </row>
    <row r="144" spans="1:77" ht="20" customHeight="1" x14ac:dyDescent="0.25">
      <c r="A144" s="10"/>
      <c r="D144" s="15" t="str" cm="1">
        <f t="array" aca="1" ref="D144" ca="1">Common_InputFunctions.Utility_DisplayArrayInTable(Common_SourceData.Common_SourceData_FracWETIrrigation_Data(), Table_SourceData_FracWETIrrigation[[#Headers],[Irrigation type i]], 0)</f>
        <v/>
      </c>
      <c r="E144" s="17" t="str" cm="1">
        <f t="array" aca="1" ref="E144" ca="1">Common_InputFunctions.Utility_DisplayArrayInTable(Common_SourceData.Common_SourceData_FracWETIrrigation_Data(), Table_SourceData_FracWETIrrigation[[#Headers],[Irrigation type i]], 0)</f>
        <v/>
      </c>
      <c r="BN144" s="11"/>
    </row>
    <row r="145" spans="1:66" ht="20" customHeight="1" x14ac:dyDescent="0.25">
      <c r="A145" s="10"/>
      <c r="D145" s="15" t="str" cm="1">
        <f t="array" aca="1" ref="D145" ca="1">Common_InputFunctions.Utility_DisplayArrayInTable(Common_SourceData.Common_SourceData_FracWETIrrigation_Data(), Table_SourceData_FracWETIrrigation[[#Headers],[Irrigation type i]], 0)</f>
        <v/>
      </c>
      <c r="E145" s="17" t="str" cm="1">
        <f t="array" aca="1" ref="E145" ca="1">Common_InputFunctions.Utility_DisplayArrayInTable(Common_SourceData.Common_SourceData_FracWETIrrigation_Data(), Table_SourceData_FracWETIrrigation[[#Headers],[Irrigation type i]], 0)</f>
        <v/>
      </c>
      <c r="BN145" s="11"/>
    </row>
    <row r="146" spans="1:66" ht="20" customHeight="1" x14ac:dyDescent="0.25">
      <c r="A146" s="10"/>
      <c r="D146" s="15" t="str" cm="1">
        <f t="array" aca="1" ref="D146" ca="1">Common_InputFunctions.Utility_DisplayArrayInTable(Common_SourceData.Common_SourceData_FracWETIrrigation_Data(), Table_SourceData_FracWETIrrigation[[#Headers],[Irrigation type i]], 0)</f>
        <v/>
      </c>
      <c r="E146" s="17" t="str" cm="1">
        <f t="array" aca="1" ref="E146" ca="1">Common_InputFunctions.Utility_DisplayArrayInTable(Common_SourceData.Common_SourceData_FracWETIrrigation_Data(), Table_SourceData_FracWETIrrigation[[#Headers],[Irrigation type i]], 0)</f>
        <v/>
      </c>
      <c r="BN146" s="11"/>
    </row>
    <row r="147" spans="1:66" ht="20" customHeight="1" x14ac:dyDescent="0.25">
      <c r="A147" s="10"/>
      <c r="D147" s="15" t="str" cm="1">
        <f t="array" aca="1" ref="D147" ca="1">Common_InputFunctions.Utility_DisplayArrayInTable(Common_SourceData.Common_SourceData_FracWETIrrigation_Data(), Table_SourceData_FracWETIrrigation[[#Headers],[Irrigation type i]], 0)</f>
        <v/>
      </c>
      <c r="E147" s="17" t="str" cm="1">
        <f t="array" aca="1" ref="E147" ca="1">Common_InputFunctions.Utility_DisplayArrayInTable(Common_SourceData.Common_SourceData_FracWETIrrigation_Data(), Table_SourceData_FracWETIrrigation[[#Headers],[Irrigation type i]], 0)</f>
        <v/>
      </c>
      <c r="BN147" s="11"/>
    </row>
    <row r="148" spans="1:66" ht="20" customHeight="1" x14ac:dyDescent="0.25">
      <c r="A148" s="10"/>
      <c r="BN148" s="11"/>
    </row>
    <row r="149" spans="1:66" ht="20" customHeight="1" x14ac:dyDescent="0.25">
      <c r="A149" s="10"/>
      <c r="BN149" s="11"/>
    </row>
    <row r="150" spans="1:66" ht="20" customHeight="1" x14ac:dyDescent="0.25">
      <c r="A150" s="10"/>
      <c r="D150" s="16" t="str" cm="1">
        <f t="array" ref="D150">Common_SourceData.Common_SourceData_DataScores_Scope3_Title()</f>
        <v>Australian data scores for scope 3</v>
      </c>
      <c r="BN150" s="11"/>
    </row>
    <row r="151" spans="1:66" ht="20" customHeight="1" x14ac:dyDescent="0.25">
      <c r="A151" s="10"/>
      <c r="D151" s="18" t="str" cm="1">
        <f t="array" ref="D151">Common_SourceData.Common_SourceData_DataScores_Scope3_Source()</f>
        <v>VEERG 2026: XXXXXXXX</v>
      </c>
      <c r="BN151" s="11"/>
    </row>
    <row r="152" spans="1:66" ht="20" customHeight="1" x14ac:dyDescent="0.25">
      <c r="A152" s="10"/>
      <c r="BN152" s="11"/>
    </row>
    <row r="153" spans="1:66" ht="20" customHeight="1" x14ac:dyDescent="0.25">
      <c r="A153" s="10"/>
      <c r="D153" s="17" t="s">
        <v>51</v>
      </c>
      <c r="E153" s="17" t="s">
        <v>52</v>
      </c>
      <c r="BC153" s="14"/>
      <c r="BD153" s="14"/>
      <c r="BE153" s="14"/>
      <c r="BF153" s="14"/>
      <c r="BG153" s="14"/>
      <c r="BH153" s="14"/>
      <c r="BI153" s="14"/>
      <c r="BJ153" s="14"/>
      <c r="BK153" s="14"/>
      <c r="BL153" s="14"/>
      <c r="BM153" s="14"/>
    </row>
    <row r="154" spans="1:66" ht="20" customHeight="1" x14ac:dyDescent="0.25">
      <c r="A154" s="10"/>
      <c r="D154" s="17" t="str" cm="1">
        <f t="array" aca="1" ref="D154" ca="1">Common_InputFunctions.Utility_DisplayArrayInTable(Common_SourceData.Common_SourceData_DataScores_Scope3_Data(), Table_SourceData_DataScores_Scope3[[#Headers],[Data source]], 0)</f>
        <v/>
      </c>
      <c r="E154" s="17" t="str" cm="1">
        <f t="array" aca="1" ref="E154" ca="1">Common_InputFunctions.Utility_DisplayArrayInTable(Common_SourceData.Common_SourceData_DataScores_Scope3_Data(), Table_SourceData_DataScores_Scope3[[#Headers],[Data source]], 0)</f>
        <v/>
      </c>
      <c r="BC154" s="14"/>
      <c r="BD154" s="14"/>
      <c r="BE154" s="14"/>
      <c r="BF154" s="14"/>
      <c r="BG154" s="14"/>
      <c r="BH154" s="14"/>
      <c r="BI154" s="14"/>
      <c r="BJ154" s="14"/>
      <c r="BK154" s="14"/>
      <c r="BL154" s="14"/>
      <c r="BM154" s="14"/>
    </row>
    <row r="155" spans="1:66" ht="20" customHeight="1" x14ac:dyDescent="0.25">
      <c r="A155" s="10"/>
      <c r="D155" s="17" t="str" cm="1">
        <f t="array" aca="1" ref="D155" ca="1">Common_InputFunctions.Utility_DisplayArrayInTable(Common_SourceData.Common_SourceData_DataScores_Scope3_Data(), Table_SourceData_DataScores_Scope3[[#Headers],[Data source]], 0)</f>
        <v/>
      </c>
      <c r="E155" s="17" t="str" cm="1">
        <f t="array" aca="1" ref="E155" ca="1">Common_InputFunctions.Utility_DisplayArrayInTable(Common_SourceData.Common_SourceData_DataScores_Scope3_Data(), Table_SourceData_DataScores_Scope3[[#Headers],[Data source]], 0)</f>
        <v/>
      </c>
      <c r="BC155" s="14"/>
      <c r="BD155" s="14"/>
      <c r="BE155" s="14"/>
      <c r="BF155" s="14"/>
      <c r="BG155" s="14"/>
      <c r="BH155" s="14"/>
      <c r="BI155" s="14"/>
      <c r="BJ155" s="14"/>
      <c r="BK155" s="14"/>
      <c r="BL155" s="14"/>
      <c r="BM155" s="14"/>
    </row>
    <row r="156" spans="1:66" ht="20" customHeight="1" x14ac:dyDescent="0.25">
      <c r="A156" s="10"/>
      <c r="D156" s="17" t="str" cm="1">
        <f t="array" aca="1" ref="D156" ca="1">Common_InputFunctions.Utility_DisplayArrayInTable(Common_SourceData.Common_SourceData_DataScores_Scope3_Data(), Table_SourceData_DataScores_Scope3[[#Headers],[Data source]], 0)</f>
        <v/>
      </c>
      <c r="E156" s="17" t="str" cm="1">
        <f t="array" aca="1" ref="E156" ca="1">Common_InputFunctions.Utility_DisplayArrayInTable(Common_SourceData.Common_SourceData_DataScores_Scope3_Data(), Table_SourceData_DataScores_Scope3[[#Headers],[Data source]], 0)</f>
        <v/>
      </c>
    </row>
    <row r="157" spans="1:66" ht="20" customHeight="1" x14ac:dyDescent="0.25">
      <c r="A157" s="10"/>
      <c r="D157" s="17" t="str" cm="1">
        <f t="array" aca="1" ref="D157" ca="1">Common_InputFunctions.Utility_DisplayArrayInTable(Common_SourceData.Common_SourceData_DataScores_Scope3_Data(), Table_SourceData_DataScores_Scope3[[#Headers],[Data source]], 0)</f>
        <v/>
      </c>
      <c r="E157" s="17" t="str" cm="1">
        <f t="array" aca="1" ref="E157" ca="1">Common_InputFunctions.Utility_DisplayArrayInTable(Common_SourceData.Common_SourceData_DataScores_Scope3_Data(), Table_SourceData_DataScores_Scope3[[#Headers],[Data source]], 0)</f>
        <v/>
      </c>
    </row>
    <row r="158" spans="1:66" ht="20" customHeight="1" x14ac:dyDescent="0.25">
      <c r="A158" s="10"/>
      <c r="D158" s="17" t="str" cm="1">
        <f t="array" aca="1" ref="D158" ca="1">Common_InputFunctions.Utility_DisplayArrayInTable(Common_SourceData.Common_SourceData_DataScores_Scope3_Data(), Table_SourceData_DataScores_Scope3[[#Headers],[Data source]], 0)</f>
        <v/>
      </c>
      <c r="E158" s="17" t="str" cm="1">
        <f t="array" aca="1" ref="E158" ca="1">Common_InputFunctions.Utility_DisplayArrayInTable(Common_SourceData.Common_SourceData_DataScores_Scope3_Data(), Table_SourceData_DataScores_Scope3[[#Headers],[Data source]], 0)</f>
        <v/>
      </c>
    </row>
    <row r="159" spans="1:66" ht="20" customHeight="1" x14ac:dyDescent="0.25">
      <c r="A159" s="10"/>
    </row>
    <row r="160" spans="1:66" ht="20" customHeight="1" x14ac:dyDescent="0.25">
      <c r="A160" s="10"/>
    </row>
    <row r="161" spans="4:68" ht="20" customHeight="1" x14ac:dyDescent="0.25">
      <c r="D161" s="16" t="str" cm="1">
        <f t="array" ref="D161">Common_SourceData.Common_SourceData_FracLEACH_Title()</f>
        <v>Fraction of N that is available for leaching and runoff</v>
      </c>
      <c r="E161" s="21"/>
    </row>
    <row r="162" spans="4:68" ht="20" customHeight="1" x14ac:dyDescent="0.25">
      <c r="D162" s="18" t="str" cm="1">
        <f t="array" ref="D162">Common_SourceData.Common_SourceData_FracLEACH_Source()</f>
        <v>VEERG 2026:5.5.2.3 Constant Parameters</v>
      </c>
      <c r="E162" s="21"/>
    </row>
    <row r="163" spans="4:68" ht="20" customHeight="1" x14ac:dyDescent="0.25">
      <c r="D163" s="18" t="str" cm="1">
        <f t="array" ref="D163">Common_SourceData.Common_SourceData_FracLEACH_NIRReference()</f>
        <v>National Inventory Report Volume 1: Leaching and runoff (3.D.b.2)</v>
      </c>
      <c r="E163" s="21"/>
    </row>
    <row r="164" spans="4:68" ht="20" customHeight="1" x14ac:dyDescent="0.25">
      <c r="D164" s="21" t="str" cm="1">
        <f t="array" ref="D164:E164">Common_SourceData.Common_SourceData_FracLEACH_Data()</f>
        <v>FracLEACH</v>
      </c>
      <c r="E164" s="21">
        <v>0.24</v>
      </c>
    </row>
    <row r="165" spans="4:68" ht="20" customHeight="1" x14ac:dyDescent="0.25">
      <c r="BN165" s="11"/>
      <c r="BO165" s="11"/>
      <c r="BP165" s="11"/>
    </row>
    <row r="166" spans="4:68" ht="20" customHeight="1" x14ac:dyDescent="0.25">
      <c r="BN166" s="11"/>
      <c r="BO166" s="11"/>
      <c r="BP166" s="11"/>
    </row>
    <row r="167" spans="4:68" ht="20" customHeight="1" x14ac:dyDescent="0.25">
      <c r="D167" s="16" t="str" cm="1">
        <f t="array" ref="D167">Common_SourceData.Common_SourceData_EFleach_Title()</f>
        <v>Emission factor for nitrogen leaching and runoff</v>
      </c>
      <c r="BN167" s="11"/>
      <c r="BO167" s="11"/>
      <c r="BP167" s="11"/>
    </row>
    <row r="168" spans="4:68" ht="20" customHeight="1" x14ac:dyDescent="0.25">
      <c r="D168" s="18" t="str" cm="1">
        <f t="array" ref="D168">Common_SourceData.Common_SourceData_EFleach_Source()</f>
        <v>VEERG 2026:5.5.2.3 Constant Parameters</v>
      </c>
      <c r="BN168" s="11"/>
      <c r="BO168" s="11"/>
      <c r="BP168" s="11"/>
    </row>
    <row r="169" spans="4:68" ht="20" customHeight="1" x14ac:dyDescent="0.25">
      <c r="D169" s="18" t="str" cm="1">
        <f t="array" ref="D169">Common_SourceData.Common_SourceData_EFleach_NIRReference()</f>
        <v>National Inventory Report Volume 1: Equation 3.D.B_10</v>
      </c>
      <c r="BN169" s="11"/>
      <c r="BO169" s="11"/>
      <c r="BP169" s="11"/>
    </row>
    <row r="170" spans="4:68" ht="20" customHeight="1" x14ac:dyDescent="0.25">
      <c r="D170" s="15" t="str" cm="1">
        <f t="array" ref="D170:E170">Common_SourceData.Common_SourceData_EFleach_Data()</f>
        <v>EFleach</v>
      </c>
      <c r="E170" s="15">
        <v>1.0999999999999999E-2</v>
      </c>
      <c r="BN170" s="11"/>
      <c r="BO170" s="11"/>
      <c r="BP170" s="11"/>
    </row>
    <row r="171" spans="4:68" ht="20" customHeight="1" x14ac:dyDescent="0.25">
      <c r="BN171" s="11"/>
      <c r="BO171" s="11"/>
      <c r="BP171" s="11"/>
    </row>
    <row r="172" spans="4:68" ht="20" customHeight="1" x14ac:dyDescent="0.25">
      <c r="BN172" s="11"/>
      <c r="BO172" s="11"/>
      <c r="BP172" s="11"/>
    </row>
    <row r="173" spans="4:68" ht="20" customHeight="1" x14ac:dyDescent="0.25">
      <c r="D173" s="16" t="str" cm="1">
        <f t="array" ref="D173">Common_SourceData.Common_SourceData_DensityOfMethane_Title()</f>
        <v>p = density of methane</v>
      </c>
      <c r="BN173" s="11"/>
      <c r="BO173" s="11"/>
      <c r="BP173" s="11"/>
    </row>
    <row r="174" spans="4:68" ht="20" customHeight="1" x14ac:dyDescent="0.25">
      <c r="D174" s="18" t="str" cm="1">
        <f t="array" ref="D174">Common_SourceData.Common_SourceData_DensityOfMethane_Source()</f>
        <v>National Inventory Report 2023 Volume 1: Equations 3.B.1a_2, 3.B.1c_2, 3.B.3_1, 3.B.4g_2</v>
      </c>
      <c r="BN174" s="11"/>
      <c r="BO174" s="11"/>
      <c r="BP174" s="11"/>
    </row>
    <row r="175" spans="4:68" ht="20" customHeight="1" x14ac:dyDescent="0.25">
      <c r="D175" s="15" cm="1">
        <f t="array" ref="D175">Common_SourceData.Common_SourceData_DensityOfMethane_Data()</f>
        <v>0.6784</v>
      </c>
      <c r="E175" s="20" t="str" cm="1">
        <f t="array" ref="E175">Common_SourceData.Common_SourceData_DensityOfMethane_Unit()</f>
        <v>kg/m3</v>
      </c>
      <c r="BN175" s="11"/>
      <c r="BO175" s="11"/>
      <c r="BP175" s="11"/>
    </row>
    <row r="176" spans="4:68" ht="20" customHeight="1" x14ac:dyDescent="0.25">
      <c r="BN176" s="11"/>
      <c r="BO176" s="11"/>
      <c r="BP176" s="11"/>
    </row>
    <row r="177" spans="4:68" ht="20" customHeight="1" x14ac:dyDescent="0.25">
      <c r="BN177" s="11"/>
      <c r="BO177" s="11"/>
      <c r="BP177" s="11"/>
    </row>
    <row r="178" spans="4:68" ht="20" customHeight="1" x14ac:dyDescent="0.25">
      <c r="D178" s="16" t="str" cm="1">
        <f t="array" ref="D178">Common_SourceData.Common_SourceData_EFN2O_Title()</f>
        <v>Nitrous oxide emission factors for inorganic fertiliser application</v>
      </c>
      <c r="BN178" s="11"/>
      <c r="BO178" s="11"/>
      <c r="BP178" s="11"/>
    </row>
    <row r="179" spans="4:68" ht="20" customHeight="1" x14ac:dyDescent="0.25">
      <c r="D179" s="18" t="str" cm="1">
        <f t="array" ref="D179">Common_SourceData.Common_SourceData_EFN2O_Source()</f>
        <v>VEERG 2026: Table A.2.2.1</v>
      </c>
      <c r="BN179" s="11"/>
      <c r="BO179" s="11"/>
      <c r="BP179" s="11"/>
    </row>
    <row r="180" spans="4:68" ht="20" customHeight="1" x14ac:dyDescent="0.25">
      <c r="D180" s="20" t="str" cm="1">
        <f t="array" ref="D180">Common_SourceData.Common_SourceData_EFN2O_Unit()</f>
        <v>(kg N2O-N / kg N</v>
      </c>
    </row>
    <row r="181" spans="4:68" ht="20" customHeight="1" x14ac:dyDescent="0.25">
      <c r="D181" s="19" t="str" cm="1">
        <f t="array" ref="D181:D185">Common_SourceData.Common_SourceData_EFN2O_Variation()</f>
        <v>VARIATION OF SOURCE DATA:</v>
      </c>
    </row>
    <row r="182" spans="4:68" ht="20" customHeight="1" x14ac:dyDescent="0.25">
      <c r="D182" s="19" t="str">
        <v>Removed duplicate 'Aquaculture' row.</v>
      </c>
    </row>
    <row r="183" spans="4:68" ht="20" customHeight="1" x14ac:dyDescent="0.25">
      <c r="D183" s="19" t="str">
        <v>Removed asterisks to aid lookup.</v>
      </c>
    </row>
    <row r="184" spans="4:68" ht="20" customHeight="1" x14ac:dyDescent="0.25">
      <c r="D184" s="19" t="str">
        <v>Added 'production system only', 'rainfall zone' and 'irrigation method' columns to aid lookup.</v>
      </c>
    </row>
    <row r="185" spans="4:68" ht="20" customHeight="1" x14ac:dyDescent="0.25">
      <c r="D185" s="19" t="str">
        <v>Duplicated 'non-irrigated pasture' row with same EF for low and high rainfall zones to aid lookup.</v>
      </c>
    </row>
    <row r="186" spans="4:68" ht="20" customHeight="1" x14ac:dyDescent="0.25">
      <c r="D186" s="17" t="s">
        <v>53</v>
      </c>
      <c r="E186" s="17" t="s">
        <v>54</v>
      </c>
      <c r="F186" s="17" t="s">
        <v>55</v>
      </c>
      <c r="G186" s="17" t="s">
        <v>56</v>
      </c>
      <c r="H186" s="17" t="s">
        <v>57</v>
      </c>
    </row>
    <row r="187" spans="4:68" ht="20" customHeight="1" x14ac:dyDescent="0.25">
      <c r="D187" s="17" t="str" cm="1">
        <f t="array" aca="1" ref="D187" ca="1">Common_InputFunctions.Utility_DisplayArrayInTable(Common_SourceData.Common_SourceData_EFN2O_Data(), Table_SourceData_Common_EFN2O[[#Headers],[Production system j]], 0)</f>
        <v/>
      </c>
      <c r="E187" s="17" t="str" cm="1">
        <f t="array" aca="1" ref="E187" ca="1">Common_InputFunctions.Utility_DisplayArrayInTable(Common_SourceData.Common_SourceData_EFN2O_Data(), Table_SourceData_Common_EFN2O[[#Headers],[Production system j]], 0)</f>
        <v/>
      </c>
      <c r="F187" s="17" t="str" cm="1">
        <f t="array" aca="1" ref="F187" ca="1">Common_InputFunctions.Utility_DisplayArrayInTable(Common_SourceData.Common_SourceData_EFN2O_Data(), Table_SourceData_Common_EFN2O[[#Headers],[Production system j]], 0)</f>
        <v/>
      </c>
      <c r="G187" s="17" t="str" cm="1">
        <f t="array" aca="1" ref="G187" ca="1">Common_InputFunctions.Utility_DisplayArrayInTable(Common_SourceData.Common_SourceData_EFN2O_Data(), Table_SourceData_Common_EFN2O[[#Headers],[Production system j]], 0)</f>
        <v/>
      </c>
      <c r="H187" s="17" t="str" cm="1">
        <f t="array" aca="1" ref="H187" ca="1">Common_InputFunctions.Utility_DisplayArrayInTable(Common_SourceData.Common_SourceData_EFN2O_Data(), Table_SourceData_Common_EFN2O[[#Headers],[Production system j]], 0)</f>
        <v/>
      </c>
    </row>
    <row r="188" spans="4:68" ht="20" customHeight="1" x14ac:dyDescent="0.25">
      <c r="D188" s="17" t="str" cm="1">
        <f t="array" aca="1" ref="D188" ca="1">Common_InputFunctions.Utility_DisplayArrayInTable(Common_SourceData.Common_SourceData_EFN2O_Data(), Table_SourceData_Common_EFN2O[[#Headers],[Production system j]], 0)</f>
        <v/>
      </c>
      <c r="E188" s="17" t="str" cm="1">
        <f t="array" aca="1" ref="E188" ca="1">Common_InputFunctions.Utility_DisplayArrayInTable(Common_SourceData.Common_SourceData_EFN2O_Data(), Table_SourceData_Common_EFN2O[[#Headers],[Production system j]], 0)</f>
        <v/>
      </c>
      <c r="F188" s="17" t="str" cm="1">
        <f t="array" aca="1" ref="F188" ca="1">Common_InputFunctions.Utility_DisplayArrayInTable(Common_SourceData.Common_SourceData_EFN2O_Data(), Table_SourceData_Common_EFN2O[[#Headers],[Production system j]], 0)</f>
        <v/>
      </c>
      <c r="G188" s="17" t="str" cm="1">
        <f t="array" aca="1" ref="G188" ca="1">Common_InputFunctions.Utility_DisplayArrayInTable(Common_SourceData.Common_SourceData_EFN2O_Data(), Table_SourceData_Common_EFN2O[[#Headers],[Production system j]], 0)</f>
        <v/>
      </c>
      <c r="H188" s="17" t="str" cm="1">
        <f t="array" aca="1" ref="H188" ca="1">Common_InputFunctions.Utility_DisplayArrayInTable(Common_SourceData.Common_SourceData_EFN2O_Data(), Table_SourceData_Common_EFN2O[[#Headers],[Production system j]], 0)</f>
        <v/>
      </c>
    </row>
    <row r="189" spans="4:68" ht="20" customHeight="1" x14ac:dyDescent="0.25">
      <c r="D189" s="17" t="str" cm="1">
        <f t="array" aca="1" ref="D189" ca="1">Common_InputFunctions.Utility_DisplayArrayInTable(Common_SourceData.Common_SourceData_EFN2O_Data(), Table_SourceData_Common_EFN2O[[#Headers],[Production system j]], 0)</f>
        <v/>
      </c>
      <c r="E189" s="17" t="str" cm="1">
        <f t="array" aca="1" ref="E189" ca="1">Common_InputFunctions.Utility_DisplayArrayInTable(Common_SourceData.Common_SourceData_EFN2O_Data(), Table_SourceData_Common_EFN2O[[#Headers],[Production system j]], 0)</f>
        <v/>
      </c>
      <c r="F189" s="17" t="str" cm="1">
        <f t="array" aca="1" ref="F189" ca="1">Common_InputFunctions.Utility_DisplayArrayInTable(Common_SourceData.Common_SourceData_EFN2O_Data(), Table_SourceData_Common_EFN2O[[#Headers],[Production system j]], 0)</f>
        <v/>
      </c>
      <c r="G189" s="17" t="str" cm="1">
        <f t="array" aca="1" ref="G189" ca="1">Common_InputFunctions.Utility_DisplayArrayInTable(Common_SourceData.Common_SourceData_EFN2O_Data(), Table_SourceData_Common_EFN2O[[#Headers],[Production system j]], 0)</f>
        <v/>
      </c>
      <c r="H189" s="17" t="str" cm="1">
        <f t="array" aca="1" ref="H189" ca="1">Common_InputFunctions.Utility_DisplayArrayInTable(Common_SourceData.Common_SourceData_EFN2O_Data(), Table_SourceData_Common_EFN2O[[#Headers],[Production system j]], 0)</f>
        <v/>
      </c>
    </row>
    <row r="190" spans="4:68" ht="20" customHeight="1" x14ac:dyDescent="0.25">
      <c r="D190" s="17" t="str" cm="1">
        <f t="array" aca="1" ref="D190" ca="1">Common_InputFunctions.Utility_DisplayArrayInTable(Common_SourceData.Common_SourceData_EFN2O_Data(), Table_SourceData_Common_EFN2O[[#Headers],[Production system j]], 0)</f>
        <v/>
      </c>
      <c r="E190" s="17" t="str" cm="1">
        <f t="array" aca="1" ref="E190" ca="1">Common_InputFunctions.Utility_DisplayArrayInTable(Common_SourceData.Common_SourceData_EFN2O_Data(), Table_SourceData_Common_EFN2O[[#Headers],[Production system j]], 0)</f>
        <v/>
      </c>
      <c r="F190" s="17" t="str" cm="1">
        <f t="array" aca="1" ref="F190" ca="1">Common_InputFunctions.Utility_DisplayArrayInTable(Common_SourceData.Common_SourceData_EFN2O_Data(), Table_SourceData_Common_EFN2O[[#Headers],[Production system j]], 0)</f>
        <v/>
      </c>
      <c r="G190" s="17" t="str" cm="1">
        <f t="array" aca="1" ref="G190" ca="1">Common_InputFunctions.Utility_DisplayArrayInTable(Common_SourceData.Common_SourceData_EFN2O_Data(), Table_SourceData_Common_EFN2O[[#Headers],[Production system j]], 0)</f>
        <v/>
      </c>
      <c r="H190" s="17" t="str" cm="1">
        <f t="array" aca="1" ref="H190" ca="1">Common_InputFunctions.Utility_DisplayArrayInTable(Common_SourceData.Common_SourceData_EFN2O_Data(), Table_SourceData_Common_EFN2O[[#Headers],[Production system j]], 0)</f>
        <v/>
      </c>
    </row>
    <row r="191" spans="4:68" ht="20" customHeight="1" x14ac:dyDescent="0.25">
      <c r="D191" s="17" t="str" cm="1">
        <f t="array" aca="1" ref="D191" ca="1">Common_InputFunctions.Utility_DisplayArrayInTable(Common_SourceData.Common_SourceData_EFN2O_Data(), Table_SourceData_Common_EFN2O[[#Headers],[Production system j]], 0)</f>
        <v/>
      </c>
      <c r="E191" s="17" t="str" cm="1">
        <f t="array" aca="1" ref="E191" ca="1">Common_InputFunctions.Utility_DisplayArrayInTable(Common_SourceData.Common_SourceData_EFN2O_Data(), Table_SourceData_Common_EFN2O[[#Headers],[Production system j]], 0)</f>
        <v/>
      </c>
      <c r="F191" s="17" t="str" cm="1">
        <f t="array" aca="1" ref="F191" ca="1">Common_InputFunctions.Utility_DisplayArrayInTable(Common_SourceData.Common_SourceData_EFN2O_Data(), Table_SourceData_Common_EFN2O[[#Headers],[Production system j]], 0)</f>
        <v/>
      </c>
      <c r="G191" s="17" t="str" cm="1">
        <f t="array" aca="1" ref="G191" ca="1">Common_InputFunctions.Utility_DisplayArrayInTable(Common_SourceData.Common_SourceData_EFN2O_Data(), Table_SourceData_Common_EFN2O[[#Headers],[Production system j]], 0)</f>
        <v/>
      </c>
      <c r="H191" s="17" t="str" cm="1">
        <f t="array" aca="1" ref="H191" ca="1">Common_InputFunctions.Utility_DisplayArrayInTable(Common_SourceData.Common_SourceData_EFN2O_Data(), Table_SourceData_Common_EFN2O[[#Headers],[Production system j]], 0)</f>
        <v/>
      </c>
    </row>
    <row r="192" spans="4:68" ht="20" customHeight="1" x14ac:dyDescent="0.25">
      <c r="D192" s="17" t="str" cm="1">
        <f t="array" aca="1" ref="D192" ca="1">Common_InputFunctions.Utility_DisplayArrayInTable(Common_SourceData.Common_SourceData_EFN2O_Data(), Table_SourceData_Common_EFN2O[[#Headers],[Production system j]], 0)</f>
        <v/>
      </c>
      <c r="E192" s="17" t="str" cm="1">
        <f t="array" aca="1" ref="E192" ca="1">Common_InputFunctions.Utility_DisplayArrayInTable(Common_SourceData.Common_SourceData_EFN2O_Data(), Table_SourceData_Common_EFN2O[[#Headers],[Production system j]], 0)</f>
        <v/>
      </c>
      <c r="F192" s="17" t="str" cm="1">
        <f t="array" aca="1" ref="F192" ca="1">Common_InputFunctions.Utility_DisplayArrayInTable(Common_SourceData.Common_SourceData_EFN2O_Data(), Table_SourceData_Common_EFN2O[[#Headers],[Production system j]], 0)</f>
        <v/>
      </c>
      <c r="G192" s="17" t="str" cm="1">
        <f t="array" aca="1" ref="G192" ca="1">Common_InputFunctions.Utility_DisplayArrayInTable(Common_SourceData.Common_SourceData_EFN2O_Data(), Table_SourceData_Common_EFN2O[[#Headers],[Production system j]], 0)</f>
        <v/>
      </c>
      <c r="H192" s="17" t="str" cm="1">
        <f t="array" aca="1" ref="H192" ca="1">Common_InputFunctions.Utility_DisplayArrayInTable(Common_SourceData.Common_SourceData_EFN2O_Data(), Table_SourceData_Common_EFN2O[[#Headers],[Production system j]], 0)</f>
        <v/>
      </c>
    </row>
    <row r="193" spans="4:8" ht="20" customHeight="1" x14ac:dyDescent="0.25">
      <c r="D193" s="17" t="str" cm="1">
        <f t="array" aca="1" ref="D193" ca="1">Common_InputFunctions.Utility_DisplayArrayInTable(Common_SourceData.Common_SourceData_EFN2O_Data(), Table_SourceData_Common_EFN2O[[#Headers],[Production system j]], 0)</f>
        <v/>
      </c>
      <c r="E193" s="17" t="str" cm="1">
        <f t="array" aca="1" ref="E193" ca="1">Common_InputFunctions.Utility_DisplayArrayInTable(Common_SourceData.Common_SourceData_EFN2O_Data(), Table_SourceData_Common_EFN2O[[#Headers],[Production system j]], 0)</f>
        <v/>
      </c>
      <c r="F193" s="17" t="str" cm="1">
        <f t="array" aca="1" ref="F193" ca="1">Common_InputFunctions.Utility_DisplayArrayInTable(Common_SourceData.Common_SourceData_EFN2O_Data(), Table_SourceData_Common_EFN2O[[#Headers],[Production system j]], 0)</f>
        <v/>
      </c>
      <c r="G193" s="17" t="str" cm="1">
        <f t="array" aca="1" ref="G193" ca="1">Common_InputFunctions.Utility_DisplayArrayInTable(Common_SourceData.Common_SourceData_EFN2O_Data(), Table_SourceData_Common_EFN2O[[#Headers],[Production system j]], 0)</f>
        <v/>
      </c>
      <c r="H193" s="17" t="str" cm="1">
        <f t="array" aca="1" ref="H193" ca="1">Common_InputFunctions.Utility_DisplayArrayInTable(Common_SourceData.Common_SourceData_EFN2O_Data(), Table_SourceData_Common_EFN2O[[#Headers],[Production system j]], 0)</f>
        <v/>
      </c>
    </row>
    <row r="194" spans="4:8" ht="20" customHeight="1" x14ac:dyDescent="0.25">
      <c r="D194" s="17" t="str" cm="1">
        <f t="array" aca="1" ref="D194" ca="1">Common_InputFunctions.Utility_DisplayArrayInTable(Common_SourceData.Common_SourceData_EFN2O_Data(), Table_SourceData_Common_EFN2O[[#Headers],[Production system j]], 0)</f>
        <v/>
      </c>
      <c r="E194" s="17" t="str" cm="1">
        <f t="array" aca="1" ref="E194" ca="1">Common_InputFunctions.Utility_DisplayArrayInTable(Common_SourceData.Common_SourceData_EFN2O_Data(), Table_SourceData_Common_EFN2O[[#Headers],[Production system j]], 0)</f>
        <v/>
      </c>
      <c r="F194" s="17" t="str" cm="1">
        <f t="array" aca="1" ref="F194" ca="1">Common_InputFunctions.Utility_DisplayArrayInTable(Common_SourceData.Common_SourceData_EFN2O_Data(), Table_SourceData_Common_EFN2O[[#Headers],[Production system j]], 0)</f>
        <v/>
      </c>
      <c r="G194" s="17" t="str" cm="1">
        <f t="array" aca="1" ref="G194" ca="1">Common_InputFunctions.Utility_DisplayArrayInTable(Common_SourceData.Common_SourceData_EFN2O_Data(), Table_SourceData_Common_EFN2O[[#Headers],[Production system j]], 0)</f>
        <v/>
      </c>
      <c r="H194" s="17" t="str" cm="1">
        <f t="array" aca="1" ref="H194" ca="1">Common_InputFunctions.Utility_DisplayArrayInTable(Common_SourceData.Common_SourceData_EFN2O_Data(), Table_SourceData_Common_EFN2O[[#Headers],[Production system j]], 0)</f>
        <v/>
      </c>
    </row>
    <row r="195" spans="4:8" ht="20" customHeight="1" x14ac:dyDescent="0.25">
      <c r="D195" s="17" t="str" cm="1">
        <f t="array" aca="1" ref="D195" ca="1">Common_InputFunctions.Utility_DisplayArrayInTable(Common_SourceData.Common_SourceData_EFN2O_Data(), Table_SourceData_Common_EFN2O[[#Headers],[Production system j]], 0)</f>
        <v/>
      </c>
      <c r="E195" s="17" t="str" cm="1">
        <f t="array" aca="1" ref="E195" ca="1">Common_InputFunctions.Utility_DisplayArrayInTable(Common_SourceData.Common_SourceData_EFN2O_Data(), Table_SourceData_Common_EFN2O[[#Headers],[Production system j]], 0)</f>
        <v/>
      </c>
      <c r="F195" s="17" t="str" cm="1">
        <f t="array" aca="1" ref="F195" ca="1">Common_InputFunctions.Utility_DisplayArrayInTable(Common_SourceData.Common_SourceData_EFN2O_Data(), Table_SourceData_Common_EFN2O[[#Headers],[Production system j]], 0)</f>
        <v/>
      </c>
      <c r="G195" s="17" t="str" cm="1">
        <f t="array" aca="1" ref="G195" ca="1">Common_InputFunctions.Utility_DisplayArrayInTable(Common_SourceData.Common_SourceData_EFN2O_Data(), Table_SourceData_Common_EFN2O[[#Headers],[Production system j]], 0)</f>
        <v/>
      </c>
      <c r="H195" s="17" t="str" cm="1">
        <f t="array" aca="1" ref="H195" ca="1">Common_InputFunctions.Utility_DisplayArrayInTable(Common_SourceData.Common_SourceData_EFN2O_Data(), Table_SourceData_Common_EFN2O[[#Headers],[Production system j]], 0)</f>
        <v/>
      </c>
    </row>
    <row r="196" spans="4:8" ht="20" customHeight="1" x14ac:dyDescent="0.25">
      <c r="D196" s="17" t="str" cm="1">
        <f t="array" aca="1" ref="D196" ca="1">Common_InputFunctions.Utility_DisplayArrayInTable(Common_SourceData.Common_SourceData_EFN2O_Data(), Table_SourceData_Common_EFN2O[[#Headers],[Production system j]], 0)</f>
        <v/>
      </c>
      <c r="E196" s="17" t="str" cm="1">
        <f t="array" aca="1" ref="E196" ca="1">Common_InputFunctions.Utility_DisplayArrayInTable(Common_SourceData.Common_SourceData_EFN2O_Data(), Table_SourceData_Common_EFN2O[[#Headers],[Production system j]], 0)</f>
        <v/>
      </c>
      <c r="F196" s="17" t="str" cm="1">
        <f t="array" aca="1" ref="F196" ca="1">Common_InputFunctions.Utility_DisplayArrayInTable(Common_SourceData.Common_SourceData_EFN2O_Data(), Table_SourceData_Common_EFN2O[[#Headers],[Production system j]], 0)</f>
        <v/>
      </c>
      <c r="G196" s="17" t="str" cm="1">
        <f t="array" aca="1" ref="G196" ca="1">Common_InputFunctions.Utility_DisplayArrayInTable(Common_SourceData.Common_SourceData_EFN2O_Data(), Table_SourceData_Common_EFN2O[[#Headers],[Production system j]], 0)</f>
        <v/>
      </c>
      <c r="H196" s="17" t="str" cm="1">
        <f t="array" aca="1" ref="H196" ca="1">Common_InputFunctions.Utility_DisplayArrayInTable(Common_SourceData.Common_SourceData_EFN2O_Data(), Table_SourceData_Common_EFN2O[[#Headers],[Production system j]], 0)</f>
        <v/>
      </c>
    </row>
    <row r="197" spans="4:8" x14ac:dyDescent="0.25" ht="20" customHeight="1">
      <c r="D197" s="17" t="str" cm="1">
        <f t="array" aca="1" ref="D197" ca="1">Common_InputFunctions.Utility_DisplayArrayInTable(Common_SourceData.Common_SourceData_EFN2O_Data(), Table_SourceData_Common_EFN2O[[#Headers],[Production system j]], 0)</f>
        <v/>
      </c>
      <c r="E197" s="17" t="str" cm="1">
        <f t="array" aca="1" ref="E197" ca="1">Common_InputFunctions.Utility_DisplayArrayInTable(Common_SourceData.Common_SourceData_EFN2O_Data(), Table_SourceData_Common_EFN2O[[#Headers],[Production system j]], 0)</f>
        <v/>
      </c>
      <c r="F197" s="17" t="str" cm="1">
        <f t="array" aca="1" ref="F197" ca="1">Common_InputFunctions.Utility_DisplayArrayInTable(Common_SourceData.Common_SourceData_EFN2O_Data(), Table_SourceData_Common_EFN2O[[#Headers],[Production system j]], 0)</f>
        <v/>
      </c>
      <c r="G197" s="17" t="str" cm="1">
        <f t="array" aca="1" ref="G197" ca="1">Common_InputFunctions.Utility_DisplayArrayInTable(Common_SourceData.Common_SourceData_EFN2O_Data(), Table_SourceData_Common_EFN2O[[#Headers],[Production system j]], 0)</f>
        <v/>
      </c>
      <c r="H197" s="17" t="str" cm="1">
        <f t="array" aca="1" ref="H197" ca="1">Common_InputFunctions.Utility_DisplayArrayInTable(Common_SourceData.Common_SourceData_EFN2O_Data(), Table_SourceData_Common_EFN2O[[#Headers],[Production system j]], 0)</f>
        <v/>
      </c>
    </row>
    <row r="198" spans="4:8" x14ac:dyDescent="0.25" ht="20" customHeight="1">
      <c r="D198" s="17" t="str" cm="1">
        <f t="array" aca="1" ref="D198" ca="1">Common_InputFunctions.Utility_DisplayArrayInTable(Common_SourceData.Common_SourceData_EFN2O_Data(), Table_SourceData_Common_EFN2O[[#Headers],[Production system j]], 0)</f>
        <v/>
      </c>
      <c r="E198" s="17" t="str" cm="1">
        <f t="array" aca="1" ref="E198" ca="1">Common_InputFunctions.Utility_DisplayArrayInTable(Common_SourceData.Common_SourceData_EFN2O_Data(), Table_SourceData_Common_EFN2O[[#Headers],[Production system j]], 0)</f>
        <v/>
      </c>
      <c r="F198" s="17" t="str" cm="1">
        <f t="array" aca="1" ref="F198" ca="1">Common_InputFunctions.Utility_DisplayArrayInTable(Common_SourceData.Common_SourceData_EFN2O_Data(), Table_SourceData_Common_EFN2O[[#Headers],[Production system j]], 0)</f>
        <v/>
      </c>
      <c r="G198" s="17" t="str" cm="1">
        <f t="array" aca="1" ref="G198" ca="1">Common_InputFunctions.Utility_DisplayArrayInTable(Common_SourceData.Common_SourceData_EFN2O_Data(), Table_SourceData_Common_EFN2O[[#Headers],[Production system j]], 0)</f>
        <v/>
      </c>
      <c r="H198" s="17" t="str" cm="1">
        <f t="array" aca="1" ref="H198" ca="1">Common_InputFunctions.Utility_DisplayArrayInTable(Common_SourceData.Common_SourceData_EFN2O_Data(), Table_SourceData_Common_EFN2O[[#Headers],[Production system j]], 0)</f>
        <v/>
      </c>
    </row>
    <row r="199" spans="4:8" x14ac:dyDescent="0.25" ht="20" customHeight="1">
      <c r="D199" s="17" t="str" cm="1">
        <f t="array" aca="1" ref="D199" ca="1">Common_InputFunctions.Utility_DisplayArrayInTable(Common_SourceData.Common_SourceData_EFN2O_Data(), Table_SourceData_Common_EFN2O[[#Headers],[Production system j]], 0)</f>
        <v/>
      </c>
      <c r="E199" s="17" t="str" cm="1">
        <f t="array" aca="1" ref="E199" ca="1">Common_InputFunctions.Utility_DisplayArrayInTable(Common_SourceData.Common_SourceData_EFN2O_Data(), Table_SourceData_Common_EFN2O[[#Headers],[Production system j]], 0)</f>
        <v/>
      </c>
      <c r="F199" s="17" t="str" cm="1">
        <f t="array" aca="1" ref="F199" ca="1">Common_InputFunctions.Utility_DisplayArrayInTable(Common_SourceData.Common_SourceData_EFN2O_Data(), Table_SourceData_Common_EFN2O[[#Headers],[Production system j]], 0)</f>
        <v/>
      </c>
      <c r="G199" s="17" t="str" cm="1">
        <f t="array" aca="1" ref="G199" ca="1">Common_InputFunctions.Utility_DisplayArrayInTable(Common_SourceData.Common_SourceData_EFN2O_Data(), Table_SourceData_Common_EFN2O[[#Headers],[Production system j]], 0)</f>
        <v/>
      </c>
      <c r="H199" s="17" t="str" cm="1">
        <f t="array" aca="1" ref="H199" ca="1">Common_InputFunctions.Utility_DisplayArrayInTable(Common_SourceData.Common_SourceData_EFN2O_Data(), Table_SourceData_Common_EFN2O[[#Headers],[Production system j]], 0)</f>
        <v/>
      </c>
    </row>
    <row r="202" spans="4:8" ht="20" x14ac:dyDescent="0.25" customHeight="1">
      <c r="D202" s="16" t="str" cm="1">
        <f t="array" ref="D202">Common_SourceData.Common_SourceData_EFPastureRangeAndPaddock_Title()</f>
        <v>Emission factor for urine and dung deposited on pasture, range or paddock</v>
      </c>
    </row>
    <row r="203" spans="4:8" x14ac:dyDescent="0.25" ht="20" customHeight="1">
      <c r="D203" s="18" t="str" cm="1">
        <f t="array" ref="D203">Common_SourceData.Common_SourceData_EFPastureRangeAndPaddock_Source()</f>
        <v>VEERG 2026: Table A.2.2.2</v>
      </c>
    </row>
    <row r="204" spans="4:8" x14ac:dyDescent="0.25" ht="20" customHeight="1">
      <c r="D204" s="19" t="str" cm="1">
        <f t="array" ref="D204">Common_SourceData.Common_SourceData_EFPastureRangeAndPaddock_Variation()</f>
        <v>VARIATION FROM SOURCE DATA: Changed 'Dry climate zones' to singular 'Dry climate zone' to aid lookup.</v>
      </c>
    </row>
    <row r="205" spans="4:8" x14ac:dyDescent="0.25" ht="20" customHeight="1">
      <c r="D205" s="20" t="str" cm="1">
        <f t="array" ref="D205">Common_SourceData.Common_SourceData_EFPastureRangeAndPaddock_Unit()</f>
        <v>kg N2O - N / kg N</v>
      </c>
    </row>
    <row r="206" spans="4:8" x14ac:dyDescent="0.25" ht="20" customHeight="1">
      <c r="D206" s="17" t="s">
        <v>24</v>
      </c>
      <c r="E206" s="17" t="s">
        <v>58</v>
      </c>
    </row>
    <row r="207" spans="4:8" x14ac:dyDescent="0.25" ht="20" customHeight="1">
      <c r="D207" s="17" t="str" cm="1">
        <f t="array" aca="1" ref="D207" ca="1">Common_InputFunctions.Utility_DisplayArrayInTable(Common_SourceData.Common_SourceData_EFPastureRangeAndPaddock_Data(), Table_SourceData_EFPastureRangeAndPaddock[[#Headers],[Climate zone]], 0)</f>
        <v/>
      </c>
      <c r="E207" s="17" t="str" cm="1">
        <f t="array" aca="1" ref="E207" ca="1">Common_InputFunctions.Utility_DisplayArrayInTable(Common_SourceData.Common_SourceData_EFPastureRangeAndPaddock_Data(), Table_SourceData_EFPastureRangeAndPaddock[[#Headers],[Climate zone]], 0)</f>
        <v/>
      </c>
    </row>
    <row r="208" spans="4:8" x14ac:dyDescent="0.25" ht="20" customHeight="1">
      <c r="D208" s="15" t="str" cm="1">
        <f t="array" aca="1" ref="D208" ca="1">Common_InputFunctions.Utility_DisplayArrayInTable(Common_SourceData.Common_SourceData_EFPastureRangeAndPaddock_Data(), Table_SourceData_EFPastureRangeAndPaddock[[#Headers],[Climate zone]], 0)</f>
        <v/>
      </c>
      <c r="E208" s="17" t="str" cm="1">
        <f t="array" aca="1" ref="E208" ca="1">Common_InputFunctions.Utility_DisplayArrayInTable(Common_SourceData.Common_SourceData_EFPastureRangeAndPaddock_Data(), Table_SourceData_EFPastureRangeAndPaddock[[#Headers],[Climate zone]], 0)</f>
        <v/>
      </c>
    </row>
    <row r="211" spans="4:5" x14ac:dyDescent="0.25" ht="20" customHeight="1">
      <c r="D211" s="15" t="str" cm="1">
        <f t="array" ref="D211">Common_SourceData.Common_SourceData_MonthsToSeasons_Title()</f>
        <v>Months to Seasons Mapping</v>
      </c>
    </row>
    <row r="212" spans="4:5" x14ac:dyDescent="0.25" ht="20" customHeight="1">
      <c r="D212" s="17" t="s">
        <v>59</v>
      </c>
      <c r="E212" s="17" t="s">
        <v>60</v>
      </c>
    </row>
    <row r="213" spans="4:5" x14ac:dyDescent="0.25" ht="20" customHeight="1">
      <c r="D213" s="17" t="str" cm="1">
        <f t="array" aca="1" ref="D213" ca="1">Common_InputFunctions.Utility_DisplayArrayInTable(Common_SourceData.Common_SourceData_MonthsToSeasons_Data(), Table_SourceData_Common_MonthToSeason[[#Headers],[Month]], 0)</f>
        <v/>
      </c>
      <c r="E213" s="17" t="str" cm="1">
        <f t="array" aca="1" ref="E213" ca="1">Common_InputFunctions.Utility_DisplayArrayInTable(Common_SourceData.Common_SourceData_MonthsToSeasons_Data(), Table_SourceData_Common_MonthToSeason[[#Headers],[Month]], 0)</f>
        <v/>
      </c>
    </row>
    <row r="214" spans="4:5" x14ac:dyDescent="0.25" ht="20" customHeight="1">
      <c r="D214" s="15" t="str" cm="1">
        <f t="array" aca="1" ref="D214" ca="1">Common_InputFunctions.Utility_DisplayArrayInTable(Common_SourceData.Common_SourceData_MonthsToSeasons_Data(), Table_SourceData_Common_MonthToSeason[[#Headers],[Month]], 0)</f>
        <v/>
      </c>
      <c r="E214" s="17" t="str" cm="1">
        <f t="array" aca="1" ref="E214" ca="1">Common_InputFunctions.Utility_DisplayArrayInTable(Common_SourceData.Common_SourceData_MonthsToSeasons_Data(), Table_SourceData_Common_MonthToSeason[[#Headers],[Month]], 0)</f>
        <v/>
      </c>
    </row>
    <row r="215" spans="4:5" x14ac:dyDescent="0.25" ht="20" customHeight="1">
      <c r="D215" s="15" t="str" cm="1">
        <f t="array" aca="1" ref="D215" ca="1">Common_InputFunctions.Utility_DisplayArrayInTable(Common_SourceData.Common_SourceData_MonthsToSeasons_Data(), Table_SourceData_Common_MonthToSeason[[#Headers],[Month]], 0)</f>
        <v/>
      </c>
      <c r="E215" s="17" t="str" cm="1">
        <f t="array" aca="1" ref="E215" ca="1">Common_InputFunctions.Utility_DisplayArrayInTable(Common_SourceData.Common_SourceData_MonthsToSeasons_Data(), Table_SourceData_Common_MonthToSeason[[#Headers],[Month]], 0)</f>
        <v/>
      </c>
    </row>
    <row r="216" spans="4:5" x14ac:dyDescent="0.25" ht="20" customHeight="1">
      <c r="D216" s="15" t="str" cm="1">
        <f t="array" aca="1" ref="D216" ca="1">Common_InputFunctions.Utility_DisplayArrayInTable(Common_SourceData.Common_SourceData_MonthsToSeasons_Data(), Table_SourceData_Common_MonthToSeason[[#Headers],[Month]], 0)</f>
        <v/>
      </c>
      <c r="E216" s="17" t="str" cm="1">
        <f t="array" aca="1" ref="E216" ca="1">Common_InputFunctions.Utility_DisplayArrayInTable(Common_SourceData.Common_SourceData_MonthsToSeasons_Data(), Table_SourceData_Common_MonthToSeason[[#Headers],[Month]], 0)</f>
        <v/>
      </c>
    </row>
    <row r="217" spans="4:5" x14ac:dyDescent="0.25" ht="20" customHeight="1">
      <c r="D217" s="15" t="str" cm="1">
        <f t="array" aca="1" ref="D217" ca="1">Common_InputFunctions.Utility_DisplayArrayInTable(Common_SourceData.Common_SourceData_MonthsToSeasons_Data(), Table_SourceData_Common_MonthToSeason[[#Headers],[Month]], 0)</f>
        <v/>
      </c>
      <c r="E217" s="17" t="str" cm="1">
        <f t="array" aca="1" ref="E217" ca="1">Common_InputFunctions.Utility_DisplayArrayInTable(Common_SourceData.Common_SourceData_MonthsToSeasons_Data(), Table_SourceData_Common_MonthToSeason[[#Headers],[Month]], 0)</f>
        <v/>
      </c>
    </row>
    <row r="218" spans="4:5" x14ac:dyDescent="0.25" ht="20" customHeight="1">
      <c r="D218" s="15" t="str" cm="1">
        <f t="array" aca="1" ref="D218" ca="1">Common_InputFunctions.Utility_DisplayArrayInTable(Common_SourceData.Common_SourceData_MonthsToSeasons_Data(), Table_SourceData_Common_MonthToSeason[[#Headers],[Month]], 0)</f>
        <v/>
      </c>
      <c r="E218" s="17" t="str" cm="1">
        <f t="array" aca="1" ref="E218" ca="1">Common_InputFunctions.Utility_DisplayArrayInTable(Common_SourceData.Common_SourceData_MonthsToSeasons_Data(), Table_SourceData_Common_MonthToSeason[[#Headers],[Month]], 0)</f>
        <v/>
      </c>
    </row>
    <row r="219" spans="4:5" x14ac:dyDescent="0.25" ht="20" customHeight="1">
      <c r="D219" s="15" t="str" cm="1">
        <f t="array" aca="1" ref="D219" ca="1">Common_InputFunctions.Utility_DisplayArrayInTable(Common_SourceData.Common_SourceData_MonthsToSeasons_Data(), Table_SourceData_Common_MonthToSeason[[#Headers],[Month]], 0)</f>
        <v/>
      </c>
      <c r="E219" s="17" t="str" cm="1">
        <f t="array" aca="1" ref="E219" ca="1">Common_InputFunctions.Utility_DisplayArrayInTable(Common_SourceData.Common_SourceData_MonthsToSeasons_Data(), Table_SourceData_Common_MonthToSeason[[#Headers],[Month]], 0)</f>
        <v/>
      </c>
    </row>
    <row r="220" spans="4:5" x14ac:dyDescent="0.25" ht="20" customHeight="1">
      <c r="D220" s="15" t="str" cm="1">
        <f t="array" aca="1" ref="D220" ca="1">Common_InputFunctions.Utility_DisplayArrayInTable(Common_SourceData.Common_SourceData_MonthsToSeasons_Data(), Table_SourceData_Common_MonthToSeason[[#Headers],[Month]], 0)</f>
        <v/>
      </c>
      <c r="E220" s="17" t="str" cm="1">
        <f t="array" aca="1" ref="E220" ca="1">Common_InputFunctions.Utility_DisplayArrayInTable(Common_SourceData.Common_SourceData_MonthsToSeasons_Data(), Table_SourceData_Common_MonthToSeason[[#Headers],[Month]], 0)</f>
        <v/>
      </c>
    </row>
    <row r="221" spans="4:5" x14ac:dyDescent="0.25" ht="20" customHeight="1">
      <c r="D221" s="15" t="str" cm="1">
        <f t="array" aca="1" ref="D221" ca="1">Common_InputFunctions.Utility_DisplayArrayInTable(Common_SourceData.Common_SourceData_MonthsToSeasons_Data(), Table_SourceData_Common_MonthToSeason[[#Headers],[Month]], 0)</f>
        <v/>
      </c>
      <c r="E221" s="17" t="str" cm="1">
        <f t="array" aca="1" ref="E221" ca="1">Common_InputFunctions.Utility_DisplayArrayInTable(Common_SourceData.Common_SourceData_MonthsToSeasons_Data(), Table_SourceData_Common_MonthToSeason[[#Headers],[Month]], 0)</f>
        <v/>
      </c>
    </row>
    <row r="222" spans="4:5" x14ac:dyDescent="0.25" ht="20" customHeight="1">
      <c r="D222" s="15" t="str" cm="1">
        <f t="array" aca="1" ref="D222" ca="1">Common_InputFunctions.Utility_DisplayArrayInTable(Common_SourceData.Common_SourceData_MonthsToSeasons_Data(), Table_SourceData_Common_MonthToSeason[[#Headers],[Month]], 0)</f>
        <v/>
      </c>
      <c r="E222" s="17" t="str" cm="1">
        <f t="array" aca="1" ref="E222" ca="1">Common_InputFunctions.Utility_DisplayArrayInTable(Common_SourceData.Common_SourceData_MonthsToSeasons_Data(), Table_SourceData_Common_MonthToSeason[[#Headers],[Month]], 0)</f>
        <v/>
      </c>
    </row>
    <row r="223" spans="4:5" x14ac:dyDescent="0.25" ht="20" customHeight="1">
      <c r="D223" s="15" t="str" cm="1">
        <f t="array" aca="1" ref="D223" ca="1">Common_InputFunctions.Utility_DisplayArrayInTable(Common_SourceData.Common_SourceData_MonthsToSeasons_Data(), Table_SourceData_Common_MonthToSeason[[#Headers],[Month]], 0)</f>
        <v/>
      </c>
      <c r="E223" s="17" t="str" cm="1">
        <f t="array" aca="1" ref="E223" ca="1">Common_InputFunctions.Utility_DisplayArrayInTable(Common_SourceData.Common_SourceData_MonthsToSeasons_Data(), Table_SourceData_Common_MonthToSeason[[#Headers],[Month]], 0)</f>
        <v/>
      </c>
    </row>
    <row r="224" spans="4:5" x14ac:dyDescent="0.25" ht="20" customHeight="1">
      <c r="D224" s="15" t="str" cm="1">
        <f t="array" aca="1" ref="D224" ca="1">Common_InputFunctions.Utility_DisplayArrayInTable(Common_SourceData.Common_SourceData_MonthsToSeasons_Data(), Table_SourceData_Common_MonthToSeason[[#Headers],[Month]], 0)</f>
        <v/>
      </c>
      <c r="E224" s="17" t="str" cm="1">
        <f t="array" aca="1" ref="E224" ca="1">Common_InputFunctions.Utility_DisplayArrayInTable(Common_SourceData.Common_SourceData_MonthsToSeasons_Data(), Table_SourceData_Common_MonthToSeason[[#Headers],[Month]], 0)</f>
        <v/>
      </c>
    </row>
    <row r="227" spans="4:19" ht="20" x14ac:dyDescent="0.25" customHeight="1">
      <c r="D227" s="16" t="str" cm="1">
        <f t="array" ref="D227">Common_SourceData.Common_SourceData_MCFTemperatureZone_Title()</f>
        <v>Manure Management – Methane conversion factor per temperature zone (fraction) (MCFim)</v>
      </c>
    </row>
    <row r="228" spans="4:19" x14ac:dyDescent="0.25" ht="20" customHeight="1">
      <c r="D228" s="18" t="str" cm="1">
        <f t="array" ref="D228">Common_SourceData.Common_SourceData_MCFTemperatureZone_Source()</f>
        <v>VEERG 2026: Table A.1.8.1</v>
      </c>
    </row>
    <row r="229" spans="4:19" x14ac:dyDescent="0.25" ht="20" customHeight="1">
      <c r="D229" s="1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17" t="s">
        <v>61</v>
      </c>
      <c r="E231" s="17" t="s">
        <v>62</v>
      </c>
      <c r="F231" s="22" t="s">
        <v>63</v>
      </c>
      <c r="G231" s="17" t="s">
        <v>64</v>
      </c>
      <c r="H231" s="17" t="s">
        <v>65</v>
      </c>
      <c r="I231" s="17" t="s">
        <v>66</v>
      </c>
      <c r="J231" s="17" t="s">
        <v>67</v>
      </c>
      <c r="K231" s="17" t="s">
        <v>68</v>
      </c>
      <c r="L231" s="17" t="s">
        <v>69</v>
      </c>
      <c r="M231" s="17" t="s">
        <v>70</v>
      </c>
      <c r="N231" s="17" t="s">
        <v>71</v>
      </c>
      <c r="O231" s="17" t="s">
        <v>72</v>
      </c>
      <c r="P231" s="17" t="s">
        <v>73</v>
      </c>
      <c r="Q231" s="17" t="s">
        <v>74</v>
      </c>
      <c r="R231" s="17" t="s">
        <v>75</v>
      </c>
      <c r="S231" s="17" t="s">
        <v>76</v>
      </c>
    </row>
    <row r="232" spans="4:19" x14ac:dyDescent="0.25" ht="20" customHeight="1">
      <c r="D232" s="17" t="str" cm="1">
        <f t="array" aca="1" ref="D232" ca="1">Common_InputFunctions.Utility_DisplayArrayInTable(Common_SourceData.Common_SourceData_MCFTemperatureZone_Data(),Table_SourceData_Common_MCFTemperatureZone[[#Headers],[Temperature zone]],0)</f>
        <v/>
      </c>
      <c r="E232" s="17" t="str" cm="1">
        <f t="array" aca="1" ref="E232" ca="1">Common_InputFunctions.Utility_DisplayArrayInTable(Common_SourceData.Common_SourceData_MCFTemperatureZone_Data(),Table_SourceData_Common_MCFTemperatureZone[[#Headers],[Temperature zone]],0)</f>
        <v/>
      </c>
      <c r="F232" s="17" t="str" cm="1">
        <f t="array" aca="1" ref="F232" ca="1">Common_InputFunctions.Utility_DisplayArrayInTable(Common_SourceData.Common_SourceData_MCFTemperatureZone_Data(),Table_SourceData_Common_MCFTemperatureZone[[#Headers],[Temperature zone]],0)</f>
        <v/>
      </c>
      <c r="G232" s="17" t="str" cm="1">
        <f t="array" aca="1" ref="G232" ca="1">Common_InputFunctions.Utility_DisplayArrayInTable(Common_SourceData.Common_SourceData_MCFTemperatureZone_Data(),Table_SourceData_Common_MCFTemperatureZone[[#Headers],[Temperature zone]],0)</f>
        <v/>
      </c>
      <c r="H232" s="17" t="str" cm="1">
        <f t="array" aca="1" ref="H232" ca="1">Common_InputFunctions.Utility_DisplayArrayInTable(Common_SourceData.Common_SourceData_MCFTemperatureZone_Data(),Table_SourceData_Common_MCFTemperatureZone[[#Headers],[Temperature zone]],0)</f>
        <v/>
      </c>
      <c r="I232" s="17" t="str" cm="1">
        <f t="array" aca="1" ref="I232" ca="1">Common_InputFunctions.Utility_DisplayArrayInTable(Common_SourceData.Common_SourceData_MCFTemperatureZone_Data(),Table_SourceData_Common_MCFTemperatureZone[[#Headers],[Temperature zone]],0)</f>
        <v/>
      </c>
      <c r="J232" s="17" t="str" cm="1">
        <f t="array" aca="1" ref="J232" ca="1">Common_InputFunctions.Utility_DisplayArrayInTable(Common_SourceData.Common_SourceData_MCFTemperatureZone_Data(),Table_SourceData_Common_MCFTemperatureZone[[#Headers],[Temperature zone]],0)</f>
        <v/>
      </c>
      <c r="K232" s="17" t="str" cm="1">
        <f t="array" aca="1" ref="K232" ca="1">Common_InputFunctions.Utility_DisplayArrayInTable(Common_SourceData.Common_SourceData_MCFTemperatureZone_Data(),Table_SourceData_Common_MCFTemperatureZone[[#Headers],[Temperature zone]],0)</f>
        <v/>
      </c>
      <c r="L232" s="17" t="str" cm="1">
        <f t="array" aca="1" ref="L232" ca="1">Common_InputFunctions.Utility_DisplayArrayInTable(Common_SourceData.Common_SourceData_MCFTemperatureZone_Data(),Table_SourceData_Common_MCFTemperatureZone[[#Headers],[Temperature zone]],0)</f>
        <v/>
      </c>
      <c r="M232" s="17" t="str" cm="1">
        <f t="array" aca="1" ref="M232" ca="1">Common_InputFunctions.Utility_DisplayArrayInTable(Common_SourceData.Common_SourceData_MCFTemperatureZone_Data(),Table_SourceData_Common_MCFTemperatureZone[[#Headers],[Temperature zone]],0)</f>
        <v/>
      </c>
      <c r="N232" s="17" t="str" cm="1">
        <f t="array" aca="1" ref="N232" ca="1">Common_InputFunctions.Utility_DisplayArrayInTable(Common_SourceData.Common_SourceData_MCFTemperatureZone_Data(),Table_SourceData_Common_MCFTemperatureZone[[#Headers],[Temperature zone]],0)</f>
        <v/>
      </c>
      <c r="O232" s="17" t="str" cm="1">
        <f t="array" aca="1" ref="O232" ca="1">Common_InputFunctions.Utility_DisplayArrayInTable(Common_SourceData.Common_SourceData_MCFTemperatureZone_Data(),Table_SourceData_Common_MCFTemperatureZone[[#Headers],[Temperature zone]],0)</f>
        <v/>
      </c>
      <c r="P232" s="17" t="str" cm="1">
        <f t="array" aca="1" ref="P232" ca="1">Common_InputFunctions.Utility_DisplayArrayInTable(Common_SourceData.Common_SourceData_MCFTemperatureZone_Data(),Table_SourceData_Common_MCFTemperatureZone[[#Headers],[Temperature zone]],0)</f>
        <v/>
      </c>
      <c r="Q232" s="17" t="str" cm="1">
        <f t="array" aca="1" ref="Q232" ca="1">Common_InputFunctions.Utility_DisplayArrayInTable(Common_SourceData.Common_SourceData_MCFTemperatureZone_Data(),Table_SourceData_Common_MCFTemperatureZone[[#Headers],[Temperature zone]],0)</f>
        <v/>
      </c>
      <c r="R232" s="17" t="str" cm="1">
        <f t="array" aca="1" ref="R232" ca="1">Common_InputFunctions.Utility_DisplayArrayInTable(Common_SourceData.Common_SourceData_MCFTemperatureZone_Data(),Table_SourceData_Common_MCFTemperatureZone[[#Headers],[Temperature zone]],0)</f>
        <v/>
      </c>
      <c r="S232" s="17" t="str" cm="1">
        <f t="array" aca="1" ref="S232" ca="1">Common_InputFunctions.Utility_DisplayArrayInTable(Common_SourceData.Common_SourceData_MCFTemperatureZone_Data(),Table_SourceData_Common_MCFTemperatureZone[[#Headers],[Temperature zone]],0)</f>
        <v/>
      </c>
    </row>
    <row r="233" spans="4:19" x14ac:dyDescent="0.25" ht="20" customHeight="1">
      <c r="D233" s="15" t="str" cm="1">
        <f t="array" aca="1" ref="D233" ca="1">Common_InputFunctions.Utility_DisplayArrayInTable(Common_SourceData.Common_SourceData_MCFTemperatureZone_Data(),Table_SourceData_Common_MCFTemperatureZone[[#Headers],[Temperature zone]],0)</f>
        <v/>
      </c>
      <c r="E233" s="17" t="str" cm="1">
        <f t="array" aca="1" ref="E233" ca="1">Common_InputFunctions.Utility_DisplayArrayInTable(Common_SourceData.Common_SourceData_MCFTemperatureZone_Data(),Table_SourceData_Common_MCFTemperatureZone[[#Headers],[Temperature zone]],0)</f>
        <v/>
      </c>
      <c r="F233" s="17" t="str" cm="1">
        <f t="array" aca="1" ref="F233" ca="1">Common_InputFunctions.Utility_DisplayArrayInTable(Common_SourceData.Common_SourceData_MCFTemperatureZone_Data(),Table_SourceData_Common_MCFTemperatureZone[[#Headers],[Temperature zone]],0)</f>
        <v/>
      </c>
      <c r="G233" s="17" t="str" cm="1">
        <f t="array" aca="1" ref="G233" ca="1">Common_InputFunctions.Utility_DisplayArrayInTable(Common_SourceData.Common_SourceData_MCFTemperatureZone_Data(),Table_SourceData_Common_MCFTemperatureZone[[#Headers],[Temperature zone]],0)</f>
        <v/>
      </c>
      <c r="H233" s="17" t="str" cm="1">
        <f t="array" aca="1" ref="H233" ca="1">Common_InputFunctions.Utility_DisplayArrayInTable(Common_SourceData.Common_SourceData_MCFTemperatureZone_Data(),Table_SourceData_Common_MCFTemperatureZone[[#Headers],[Temperature zone]],0)</f>
        <v/>
      </c>
      <c r="I233" s="17" t="str" cm="1">
        <f t="array" aca="1" ref="I233" ca="1">Common_InputFunctions.Utility_DisplayArrayInTable(Common_SourceData.Common_SourceData_MCFTemperatureZone_Data(),Table_SourceData_Common_MCFTemperatureZone[[#Headers],[Temperature zone]],0)</f>
        <v/>
      </c>
      <c r="J233" s="17" t="str" cm="1">
        <f t="array" aca="1" ref="J233" ca="1">Common_InputFunctions.Utility_DisplayArrayInTable(Common_SourceData.Common_SourceData_MCFTemperatureZone_Data(),Table_SourceData_Common_MCFTemperatureZone[[#Headers],[Temperature zone]],0)</f>
        <v/>
      </c>
      <c r="K233" s="17" t="str" cm="1">
        <f t="array" aca="1" ref="K233" ca="1">Common_InputFunctions.Utility_DisplayArrayInTable(Common_SourceData.Common_SourceData_MCFTemperatureZone_Data(),Table_SourceData_Common_MCFTemperatureZone[[#Headers],[Temperature zone]],0)</f>
        <v/>
      </c>
      <c r="L233" s="17" t="str" cm="1">
        <f t="array" aca="1" ref="L233" ca="1">Common_InputFunctions.Utility_DisplayArrayInTable(Common_SourceData.Common_SourceData_MCFTemperatureZone_Data(),Table_SourceData_Common_MCFTemperatureZone[[#Headers],[Temperature zone]],0)</f>
        <v/>
      </c>
      <c r="M233" s="17" t="str" cm="1">
        <f t="array" aca="1" ref="M233" ca="1">Common_InputFunctions.Utility_DisplayArrayInTable(Common_SourceData.Common_SourceData_MCFTemperatureZone_Data(),Table_SourceData_Common_MCFTemperatureZone[[#Headers],[Temperature zone]],0)</f>
        <v/>
      </c>
      <c r="N233" s="17" t="str" cm="1">
        <f t="array" aca="1" ref="N233" ca="1">Common_InputFunctions.Utility_DisplayArrayInTable(Common_SourceData.Common_SourceData_MCFTemperatureZone_Data(),Table_SourceData_Common_MCFTemperatureZone[[#Headers],[Temperature zone]],0)</f>
        <v/>
      </c>
      <c r="O233" s="17" t="str" cm="1">
        <f t="array" aca="1" ref="O233" ca="1">Common_InputFunctions.Utility_DisplayArrayInTable(Common_SourceData.Common_SourceData_MCFTemperatureZone_Data(),Table_SourceData_Common_MCFTemperatureZone[[#Headers],[Temperature zone]],0)</f>
        <v/>
      </c>
      <c r="P233" s="17" t="str" cm="1">
        <f t="array" aca="1" ref="P233" ca="1">Common_InputFunctions.Utility_DisplayArrayInTable(Common_SourceData.Common_SourceData_MCFTemperatureZone_Data(),Table_SourceData_Common_MCFTemperatureZone[[#Headers],[Temperature zone]],0)</f>
        <v/>
      </c>
      <c r="Q233" s="17" t="str" cm="1">
        <f t="array" aca="1" ref="Q233" ca="1">Common_InputFunctions.Utility_DisplayArrayInTable(Common_SourceData.Common_SourceData_MCFTemperatureZone_Data(),Table_SourceData_Common_MCFTemperatureZone[[#Headers],[Temperature zone]],0)</f>
        <v/>
      </c>
      <c r="R233" s="17" t="str" cm="1">
        <f t="array" aca="1" ref="R233" ca="1">Common_InputFunctions.Utility_DisplayArrayInTable(Common_SourceData.Common_SourceData_MCFTemperatureZone_Data(),Table_SourceData_Common_MCFTemperatureZone[[#Headers],[Temperature zone]],0)</f>
        <v/>
      </c>
      <c r="S233" s="17" t="str" cm="1">
        <f t="array" aca="1" ref="S233" ca="1">Common_InputFunctions.Utility_DisplayArrayInTable(Common_SourceData.Common_SourceData_MCFTemperatureZone_Data(),Table_SourceData_Common_MCFTemperatureZone[[#Headers],[Temperature zone]],0)</f>
        <v/>
      </c>
    </row>
    <row r="234" spans="4:19" x14ac:dyDescent="0.25" ht="20" customHeight="1">
      <c r="D234" s="15" t="str" cm="1">
        <f t="array" aca="1" ref="D234" ca="1">Common_InputFunctions.Utility_DisplayArrayInTable(Common_SourceData.Common_SourceData_MCFTemperatureZone_Data(),Table_SourceData_Common_MCFTemperatureZone[[#Headers],[Temperature zone]],0)</f>
        <v/>
      </c>
      <c r="E234" s="17" t="str" cm="1">
        <f t="array" aca="1" ref="E234" ca="1">Common_InputFunctions.Utility_DisplayArrayInTable(Common_SourceData.Common_SourceData_MCFTemperatureZone_Data(),Table_SourceData_Common_MCFTemperatureZone[[#Headers],[Temperature zone]],0)</f>
        <v/>
      </c>
      <c r="F234" s="17" t="str" cm="1">
        <f t="array" aca="1" ref="F234" ca="1">Common_InputFunctions.Utility_DisplayArrayInTable(Common_SourceData.Common_SourceData_MCFTemperatureZone_Data(),Table_SourceData_Common_MCFTemperatureZone[[#Headers],[Temperature zone]],0)</f>
        <v/>
      </c>
      <c r="G234" s="17" t="str" cm="1">
        <f t="array" aca="1" ref="G234" ca="1">Common_InputFunctions.Utility_DisplayArrayInTable(Common_SourceData.Common_SourceData_MCFTemperatureZone_Data(),Table_SourceData_Common_MCFTemperatureZone[[#Headers],[Temperature zone]],0)</f>
        <v/>
      </c>
      <c r="H234" s="17" t="str" cm="1">
        <f t="array" aca="1" ref="H234" ca="1">Common_InputFunctions.Utility_DisplayArrayInTable(Common_SourceData.Common_SourceData_MCFTemperatureZone_Data(),Table_SourceData_Common_MCFTemperatureZone[[#Headers],[Temperature zone]],0)</f>
        <v/>
      </c>
      <c r="I234" s="17" t="str" cm="1">
        <f t="array" aca="1" ref="I234" ca="1">Common_InputFunctions.Utility_DisplayArrayInTable(Common_SourceData.Common_SourceData_MCFTemperatureZone_Data(),Table_SourceData_Common_MCFTemperatureZone[[#Headers],[Temperature zone]],0)</f>
        <v/>
      </c>
      <c r="J234" s="17" t="str" cm="1">
        <f t="array" aca="1" ref="J234" ca="1">Common_InputFunctions.Utility_DisplayArrayInTable(Common_SourceData.Common_SourceData_MCFTemperatureZone_Data(),Table_SourceData_Common_MCFTemperatureZone[[#Headers],[Temperature zone]],0)</f>
        <v/>
      </c>
      <c r="K234" s="17" t="str" cm="1">
        <f t="array" aca="1" ref="K234" ca="1">Common_InputFunctions.Utility_DisplayArrayInTable(Common_SourceData.Common_SourceData_MCFTemperatureZone_Data(),Table_SourceData_Common_MCFTemperatureZone[[#Headers],[Temperature zone]],0)</f>
        <v/>
      </c>
      <c r="L234" s="17" t="str" cm="1">
        <f t="array" aca="1" ref="L234" ca="1">Common_InputFunctions.Utility_DisplayArrayInTable(Common_SourceData.Common_SourceData_MCFTemperatureZone_Data(),Table_SourceData_Common_MCFTemperatureZone[[#Headers],[Temperature zone]],0)</f>
        <v/>
      </c>
      <c r="M234" s="17" t="str" cm="1">
        <f t="array" aca="1" ref="M234" ca="1">Common_InputFunctions.Utility_DisplayArrayInTable(Common_SourceData.Common_SourceData_MCFTemperatureZone_Data(),Table_SourceData_Common_MCFTemperatureZone[[#Headers],[Temperature zone]],0)</f>
        <v/>
      </c>
      <c r="N234" s="17" t="str" cm="1">
        <f t="array" aca="1" ref="N234" ca="1">Common_InputFunctions.Utility_DisplayArrayInTable(Common_SourceData.Common_SourceData_MCFTemperatureZone_Data(),Table_SourceData_Common_MCFTemperatureZone[[#Headers],[Temperature zone]],0)</f>
        <v/>
      </c>
      <c r="O234" s="17" t="str" cm="1">
        <f t="array" aca="1" ref="O234" ca="1">Common_InputFunctions.Utility_DisplayArrayInTable(Common_SourceData.Common_SourceData_MCFTemperatureZone_Data(),Table_SourceData_Common_MCFTemperatureZone[[#Headers],[Temperature zone]],0)</f>
        <v/>
      </c>
      <c r="P234" s="17" t="str" cm="1">
        <f t="array" aca="1" ref="P234" ca="1">Common_InputFunctions.Utility_DisplayArrayInTable(Common_SourceData.Common_SourceData_MCFTemperatureZone_Data(),Table_SourceData_Common_MCFTemperatureZone[[#Headers],[Temperature zone]],0)</f>
        <v/>
      </c>
      <c r="Q234" s="17" t="str" cm="1">
        <f t="array" aca="1" ref="Q234" ca="1">Common_InputFunctions.Utility_DisplayArrayInTable(Common_SourceData.Common_SourceData_MCFTemperatureZone_Data(),Table_SourceData_Common_MCFTemperatureZone[[#Headers],[Temperature zone]],0)</f>
        <v/>
      </c>
      <c r="R234" s="17" t="str" cm="1">
        <f t="array" aca="1" ref="R234" ca="1">Common_InputFunctions.Utility_DisplayArrayInTable(Common_SourceData.Common_SourceData_MCFTemperatureZone_Data(),Table_SourceData_Common_MCFTemperatureZone[[#Headers],[Temperature zone]],0)</f>
        <v/>
      </c>
      <c r="S234" s="17" t="str" cm="1">
        <f t="array" aca="1" ref="S234" ca="1">Common_InputFunctions.Utility_DisplayArrayInTable(Common_SourceData.Common_SourceData_MCFTemperatureZone_Data(),Table_SourceData_Common_MCFTemperatureZone[[#Headers],[Temperature zone]],0)</f>
        <v/>
      </c>
    </row>
    <row r="235" spans="4:19" x14ac:dyDescent="0.25" ht="20" customHeight="1">
      <c r="D235" s="15" t="str" cm="1">
        <f t="array" aca="1" ref="D235" ca="1">Common_InputFunctions.Utility_DisplayArrayInTable(Common_SourceData.Common_SourceData_MCFTemperatureZone_Data(),Table_SourceData_Common_MCFTemperatureZone[[#Headers],[Temperature zone]],0)</f>
        <v/>
      </c>
      <c r="E235" s="17" t="str" cm="1">
        <f t="array" aca="1" ref="E235" ca="1">Common_InputFunctions.Utility_DisplayArrayInTable(Common_SourceData.Common_SourceData_MCFTemperatureZone_Data(),Table_SourceData_Common_MCFTemperatureZone[[#Headers],[Temperature zone]],0)</f>
        <v/>
      </c>
      <c r="F235" s="17" t="str" cm="1">
        <f t="array" aca="1" ref="F235" ca="1">Common_InputFunctions.Utility_DisplayArrayInTable(Common_SourceData.Common_SourceData_MCFTemperatureZone_Data(),Table_SourceData_Common_MCFTemperatureZone[[#Headers],[Temperature zone]],0)</f>
        <v/>
      </c>
      <c r="G235" s="17" t="str" cm="1">
        <f t="array" aca="1" ref="G235" ca="1">Common_InputFunctions.Utility_DisplayArrayInTable(Common_SourceData.Common_SourceData_MCFTemperatureZone_Data(),Table_SourceData_Common_MCFTemperatureZone[[#Headers],[Temperature zone]],0)</f>
        <v/>
      </c>
      <c r="H235" s="17" t="str" cm="1">
        <f t="array" aca="1" ref="H235" ca="1">Common_InputFunctions.Utility_DisplayArrayInTable(Common_SourceData.Common_SourceData_MCFTemperatureZone_Data(),Table_SourceData_Common_MCFTemperatureZone[[#Headers],[Temperature zone]],0)</f>
        <v/>
      </c>
      <c r="I235" s="17" t="str" cm="1">
        <f t="array" aca="1" ref="I235" ca="1">Common_InputFunctions.Utility_DisplayArrayInTable(Common_SourceData.Common_SourceData_MCFTemperatureZone_Data(),Table_SourceData_Common_MCFTemperatureZone[[#Headers],[Temperature zone]],0)</f>
        <v/>
      </c>
      <c r="J235" s="17" t="str" cm="1">
        <f t="array" aca="1" ref="J235" ca="1">Common_InputFunctions.Utility_DisplayArrayInTable(Common_SourceData.Common_SourceData_MCFTemperatureZone_Data(),Table_SourceData_Common_MCFTemperatureZone[[#Headers],[Temperature zone]],0)</f>
        <v/>
      </c>
      <c r="K235" s="17" t="str" cm="1">
        <f t="array" aca="1" ref="K235" ca="1">Common_InputFunctions.Utility_DisplayArrayInTable(Common_SourceData.Common_SourceData_MCFTemperatureZone_Data(),Table_SourceData_Common_MCFTemperatureZone[[#Headers],[Temperature zone]],0)</f>
        <v/>
      </c>
      <c r="L235" s="17" t="str" cm="1">
        <f t="array" aca="1" ref="L235" ca="1">Common_InputFunctions.Utility_DisplayArrayInTable(Common_SourceData.Common_SourceData_MCFTemperatureZone_Data(),Table_SourceData_Common_MCFTemperatureZone[[#Headers],[Temperature zone]],0)</f>
        <v/>
      </c>
      <c r="M235" s="17" t="str" cm="1">
        <f t="array" aca="1" ref="M235" ca="1">Common_InputFunctions.Utility_DisplayArrayInTable(Common_SourceData.Common_SourceData_MCFTemperatureZone_Data(),Table_SourceData_Common_MCFTemperatureZone[[#Headers],[Temperature zone]],0)</f>
        <v/>
      </c>
      <c r="N235" s="17" t="str" cm="1">
        <f t="array" aca="1" ref="N235" ca="1">Common_InputFunctions.Utility_DisplayArrayInTable(Common_SourceData.Common_SourceData_MCFTemperatureZone_Data(),Table_SourceData_Common_MCFTemperatureZone[[#Headers],[Temperature zone]],0)</f>
        <v/>
      </c>
      <c r="O235" s="17" t="str" cm="1">
        <f t="array" aca="1" ref="O235" ca="1">Common_InputFunctions.Utility_DisplayArrayInTable(Common_SourceData.Common_SourceData_MCFTemperatureZone_Data(),Table_SourceData_Common_MCFTemperatureZone[[#Headers],[Temperature zone]],0)</f>
        <v/>
      </c>
      <c r="P235" s="17" t="str" cm="1">
        <f t="array" aca="1" ref="P235" ca="1">Common_InputFunctions.Utility_DisplayArrayInTable(Common_SourceData.Common_SourceData_MCFTemperatureZone_Data(),Table_SourceData_Common_MCFTemperatureZone[[#Headers],[Temperature zone]],0)</f>
        <v/>
      </c>
      <c r="Q235" s="17" t="str" cm="1">
        <f t="array" aca="1" ref="Q235" ca="1">Common_InputFunctions.Utility_DisplayArrayInTable(Common_SourceData.Common_SourceData_MCFTemperatureZone_Data(),Table_SourceData_Common_MCFTemperatureZone[[#Headers],[Temperature zone]],0)</f>
        <v/>
      </c>
      <c r="R235" s="17" t="str" cm="1">
        <f t="array" aca="1" ref="R235" ca="1">Common_InputFunctions.Utility_DisplayArrayInTable(Common_SourceData.Common_SourceData_MCFTemperatureZone_Data(),Table_SourceData_Common_MCFTemperatureZone[[#Headers],[Temperature zone]],0)</f>
        <v/>
      </c>
      <c r="S235" s="17" t="str" cm="1">
        <f t="array" aca="1" ref="S235" ca="1">Common_InputFunctions.Utility_DisplayArrayInTable(Common_SourceData.Common_SourceData_MCFTemperatureZone_Data(),Table_SourceData_Common_MCFTemperatureZone[[#Headers],[Temperature zone]],0)</f>
        <v/>
      </c>
    </row>
    <row r="236" spans="4:19" x14ac:dyDescent="0.25" ht="20" customHeight="1">
      <c r="D236" s="15" t="str" cm="1">
        <f t="array" aca="1" ref="D236" ca="1">Common_InputFunctions.Utility_DisplayArrayInTable(Common_SourceData.Common_SourceData_MCFTemperatureZone_Data(),Table_SourceData_Common_MCFTemperatureZone[[#Headers],[Temperature zone]],0)</f>
        <v/>
      </c>
      <c r="E236" s="17" t="str" cm="1">
        <f t="array" aca="1" ref="E236" ca="1">Common_InputFunctions.Utility_DisplayArrayInTable(Common_SourceData.Common_SourceData_MCFTemperatureZone_Data(),Table_SourceData_Common_MCFTemperatureZone[[#Headers],[Temperature zone]],0)</f>
        <v/>
      </c>
      <c r="F236" s="17" t="str" cm="1">
        <f t="array" aca="1" ref="F236" ca="1">Common_InputFunctions.Utility_DisplayArrayInTable(Common_SourceData.Common_SourceData_MCFTemperatureZone_Data(),Table_SourceData_Common_MCFTemperatureZone[[#Headers],[Temperature zone]],0)</f>
        <v/>
      </c>
      <c r="G236" s="17" t="str" cm="1">
        <f t="array" aca="1" ref="G236" ca="1">Common_InputFunctions.Utility_DisplayArrayInTable(Common_SourceData.Common_SourceData_MCFTemperatureZone_Data(),Table_SourceData_Common_MCFTemperatureZone[[#Headers],[Temperature zone]],0)</f>
        <v/>
      </c>
      <c r="H236" s="17" t="str" cm="1">
        <f t="array" aca="1" ref="H236" ca="1">Common_InputFunctions.Utility_DisplayArrayInTable(Common_SourceData.Common_SourceData_MCFTemperatureZone_Data(),Table_SourceData_Common_MCFTemperatureZone[[#Headers],[Temperature zone]],0)</f>
        <v/>
      </c>
      <c r="I236" s="17" t="str" cm="1">
        <f t="array" aca="1" ref="I236" ca="1">Common_InputFunctions.Utility_DisplayArrayInTable(Common_SourceData.Common_SourceData_MCFTemperatureZone_Data(),Table_SourceData_Common_MCFTemperatureZone[[#Headers],[Temperature zone]],0)</f>
        <v/>
      </c>
      <c r="J236" s="17" t="str" cm="1">
        <f t="array" aca="1" ref="J236" ca="1">Common_InputFunctions.Utility_DisplayArrayInTable(Common_SourceData.Common_SourceData_MCFTemperatureZone_Data(),Table_SourceData_Common_MCFTemperatureZone[[#Headers],[Temperature zone]],0)</f>
        <v/>
      </c>
      <c r="K236" s="17" t="str" cm="1">
        <f t="array" aca="1" ref="K236" ca="1">Common_InputFunctions.Utility_DisplayArrayInTable(Common_SourceData.Common_SourceData_MCFTemperatureZone_Data(),Table_SourceData_Common_MCFTemperatureZone[[#Headers],[Temperature zone]],0)</f>
        <v/>
      </c>
      <c r="L236" s="17" t="str" cm="1">
        <f t="array" aca="1" ref="L236" ca="1">Common_InputFunctions.Utility_DisplayArrayInTable(Common_SourceData.Common_SourceData_MCFTemperatureZone_Data(),Table_SourceData_Common_MCFTemperatureZone[[#Headers],[Temperature zone]],0)</f>
        <v/>
      </c>
      <c r="M236" s="17" t="str" cm="1">
        <f t="array" aca="1" ref="M236" ca="1">Common_InputFunctions.Utility_DisplayArrayInTable(Common_SourceData.Common_SourceData_MCFTemperatureZone_Data(),Table_SourceData_Common_MCFTemperatureZone[[#Headers],[Temperature zone]],0)</f>
        <v/>
      </c>
      <c r="N236" s="17" t="str" cm="1">
        <f t="array" aca="1" ref="N236" ca="1">Common_InputFunctions.Utility_DisplayArrayInTable(Common_SourceData.Common_SourceData_MCFTemperatureZone_Data(),Table_SourceData_Common_MCFTemperatureZone[[#Headers],[Temperature zone]],0)</f>
        <v/>
      </c>
      <c r="O236" s="17" t="str" cm="1">
        <f t="array" aca="1" ref="O236" ca="1">Common_InputFunctions.Utility_DisplayArrayInTable(Common_SourceData.Common_SourceData_MCFTemperatureZone_Data(),Table_SourceData_Common_MCFTemperatureZone[[#Headers],[Temperature zone]],0)</f>
        <v/>
      </c>
      <c r="P236" s="17" t="str" cm="1">
        <f t="array" aca="1" ref="P236" ca="1">Common_InputFunctions.Utility_DisplayArrayInTable(Common_SourceData.Common_SourceData_MCFTemperatureZone_Data(),Table_SourceData_Common_MCFTemperatureZone[[#Headers],[Temperature zone]],0)</f>
        <v/>
      </c>
      <c r="Q236" s="17" t="str" cm="1">
        <f t="array" aca="1" ref="Q236" ca="1">Common_InputFunctions.Utility_DisplayArrayInTable(Common_SourceData.Common_SourceData_MCFTemperatureZone_Data(),Table_SourceData_Common_MCFTemperatureZone[[#Headers],[Temperature zone]],0)</f>
        <v/>
      </c>
      <c r="R236" s="17" t="str" cm="1">
        <f t="array" aca="1" ref="R236" ca="1">Common_InputFunctions.Utility_DisplayArrayInTable(Common_SourceData.Common_SourceData_MCFTemperatureZone_Data(),Table_SourceData_Common_MCFTemperatureZone[[#Headers],[Temperature zone]],0)</f>
        <v/>
      </c>
      <c r="S236" s="17" t="str" cm="1">
        <f t="array" aca="1" ref="S236" ca="1">Common_InputFunctions.Utility_DisplayArrayInTable(Common_SourceData.Common_SourceData_MCFTemperatureZone_Data(),Table_SourceData_Common_MCFTemperatureZone[[#Headers],[Temperature zone]],0)</f>
        <v/>
      </c>
    </row>
    <row r="237" spans="4:19" x14ac:dyDescent="0.25" ht="20" customHeight="1">
      <c r="D237" s="15" t="str" cm="1">
        <f t="array" aca="1" ref="D237" ca="1">Common_InputFunctions.Utility_DisplayArrayInTable(Common_SourceData.Common_SourceData_MCFTemperatureZone_Data(),Table_SourceData_Common_MCFTemperatureZone[[#Headers],[Temperature zone]],0)</f>
        <v/>
      </c>
      <c r="E237" s="17" t="str" cm="1">
        <f t="array" aca="1" ref="E237" ca="1">Common_InputFunctions.Utility_DisplayArrayInTable(Common_SourceData.Common_SourceData_MCFTemperatureZone_Data(),Table_SourceData_Common_MCFTemperatureZone[[#Headers],[Temperature zone]],0)</f>
        <v/>
      </c>
      <c r="F237" s="17" t="str" cm="1">
        <f t="array" aca="1" ref="F237" ca="1">Common_InputFunctions.Utility_DisplayArrayInTable(Common_SourceData.Common_SourceData_MCFTemperatureZone_Data(),Table_SourceData_Common_MCFTemperatureZone[[#Headers],[Temperature zone]],0)</f>
        <v/>
      </c>
      <c r="G237" s="17" t="str" cm="1">
        <f t="array" aca="1" ref="G237" ca="1">Common_InputFunctions.Utility_DisplayArrayInTable(Common_SourceData.Common_SourceData_MCFTemperatureZone_Data(),Table_SourceData_Common_MCFTemperatureZone[[#Headers],[Temperature zone]],0)</f>
        <v/>
      </c>
      <c r="H237" s="17" t="str" cm="1">
        <f t="array" aca="1" ref="H237" ca="1">Common_InputFunctions.Utility_DisplayArrayInTable(Common_SourceData.Common_SourceData_MCFTemperatureZone_Data(),Table_SourceData_Common_MCFTemperatureZone[[#Headers],[Temperature zone]],0)</f>
        <v/>
      </c>
      <c r="I237" s="17" t="str" cm="1">
        <f t="array" aca="1" ref="I237" ca="1">Common_InputFunctions.Utility_DisplayArrayInTable(Common_SourceData.Common_SourceData_MCFTemperatureZone_Data(),Table_SourceData_Common_MCFTemperatureZone[[#Headers],[Temperature zone]],0)</f>
        <v/>
      </c>
      <c r="J237" s="17" t="str" cm="1">
        <f t="array" aca="1" ref="J237" ca="1">Common_InputFunctions.Utility_DisplayArrayInTable(Common_SourceData.Common_SourceData_MCFTemperatureZone_Data(),Table_SourceData_Common_MCFTemperatureZone[[#Headers],[Temperature zone]],0)</f>
        <v/>
      </c>
      <c r="K237" s="17" t="str" cm="1">
        <f t="array" aca="1" ref="K237" ca="1">Common_InputFunctions.Utility_DisplayArrayInTable(Common_SourceData.Common_SourceData_MCFTemperatureZone_Data(),Table_SourceData_Common_MCFTemperatureZone[[#Headers],[Temperature zone]],0)</f>
        <v/>
      </c>
      <c r="L237" s="17" t="str" cm="1">
        <f t="array" aca="1" ref="L237" ca="1">Common_InputFunctions.Utility_DisplayArrayInTable(Common_SourceData.Common_SourceData_MCFTemperatureZone_Data(),Table_SourceData_Common_MCFTemperatureZone[[#Headers],[Temperature zone]],0)</f>
        <v/>
      </c>
      <c r="M237" s="17" t="str" cm="1">
        <f t="array" aca="1" ref="M237" ca="1">Common_InputFunctions.Utility_DisplayArrayInTable(Common_SourceData.Common_SourceData_MCFTemperatureZone_Data(),Table_SourceData_Common_MCFTemperatureZone[[#Headers],[Temperature zone]],0)</f>
        <v/>
      </c>
      <c r="N237" s="17" t="str" cm="1">
        <f t="array" aca="1" ref="N237" ca="1">Common_InputFunctions.Utility_DisplayArrayInTable(Common_SourceData.Common_SourceData_MCFTemperatureZone_Data(),Table_SourceData_Common_MCFTemperatureZone[[#Headers],[Temperature zone]],0)</f>
        <v/>
      </c>
      <c r="O237" s="17" t="str" cm="1">
        <f t="array" aca="1" ref="O237" ca="1">Common_InputFunctions.Utility_DisplayArrayInTable(Common_SourceData.Common_SourceData_MCFTemperatureZone_Data(),Table_SourceData_Common_MCFTemperatureZone[[#Headers],[Temperature zone]],0)</f>
        <v/>
      </c>
      <c r="P237" s="17" t="str" cm="1">
        <f t="array" aca="1" ref="P237" ca="1">Common_InputFunctions.Utility_DisplayArrayInTable(Common_SourceData.Common_SourceData_MCFTemperatureZone_Data(),Table_SourceData_Common_MCFTemperatureZone[[#Headers],[Temperature zone]],0)</f>
        <v/>
      </c>
      <c r="Q237" s="17" t="str" cm="1">
        <f t="array" aca="1" ref="Q237" ca="1">Common_InputFunctions.Utility_DisplayArrayInTable(Common_SourceData.Common_SourceData_MCFTemperatureZone_Data(),Table_SourceData_Common_MCFTemperatureZone[[#Headers],[Temperature zone]],0)</f>
        <v/>
      </c>
      <c r="R237" s="17" t="str" cm="1">
        <f t="array" aca="1" ref="R237" ca="1">Common_InputFunctions.Utility_DisplayArrayInTable(Common_SourceData.Common_SourceData_MCFTemperatureZone_Data(),Table_SourceData_Common_MCFTemperatureZone[[#Headers],[Temperature zone]],0)</f>
        <v/>
      </c>
      <c r="S237" s="17" t="str" cm="1">
        <f t="array" aca="1" ref="S237" ca="1">Common_InputFunctions.Utility_DisplayArrayInTable(Common_SourceData.Common_SourceData_MCFTemperatureZone_Data(),Table_SourceData_Common_MCFTemperatureZone[[#Headers],[Temperature zone]],0)</f>
        <v/>
      </c>
    </row>
    <row r="238" spans="4:19" x14ac:dyDescent="0.25" ht="20" customHeight="1">
      <c r="D238" s="15" t="str" cm="1">
        <f t="array" aca="1" ref="D238" ca="1">Common_InputFunctions.Utility_DisplayArrayInTable(Common_SourceData.Common_SourceData_MCFTemperatureZone_Data(),Table_SourceData_Common_MCFTemperatureZone[[#Headers],[Temperature zone]],0)</f>
        <v/>
      </c>
      <c r="E238" s="17" t="str" cm="1">
        <f t="array" aca="1" ref="E238" ca="1">Common_InputFunctions.Utility_DisplayArrayInTable(Common_SourceData.Common_SourceData_MCFTemperatureZone_Data(),Table_SourceData_Common_MCFTemperatureZone[[#Headers],[Temperature zone]],0)</f>
        <v/>
      </c>
      <c r="F238" s="17" t="str" cm="1">
        <f t="array" aca="1" ref="F238" ca="1">Common_InputFunctions.Utility_DisplayArrayInTable(Common_SourceData.Common_SourceData_MCFTemperatureZone_Data(),Table_SourceData_Common_MCFTemperatureZone[[#Headers],[Temperature zone]],0)</f>
        <v/>
      </c>
      <c r="G238" s="17" t="str" cm="1">
        <f t="array" aca="1" ref="G238" ca="1">Common_InputFunctions.Utility_DisplayArrayInTable(Common_SourceData.Common_SourceData_MCFTemperatureZone_Data(),Table_SourceData_Common_MCFTemperatureZone[[#Headers],[Temperature zone]],0)</f>
        <v/>
      </c>
      <c r="H238" s="17" t="str" cm="1">
        <f t="array" aca="1" ref="H238" ca="1">Common_InputFunctions.Utility_DisplayArrayInTable(Common_SourceData.Common_SourceData_MCFTemperatureZone_Data(),Table_SourceData_Common_MCFTemperatureZone[[#Headers],[Temperature zone]],0)</f>
        <v/>
      </c>
      <c r="I238" s="17" t="str" cm="1">
        <f t="array" aca="1" ref="I238" ca="1">Common_InputFunctions.Utility_DisplayArrayInTable(Common_SourceData.Common_SourceData_MCFTemperatureZone_Data(),Table_SourceData_Common_MCFTemperatureZone[[#Headers],[Temperature zone]],0)</f>
        <v/>
      </c>
      <c r="J238" s="17" t="str" cm="1">
        <f t="array" aca="1" ref="J238" ca="1">Common_InputFunctions.Utility_DisplayArrayInTable(Common_SourceData.Common_SourceData_MCFTemperatureZone_Data(),Table_SourceData_Common_MCFTemperatureZone[[#Headers],[Temperature zone]],0)</f>
        <v/>
      </c>
      <c r="K238" s="17" t="str" cm="1">
        <f t="array" aca="1" ref="K238" ca="1">Common_InputFunctions.Utility_DisplayArrayInTable(Common_SourceData.Common_SourceData_MCFTemperatureZone_Data(),Table_SourceData_Common_MCFTemperatureZone[[#Headers],[Temperature zone]],0)</f>
        <v/>
      </c>
      <c r="L238" s="17" t="str" cm="1">
        <f t="array" aca="1" ref="L238" ca="1">Common_InputFunctions.Utility_DisplayArrayInTable(Common_SourceData.Common_SourceData_MCFTemperatureZone_Data(),Table_SourceData_Common_MCFTemperatureZone[[#Headers],[Temperature zone]],0)</f>
        <v/>
      </c>
      <c r="M238" s="17" t="str" cm="1">
        <f t="array" aca="1" ref="M238" ca="1">Common_InputFunctions.Utility_DisplayArrayInTable(Common_SourceData.Common_SourceData_MCFTemperatureZone_Data(),Table_SourceData_Common_MCFTemperatureZone[[#Headers],[Temperature zone]],0)</f>
        <v/>
      </c>
      <c r="N238" s="17" t="str" cm="1">
        <f t="array" aca="1" ref="N238" ca="1">Common_InputFunctions.Utility_DisplayArrayInTable(Common_SourceData.Common_SourceData_MCFTemperatureZone_Data(),Table_SourceData_Common_MCFTemperatureZone[[#Headers],[Temperature zone]],0)</f>
        <v/>
      </c>
      <c r="O238" s="17" t="str" cm="1">
        <f t="array" aca="1" ref="O238" ca="1">Common_InputFunctions.Utility_DisplayArrayInTable(Common_SourceData.Common_SourceData_MCFTemperatureZone_Data(),Table_SourceData_Common_MCFTemperatureZone[[#Headers],[Temperature zone]],0)</f>
        <v/>
      </c>
      <c r="P238" s="17" t="str" cm="1">
        <f t="array" aca="1" ref="P238" ca="1">Common_InputFunctions.Utility_DisplayArrayInTable(Common_SourceData.Common_SourceData_MCFTemperatureZone_Data(),Table_SourceData_Common_MCFTemperatureZone[[#Headers],[Temperature zone]],0)</f>
        <v/>
      </c>
      <c r="Q238" s="17" t="str" cm="1">
        <f t="array" aca="1" ref="Q238" ca="1">Common_InputFunctions.Utility_DisplayArrayInTable(Common_SourceData.Common_SourceData_MCFTemperatureZone_Data(),Table_SourceData_Common_MCFTemperatureZone[[#Headers],[Temperature zone]],0)</f>
        <v/>
      </c>
      <c r="R238" s="17" t="str" cm="1">
        <f t="array" aca="1" ref="R238" ca="1">Common_InputFunctions.Utility_DisplayArrayInTable(Common_SourceData.Common_SourceData_MCFTemperatureZone_Data(),Table_SourceData_Common_MCFTemperatureZone[[#Headers],[Temperature zone]],0)</f>
        <v/>
      </c>
      <c r="S238" s="17" t="str" cm="1">
        <f t="array" aca="1" ref="S238" ca="1">Common_InputFunctions.Utility_DisplayArrayInTable(Common_SourceData.Common_SourceData_MCFTemperatureZone_Data(),Table_SourceData_Common_MCFTemperatureZone[[#Headers],[Temperature zone]],0)</f>
        <v/>
      </c>
    </row>
    <row r="239" spans="4:19" x14ac:dyDescent="0.25" ht="20" customHeight="1">
      <c r="D239" s="15" t="str" cm="1">
        <f t="array" aca="1" ref="D239" ca="1">Common_InputFunctions.Utility_DisplayArrayInTable(Common_SourceData.Common_SourceData_MCFTemperatureZone_Data(),Table_SourceData_Common_MCFTemperatureZone[[#Headers],[Temperature zone]],0)</f>
        <v/>
      </c>
      <c r="E239" s="17" t="str" cm="1">
        <f t="array" aca="1" ref="E239" ca="1">Common_InputFunctions.Utility_DisplayArrayInTable(Common_SourceData.Common_SourceData_MCFTemperatureZone_Data(),Table_SourceData_Common_MCFTemperatureZone[[#Headers],[Temperature zone]],0)</f>
        <v/>
      </c>
      <c r="F239" s="17" t="str" cm="1">
        <f t="array" aca="1" ref="F239" ca="1">Common_InputFunctions.Utility_DisplayArrayInTable(Common_SourceData.Common_SourceData_MCFTemperatureZone_Data(),Table_SourceData_Common_MCFTemperatureZone[[#Headers],[Temperature zone]],0)</f>
        <v/>
      </c>
      <c r="G239" s="17" t="str" cm="1">
        <f t="array" aca="1" ref="G239" ca="1">Common_InputFunctions.Utility_DisplayArrayInTable(Common_SourceData.Common_SourceData_MCFTemperatureZone_Data(),Table_SourceData_Common_MCFTemperatureZone[[#Headers],[Temperature zone]],0)</f>
        <v/>
      </c>
      <c r="H239" s="17" t="str" cm="1">
        <f t="array" aca="1" ref="H239" ca="1">Common_InputFunctions.Utility_DisplayArrayInTable(Common_SourceData.Common_SourceData_MCFTemperatureZone_Data(),Table_SourceData_Common_MCFTemperatureZone[[#Headers],[Temperature zone]],0)</f>
        <v/>
      </c>
      <c r="I239" s="17" t="str" cm="1">
        <f t="array" aca="1" ref="I239" ca="1">Common_InputFunctions.Utility_DisplayArrayInTable(Common_SourceData.Common_SourceData_MCFTemperatureZone_Data(),Table_SourceData_Common_MCFTemperatureZone[[#Headers],[Temperature zone]],0)</f>
        <v/>
      </c>
      <c r="J239" s="17" t="str" cm="1">
        <f t="array" aca="1" ref="J239" ca="1">Common_InputFunctions.Utility_DisplayArrayInTable(Common_SourceData.Common_SourceData_MCFTemperatureZone_Data(),Table_SourceData_Common_MCFTemperatureZone[[#Headers],[Temperature zone]],0)</f>
        <v/>
      </c>
      <c r="K239" s="17" t="str" cm="1">
        <f t="array" aca="1" ref="K239" ca="1">Common_InputFunctions.Utility_DisplayArrayInTable(Common_SourceData.Common_SourceData_MCFTemperatureZone_Data(),Table_SourceData_Common_MCFTemperatureZone[[#Headers],[Temperature zone]],0)</f>
        <v/>
      </c>
      <c r="L239" s="17" t="str" cm="1">
        <f t="array" aca="1" ref="L239" ca="1">Common_InputFunctions.Utility_DisplayArrayInTable(Common_SourceData.Common_SourceData_MCFTemperatureZone_Data(),Table_SourceData_Common_MCFTemperatureZone[[#Headers],[Temperature zone]],0)</f>
        <v/>
      </c>
      <c r="M239" s="17" t="str" cm="1">
        <f t="array" aca="1" ref="M239" ca="1">Common_InputFunctions.Utility_DisplayArrayInTable(Common_SourceData.Common_SourceData_MCFTemperatureZone_Data(),Table_SourceData_Common_MCFTemperatureZone[[#Headers],[Temperature zone]],0)</f>
        <v/>
      </c>
      <c r="N239" s="17" t="str" cm="1">
        <f t="array" aca="1" ref="N239" ca="1">Common_InputFunctions.Utility_DisplayArrayInTable(Common_SourceData.Common_SourceData_MCFTemperatureZone_Data(),Table_SourceData_Common_MCFTemperatureZone[[#Headers],[Temperature zone]],0)</f>
        <v/>
      </c>
      <c r="O239" s="17" t="str" cm="1">
        <f t="array" aca="1" ref="O239" ca="1">Common_InputFunctions.Utility_DisplayArrayInTable(Common_SourceData.Common_SourceData_MCFTemperatureZone_Data(),Table_SourceData_Common_MCFTemperatureZone[[#Headers],[Temperature zone]],0)</f>
        <v/>
      </c>
      <c r="P239" s="17" t="str" cm="1">
        <f t="array" aca="1" ref="P239" ca="1">Common_InputFunctions.Utility_DisplayArrayInTable(Common_SourceData.Common_SourceData_MCFTemperatureZone_Data(),Table_SourceData_Common_MCFTemperatureZone[[#Headers],[Temperature zone]],0)</f>
        <v/>
      </c>
      <c r="Q239" s="17" t="str" cm="1">
        <f t="array" aca="1" ref="Q239" ca="1">Common_InputFunctions.Utility_DisplayArrayInTable(Common_SourceData.Common_SourceData_MCFTemperatureZone_Data(),Table_SourceData_Common_MCFTemperatureZone[[#Headers],[Temperature zone]],0)</f>
        <v/>
      </c>
      <c r="R239" s="17" t="str" cm="1">
        <f t="array" aca="1" ref="R239" ca="1">Common_InputFunctions.Utility_DisplayArrayInTable(Common_SourceData.Common_SourceData_MCFTemperatureZone_Data(),Table_SourceData_Common_MCFTemperatureZone[[#Headers],[Temperature zone]],0)</f>
        <v/>
      </c>
      <c r="S239" s="17" t="str" cm="1">
        <f t="array" aca="1" ref="S239" ca="1">Common_InputFunctions.Utility_DisplayArrayInTable(Common_SourceData.Common_SourceData_MCFTemperatureZone_Data(),Table_SourceData_Common_MCFTemperatureZone[[#Headers],[Temperature zone]],0)</f>
        <v/>
      </c>
    </row>
    <row r="240" spans="4:19" x14ac:dyDescent="0.25" ht="20" customHeight="1">
      <c r="D240" s="15" t="str" cm="1">
        <f t="array" aca="1" ref="D240" ca="1">Common_InputFunctions.Utility_DisplayArrayInTable(Common_SourceData.Common_SourceData_MCFTemperatureZone_Data(),Table_SourceData_Common_MCFTemperatureZone[[#Headers],[Temperature zone]],0)</f>
        <v/>
      </c>
      <c r="E240" s="17" t="str" cm="1">
        <f t="array" aca="1" ref="E240" ca="1">Common_InputFunctions.Utility_DisplayArrayInTable(Common_SourceData.Common_SourceData_MCFTemperatureZone_Data(),Table_SourceData_Common_MCFTemperatureZone[[#Headers],[Temperature zone]],0)</f>
        <v/>
      </c>
      <c r="F240" s="17" t="str" cm="1">
        <f t="array" aca="1" ref="F240" ca="1">Common_InputFunctions.Utility_DisplayArrayInTable(Common_SourceData.Common_SourceData_MCFTemperatureZone_Data(),Table_SourceData_Common_MCFTemperatureZone[[#Headers],[Temperature zone]],0)</f>
        <v/>
      </c>
      <c r="G240" s="17" t="str" cm="1">
        <f t="array" aca="1" ref="G240" ca="1">Common_InputFunctions.Utility_DisplayArrayInTable(Common_SourceData.Common_SourceData_MCFTemperatureZone_Data(),Table_SourceData_Common_MCFTemperatureZone[[#Headers],[Temperature zone]],0)</f>
        <v/>
      </c>
      <c r="H240" s="17" t="str" cm="1">
        <f t="array" aca="1" ref="H240" ca="1">Common_InputFunctions.Utility_DisplayArrayInTable(Common_SourceData.Common_SourceData_MCFTemperatureZone_Data(),Table_SourceData_Common_MCFTemperatureZone[[#Headers],[Temperature zone]],0)</f>
        <v/>
      </c>
      <c r="I240" s="17" t="str" cm="1">
        <f t="array" aca="1" ref="I240" ca="1">Common_InputFunctions.Utility_DisplayArrayInTable(Common_SourceData.Common_SourceData_MCFTemperatureZone_Data(),Table_SourceData_Common_MCFTemperatureZone[[#Headers],[Temperature zone]],0)</f>
        <v/>
      </c>
      <c r="J240" s="17" t="str" cm="1">
        <f t="array" aca="1" ref="J240" ca="1">Common_InputFunctions.Utility_DisplayArrayInTable(Common_SourceData.Common_SourceData_MCFTemperatureZone_Data(),Table_SourceData_Common_MCFTemperatureZone[[#Headers],[Temperature zone]],0)</f>
        <v/>
      </c>
      <c r="K240" s="17" t="str" cm="1">
        <f t="array" aca="1" ref="K240" ca="1">Common_InputFunctions.Utility_DisplayArrayInTable(Common_SourceData.Common_SourceData_MCFTemperatureZone_Data(),Table_SourceData_Common_MCFTemperatureZone[[#Headers],[Temperature zone]],0)</f>
        <v/>
      </c>
      <c r="L240" s="17" t="str" cm="1">
        <f t="array" aca="1" ref="L240" ca="1">Common_InputFunctions.Utility_DisplayArrayInTable(Common_SourceData.Common_SourceData_MCFTemperatureZone_Data(),Table_SourceData_Common_MCFTemperatureZone[[#Headers],[Temperature zone]],0)</f>
        <v/>
      </c>
      <c r="M240" s="17" t="str" cm="1">
        <f t="array" aca="1" ref="M240" ca="1">Common_InputFunctions.Utility_DisplayArrayInTable(Common_SourceData.Common_SourceData_MCFTemperatureZone_Data(),Table_SourceData_Common_MCFTemperatureZone[[#Headers],[Temperature zone]],0)</f>
        <v/>
      </c>
      <c r="N240" s="17" t="str" cm="1">
        <f t="array" aca="1" ref="N240" ca="1">Common_InputFunctions.Utility_DisplayArrayInTable(Common_SourceData.Common_SourceData_MCFTemperatureZone_Data(),Table_SourceData_Common_MCFTemperatureZone[[#Headers],[Temperature zone]],0)</f>
        <v/>
      </c>
      <c r="O240" s="17" t="str" cm="1">
        <f t="array" aca="1" ref="O240" ca="1">Common_InputFunctions.Utility_DisplayArrayInTable(Common_SourceData.Common_SourceData_MCFTemperatureZone_Data(),Table_SourceData_Common_MCFTemperatureZone[[#Headers],[Temperature zone]],0)</f>
        <v/>
      </c>
      <c r="P240" s="17" t="str" cm="1">
        <f t="array" aca="1" ref="P240" ca="1">Common_InputFunctions.Utility_DisplayArrayInTable(Common_SourceData.Common_SourceData_MCFTemperatureZone_Data(),Table_SourceData_Common_MCFTemperatureZone[[#Headers],[Temperature zone]],0)</f>
        <v/>
      </c>
      <c r="Q240" s="17" t="str" cm="1">
        <f t="array" aca="1" ref="Q240" ca="1">Common_InputFunctions.Utility_DisplayArrayInTable(Common_SourceData.Common_SourceData_MCFTemperatureZone_Data(),Table_SourceData_Common_MCFTemperatureZone[[#Headers],[Temperature zone]],0)</f>
        <v/>
      </c>
      <c r="R240" s="17" t="str" cm="1">
        <f t="array" aca="1" ref="R240" ca="1">Common_InputFunctions.Utility_DisplayArrayInTable(Common_SourceData.Common_SourceData_MCFTemperatureZone_Data(),Table_SourceData_Common_MCFTemperatureZone[[#Headers],[Temperature zone]],0)</f>
        <v/>
      </c>
      <c r="S240" s="17" t="str" cm="1">
        <f t="array" aca="1" ref="S240" ca="1">Common_InputFunctions.Utility_DisplayArrayInTable(Common_SourceData.Common_SourceData_MCFTemperatureZone_Data(),Table_SourceData_Common_MCFTemperatureZone[[#Headers],[Temperature zone]],0)</f>
        <v/>
      </c>
    </row>
    <row r="241" spans="4:19" x14ac:dyDescent="0.25" ht="20" customHeight="1">
      <c r="D241" s="15" t="str" cm="1">
        <f t="array" aca="1" ref="D241" ca="1">Common_InputFunctions.Utility_DisplayArrayInTable(Common_SourceData.Common_SourceData_MCFTemperatureZone_Data(),Table_SourceData_Common_MCFTemperatureZone[[#Headers],[Temperature zone]],0)</f>
        <v/>
      </c>
      <c r="E241" s="17" t="str" cm="1">
        <f t="array" aca="1" ref="E241" ca="1">Common_InputFunctions.Utility_DisplayArrayInTable(Common_SourceData.Common_SourceData_MCFTemperatureZone_Data(),Table_SourceData_Common_MCFTemperatureZone[[#Headers],[Temperature zone]],0)</f>
        <v/>
      </c>
      <c r="F241" s="17" t="str" cm="1">
        <f t="array" aca="1" ref="F241" ca="1">Common_InputFunctions.Utility_DisplayArrayInTable(Common_SourceData.Common_SourceData_MCFTemperatureZone_Data(),Table_SourceData_Common_MCFTemperatureZone[[#Headers],[Temperature zone]],0)</f>
        <v/>
      </c>
      <c r="G241" s="17" t="str" cm="1">
        <f t="array" aca="1" ref="G241" ca="1">Common_InputFunctions.Utility_DisplayArrayInTable(Common_SourceData.Common_SourceData_MCFTemperatureZone_Data(),Table_SourceData_Common_MCFTemperatureZone[[#Headers],[Temperature zone]],0)</f>
        <v/>
      </c>
      <c r="H241" s="17" t="str" cm="1">
        <f t="array" aca="1" ref="H241" ca="1">Common_InputFunctions.Utility_DisplayArrayInTable(Common_SourceData.Common_SourceData_MCFTemperatureZone_Data(),Table_SourceData_Common_MCFTemperatureZone[[#Headers],[Temperature zone]],0)</f>
        <v/>
      </c>
      <c r="I241" s="17" t="str" cm="1">
        <f t="array" aca="1" ref="I241" ca="1">Common_InputFunctions.Utility_DisplayArrayInTable(Common_SourceData.Common_SourceData_MCFTemperatureZone_Data(),Table_SourceData_Common_MCFTemperatureZone[[#Headers],[Temperature zone]],0)</f>
        <v/>
      </c>
      <c r="J241" s="17" t="str" cm="1">
        <f t="array" aca="1" ref="J241" ca="1">Common_InputFunctions.Utility_DisplayArrayInTable(Common_SourceData.Common_SourceData_MCFTemperatureZone_Data(),Table_SourceData_Common_MCFTemperatureZone[[#Headers],[Temperature zone]],0)</f>
        <v/>
      </c>
      <c r="K241" s="17" t="str" cm="1">
        <f t="array" aca="1" ref="K241" ca="1">Common_InputFunctions.Utility_DisplayArrayInTable(Common_SourceData.Common_SourceData_MCFTemperatureZone_Data(),Table_SourceData_Common_MCFTemperatureZone[[#Headers],[Temperature zone]],0)</f>
        <v/>
      </c>
      <c r="L241" s="17" t="str" cm="1">
        <f t="array" aca="1" ref="L241" ca="1">Common_InputFunctions.Utility_DisplayArrayInTable(Common_SourceData.Common_SourceData_MCFTemperatureZone_Data(),Table_SourceData_Common_MCFTemperatureZone[[#Headers],[Temperature zone]],0)</f>
        <v/>
      </c>
      <c r="M241" s="17" t="str" cm="1">
        <f t="array" aca="1" ref="M241" ca="1">Common_InputFunctions.Utility_DisplayArrayInTable(Common_SourceData.Common_SourceData_MCFTemperatureZone_Data(),Table_SourceData_Common_MCFTemperatureZone[[#Headers],[Temperature zone]],0)</f>
        <v/>
      </c>
      <c r="N241" s="17" t="str" cm="1">
        <f t="array" aca="1" ref="N241" ca="1">Common_InputFunctions.Utility_DisplayArrayInTable(Common_SourceData.Common_SourceData_MCFTemperatureZone_Data(),Table_SourceData_Common_MCFTemperatureZone[[#Headers],[Temperature zone]],0)</f>
        <v/>
      </c>
      <c r="O241" s="17" t="str" cm="1">
        <f t="array" aca="1" ref="O241" ca="1">Common_InputFunctions.Utility_DisplayArrayInTable(Common_SourceData.Common_SourceData_MCFTemperatureZone_Data(),Table_SourceData_Common_MCFTemperatureZone[[#Headers],[Temperature zone]],0)</f>
        <v/>
      </c>
      <c r="P241" s="17" t="str" cm="1">
        <f t="array" aca="1" ref="P241" ca="1">Common_InputFunctions.Utility_DisplayArrayInTable(Common_SourceData.Common_SourceData_MCFTemperatureZone_Data(),Table_SourceData_Common_MCFTemperatureZone[[#Headers],[Temperature zone]],0)</f>
        <v/>
      </c>
      <c r="Q241" s="17" t="str" cm="1">
        <f t="array" aca="1" ref="Q241" ca="1">Common_InputFunctions.Utility_DisplayArrayInTable(Common_SourceData.Common_SourceData_MCFTemperatureZone_Data(),Table_SourceData_Common_MCFTemperatureZone[[#Headers],[Temperature zone]],0)</f>
        <v/>
      </c>
      <c r="R241" s="17" t="str" cm="1">
        <f t="array" aca="1" ref="R241" ca="1">Common_InputFunctions.Utility_DisplayArrayInTable(Common_SourceData.Common_SourceData_MCFTemperatureZone_Data(),Table_SourceData_Common_MCFTemperatureZone[[#Headers],[Temperature zone]],0)</f>
        <v/>
      </c>
      <c r="S241" s="17" t="str" cm="1">
        <f t="array" aca="1" ref="S241" ca="1">Common_InputFunctions.Utility_DisplayArrayInTable(Common_SourceData.Common_SourceData_MCFTemperatureZone_Data(),Table_SourceData_Common_MCFTemperatureZone[[#Headers],[Temperature zone]],0)</f>
        <v/>
      </c>
    </row>
    <row r="242" spans="4:19" x14ac:dyDescent="0.25" ht="20" customHeight="1">
      <c r="D242" s="15" t="str" cm="1">
        <f t="array" aca="1" ref="D242" ca="1">Common_InputFunctions.Utility_DisplayArrayInTable(Common_SourceData.Common_SourceData_MCFTemperatureZone_Data(),Table_SourceData_Common_MCFTemperatureZone[[#Headers],[Temperature zone]],0)</f>
        <v/>
      </c>
      <c r="E242" s="17" t="str" cm="1">
        <f t="array" aca="1" ref="E242" ca="1">Common_InputFunctions.Utility_DisplayArrayInTable(Common_SourceData.Common_SourceData_MCFTemperatureZone_Data(),Table_SourceData_Common_MCFTemperatureZone[[#Headers],[Temperature zone]],0)</f>
        <v/>
      </c>
      <c r="F242" s="17" t="str" cm="1">
        <f t="array" aca="1" ref="F242" ca="1">Common_InputFunctions.Utility_DisplayArrayInTable(Common_SourceData.Common_SourceData_MCFTemperatureZone_Data(),Table_SourceData_Common_MCFTemperatureZone[[#Headers],[Temperature zone]],0)</f>
        <v/>
      </c>
      <c r="G242" s="17" t="str" cm="1">
        <f t="array" aca="1" ref="G242" ca="1">Common_InputFunctions.Utility_DisplayArrayInTable(Common_SourceData.Common_SourceData_MCFTemperatureZone_Data(),Table_SourceData_Common_MCFTemperatureZone[[#Headers],[Temperature zone]],0)</f>
        <v/>
      </c>
      <c r="H242" s="17" t="str" cm="1">
        <f t="array" aca="1" ref="H242" ca="1">Common_InputFunctions.Utility_DisplayArrayInTable(Common_SourceData.Common_SourceData_MCFTemperatureZone_Data(),Table_SourceData_Common_MCFTemperatureZone[[#Headers],[Temperature zone]],0)</f>
        <v/>
      </c>
      <c r="I242" s="17" t="str" cm="1">
        <f t="array" aca="1" ref="I242" ca="1">Common_InputFunctions.Utility_DisplayArrayInTable(Common_SourceData.Common_SourceData_MCFTemperatureZone_Data(),Table_SourceData_Common_MCFTemperatureZone[[#Headers],[Temperature zone]],0)</f>
        <v/>
      </c>
      <c r="J242" s="17" t="str" cm="1">
        <f t="array" aca="1" ref="J242" ca="1">Common_InputFunctions.Utility_DisplayArrayInTable(Common_SourceData.Common_SourceData_MCFTemperatureZone_Data(),Table_SourceData_Common_MCFTemperatureZone[[#Headers],[Temperature zone]],0)</f>
        <v/>
      </c>
      <c r="K242" s="17" t="str" cm="1">
        <f t="array" aca="1" ref="K242" ca="1">Common_InputFunctions.Utility_DisplayArrayInTable(Common_SourceData.Common_SourceData_MCFTemperatureZone_Data(),Table_SourceData_Common_MCFTemperatureZone[[#Headers],[Temperature zone]],0)</f>
        <v/>
      </c>
      <c r="L242" s="17" t="str" cm="1">
        <f t="array" aca="1" ref="L242" ca="1">Common_InputFunctions.Utility_DisplayArrayInTable(Common_SourceData.Common_SourceData_MCFTemperatureZone_Data(),Table_SourceData_Common_MCFTemperatureZone[[#Headers],[Temperature zone]],0)</f>
        <v/>
      </c>
      <c r="M242" s="17" t="str" cm="1">
        <f t="array" aca="1" ref="M242" ca="1">Common_InputFunctions.Utility_DisplayArrayInTable(Common_SourceData.Common_SourceData_MCFTemperatureZone_Data(),Table_SourceData_Common_MCFTemperatureZone[[#Headers],[Temperature zone]],0)</f>
        <v/>
      </c>
      <c r="N242" s="17" t="str" cm="1">
        <f t="array" aca="1" ref="N242" ca="1">Common_InputFunctions.Utility_DisplayArrayInTable(Common_SourceData.Common_SourceData_MCFTemperatureZone_Data(),Table_SourceData_Common_MCFTemperatureZone[[#Headers],[Temperature zone]],0)</f>
        <v/>
      </c>
      <c r="O242" s="17" t="str" cm="1">
        <f t="array" aca="1" ref="O242" ca="1">Common_InputFunctions.Utility_DisplayArrayInTable(Common_SourceData.Common_SourceData_MCFTemperatureZone_Data(),Table_SourceData_Common_MCFTemperatureZone[[#Headers],[Temperature zone]],0)</f>
        <v/>
      </c>
      <c r="P242" s="17" t="str" cm="1">
        <f t="array" aca="1" ref="P242" ca="1">Common_InputFunctions.Utility_DisplayArrayInTable(Common_SourceData.Common_SourceData_MCFTemperatureZone_Data(),Table_SourceData_Common_MCFTemperatureZone[[#Headers],[Temperature zone]],0)</f>
        <v/>
      </c>
      <c r="Q242" s="17" t="str" cm="1">
        <f t="array" aca="1" ref="Q242" ca="1">Common_InputFunctions.Utility_DisplayArrayInTable(Common_SourceData.Common_SourceData_MCFTemperatureZone_Data(),Table_SourceData_Common_MCFTemperatureZone[[#Headers],[Temperature zone]],0)</f>
        <v/>
      </c>
      <c r="R242" s="17" t="str" cm="1">
        <f t="array" aca="1" ref="R242" ca="1">Common_InputFunctions.Utility_DisplayArrayInTable(Common_SourceData.Common_SourceData_MCFTemperatureZone_Data(),Table_SourceData_Common_MCFTemperatureZone[[#Headers],[Temperature zone]],0)</f>
        <v/>
      </c>
      <c r="S242" s="17" t="str" cm="1">
        <f t="array" aca="1" ref="S242" ca="1">Common_InputFunctions.Utility_DisplayArrayInTable(Common_SourceData.Common_SourceData_MCFTemperatureZone_Data(),Table_SourceData_Common_MCFTemperatureZone[[#Headers],[Temperature zone]],0)</f>
        <v/>
      </c>
    </row>
    <row r="243" spans="4:19" x14ac:dyDescent="0.25" ht="20" customHeight="1">
      <c r="D243" s="15" t="str" cm="1">
        <f t="array" aca="1" ref="D243" ca="1">Common_InputFunctions.Utility_DisplayArrayInTable(Common_SourceData.Common_SourceData_MCFTemperatureZone_Data(),Table_SourceData_Common_MCFTemperatureZone[[#Headers],[Temperature zone]],0)</f>
        <v/>
      </c>
      <c r="E243" s="17" t="str" cm="1">
        <f t="array" aca="1" ref="E243" ca="1">Common_InputFunctions.Utility_DisplayArrayInTable(Common_SourceData.Common_SourceData_MCFTemperatureZone_Data(),Table_SourceData_Common_MCFTemperatureZone[[#Headers],[Temperature zone]],0)</f>
        <v/>
      </c>
      <c r="F243" s="17" t="str" cm="1">
        <f t="array" aca="1" ref="F243" ca="1">Common_InputFunctions.Utility_DisplayArrayInTable(Common_SourceData.Common_SourceData_MCFTemperatureZone_Data(),Table_SourceData_Common_MCFTemperatureZone[[#Headers],[Temperature zone]],0)</f>
        <v/>
      </c>
      <c r="G243" s="17" t="str" cm="1">
        <f t="array" aca="1" ref="G243" ca="1">Common_InputFunctions.Utility_DisplayArrayInTable(Common_SourceData.Common_SourceData_MCFTemperatureZone_Data(),Table_SourceData_Common_MCFTemperatureZone[[#Headers],[Temperature zone]],0)</f>
        <v/>
      </c>
      <c r="H243" s="17" t="str" cm="1">
        <f t="array" aca="1" ref="H243" ca="1">Common_InputFunctions.Utility_DisplayArrayInTable(Common_SourceData.Common_SourceData_MCFTemperatureZone_Data(),Table_SourceData_Common_MCFTemperatureZone[[#Headers],[Temperature zone]],0)</f>
        <v/>
      </c>
      <c r="I243" s="17" t="str" cm="1">
        <f t="array" aca="1" ref="I243" ca="1">Common_InputFunctions.Utility_DisplayArrayInTable(Common_SourceData.Common_SourceData_MCFTemperatureZone_Data(),Table_SourceData_Common_MCFTemperatureZone[[#Headers],[Temperature zone]],0)</f>
        <v/>
      </c>
      <c r="J243" s="17" t="str" cm="1">
        <f t="array" aca="1" ref="J243" ca="1">Common_InputFunctions.Utility_DisplayArrayInTable(Common_SourceData.Common_SourceData_MCFTemperatureZone_Data(),Table_SourceData_Common_MCFTemperatureZone[[#Headers],[Temperature zone]],0)</f>
        <v/>
      </c>
      <c r="K243" s="17" t="str" cm="1">
        <f t="array" aca="1" ref="K243" ca="1">Common_InputFunctions.Utility_DisplayArrayInTable(Common_SourceData.Common_SourceData_MCFTemperatureZone_Data(),Table_SourceData_Common_MCFTemperatureZone[[#Headers],[Temperature zone]],0)</f>
        <v/>
      </c>
      <c r="L243" s="17" t="str" cm="1">
        <f t="array" aca="1" ref="L243" ca="1">Common_InputFunctions.Utility_DisplayArrayInTable(Common_SourceData.Common_SourceData_MCFTemperatureZone_Data(),Table_SourceData_Common_MCFTemperatureZone[[#Headers],[Temperature zone]],0)</f>
        <v/>
      </c>
      <c r="M243" s="17" t="str" cm="1">
        <f t="array" aca="1" ref="M243" ca="1">Common_InputFunctions.Utility_DisplayArrayInTable(Common_SourceData.Common_SourceData_MCFTemperatureZone_Data(),Table_SourceData_Common_MCFTemperatureZone[[#Headers],[Temperature zone]],0)</f>
        <v/>
      </c>
      <c r="N243" s="17" t="str" cm="1">
        <f t="array" aca="1" ref="N243" ca="1">Common_InputFunctions.Utility_DisplayArrayInTable(Common_SourceData.Common_SourceData_MCFTemperatureZone_Data(),Table_SourceData_Common_MCFTemperatureZone[[#Headers],[Temperature zone]],0)</f>
        <v/>
      </c>
      <c r="O243" s="17" t="str" cm="1">
        <f t="array" aca="1" ref="O243" ca="1">Common_InputFunctions.Utility_DisplayArrayInTable(Common_SourceData.Common_SourceData_MCFTemperatureZone_Data(),Table_SourceData_Common_MCFTemperatureZone[[#Headers],[Temperature zone]],0)</f>
        <v/>
      </c>
      <c r="P243" s="17" t="str" cm="1">
        <f t="array" aca="1" ref="P243" ca="1">Common_InputFunctions.Utility_DisplayArrayInTable(Common_SourceData.Common_SourceData_MCFTemperatureZone_Data(),Table_SourceData_Common_MCFTemperatureZone[[#Headers],[Temperature zone]],0)</f>
        <v/>
      </c>
      <c r="Q243" s="17" t="str" cm="1">
        <f t="array" aca="1" ref="Q243" ca="1">Common_InputFunctions.Utility_DisplayArrayInTable(Common_SourceData.Common_SourceData_MCFTemperatureZone_Data(),Table_SourceData_Common_MCFTemperatureZone[[#Headers],[Temperature zone]],0)</f>
        <v/>
      </c>
      <c r="R243" s="17" t="str" cm="1">
        <f t="array" aca="1" ref="R243" ca="1">Common_InputFunctions.Utility_DisplayArrayInTable(Common_SourceData.Common_SourceData_MCFTemperatureZone_Data(),Table_SourceData_Common_MCFTemperatureZone[[#Headers],[Temperature zone]],0)</f>
        <v/>
      </c>
      <c r="S243" s="17" t="str" cm="1">
        <f t="array" aca="1" ref="S243" ca="1">Common_InputFunctions.Utility_DisplayArrayInTable(Common_SourceData.Common_SourceData_MCFTemperatureZone_Data(),Table_SourceData_Common_MCFTemperatureZone[[#Headers],[Temperature zone]],0)</f>
        <v/>
      </c>
    </row>
    <row r="244" spans="4:19" x14ac:dyDescent="0.25" ht="20" customHeight="1">
      <c r="D244" s="15" t="str" cm="1">
        <f t="array" aca="1" ref="D244" ca="1">Common_InputFunctions.Utility_DisplayArrayInTable(Common_SourceData.Common_SourceData_MCFTemperatureZone_Data(),Table_SourceData_Common_MCFTemperatureZone[[#Headers],[Temperature zone]],0)</f>
        <v/>
      </c>
      <c r="E244" s="17" t="str" cm="1">
        <f t="array" aca="1" ref="E244" ca="1">Common_InputFunctions.Utility_DisplayArrayInTable(Common_SourceData.Common_SourceData_MCFTemperatureZone_Data(),Table_SourceData_Common_MCFTemperatureZone[[#Headers],[Temperature zone]],0)</f>
        <v/>
      </c>
      <c r="F244" s="17" t="str" cm="1">
        <f t="array" aca="1" ref="F244" ca="1">Common_InputFunctions.Utility_DisplayArrayInTable(Common_SourceData.Common_SourceData_MCFTemperatureZone_Data(),Table_SourceData_Common_MCFTemperatureZone[[#Headers],[Temperature zone]],0)</f>
        <v/>
      </c>
      <c r="G244" s="17" t="str" cm="1">
        <f t="array" aca="1" ref="G244" ca="1">Common_InputFunctions.Utility_DisplayArrayInTable(Common_SourceData.Common_SourceData_MCFTemperatureZone_Data(),Table_SourceData_Common_MCFTemperatureZone[[#Headers],[Temperature zone]],0)</f>
        <v/>
      </c>
      <c r="H244" s="17" t="str" cm="1">
        <f t="array" aca="1" ref="H244" ca="1">Common_InputFunctions.Utility_DisplayArrayInTable(Common_SourceData.Common_SourceData_MCFTemperatureZone_Data(),Table_SourceData_Common_MCFTemperatureZone[[#Headers],[Temperature zone]],0)</f>
        <v/>
      </c>
      <c r="I244" s="17" t="str" cm="1">
        <f t="array" aca="1" ref="I244" ca="1">Common_InputFunctions.Utility_DisplayArrayInTable(Common_SourceData.Common_SourceData_MCFTemperatureZone_Data(),Table_SourceData_Common_MCFTemperatureZone[[#Headers],[Temperature zone]],0)</f>
        <v/>
      </c>
      <c r="J244" s="17" t="str" cm="1">
        <f t="array" aca="1" ref="J244" ca="1">Common_InputFunctions.Utility_DisplayArrayInTable(Common_SourceData.Common_SourceData_MCFTemperatureZone_Data(),Table_SourceData_Common_MCFTemperatureZone[[#Headers],[Temperature zone]],0)</f>
        <v/>
      </c>
      <c r="K244" s="17" t="str" cm="1">
        <f t="array" aca="1" ref="K244" ca="1">Common_InputFunctions.Utility_DisplayArrayInTable(Common_SourceData.Common_SourceData_MCFTemperatureZone_Data(),Table_SourceData_Common_MCFTemperatureZone[[#Headers],[Temperature zone]],0)</f>
        <v/>
      </c>
      <c r="L244" s="17" t="str" cm="1">
        <f t="array" aca="1" ref="L244" ca="1">Common_InputFunctions.Utility_DisplayArrayInTable(Common_SourceData.Common_SourceData_MCFTemperatureZone_Data(),Table_SourceData_Common_MCFTemperatureZone[[#Headers],[Temperature zone]],0)</f>
        <v/>
      </c>
      <c r="M244" s="17" t="str" cm="1">
        <f t="array" aca="1" ref="M244" ca="1">Common_InputFunctions.Utility_DisplayArrayInTable(Common_SourceData.Common_SourceData_MCFTemperatureZone_Data(),Table_SourceData_Common_MCFTemperatureZone[[#Headers],[Temperature zone]],0)</f>
        <v/>
      </c>
      <c r="N244" s="17" t="str" cm="1">
        <f t="array" aca="1" ref="N244" ca="1">Common_InputFunctions.Utility_DisplayArrayInTable(Common_SourceData.Common_SourceData_MCFTemperatureZone_Data(),Table_SourceData_Common_MCFTemperatureZone[[#Headers],[Temperature zone]],0)</f>
        <v/>
      </c>
      <c r="O244" s="17" t="str" cm="1">
        <f t="array" aca="1" ref="O244" ca="1">Common_InputFunctions.Utility_DisplayArrayInTable(Common_SourceData.Common_SourceData_MCFTemperatureZone_Data(),Table_SourceData_Common_MCFTemperatureZone[[#Headers],[Temperature zone]],0)</f>
        <v/>
      </c>
      <c r="P244" s="17" t="str" cm="1">
        <f t="array" aca="1" ref="P244" ca="1">Common_InputFunctions.Utility_DisplayArrayInTable(Common_SourceData.Common_SourceData_MCFTemperatureZone_Data(),Table_SourceData_Common_MCFTemperatureZone[[#Headers],[Temperature zone]],0)</f>
        <v/>
      </c>
      <c r="Q244" s="17" t="str" cm="1">
        <f t="array" aca="1" ref="Q244" ca="1">Common_InputFunctions.Utility_DisplayArrayInTable(Common_SourceData.Common_SourceData_MCFTemperatureZone_Data(),Table_SourceData_Common_MCFTemperatureZone[[#Headers],[Temperature zone]],0)</f>
        <v/>
      </c>
      <c r="R244" s="17" t="str" cm="1">
        <f t="array" aca="1" ref="R244" ca="1">Common_InputFunctions.Utility_DisplayArrayInTable(Common_SourceData.Common_SourceData_MCFTemperatureZone_Data(),Table_SourceData_Common_MCFTemperatureZone[[#Headers],[Temperature zone]],0)</f>
        <v/>
      </c>
      <c r="S244" s="17" t="str" cm="1">
        <f t="array" aca="1" ref="S244" ca="1">Common_InputFunctions.Utility_DisplayArrayInTable(Common_SourceData.Common_SourceData_MCFTemperatureZone_Data(),Table_SourceData_Common_MCFTemperatureZone[[#Headers],[Temperature zone]],0)</f>
        <v/>
      </c>
    </row>
    <row r="245" spans="4:19" x14ac:dyDescent="0.25" ht="20" customHeight="1">
      <c r="D245" s="15" t="str" cm="1">
        <f t="array" aca="1" ref="D245" ca="1">Common_InputFunctions.Utility_DisplayArrayInTable(Common_SourceData.Common_SourceData_MCFTemperatureZone_Data(),Table_SourceData_Common_MCFTemperatureZone[[#Headers],[Temperature zone]],0)</f>
        <v/>
      </c>
      <c r="E245" s="17" t="str" cm="1">
        <f t="array" aca="1" ref="E245" ca="1">Common_InputFunctions.Utility_DisplayArrayInTable(Common_SourceData.Common_SourceData_MCFTemperatureZone_Data(),Table_SourceData_Common_MCFTemperatureZone[[#Headers],[Temperature zone]],0)</f>
        <v/>
      </c>
      <c r="F245" s="17" t="str" cm="1">
        <f t="array" aca="1" ref="F245" ca="1">Common_InputFunctions.Utility_DisplayArrayInTable(Common_SourceData.Common_SourceData_MCFTemperatureZone_Data(),Table_SourceData_Common_MCFTemperatureZone[[#Headers],[Temperature zone]],0)</f>
        <v/>
      </c>
      <c r="G245" s="17" t="str" cm="1">
        <f t="array" aca="1" ref="G245" ca="1">Common_InputFunctions.Utility_DisplayArrayInTable(Common_SourceData.Common_SourceData_MCFTemperatureZone_Data(),Table_SourceData_Common_MCFTemperatureZone[[#Headers],[Temperature zone]],0)</f>
        <v/>
      </c>
      <c r="H245" s="17" t="str" cm="1">
        <f t="array" aca="1" ref="H245" ca="1">Common_InputFunctions.Utility_DisplayArrayInTable(Common_SourceData.Common_SourceData_MCFTemperatureZone_Data(),Table_SourceData_Common_MCFTemperatureZone[[#Headers],[Temperature zone]],0)</f>
        <v/>
      </c>
      <c r="I245" s="17" t="str" cm="1">
        <f t="array" aca="1" ref="I245" ca="1">Common_InputFunctions.Utility_DisplayArrayInTable(Common_SourceData.Common_SourceData_MCFTemperatureZone_Data(),Table_SourceData_Common_MCFTemperatureZone[[#Headers],[Temperature zone]],0)</f>
        <v/>
      </c>
      <c r="J245" s="17" t="str" cm="1">
        <f t="array" aca="1" ref="J245" ca="1">Common_InputFunctions.Utility_DisplayArrayInTable(Common_SourceData.Common_SourceData_MCFTemperatureZone_Data(),Table_SourceData_Common_MCFTemperatureZone[[#Headers],[Temperature zone]],0)</f>
        <v/>
      </c>
      <c r="K245" s="17" t="str" cm="1">
        <f t="array" aca="1" ref="K245" ca="1">Common_InputFunctions.Utility_DisplayArrayInTable(Common_SourceData.Common_SourceData_MCFTemperatureZone_Data(),Table_SourceData_Common_MCFTemperatureZone[[#Headers],[Temperature zone]],0)</f>
        <v/>
      </c>
      <c r="L245" s="17" t="str" cm="1">
        <f t="array" aca="1" ref="L245" ca="1">Common_InputFunctions.Utility_DisplayArrayInTable(Common_SourceData.Common_SourceData_MCFTemperatureZone_Data(),Table_SourceData_Common_MCFTemperatureZone[[#Headers],[Temperature zone]],0)</f>
        <v/>
      </c>
      <c r="M245" s="17" t="str" cm="1">
        <f t="array" aca="1" ref="M245" ca="1">Common_InputFunctions.Utility_DisplayArrayInTable(Common_SourceData.Common_SourceData_MCFTemperatureZone_Data(),Table_SourceData_Common_MCFTemperatureZone[[#Headers],[Temperature zone]],0)</f>
        <v/>
      </c>
      <c r="N245" s="17" t="str" cm="1">
        <f t="array" aca="1" ref="N245" ca="1">Common_InputFunctions.Utility_DisplayArrayInTable(Common_SourceData.Common_SourceData_MCFTemperatureZone_Data(),Table_SourceData_Common_MCFTemperatureZone[[#Headers],[Temperature zone]],0)</f>
        <v/>
      </c>
      <c r="O245" s="17" t="str" cm="1">
        <f t="array" aca="1" ref="O245" ca="1">Common_InputFunctions.Utility_DisplayArrayInTable(Common_SourceData.Common_SourceData_MCFTemperatureZone_Data(),Table_SourceData_Common_MCFTemperatureZone[[#Headers],[Temperature zone]],0)</f>
        <v/>
      </c>
      <c r="P245" s="17" t="str" cm="1">
        <f t="array" aca="1" ref="P245" ca="1">Common_InputFunctions.Utility_DisplayArrayInTable(Common_SourceData.Common_SourceData_MCFTemperatureZone_Data(),Table_SourceData_Common_MCFTemperatureZone[[#Headers],[Temperature zone]],0)</f>
        <v/>
      </c>
      <c r="Q245" s="17" t="str" cm="1">
        <f t="array" aca="1" ref="Q245" ca="1">Common_InputFunctions.Utility_DisplayArrayInTable(Common_SourceData.Common_SourceData_MCFTemperatureZone_Data(),Table_SourceData_Common_MCFTemperatureZone[[#Headers],[Temperature zone]],0)</f>
        <v/>
      </c>
      <c r="R245" s="17" t="str" cm="1">
        <f t="array" aca="1" ref="R245" ca="1">Common_InputFunctions.Utility_DisplayArrayInTable(Common_SourceData.Common_SourceData_MCFTemperatureZone_Data(),Table_SourceData_Common_MCFTemperatureZone[[#Headers],[Temperature zone]],0)</f>
        <v/>
      </c>
      <c r="S245" s="17" t="str" cm="1">
        <f t="array" aca="1" ref="S245" ca="1">Common_InputFunctions.Utility_DisplayArrayInTable(Common_SourceData.Common_SourceData_MCFTemperatureZone_Data(),Table_SourceData_Common_MCFTemperatureZone[[#Headers],[Temperature zone]],0)</f>
        <v/>
      </c>
    </row>
    <row r="246" spans="4:19" x14ac:dyDescent="0.25" ht="20" customHeight="1">
      <c r="D246" s="15" t="str" cm="1">
        <f t="array" aca="1" ref="D246" ca="1">Common_InputFunctions.Utility_DisplayArrayInTable(Common_SourceData.Common_SourceData_MCFTemperatureZone_Data(),Table_SourceData_Common_MCFTemperatureZone[[#Headers],[Temperature zone]],0)</f>
        <v/>
      </c>
      <c r="E246" s="17" t="str" cm="1">
        <f t="array" aca="1" ref="E246" ca="1">Common_InputFunctions.Utility_DisplayArrayInTable(Common_SourceData.Common_SourceData_MCFTemperatureZone_Data(),Table_SourceData_Common_MCFTemperatureZone[[#Headers],[Temperature zone]],0)</f>
        <v/>
      </c>
      <c r="F246" s="17" t="str" cm="1">
        <f t="array" aca="1" ref="F246" ca="1">Common_InputFunctions.Utility_DisplayArrayInTable(Common_SourceData.Common_SourceData_MCFTemperatureZone_Data(),Table_SourceData_Common_MCFTemperatureZone[[#Headers],[Temperature zone]],0)</f>
        <v/>
      </c>
      <c r="G246" s="17" t="str" cm="1">
        <f t="array" aca="1" ref="G246" ca="1">Common_InputFunctions.Utility_DisplayArrayInTable(Common_SourceData.Common_SourceData_MCFTemperatureZone_Data(),Table_SourceData_Common_MCFTemperatureZone[[#Headers],[Temperature zone]],0)</f>
        <v/>
      </c>
      <c r="H246" s="17" t="str" cm="1">
        <f t="array" aca="1" ref="H246" ca="1">Common_InputFunctions.Utility_DisplayArrayInTable(Common_SourceData.Common_SourceData_MCFTemperatureZone_Data(),Table_SourceData_Common_MCFTemperatureZone[[#Headers],[Temperature zone]],0)</f>
        <v/>
      </c>
      <c r="I246" s="17" t="str" cm="1">
        <f t="array" aca="1" ref="I246" ca="1">Common_InputFunctions.Utility_DisplayArrayInTable(Common_SourceData.Common_SourceData_MCFTemperatureZone_Data(),Table_SourceData_Common_MCFTemperatureZone[[#Headers],[Temperature zone]],0)</f>
        <v/>
      </c>
      <c r="J246" s="17" t="str" cm="1">
        <f t="array" aca="1" ref="J246" ca="1">Common_InputFunctions.Utility_DisplayArrayInTable(Common_SourceData.Common_SourceData_MCFTemperatureZone_Data(),Table_SourceData_Common_MCFTemperatureZone[[#Headers],[Temperature zone]],0)</f>
        <v/>
      </c>
      <c r="K246" s="17" t="str" cm="1">
        <f t="array" aca="1" ref="K246" ca="1">Common_InputFunctions.Utility_DisplayArrayInTable(Common_SourceData.Common_SourceData_MCFTemperatureZone_Data(),Table_SourceData_Common_MCFTemperatureZone[[#Headers],[Temperature zone]],0)</f>
        <v/>
      </c>
      <c r="L246" s="17" t="str" cm="1">
        <f t="array" aca="1" ref="L246" ca="1">Common_InputFunctions.Utility_DisplayArrayInTable(Common_SourceData.Common_SourceData_MCFTemperatureZone_Data(),Table_SourceData_Common_MCFTemperatureZone[[#Headers],[Temperature zone]],0)</f>
        <v/>
      </c>
      <c r="M246" s="17" t="str" cm="1">
        <f t="array" aca="1" ref="M246" ca="1">Common_InputFunctions.Utility_DisplayArrayInTable(Common_SourceData.Common_SourceData_MCFTemperatureZone_Data(),Table_SourceData_Common_MCFTemperatureZone[[#Headers],[Temperature zone]],0)</f>
        <v/>
      </c>
      <c r="N246" s="17" t="str" cm="1">
        <f t="array" aca="1" ref="N246" ca="1">Common_InputFunctions.Utility_DisplayArrayInTable(Common_SourceData.Common_SourceData_MCFTemperatureZone_Data(),Table_SourceData_Common_MCFTemperatureZone[[#Headers],[Temperature zone]],0)</f>
        <v/>
      </c>
      <c r="O246" s="17" t="str" cm="1">
        <f t="array" aca="1" ref="O246" ca="1">Common_InputFunctions.Utility_DisplayArrayInTable(Common_SourceData.Common_SourceData_MCFTemperatureZone_Data(),Table_SourceData_Common_MCFTemperatureZone[[#Headers],[Temperature zone]],0)</f>
        <v/>
      </c>
      <c r="P246" s="17" t="str" cm="1">
        <f t="array" aca="1" ref="P246" ca="1">Common_InputFunctions.Utility_DisplayArrayInTable(Common_SourceData.Common_SourceData_MCFTemperatureZone_Data(),Table_SourceData_Common_MCFTemperatureZone[[#Headers],[Temperature zone]],0)</f>
        <v/>
      </c>
      <c r="Q246" s="17" t="str" cm="1">
        <f t="array" aca="1" ref="Q246" ca="1">Common_InputFunctions.Utility_DisplayArrayInTable(Common_SourceData.Common_SourceData_MCFTemperatureZone_Data(),Table_SourceData_Common_MCFTemperatureZone[[#Headers],[Temperature zone]],0)</f>
        <v/>
      </c>
      <c r="R246" s="17" t="str" cm="1">
        <f t="array" aca="1" ref="R246" ca="1">Common_InputFunctions.Utility_DisplayArrayInTable(Common_SourceData.Common_SourceData_MCFTemperatureZone_Data(),Table_SourceData_Common_MCFTemperatureZone[[#Headers],[Temperature zone]],0)</f>
        <v/>
      </c>
      <c r="S246" s="17" t="str" cm="1">
        <f t="array" aca="1" ref="S246" ca="1">Common_InputFunctions.Utility_DisplayArrayInTable(Common_SourceData.Common_SourceData_MCFTemperatureZone_Data(),Table_SourceData_Common_MCFTemperatureZone[[#Headers],[Temperature zone]],0)</f>
        <v/>
      </c>
    </row>
    <row r="247" spans="4:19" x14ac:dyDescent="0.25" ht="20" customHeight="1">
      <c r="D247" s="15" t="str" cm="1">
        <f t="array" aca="1" ref="D247" ca="1">Common_InputFunctions.Utility_DisplayArrayInTable(Common_SourceData.Common_SourceData_MCFTemperatureZone_Data(),Table_SourceData_Common_MCFTemperatureZone[[#Headers],[Temperature zone]],0)</f>
        <v/>
      </c>
      <c r="E247" s="17" t="str" cm="1">
        <f t="array" aca="1" ref="E247" ca="1">Common_InputFunctions.Utility_DisplayArrayInTable(Common_SourceData.Common_SourceData_MCFTemperatureZone_Data(),Table_SourceData_Common_MCFTemperatureZone[[#Headers],[Temperature zone]],0)</f>
        <v/>
      </c>
      <c r="F247" s="17" t="str" cm="1">
        <f t="array" aca="1" ref="F247" ca="1">Common_InputFunctions.Utility_DisplayArrayInTable(Common_SourceData.Common_SourceData_MCFTemperatureZone_Data(),Table_SourceData_Common_MCFTemperatureZone[[#Headers],[Temperature zone]],0)</f>
        <v/>
      </c>
      <c r="G247" s="17" t="str" cm="1">
        <f t="array" aca="1" ref="G247" ca="1">Common_InputFunctions.Utility_DisplayArrayInTable(Common_SourceData.Common_SourceData_MCFTemperatureZone_Data(),Table_SourceData_Common_MCFTemperatureZone[[#Headers],[Temperature zone]],0)</f>
        <v/>
      </c>
      <c r="H247" s="17" t="str" cm="1">
        <f t="array" aca="1" ref="H247" ca="1">Common_InputFunctions.Utility_DisplayArrayInTable(Common_SourceData.Common_SourceData_MCFTemperatureZone_Data(),Table_SourceData_Common_MCFTemperatureZone[[#Headers],[Temperature zone]],0)</f>
        <v/>
      </c>
      <c r="I247" s="17" t="str" cm="1">
        <f t="array" aca="1" ref="I247" ca="1">Common_InputFunctions.Utility_DisplayArrayInTable(Common_SourceData.Common_SourceData_MCFTemperatureZone_Data(),Table_SourceData_Common_MCFTemperatureZone[[#Headers],[Temperature zone]],0)</f>
        <v/>
      </c>
      <c r="J247" s="17" t="str" cm="1">
        <f t="array" aca="1" ref="J247" ca="1">Common_InputFunctions.Utility_DisplayArrayInTable(Common_SourceData.Common_SourceData_MCFTemperatureZone_Data(),Table_SourceData_Common_MCFTemperatureZone[[#Headers],[Temperature zone]],0)</f>
        <v/>
      </c>
      <c r="K247" s="17" t="str" cm="1">
        <f t="array" aca="1" ref="K247" ca="1">Common_InputFunctions.Utility_DisplayArrayInTable(Common_SourceData.Common_SourceData_MCFTemperatureZone_Data(),Table_SourceData_Common_MCFTemperatureZone[[#Headers],[Temperature zone]],0)</f>
        <v/>
      </c>
      <c r="L247" s="17" t="str" cm="1">
        <f t="array" aca="1" ref="L247" ca="1">Common_InputFunctions.Utility_DisplayArrayInTable(Common_SourceData.Common_SourceData_MCFTemperatureZone_Data(),Table_SourceData_Common_MCFTemperatureZone[[#Headers],[Temperature zone]],0)</f>
        <v/>
      </c>
      <c r="M247" s="17" t="str" cm="1">
        <f t="array" aca="1" ref="M247" ca="1">Common_InputFunctions.Utility_DisplayArrayInTable(Common_SourceData.Common_SourceData_MCFTemperatureZone_Data(),Table_SourceData_Common_MCFTemperatureZone[[#Headers],[Temperature zone]],0)</f>
        <v/>
      </c>
      <c r="N247" s="17" t="str" cm="1">
        <f t="array" aca="1" ref="N247" ca="1">Common_InputFunctions.Utility_DisplayArrayInTable(Common_SourceData.Common_SourceData_MCFTemperatureZone_Data(),Table_SourceData_Common_MCFTemperatureZone[[#Headers],[Temperature zone]],0)</f>
        <v/>
      </c>
      <c r="O247" s="17" t="str" cm="1">
        <f t="array" aca="1" ref="O247" ca="1">Common_InputFunctions.Utility_DisplayArrayInTable(Common_SourceData.Common_SourceData_MCFTemperatureZone_Data(),Table_SourceData_Common_MCFTemperatureZone[[#Headers],[Temperature zone]],0)</f>
        <v/>
      </c>
      <c r="P247" s="17" t="str" cm="1">
        <f t="array" aca="1" ref="P247" ca="1">Common_InputFunctions.Utility_DisplayArrayInTable(Common_SourceData.Common_SourceData_MCFTemperatureZone_Data(),Table_SourceData_Common_MCFTemperatureZone[[#Headers],[Temperature zone]],0)</f>
        <v/>
      </c>
      <c r="Q247" s="17" t="str" cm="1">
        <f t="array" aca="1" ref="Q247" ca="1">Common_InputFunctions.Utility_DisplayArrayInTable(Common_SourceData.Common_SourceData_MCFTemperatureZone_Data(),Table_SourceData_Common_MCFTemperatureZone[[#Headers],[Temperature zone]],0)</f>
        <v/>
      </c>
      <c r="R247" s="17" t="str" cm="1">
        <f t="array" aca="1" ref="R247" ca="1">Common_InputFunctions.Utility_DisplayArrayInTable(Common_SourceData.Common_SourceData_MCFTemperatureZone_Data(),Table_SourceData_Common_MCFTemperatureZone[[#Headers],[Temperature zone]],0)</f>
        <v/>
      </c>
      <c r="S247" s="17" t="str" cm="1">
        <f t="array" aca="1" ref="S247" ca="1">Common_InputFunctions.Utility_DisplayArrayInTable(Common_SourceData.Common_SourceData_MCFTemperatureZone_Data(),Table_SourceData_Common_MCFTemperatureZone[[#Headers],[Temperature zone]],0)</f>
        <v/>
      </c>
    </row>
    <row r="248" spans="4:19" x14ac:dyDescent="0.25" ht="20" customHeight="1">
      <c r="D248" s="15" t="str" cm="1">
        <f t="array" aca="1" ref="D248" ca="1">Common_InputFunctions.Utility_DisplayArrayInTable(Common_SourceData.Common_SourceData_MCFTemperatureZone_Data(),Table_SourceData_Common_MCFTemperatureZone[[#Headers],[Temperature zone]],0)</f>
        <v/>
      </c>
      <c r="E248" s="17" t="str" cm="1">
        <f t="array" aca="1" ref="E248" ca="1">Common_InputFunctions.Utility_DisplayArrayInTable(Common_SourceData.Common_SourceData_MCFTemperatureZone_Data(),Table_SourceData_Common_MCFTemperatureZone[[#Headers],[Temperature zone]],0)</f>
        <v/>
      </c>
      <c r="F248" s="17" t="str" cm="1">
        <f t="array" aca="1" ref="F248" ca="1">Common_InputFunctions.Utility_DisplayArrayInTable(Common_SourceData.Common_SourceData_MCFTemperatureZone_Data(),Table_SourceData_Common_MCFTemperatureZone[[#Headers],[Temperature zone]],0)</f>
        <v/>
      </c>
      <c r="G248" s="17" t="str" cm="1">
        <f t="array" aca="1" ref="G248" ca="1">Common_InputFunctions.Utility_DisplayArrayInTable(Common_SourceData.Common_SourceData_MCFTemperatureZone_Data(),Table_SourceData_Common_MCFTemperatureZone[[#Headers],[Temperature zone]],0)</f>
        <v/>
      </c>
      <c r="H248" s="17" t="str" cm="1">
        <f t="array" aca="1" ref="H248" ca="1">Common_InputFunctions.Utility_DisplayArrayInTable(Common_SourceData.Common_SourceData_MCFTemperatureZone_Data(),Table_SourceData_Common_MCFTemperatureZone[[#Headers],[Temperature zone]],0)</f>
        <v/>
      </c>
      <c r="I248" s="17" t="str" cm="1">
        <f t="array" aca="1" ref="I248" ca="1">Common_InputFunctions.Utility_DisplayArrayInTable(Common_SourceData.Common_SourceData_MCFTemperatureZone_Data(),Table_SourceData_Common_MCFTemperatureZone[[#Headers],[Temperature zone]],0)</f>
        <v/>
      </c>
      <c r="J248" s="17" t="str" cm="1">
        <f t="array" aca="1" ref="J248" ca="1">Common_InputFunctions.Utility_DisplayArrayInTable(Common_SourceData.Common_SourceData_MCFTemperatureZone_Data(),Table_SourceData_Common_MCFTemperatureZone[[#Headers],[Temperature zone]],0)</f>
        <v/>
      </c>
      <c r="K248" s="17" t="str" cm="1">
        <f t="array" aca="1" ref="K248" ca="1">Common_InputFunctions.Utility_DisplayArrayInTable(Common_SourceData.Common_SourceData_MCFTemperatureZone_Data(),Table_SourceData_Common_MCFTemperatureZone[[#Headers],[Temperature zone]],0)</f>
        <v/>
      </c>
      <c r="L248" s="17" t="str" cm="1">
        <f t="array" aca="1" ref="L248" ca="1">Common_InputFunctions.Utility_DisplayArrayInTable(Common_SourceData.Common_SourceData_MCFTemperatureZone_Data(),Table_SourceData_Common_MCFTemperatureZone[[#Headers],[Temperature zone]],0)</f>
        <v/>
      </c>
      <c r="M248" s="17" t="str" cm="1">
        <f t="array" aca="1" ref="M248" ca="1">Common_InputFunctions.Utility_DisplayArrayInTable(Common_SourceData.Common_SourceData_MCFTemperatureZone_Data(),Table_SourceData_Common_MCFTemperatureZone[[#Headers],[Temperature zone]],0)</f>
        <v/>
      </c>
      <c r="N248" s="17" t="str" cm="1">
        <f t="array" aca="1" ref="N248" ca="1">Common_InputFunctions.Utility_DisplayArrayInTable(Common_SourceData.Common_SourceData_MCFTemperatureZone_Data(),Table_SourceData_Common_MCFTemperatureZone[[#Headers],[Temperature zone]],0)</f>
        <v/>
      </c>
      <c r="O248" s="17" t="str" cm="1">
        <f t="array" aca="1" ref="O248" ca="1">Common_InputFunctions.Utility_DisplayArrayInTable(Common_SourceData.Common_SourceData_MCFTemperatureZone_Data(),Table_SourceData_Common_MCFTemperatureZone[[#Headers],[Temperature zone]],0)</f>
        <v/>
      </c>
      <c r="P248" s="17" t="str" cm="1">
        <f t="array" aca="1" ref="P248" ca="1">Common_InputFunctions.Utility_DisplayArrayInTable(Common_SourceData.Common_SourceData_MCFTemperatureZone_Data(),Table_SourceData_Common_MCFTemperatureZone[[#Headers],[Temperature zone]],0)</f>
        <v/>
      </c>
      <c r="Q248" s="17" t="str" cm="1">
        <f t="array" aca="1" ref="Q248" ca="1">Common_InputFunctions.Utility_DisplayArrayInTable(Common_SourceData.Common_SourceData_MCFTemperatureZone_Data(),Table_SourceData_Common_MCFTemperatureZone[[#Headers],[Temperature zone]],0)</f>
        <v/>
      </c>
      <c r="R248" s="17" t="str" cm="1">
        <f t="array" aca="1" ref="R248" ca="1">Common_InputFunctions.Utility_DisplayArrayInTable(Common_SourceData.Common_SourceData_MCFTemperatureZone_Data(),Table_SourceData_Common_MCFTemperatureZone[[#Headers],[Temperature zone]],0)</f>
        <v/>
      </c>
      <c r="S248" s="17" t="str" cm="1">
        <f t="array" aca="1" ref="S248" ca="1">Common_InputFunctions.Utility_DisplayArrayInTable(Common_SourceData.Common_SourceData_MCFTemperatureZone_Data(),Table_SourceData_Common_MCFTemperatureZone[[#Headers],[Temperature zone]],0)</f>
        <v/>
      </c>
    </row>
    <row r="249" spans="4:19" x14ac:dyDescent="0.25" ht="20" customHeight="1">
      <c r="D249" s="15" t="str" cm="1">
        <f t="array" aca="1" ref="D249" ca="1">Common_InputFunctions.Utility_DisplayArrayInTable(Common_SourceData.Common_SourceData_MCFTemperatureZone_Data(),Table_SourceData_Common_MCFTemperatureZone[[#Headers],[Temperature zone]],0)</f>
        <v/>
      </c>
      <c r="E249" s="17" t="str" cm="1">
        <f t="array" aca="1" ref="E249" ca="1">Common_InputFunctions.Utility_DisplayArrayInTable(Common_SourceData.Common_SourceData_MCFTemperatureZone_Data(),Table_SourceData_Common_MCFTemperatureZone[[#Headers],[Temperature zone]],0)</f>
        <v/>
      </c>
      <c r="F249" s="17" t="str" cm="1">
        <f t="array" aca="1" ref="F249" ca="1">Common_InputFunctions.Utility_DisplayArrayInTable(Common_SourceData.Common_SourceData_MCFTemperatureZone_Data(),Table_SourceData_Common_MCFTemperatureZone[[#Headers],[Temperature zone]],0)</f>
        <v/>
      </c>
      <c r="G249" s="17" t="str" cm="1">
        <f t="array" aca="1" ref="G249" ca="1">Common_InputFunctions.Utility_DisplayArrayInTable(Common_SourceData.Common_SourceData_MCFTemperatureZone_Data(),Table_SourceData_Common_MCFTemperatureZone[[#Headers],[Temperature zone]],0)</f>
        <v/>
      </c>
      <c r="H249" s="17" t="str" cm="1">
        <f t="array" aca="1" ref="H249" ca="1">Common_InputFunctions.Utility_DisplayArrayInTable(Common_SourceData.Common_SourceData_MCFTemperatureZone_Data(),Table_SourceData_Common_MCFTemperatureZone[[#Headers],[Temperature zone]],0)</f>
        <v/>
      </c>
      <c r="I249" s="17" t="str" cm="1">
        <f t="array" aca="1" ref="I249" ca="1">Common_InputFunctions.Utility_DisplayArrayInTable(Common_SourceData.Common_SourceData_MCFTemperatureZone_Data(),Table_SourceData_Common_MCFTemperatureZone[[#Headers],[Temperature zone]],0)</f>
        <v/>
      </c>
      <c r="J249" s="17" t="str" cm="1">
        <f t="array" aca="1" ref="J249" ca="1">Common_InputFunctions.Utility_DisplayArrayInTable(Common_SourceData.Common_SourceData_MCFTemperatureZone_Data(),Table_SourceData_Common_MCFTemperatureZone[[#Headers],[Temperature zone]],0)</f>
        <v/>
      </c>
      <c r="K249" s="17" t="str" cm="1">
        <f t="array" aca="1" ref="K249" ca="1">Common_InputFunctions.Utility_DisplayArrayInTable(Common_SourceData.Common_SourceData_MCFTemperatureZone_Data(),Table_SourceData_Common_MCFTemperatureZone[[#Headers],[Temperature zone]],0)</f>
        <v/>
      </c>
      <c r="L249" s="17" t="str" cm="1">
        <f t="array" aca="1" ref="L249" ca="1">Common_InputFunctions.Utility_DisplayArrayInTable(Common_SourceData.Common_SourceData_MCFTemperatureZone_Data(),Table_SourceData_Common_MCFTemperatureZone[[#Headers],[Temperature zone]],0)</f>
        <v/>
      </c>
      <c r="M249" s="17" t="str" cm="1">
        <f t="array" aca="1" ref="M249" ca="1">Common_InputFunctions.Utility_DisplayArrayInTable(Common_SourceData.Common_SourceData_MCFTemperatureZone_Data(),Table_SourceData_Common_MCFTemperatureZone[[#Headers],[Temperature zone]],0)</f>
        <v/>
      </c>
      <c r="N249" s="17" t="str" cm="1">
        <f t="array" aca="1" ref="N249" ca="1">Common_InputFunctions.Utility_DisplayArrayInTable(Common_SourceData.Common_SourceData_MCFTemperatureZone_Data(),Table_SourceData_Common_MCFTemperatureZone[[#Headers],[Temperature zone]],0)</f>
        <v/>
      </c>
      <c r="O249" s="17" t="str" cm="1">
        <f t="array" aca="1" ref="O249" ca="1">Common_InputFunctions.Utility_DisplayArrayInTable(Common_SourceData.Common_SourceData_MCFTemperatureZone_Data(),Table_SourceData_Common_MCFTemperatureZone[[#Headers],[Temperature zone]],0)</f>
        <v/>
      </c>
      <c r="P249" s="17" t="str" cm="1">
        <f t="array" aca="1" ref="P249" ca="1">Common_InputFunctions.Utility_DisplayArrayInTable(Common_SourceData.Common_SourceData_MCFTemperatureZone_Data(),Table_SourceData_Common_MCFTemperatureZone[[#Headers],[Temperature zone]],0)</f>
        <v/>
      </c>
      <c r="Q249" s="17" t="str" cm="1">
        <f t="array" aca="1" ref="Q249" ca="1">Common_InputFunctions.Utility_DisplayArrayInTable(Common_SourceData.Common_SourceData_MCFTemperatureZone_Data(),Table_SourceData_Common_MCFTemperatureZone[[#Headers],[Temperature zone]],0)</f>
        <v/>
      </c>
      <c r="R249" s="17" t="str" cm="1">
        <f t="array" aca="1" ref="R249" ca="1">Common_InputFunctions.Utility_DisplayArrayInTable(Common_SourceData.Common_SourceData_MCFTemperatureZone_Data(),Table_SourceData_Common_MCFTemperatureZone[[#Headers],[Temperature zone]],0)</f>
        <v/>
      </c>
      <c r="S249" s="17" t="str" cm="1">
        <f t="array" aca="1" ref="S249" ca="1">Common_InputFunctions.Utility_DisplayArrayInTable(Common_SourceData.Common_SourceData_MCFTemperatureZone_Data(),Table_SourceData_Common_MCFTemperatureZone[[#Headers],[Temperature zone]],0)</f>
        <v/>
      </c>
    </row>
    <row r="250" spans="4:19" x14ac:dyDescent="0.25" ht="20" customHeight="1">
      <c r="D250" s="15" t="str" cm="1">
        <f t="array" aca="1" ref="D250" ca="1">Common_InputFunctions.Utility_DisplayArrayInTable(Common_SourceData.Common_SourceData_MCFTemperatureZone_Data(),Table_SourceData_Common_MCFTemperatureZone[[#Headers],[Temperature zone]],0)</f>
        <v/>
      </c>
      <c r="E250" s="17" t="str" cm="1">
        <f t="array" aca="1" ref="E250" ca="1">Common_InputFunctions.Utility_DisplayArrayInTable(Common_SourceData.Common_SourceData_MCFTemperatureZone_Data(),Table_SourceData_Common_MCFTemperatureZone[[#Headers],[Temperature zone]],0)</f>
        <v/>
      </c>
      <c r="F250" s="17" t="str" cm="1">
        <f t="array" aca="1" ref="F250" ca="1">Common_InputFunctions.Utility_DisplayArrayInTable(Common_SourceData.Common_SourceData_MCFTemperatureZone_Data(),Table_SourceData_Common_MCFTemperatureZone[[#Headers],[Temperature zone]],0)</f>
        <v/>
      </c>
      <c r="G250" s="17" t="str" cm="1">
        <f t="array" aca="1" ref="G250" ca="1">Common_InputFunctions.Utility_DisplayArrayInTable(Common_SourceData.Common_SourceData_MCFTemperatureZone_Data(),Table_SourceData_Common_MCFTemperatureZone[[#Headers],[Temperature zone]],0)</f>
        <v/>
      </c>
      <c r="H250" s="17" t="str" cm="1">
        <f t="array" aca="1" ref="H250" ca="1">Common_InputFunctions.Utility_DisplayArrayInTable(Common_SourceData.Common_SourceData_MCFTemperatureZone_Data(),Table_SourceData_Common_MCFTemperatureZone[[#Headers],[Temperature zone]],0)</f>
        <v/>
      </c>
      <c r="I250" s="17" t="str" cm="1">
        <f t="array" aca="1" ref="I250" ca="1">Common_InputFunctions.Utility_DisplayArrayInTable(Common_SourceData.Common_SourceData_MCFTemperatureZone_Data(),Table_SourceData_Common_MCFTemperatureZone[[#Headers],[Temperature zone]],0)</f>
        <v/>
      </c>
      <c r="J250" s="17" t="str" cm="1">
        <f t="array" aca="1" ref="J250" ca="1">Common_InputFunctions.Utility_DisplayArrayInTable(Common_SourceData.Common_SourceData_MCFTemperatureZone_Data(),Table_SourceData_Common_MCFTemperatureZone[[#Headers],[Temperature zone]],0)</f>
        <v/>
      </c>
      <c r="K250" s="17" t="str" cm="1">
        <f t="array" aca="1" ref="K250" ca="1">Common_InputFunctions.Utility_DisplayArrayInTable(Common_SourceData.Common_SourceData_MCFTemperatureZone_Data(),Table_SourceData_Common_MCFTemperatureZone[[#Headers],[Temperature zone]],0)</f>
        <v/>
      </c>
      <c r="L250" s="17" t="str" cm="1">
        <f t="array" aca="1" ref="L250" ca="1">Common_InputFunctions.Utility_DisplayArrayInTable(Common_SourceData.Common_SourceData_MCFTemperatureZone_Data(),Table_SourceData_Common_MCFTemperatureZone[[#Headers],[Temperature zone]],0)</f>
        <v/>
      </c>
      <c r="M250" s="17" t="str" cm="1">
        <f t="array" aca="1" ref="M250" ca="1">Common_InputFunctions.Utility_DisplayArrayInTable(Common_SourceData.Common_SourceData_MCFTemperatureZone_Data(),Table_SourceData_Common_MCFTemperatureZone[[#Headers],[Temperature zone]],0)</f>
        <v/>
      </c>
      <c r="N250" s="17" t="str" cm="1">
        <f t="array" aca="1" ref="N250" ca="1">Common_InputFunctions.Utility_DisplayArrayInTable(Common_SourceData.Common_SourceData_MCFTemperatureZone_Data(),Table_SourceData_Common_MCFTemperatureZone[[#Headers],[Temperature zone]],0)</f>
        <v/>
      </c>
      <c r="O250" s="17" t="str" cm="1">
        <f t="array" aca="1" ref="O250" ca="1">Common_InputFunctions.Utility_DisplayArrayInTable(Common_SourceData.Common_SourceData_MCFTemperatureZone_Data(),Table_SourceData_Common_MCFTemperatureZone[[#Headers],[Temperature zone]],0)</f>
        <v/>
      </c>
      <c r="P250" s="17" t="str" cm="1">
        <f t="array" aca="1" ref="P250" ca="1">Common_InputFunctions.Utility_DisplayArrayInTable(Common_SourceData.Common_SourceData_MCFTemperatureZone_Data(),Table_SourceData_Common_MCFTemperatureZone[[#Headers],[Temperature zone]],0)</f>
        <v/>
      </c>
      <c r="Q250" s="17" t="str" cm="1">
        <f t="array" aca="1" ref="Q250" ca="1">Common_InputFunctions.Utility_DisplayArrayInTable(Common_SourceData.Common_SourceData_MCFTemperatureZone_Data(),Table_SourceData_Common_MCFTemperatureZone[[#Headers],[Temperature zone]],0)</f>
        <v/>
      </c>
      <c r="R250" s="17" t="str" cm="1">
        <f t="array" aca="1" ref="R250" ca="1">Common_InputFunctions.Utility_DisplayArrayInTable(Common_SourceData.Common_SourceData_MCFTemperatureZone_Data(),Table_SourceData_Common_MCFTemperatureZone[[#Headers],[Temperature zone]],0)</f>
        <v/>
      </c>
      <c r="S250" s="17" t="str" cm="1">
        <f t="array" aca="1" ref="S250" ca="1">Common_InputFunctions.Utility_DisplayArrayInTable(Common_SourceData.Common_SourceData_MCFTemperatureZone_Data(),Table_SourceData_Common_MCFTemperatureZone[[#Headers],[Temperature zone]],0)</f>
        <v/>
      </c>
    </row>
    <row r="253" spans="4:19" ht="20" x14ac:dyDescent="0.25" customHeight="1">
      <c r="D253" s="16" t="str" cm="1">
        <f t="array" ref="D253">Common_SourceData.Common_SourceData_EFOrganicFertiliserAndCropResidues_Title()</f>
        <v>Emission factor for organic fertiliser and crop residues returned to the soil</v>
      </c>
    </row>
    <row r="254" spans="4:19" x14ac:dyDescent="0.25" ht="20" customHeight="1">
      <c r="D254" s="18" t="str" cm="1">
        <f t="array" ref="D254">Common_SourceData.Common_SourceData_EFOrganicFertiliserAndCropResidues_Source()</f>
        <v>VEERG 2026: Table A.2.1.4</v>
      </c>
    </row>
    <row r="255" spans="4:19" x14ac:dyDescent="0.25" ht="20" customHeight="1">
      <c r="D255" s="15" t="str" cm="1">
        <f t="array" ref="D255">Common_SourceData.Common_SourceData_EFOrganicFertiliserAndCropResidues_Variable()</f>
        <v>EFNi &amp; EFN2Oi</v>
      </c>
    </row>
    <row r="256" spans="4:19" x14ac:dyDescent="0.25" ht="20" customHeight="1">
      <c r="D256" s="20" t="str" cm="1">
        <f t="array" ref="D256">Common_SourceData.Common_SourceData_EFOrganicFertiliserAndCropResidues_Unit()</f>
        <v>kg N2O - N / kg N</v>
      </c>
    </row>
    <row r="257" spans="4:6" x14ac:dyDescent="0.25" ht="20" customHeight="1">
      <c r="D257" s="17" t="s">
        <v>77</v>
      </c>
      <c r="E257" s="17" t="s">
        <v>78</v>
      </c>
    </row>
    <row r="258" spans="4:6" x14ac:dyDescent="0.25" ht="20" customHeight="1">
      <c r="D258" s="17" t="str" cm="1">
        <f t="array" aca="1" ref="D258" ca="1">Common_InputFunctions.Utility_DisplayArrayInTable(Common_SourceData.Common_SourceData_EFOrganicFertiliserAndCropResidues_Data(), Table_SourceData_Common_EFOrganicFertCropResidues[[#Headers],[Climate Zone]], 0)</f>
        <v/>
      </c>
      <c r="E258" s="17" t="str" cm="1">
        <f t="array" aca="1" ref="E258" ca="1">Common_InputFunctions.Utility_DisplayArrayInTable(Common_SourceData.Common_SourceData_EFOrganicFertiliserAndCropResidues_Data(), Table_SourceData_Common_EFOrganicFertCropResidues[[#Headers],[Climate Zone]], 0)</f>
        <v/>
      </c>
    </row>
    <row r="259" spans="4:6" x14ac:dyDescent="0.25" ht="20" customHeight="1">
      <c r="D259" s="15" t="str" cm="1">
        <f t="array" aca="1" ref="D259" ca="1">Common_InputFunctions.Utility_DisplayArrayInTable(Common_SourceData.Common_SourceData_EFOrganicFertiliserAndCropResidues_Data(), Table_SourceData_Common_EFOrganicFertCropResidues[[#Headers],[Climate Zone]], 0)</f>
        <v/>
      </c>
      <c r="E259" s="17" t="str" cm="1">
        <f t="array" aca="1" ref="E259" ca="1">Common_InputFunctions.Utility_DisplayArrayInTable(Common_SourceData.Common_SourceData_EFOrganicFertiliserAndCropResidues_Data(), Table_SourceData_Common_EFOrganicFertCropResidues[[#Headers],[Climate Zone]], 0)</f>
        <v/>
      </c>
    </row>
    <row r="263" spans="4:6" ht="20" x14ac:dyDescent="0.25" customHeight="1">
      <c r="D263" s="16" t="s">
        <v>92</v>
      </c>
    </row>
    <row r="264" spans="4:6" x14ac:dyDescent="0.25" ht="20" customHeight="1">
      <c r="D264" s="15" t="s">
        <v>93</v>
      </c>
    </row>
    <row r="265" spans="4:6" x14ac:dyDescent="0.25" ht="20" customHeight="1">
      <c r="D265" s="17" t="s">
        <v>94</v>
      </c>
      <c r="E265" s="17" t="s">
        <v>95</v>
      </c>
      <c r="F265" s="17" t="s">
        <v>86</v>
      </c>
    </row>
    <row r="266" spans="4:6" x14ac:dyDescent="0.25" ht="20" customHeight="1">
      <c r="D266" s="17" t="s">
        <v>96</v>
      </c>
      <c r="E266" s="17" t="s">
        <v>97</v>
      </c>
      <c r="F266" s="17">
        <v>5</v>
      </c>
    </row>
    <row r="267" spans="4:6" x14ac:dyDescent="0.25" ht="20" customHeight="1">
      <c r="D267" s="17" t="s">
        <v>98</v>
      </c>
      <c r="E267" s="17" t="s">
        <v>88</v>
      </c>
      <c r="F267" s="17">
        <v>4</v>
      </c>
    </row>
    <row r="268" spans="4:6" x14ac:dyDescent="0.25" ht="20" customHeight="1">
      <c r="D268" s="17" t="s">
        <v>99</v>
      </c>
      <c r="E268" s="17" t="s">
        <v>100</v>
      </c>
      <c r="F268" s="17">
        <v>3</v>
      </c>
    </row>
    <row r="269" spans="4:6" x14ac:dyDescent="0.25" ht="20" customHeight="1">
      <c r="D269" s="17" t="s">
        <v>101</v>
      </c>
      <c r="E269" s="17" t="s">
        <v>102</v>
      </c>
      <c r="F269" s="17">
        <v>2</v>
      </c>
    </row>
    <row r="270" spans="4:6" x14ac:dyDescent="0.25" ht="20" customHeight="1">
      <c r="D270" s="17" t="s">
        <v>103</v>
      </c>
      <c r="E270" s="17" t="s">
        <v>104</v>
      </c>
      <c r="F270" s="17">
        <v>1</v>
      </c>
    </row>
    <row r="273" spans="4:6" x14ac:dyDescent="0.25" ht="20" customHeight="1">
      <c r="D273" s="15" t="s">
        <v>105</v>
      </c>
    </row>
    <row r="274" spans="4:6" x14ac:dyDescent="0.25" ht="20" customHeight="1">
      <c r="D274" s="17" t="s">
        <v>94</v>
      </c>
      <c r="E274" s="17" t="s">
        <v>95</v>
      </c>
      <c r="F274" s="17" t="s">
        <v>86</v>
      </c>
    </row>
    <row r="275" spans="4:6" x14ac:dyDescent="0.25" ht="20" customHeight="1">
      <c r="D275" s="17" t="s">
        <v>106</v>
      </c>
      <c r="E275" s="17" t="s">
        <v>89</v>
      </c>
      <c r="F275" s="17">
        <v>5</v>
      </c>
    </row>
    <row r="276" spans="4:6" x14ac:dyDescent="0.25" ht="20" customHeight="1">
      <c r="D276" s="17" t="s">
        <v>107</v>
      </c>
      <c r="E276" s="17" t="s">
        <v>108</v>
      </c>
      <c r="F276" s="17">
        <v>4</v>
      </c>
    </row>
    <row r="277" spans="4:6" x14ac:dyDescent="0.25" ht="20" customHeight="1">
      <c r="D277" s="17" t="s">
        <v>109</v>
      </c>
      <c r="E277" s="17" t="s">
        <v>110</v>
      </c>
      <c r="F277" s="17">
        <v>3</v>
      </c>
    </row>
    <row r="278" spans="4:6" x14ac:dyDescent="0.25" ht="20" customHeight="1">
      <c r="D278" s="17" t="s">
        <v>111</v>
      </c>
      <c r="E278" s="17" t="s">
        <v>112</v>
      </c>
      <c r="F278" s="17">
        <v>2</v>
      </c>
    </row>
    <row r="279" spans="4:6" x14ac:dyDescent="0.25" ht="20" customHeight="1">
      <c r="D279" s="17" t="s">
        <v>113</v>
      </c>
      <c r="E279" s="17" t="s">
        <v>114</v>
      </c>
      <c r="F279" s="17">
        <v>1</v>
      </c>
    </row>
    <row r="282" spans="4:6" x14ac:dyDescent="0.25" ht="20" customHeight="1">
      <c r="D282" s="15" t="s">
        <v>115</v>
      </c>
    </row>
    <row r="283" spans="4:6" x14ac:dyDescent="0.25" ht="20" customHeight="1">
      <c r="D283" s="17" t="s">
        <v>94</v>
      </c>
      <c r="E283" s="17" t="s">
        <v>95</v>
      </c>
      <c r="F283" s="17" t="s">
        <v>86</v>
      </c>
    </row>
    <row r="284" spans="4:6" x14ac:dyDescent="0.25" ht="20" customHeight="1">
      <c r="D284" s="17" t="s">
        <v>116</v>
      </c>
      <c r="E284" s="17" t="s">
        <v>117</v>
      </c>
      <c r="F284" s="17">
        <v>5</v>
      </c>
    </row>
    <row r="285" spans="4:6" x14ac:dyDescent="0.25" ht="20" customHeight="1">
      <c r="D285" s="17" t="s">
        <v>118</v>
      </c>
      <c r="E285" s="17" t="s">
        <v>119</v>
      </c>
      <c r="F285" s="17">
        <v>4</v>
      </c>
    </row>
    <row r="286" spans="4:6" x14ac:dyDescent="0.25" ht="20" customHeight="1">
      <c r="D286" s="17" t="s">
        <v>120</v>
      </c>
      <c r="E286" s="17" t="s">
        <v>90</v>
      </c>
      <c r="F286" s="17">
        <v>3</v>
      </c>
    </row>
    <row r="287" spans="4:6" x14ac:dyDescent="0.25" ht="20" customHeight="1">
      <c r="D287" s="17" t="s">
        <v>121</v>
      </c>
      <c r="E287" s="17" t="s">
        <v>122</v>
      </c>
      <c r="F287" s="17">
        <v>2</v>
      </c>
    </row>
    <row r="288" spans="4:6" x14ac:dyDescent="0.25" ht="20" customHeight="1">
      <c r="D288" s="17" t="s">
        <v>123</v>
      </c>
      <c r="E288" s="17" t="s">
        <v>124</v>
      </c>
      <c r="F288" s="17">
        <v>1</v>
      </c>
    </row>
    <row r="291" spans="4:6" x14ac:dyDescent="0.25" ht="20" customHeight="1">
      <c r="D291" s="15" t="s">
        <v>125</v>
      </c>
    </row>
    <row r="292" spans="4:6" x14ac:dyDescent="0.25" ht="20" customHeight="1">
      <c r="D292" s="17" t="s">
        <v>94</v>
      </c>
      <c r="E292" s="17" t="s">
        <v>95</v>
      </c>
      <c r="F292" s="17" t="s">
        <v>86</v>
      </c>
    </row>
    <row r="293" spans="4:6" x14ac:dyDescent="0.25" ht="20" customHeight="1">
      <c r="D293" s="17" t="s">
        <v>126</v>
      </c>
      <c r="E293" s="17" t="s">
        <v>127</v>
      </c>
      <c r="F293" s="17">
        <v>5</v>
      </c>
    </row>
    <row r="294" spans="4:6" x14ac:dyDescent="0.25" ht="20" customHeight="1">
      <c r="D294" s="17" t="s">
        <v>128</v>
      </c>
      <c r="E294" s="17" t="s">
        <v>129</v>
      </c>
      <c r="F294" s="17">
        <v>4</v>
      </c>
    </row>
    <row r="295" spans="4:6" x14ac:dyDescent="0.25" ht="20" customHeight="1">
      <c r="D295" s="17" t="s">
        <v>130</v>
      </c>
      <c r="E295" s="17" t="s">
        <v>131</v>
      </c>
      <c r="F295" s="17">
        <v>3</v>
      </c>
    </row>
    <row r="296" spans="4:6" x14ac:dyDescent="0.25" ht="20" customHeight="1">
      <c r="D296" s="17" t="s">
        <v>132</v>
      </c>
      <c r="E296" s="17" t="s">
        <v>133</v>
      </c>
      <c r="F296" s="17">
        <v>2</v>
      </c>
    </row>
    <row r="297" spans="4:6" x14ac:dyDescent="0.25" ht="20" customHeight="1">
      <c r="D297" s="17" t="s">
        <v>134</v>
      </c>
      <c r="E297" s="17" t="s">
        <v>135</v>
      </c>
      <c r="F297" s="17">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FMAbwB1AHIAYwBlAEgAeQBwAGUAcgBsAGkAbgBrAEQAaQBmAGYAZQByAGUAbgB0AFMAaABlAGUAdA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UwBvAHUAcgBjAGUARABhAHQAYQAuAEMAbwBtAG0AbwBuAF8AUwBvAHUAcgBjAGUARABhAHQAYQBfAE0AQwBGAFQAZQBtAHAAZQByAGEAdAB1AHIAZQBaAG8AbgBl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025C6F40-9188-4CB0-AF00-56A1D1AE2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1A2AC3-1ADA-41F8-AB99-DE5FD8AAAF20}">
  <ds:schemaRefs>
    <ds:schemaRef ds:uri="http://schemas.microsoft.com/sharepoint/v3/contenttype/forms"/>
  </ds:schemaRefs>
</ds:datastoreItem>
</file>

<file path=customXml/itemProps3.xml><?xml version="1.0" encoding="utf-8"?>
<ds:datastoreItem xmlns:ds="http://schemas.openxmlformats.org/officeDocument/2006/customXml" ds:itemID="{32F9B851-3A8E-4BE9-8FD0-9CF81F575938}">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CDB3165D-9942-4FD4-A356-0CB3EECA2EBA}">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vt:i4>
      </vt:variant>
    </vt:vector>
  </HeadingPairs>
  <TitlesOfParts>
    <vt:vector size="13" baseType="lpstr">
      <vt:lpstr>Input - Planting</vt:lpstr>
      <vt:lpstr>Input - Data quality</vt:lpstr>
      <vt:lpstr>Constants - Common</vt:lpstr>
      <vt:lpstr>Common_SourceData_DensityOfMethane_Data</vt:lpstr>
      <vt:lpstr>X_Cell_Planting_Latitude</vt:lpstr>
      <vt:lpstr>X_Cell_Planting_Longitude</vt:lpstr>
      <vt:lpstr>X_Cell_Planting_PlantingAreaInHectares</vt:lpstr>
      <vt:lpstr>X_Cell_Planting_PlantingDate</vt:lpstr>
      <vt:lpstr>X_Cell_Planting_PlantingName</vt:lpstr>
      <vt:lpstr>X_Cell_Site_EndDate</vt:lpstr>
      <vt:lpstr>X_Cell_Site_StartDate</vt:lpstr>
      <vt:lpstr>X_Result_Planting_CarbonCapturedPerHectare</vt:lpstr>
      <vt:lpstr>X_Result_Planting_CarbonCapturedTotalArea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2025-12-03T00:40:40Z</dcterms:created>
  <dcterms:modified xsi:type="dcterms:W3CDTF">2026-08-10T06:25:24Z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2026-09-02T18:44:20; rename=True resize=True rowheights=True scope=all</vt:lpwstr>
  </property>
</Properties>
</file>