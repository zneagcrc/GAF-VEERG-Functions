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1A1252FA-1BEE-4845-9BEB-29A2217A6554}" xr6:coauthVersionLast="47" xr6:coauthVersionMax="47" xr10:uidLastSave="{00000000-0000-0000-0000-000000000000}"/>
  <bookViews>
    <workbookView xWindow="3120" yWindow="3120" windowWidth="28800" windowHeight="15345" firstSheet="39" activeTab="43"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Feedlot" sheetId="82" r:id="rId6"/>
    <sheet name="Input - Livestock sales" sheetId="81" r:id="rId7"/>
    <sheet name="Input - Beef cattle purchases" sheetId="108" r:id="rId8"/>
    <sheet name="Input - Fuel" sheetId="92" r:id="rId9"/>
    <sheet name="Input - Electricity" sheetId="89" r:id="rId10"/>
    <sheet name="Input - Common farm inputs" sheetId="109" r:id="rId11"/>
    <sheet name="Input - Livestock farm Inputs" sheetId="110" r:id="rId12"/>
    <sheet name="Input - Freight" sheetId="111" r:id="rId13"/>
    <sheet name="Input - Solid waste" sheetId="105" r:id="rId14"/>
    <sheet name="Input - Manure sent off-site" sheetId="112" r:id="rId15"/>
    <sheet name="Input - Data quality" sheetId="78" r:id="rId16"/>
    <sheet name="3.1.1.1-2 Enteric Methane" sheetId="88" r:id="rId17"/>
    <sheet name="4.1.1.1-2 Methane" sheetId="83" r:id="rId18"/>
    <sheet name="4.1.1.3-4 Direct N20" sheetId="84" r:id="rId19"/>
    <sheet name="4.1.1.5-6 Atmos Deposition" sheetId="85" r:id="rId20"/>
    <sheet name="4.1.1.9 Manure applied to soils" sheetId="86" r:id="rId21"/>
    <sheet name="8.1.1.1-2 Transport fuel" sheetId="93" r:id="rId22"/>
    <sheet name="8.2.1.1-2 Stationary fuel" sheetId="94" r:id="rId23"/>
    <sheet name="10.1.1-2 Solid waste treatment" sheetId="106" r:id="rId24"/>
    <sheet name="14.1.1-2 Purchased electricity" sheetId="90" r:id="rId25"/>
    <sheet name="15 Scope 3" sheetId="113" r:id="rId26"/>
    <sheet name="Calcs - Manure sent off-site" sheetId="114" r:id="rId27"/>
    <sheet name="Constants - Feedlot" sheetId="87" r:id="rId28"/>
    <sheet name="Constants - Common livestock" sheetId="116" r:id="rId29"/>
    <sheet name="Constants - Electricity" sheetId="91" r:id="rId30"/>
    <sheet name="Constants - Fertiliser" sheetId="104" r:id="rId31"/>
    <sheet name="Constants - Fuel" sheetId="95" r:id="rId32"/>
    <sheet name="Constants - Scope 3" sheetId="115" r:id="rId33"/>
    <sheet name="Constants - Solid Waste" sheetId="107" r:id="rId34"/>
    <sheet name="Constants - Common" sheetId="79" r:id="rId35"/>
    <sheet name="Input - Fert Prod System" sheetId="96" r:id="rId36"/>
    <sheet name="Input - Fertiliser" sheetId="97" r:id="rId37"/>
    <sheet name="5.1.1.1-2 Inorganic fert N2O" sheetId="98" r:id="rId38"/>
    <sheet name="5.1.1.3-4 Inorganic fert CO2" sheetId="99" r:id="rId39"/>
    <sheet name="5.2.1.1-2 Organic Fert N2O" sheetId="100" r:id="rId40"/>
    <sheet name="5.3.1.1-2 Lime CO2" sheetId="101" r:id="rId41"/>
    <sheet name="5.4.1.1-4 Atmos deposition" sheetId="102" r:id="rId42"/>
    <sheet name="5.5.1.1-2 Leaching and runoff" sheetId="103" r:id="rId43"/>
    <sheet name="Acknowledgements" sheetId="117" r:id="rId44"/>
  </sheets>
  <definedNames>
    <definedName name="_Toc225350871" localSheetId="41">'5.4.1.1-4 Atmos deposition'!$C$1</definedName>
    <definedName name="_Toc225350871" localSheetId="42">'5.5.1.1-2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
    _xlfn.MAKEARRAY(2, 4,
      _xlfn.LAMBDA(_xlpm.r,_xlpm.c,
        INDEX({"TM_jf","total mass of inorganic fertiliser type f applied to production system j","kg","Input";"FU_f","fraction of urea in fertiliser type f","kg urea/kg","Lookup"}, _xlpm.r, _xlpm.c)
      )
    )
  )</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'4.1.1.3-4 Direct N20'!$D$82:$F$83</definedName>
    <definedName name="M1_Table_CP_j">'4.1.1.3-4 Direct N20'!$D$24:$F$25</definedName>
    <definedName name="M1_Table_DMD_j">'4.1.1.1-2 Methane'!$D$24:$F$25</definedName>
    <definedName name="M1_Table_E_CH4">'3.1.1.1-2 Enteric Methane'!$D$64:$F$65</definedName>
    <definedName name="M1_Table_E_CO2">'5.1.1.3-4 Inorganic fert CO2'!$D$57:$E$76</definedName>
    <definedName name="M1_Table_E_N2O">'5.1.1.1-2 Inorganic fert N2O'!$D$59:$E$78</definedName>
    <definedName name="M1_Table_E_N2O_dir">'4.1.1.3-4 Direct N20'!$D$205:$G$210</definedName>
    <definedName name="M1_Table_EE_j">'3.1.1.1-2 Enteric Methane'!$D$24:$F$25</definedName>
    <definedName name="M1_Table_I_j">'4.1.1.3-4 Direct N20'!$D$19:$F$20</definedName>
    <definedName name="M1_Table_I_j_Consumer_1">'4.1.1.1-2 Methane'!$D$19:$F$20</definedName>
    <definedName name="M1_Table_M_j">'3.1.1.1-2 Enteric Methane'!$D$34:$F$35</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DF_j">'3.1.1.1-2 Enteric Methane'!$D$29:$F$30</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CH4">'3.1.1.1-2 Enteric Methane'!$M$64:$O$65</definedName>
    <definedName name="M2_Table_E_N2O_dir">'4.1.1.3-4 Direct N20'!$O$205:$R$210</definedName>
    <definedName name="M2_Table_EE_j">'3.1.1.1-2 Enteric Methane'!$M$24:$O$25</definedName>
    <definedName name="M2_Table_FertApplications">'5.1.1.1-2 Inorganic fert N2O'!$M$10:$W$25</definedName>
    <definedName name="M2_Table_I_j">'4.1.1.3-4 Direct N20'!$O$19:$Q$20</definedName>
    <definedName name="M2_Table_I_j_Consumer_1">'4.1.1.1-2 Methane'!$M$19:$O$20</definedName>
    <definedName name="M2_Table_M_j">'3.1.1.1-2 Enteric Methane'!$M$34:$O$35</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DF_j">'3.1.1.1-2 Enteric Methane'!$M$29:$O$30</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period'!$E$55</definedName>
    <definedName name="Result_Enterprise_Gross_Method2">'Results - Activity period'!$F$55</definedName>
    <definedName name="Result_Enterprise_Net_Method1">'Results - Activity period'!$E$56</definedName>
    <definedName name="Result_Enterprise_Net_Method2">'Results - Activity period'!$F$56</definedName>
    <definedName name="Result_Enterprise_Removals">'Results - Activity period'!$E$49</definedName>
    <definedName name="Result_Enterprise_Scope1_Method1">'Results - Activity period'!$H$20</definedName>
    <definedName name="Result_Enterprise_Scope1_Method2">'Results - Activity period'!$I$20</definedName>
    <definedName name="Result_Enterprise_Scope2_Method1">'Results - Activity period'!$H$27</definedName>
    <definedName name="Result_Enterprise_Scope2_Method2">'Results - Activity period'!$I$27</definedName>
    <definedName name="Result_Enterprise_Scope3_Method1">'Results - Activity period'!$H$44</definedName>
    <definedName name="Result_Enterprise_Scope3_Method2">'Results - Activity period'!$I$44</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D_j">'4.1.1.3-4 Direct N20'!$D$77:$F$78</definedName>
    <definedName name="Table_D_j_Consumer_1">'4.1.1.1-2 Methane'!$D$144:$F$145</definedName>
    <definedName name="Table_E_ad_inorganic">'5.4.1.1-4 Atmos deposition'!$D$58:$F$77</definedName>
    <definedName name="Table_E_ad_organic">'5.4.1.1-4 Atmos deposition'!$D$133:$F$136</definedName>
    <definedName name="Table_E_CH4">'4.1.1.1-2 Methane'!$M$163:$Q$168</definedName>
    <definedName name="Table_E_CH4_Consumer_1">'4.1.1.1-2 Methane'!$D$163:$H$168</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MN_j_f">'5.1.1.1-2 Inorganic fert N2O'!$D$18:$G$37</definedName>
    <definedName name="Table_MNSoil_j_f">'5.2.1.1-2 Organic Fert N2O'!$D$19:$I$22</definedName>
    <definedName name="Table_MU_j_f">'5.1.1.3-4 Inorganic fert CO2'!$D$18:$G$37</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1_1_1__1_TotalAnnualMethaneFromEntericFermentation_Result_Method1">'3.1.1.1-2 Enteric Methane'!$E$67</definedName>
    <definedName name="VEERG_3_1_1_1__1_TotalAnnualMethaneFromEntericFermentation_Result_Method2">'3.1.1.1-2 Enteric Methane'!$N$67</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edlot_GrazingIrrigationMethod">'Input - Feedlot'!$E$46</definedName>
    <definedName name="X_Cell_Feedlot_GrazingProductionSystem">'Input - Feedlot'!$E$45</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Feedlot_HerdMovement">'Input - Feedlot'!$D$7:$G$9</definedName>
    <definedName name="X_Table_Feedlot_Intake_Method1">'Input - Feedlot'!$D$13:$G$19</definedName>
    <definedName name="X_Table_Feedlot_Intake_Method2">'Input - Feedlot'!$D$21:$G$27</definedName>
    <definedName name="X_Table_Feedlot_MMS_Stage1">'Input - Feedlot'!$D$31:$G$32</definedName>
    <definedName name="X_Table_Feedlot_MMS_Stage2">'Input - Feedlot'!$D$34:$G$38</definedName>
    <definedName name="X_Table_Feedlot_MMS_Stage2_Destinations">'Input - Feedlot'!$I$34:$K$38</definedName>
    <definedName name="X_Table_Feedlot_MMS_Stage3">'Input - Feedlot'!$D$40:$G$42</definedName>
    <definedName name="X_Table_Feedlot_MMS_Stage3_Destinations">'Input - Feedlot'!$I$40:$K$42</definedName>
    <definedName name="X_Table_Result_ActivityPeriodEmissions_RowsToCols">'Results - Activity period'!$D$26:$F$31</definedName>
    <definedName name="X_Table_Result_CarbonRemovalsFromPlantings_RowsToCols">'Results - Activity period'!$D$36:$E$42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4" i="103" l="1"/>
  <c r="F75" i="103"/>
  <c r="F74" i="103"/>
  <c r="F73" i="103"/>
  <c r="F72" i="103"/>
  <c r="F71" i="103"/>
  <c r="F70" i="103"/>
  <c r="F69" i="103"/>
  <c r="F68" i="103"/>
  <c r="F67" i="103"/>
  <c r="F66" i="103"/>
  <c r="F65" i="103"/>
  <c r="F41" i="103"/>
  <c r="F40" i="103"/>
  <c r="F39" i="103"/>
  <c r="F38" i="103"/>
  <c r="F37" i="103"/>
  <c r="F36" i="103"/>
  <c r="F35" i="103"/>
  <c r="F34" i="103"/>
  <c r="F33" i="103"/>
  <c r="F32" i="103"/>
  <c r="F31" i="103"/>
  <c r="F30" i="103"/>
  <c r="F29" i="103"/>
  <c r="F28" i="103"/>
  <c r="F27" i="103"/>
  <c r="F26" i="103"/>
  <c r="F25" i="103"/>
  <c r="F24" i="103"/>
  <c r="F23" i="103"/>
  <c r="F144" i="102"/>
  <c r="F143" i="102"/>
  <c r="F142" i="102"/>
  <c r="F141" i="102"/>
  <c r="F140" i="102"/>
  <c r="F139" i="102"/>
  <c r="F138" i="102"/>
  <c r="F137" i="102"/>
  <c r="F136" i="102"/>
  <c r="F135" i="102"/>
  <c r="F134" i="102"/>
  <c r="F112" i="102"/>
  <c r="F111" i="102"/>
  <c r="F110" i="102"/>
  <c r="F109" i="102"/>
  <c r="F108" i="102"/>
  <c r="F107" i="102"/>
  <c r="F106" i="102"/>
  <c r="F105" i="102"/>
  <c r="F104" i="102"/>
  <c r="F103" i="102"/>
  <c r="F102" i="102"/>
  <c r="F77" i="102"/>
  <c r="F76" i="102"/>
  <c r="F75" i="102"/>
  <c r="F74" i="102"/>
  <c r="F73" i="102"/>
  <c r="F72" i="102"/>
  <c r="F71" i="102"/>
  <c r="F70" i="102"/>
  <c r="F69" i="102"/>
  <c r="F68" i="102"/>
  <c r="F67" i="102"/>
  <c r="F66" i="102"/>
  <c r="F65" i="102"/>
  <c r="F64" i="102"/>
  <c r="F63" i="102"/>
  <c r="F62" i="102"/>
  <c r="F61" i="102"/>
  <c r="F60" i="102"/>
  <c r="F59" i="102"/>
  <c r="H37" i="102"/>
  <c r="H36" i="102"/>
  <c r="H35" i="102"/>
  <c r="H34" i="102"/>
  <c r="H33" i="102"/>
  <c r="H32" i="102"/>
  <c r="H31" i="102"/>
  <c r="H30" i="102"/>
  <c r="H29" i="102"/>
  <c r="H28" i="102"/>
  <c r="H27" i="102"/>
  <c r="H26" i="102"/>
  <c r="H25" i="102"/>
  <c r="H24" i="102"/>
  <c r="H23" i="102"/>
  <c r="H22" i="102"/>
  <c r="H21" i="102"/>
  <c r="H20" i="102"/>
  <c r="H19" i="102"/>
  <c r="H29" i="101"/>
  <c r="H28" i="101"/>
  <c r="H27" i="101"/>
  <c r="H26" i="101"/>
  <c r="H25" i="101"/>
  <c r="E50" i="100"/>
  <c r="I30" i="100"/>
  <c r="I29" i="100"/>
  <c r="I28" i="100"/>
  <c r="I27" i="100"/>
  <c r="I26" i="100"/>
  <c r="I25" i="100"/>
  <c r="I24" i="100"/>
  <c r="I23" i="100"/>
  <c r="I22" i="100"/>
  <c r="I21" i="100"/>
  <c r="I20" i="100"/>
  <c r="E76" i="99"/>
  <c r="E75" i="99"/>
  <c r="E74" i="99"/>
  <c r="E73" i="99"/>
  <c r="E72" i="99"/>
  <c r="E71" i="99"/>
  <c r="E70" i="99"/>
  <c r="E69" i="99"/>
  <c r="E68" i="99"/>
  <c r="E67" i="99"/>
  <c r="E66" i="99"/>
  <c r="E65" i="99"/>
  <c r="E64" i="99"/>
  <c r="E63" i="99"/>
  <c r="E62" i="99"/>
  <c r="E61" i="99"/>
  <c r="E60" i="99"/>
  <c r="E59" i="99"/>
  <c r="E58" i="99"/>
  <c r="G37" i="99"/>
  <c r="G36" i="99"/>
  <c r="G35" i="99"/>
  <c r="G34" i="99"/>
  <c r="G33" i="99"/>
  <c r="G32" i="99"/>
  <c r="G31" i="99"/>
  <c r="G30" i="99"/>
  <c r="G29" i="99"/>
  <c r="G28" i="99"/>
  <c r="G27" i="99"/>
  <c r="G26" i="99"/>
  <c r="G25" i="99"/>
  <c r="G24" i="99"/>
  <c r="G23" i="99"/>
  <c r="G22" i="99"/>
  <c r="G21" i="99"/>
  <c r="G20" i="99"/>
  <c r="G19" i="99"/>
  <c r="N110" i="98"/>
  <c r="N79" i="98"/>
  <c r="E78" i="98"/>
  <c r="E77" i="98"/>
  <c r="E76" i="98"/>
  <c r="E75" i="98"/>
  <c r="E74" i="98"/>
  <c r="E73" i="98"/>
  <c r="E72" i="98"/>
  <c r="E71" i="98"/>
  <c r="E70" i="98"/>
  <c r="E69" i="98"/>
  <c r="E68" i="98"/>
  <c r="E67" i="98"/>
  <c r="E66" i="98"/>
  <c r="E65" i="98"/>
  <c r="E64" i="98"/>
  <c r="E63" i="98"/>
  <c r="E62" i="98"/>
  <c r="E61" i="98"/>
  <c r="E60" i="98"/>
  <c r="N63" i="98"/>
  <c r="N49" i="98"/>
  <c r="G37" i="98"/>
  <c r="G36" i="98"/>
  <c r="G35" i="98"/>
  <c r="G34" i="98"/>
  <c r="G33" i="98"/>
  <c r="G32" i="98"/>
  <c r="G31" i="98"/>
  <c r="G30" i="98"/>
  <c r="G29" i="98"/>
  <c r="G28" i="98"/>
  <c r="G27" i="98"/>
  <c r="G26" i="98"/>
  <c r="G25" i="98"/>
  <c r="G24" i="98"/>
  <c r="G23" i="98"/>
  <c r="G22" i="98"/>
  <c r="G21" i="98"/>
  <c r="G20" i="98"/>
  <c r="G19" i="98"/>
  <c r="J651" i="113"/>
  <c r="J650" i="113"/>
  <c r="J649" i="113"/>
  <c r="J648" i="113"/>
  <c r="J647" i="113"/>
  <c r="J646" i="113"/>
  <c r="J645" i="113"/>
  <c r="J644" i="113"/>
  <c r="J643" i="113"/>
  <c r="J642" i="113"/>
  <c r="J633" i="113"/>
  <c r="J632" i="113"/>
  <c r="J631" i="113"/>
  <c r="J630" i="113"/>
  <c r="J629" i="113"/>
  <c r="J628" i="113"/>
  <c r="J627" i="113"/>
  <c r="J626" i="113"/>
  <c r="J625" i="113"/>
  <c r="J624" i="113"/>
  <c r="K514" i="113"/>
  <c r="K513" i="113"/>
  <c r="K512" i="113"/>
  <c r="K511" i="113"/>
  <c r="K510" i="113"/>
  <c r="K509" i="113"/>
  <c r="K508" i="113"/>
  <c r="K507" i="113"/>
  <c r="K506" i="113"/>
  <c r="K505" i="113"/>
  <c r="I496" i="113"/>
  <c r="I494" i="113"/>
  <c r="I485" i="113"/>
  <c r="I483" i="113"/>
  <c r="I481" i="113"/>
  <c r="J468" i="113"/>
  <c r="J467" i="113"/>
  <c r="J466" i="113"/>
  <c r="J465" i="113"/>
  <c r="J464" i="113"/>
  <c r="J463" i="113"/>
  <c r="J450" i="113"/>
  <c r="J449" i="113"/>
  <c r="J448" i="113"/>
  <c r="J447" i="113"/>
  <c r="J446" i="113"/>
  <c r="J445" i="113"/>
  <c r="J423" i="113"/>
  <c r="J422" i="113"/>
  <c r="J421" i="113"/>
  <c r="J420" i="113"/>
  <c r="J419" i="113"/>
  <c r="J418" i="113"/>
  <c r="J417" i="113"/>
  <c r="J416" i="113"/>
  <c r="J415" i="113"/>
  <c r="J414" i="113"/>
  <c r="J382" i="113"/>
  <c r="K360" i="113"/>
  <c r="K359" i="113"/>
  <c r="K358" i="113"/>
  <c r="K357" i="113"/>
  <c r="K356" i="113"/>
  <c r="K355" i="113"/>
  <c r="K354" i="113"/>
  <c r="K353" i="113"/>
  <c r="K352" i="113"/>
  <c r="K351" i="113"/>
  <c r="J329" i="113"/>
  <c r="J328" i="113"/>
  <c r="J327" i="113"/>
  <c r="J326" i="113"/>
  <c r="J325" i="113"/>
  <c r="J324" i="113"/>
  <c r="J323" i="113"/>
  <c r="J322" i="113"/>
  <c r="J321" i="113"/>
  <c r="J320" i="113"/>
  <c r="I286" i="113"/>
  <c r="I285" i="113"/>
  <c r="J261" i="113"/>
  <c r="J260" i="113"/>
  <c r="J259" i="113"/>
  <c r="J258" i="113"/>
  <c r="J257" i="113"/>
  <c r="J256" i="113"/>
  <c r="J255" i="113"/>
  <c r="J254" i="113"/>
  <c r="J253" i="113"/>
  <c r="J252" i="113"/>
  <c r="I179" i="113"/>
  <c r="I178" i="113"/>
  <c r="I177" i="113"/>
  <c r="I148" i="113"/>
  <c r="I138" i="113"/>
  <c r="I137" i="113"/>
  <c r="I122" i="113"/>
  <c r="I121" i="113"/>
  <c r="I120" i="113"/>
  <c r="J79" i="113"/>
  <c r="J62" i="113"/>
  <c r="J61" i="113"/>
  <c r="J42" i="113"/>
  <c r="M24" i="113"/>
  <c r="M23" i="113"/>
  <c r="D66" i="84" a="1"/>
  <c r="D66" i="84" s="1"/>
  <c r="D13" i="83" a="1"/>
  <c r="D13" i="83" s="1"/>
  <c r="A55" i="117"/>
  <c r="A54" i="117"/>
  <c r="A53" i="117"/>
  <c r="A52" i="117"/>
  <c r="A51" i="117"/>
  <c r="A50" i="117"/>
  <c r="A49" i="117"/>
  <c r="A48" i="117"/>
  <c r="A47"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96" i="103"/>
  <c r="A66" i="103"/>
  <c r="A55" i="103"/>
  <c r="A54" i="103"/>
  <c r="A53" i="103"/>
  <c r="A52" i="103"/>
  <c r="A51" i="103"/>
  <c r="A50" i="103"/>
  <c r="A49" i="103"/>
  <c r="A48" i="103"/>
  <c r="A47"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126" i="102"/>
  <c r="A96" i="102"/>
  <c r="A66" i="102"/>
  <c r="A55" i="102"/>
  <c r="A54" i="102"/>
  <c r="A53" i="102"/>
  <c r="A52" i="102"/>
  <c r="A51" i="102"/>
  <c r="A50" i="102"/>
  <c r="A49" i="102"/>
  <c r="A48" i="102"/>
  <c r="A47"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5" i="101"/>
  <c r="A54" i="101"/>
  <c r="A53" i="101"/>
  <c r="A52" i="101"/>
  <c r="A51" i="101"/>
  <c r="A50" i="101"/>
  <c r="A49" i="101"/>
  <c r="A48" i="101"/>
  <c r="A47"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5" i="100"/>
  <c r="A54" i="100"/>
  <c r="A53" i="100"/>
  <c r="A52" i="100"/>
  <c r="A51" i="100"/>
  <c r="A50" i="100"/>
  <c r="A49" i="100"/>
  <c r="A48" i="100"/>
  <c r="A47"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66" i="99"/>
  <c r="A55" i="99"/>
  <c r="A54" i="99"/>
  <c r="A53" i="99"/>
  <c r="A52" i="99"/>
  <c r="A51" i="99"/>
  <c r="A50" i="99"/>
  <c r="A49" i="99"/>
  <c r="A48" i="99"/>
  <c r="A47"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96" i="98"/>
  <c r="A66" i="98"/>
  <c r="A55" i="98"/>
  <c r="A54" i="98"/>
  <c r="A53" i="98"/>
  <c r="A52" i="98"/>
  <c r="A51" i="98"/>
  <c r="A50" i="98"/>
  <c r="A49" i="98"/>
  <c r="A48" i="98"/>
  <c r="A47"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5" i="97"/>
  <c r="A54" i="97"/>
  <c r="A53" i="97"/>
  <c r="A52" i="97"/>
  <c r="A51" i="97"/>
  <c r="A50" i="97"/>
  <c r="A49" i="97"/>
  <c r="A48" i="97"/>
  <c r="A47"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55" i="96"/>
  <c r="A54" i="96"/>
  <c r="A53" i="96"/>
  <c r="A52" i="96"/>
  <c r="A51" i="96"/>
  <c r="A50" i="96"/>
  <c r="A49" i="96"/>
  <c r="A48" i="96"/>
  <c r="A47"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276" i="79"/>
  <c r="A246" i="79"/>
  <c r="A216" i="79"/>
  <c r="A186" i="79"/>
  <c r="A156" i="79"/>
  <c r="A126" i="79"/>
  <c r="A96" i="79"/>
  <c r="A66" i="79"/>
  <c r="A55" i="79"/>
  <c r="A54" i="79"/>
  <c r="A53" i="79"/>
  <c r="A52" i="79"/>
  <c r="A51" i="79"/>
  <c r="A50" i="79"/>
  <c r="A49" i="79"/>
  <c r="A48" i="79"/>
  <c r="A47"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6" i="107"/>
  <c r="A55" i="107"/>
  <c r="A54" i="107"/>
  <c r="A53" i="107"/>
  <c r="A52" i="107"/>
  <c r="A51" i="107"/>
  <c r="A50" i="107"/>
  <c r="A49" i="107"/>
  <c r="A48" i="107"/>
  <c r="A47"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246" i="115"/>
  <c r="A216" i="115"/>
  <c r="A186" i="115"/>
  <c r="A156" i="115"/>
  <c r="A126" i="115"/>
  <c r="A96" i="115"/>
  <c r="A66" i="115"/>
  <c r="A55" i="115"/>
  <c r="A54" i="115"/>
  <c r="A53" i="115"/>
  <c r="A52" i="115"/>
  <c r="A51" i="115"/>
  <c r="A50" i="115"/>
  <c r="A49" i="115"/>
  <c r="A48" i="115"/>
  <c r="A47"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156" i="95"/>
  <c r="A126" i="95"/>
  <c r="A96" i="95"/>
  <c r="A66" i="95"/>
  <c r="A55" i="95"/>
  <c r="A54" i="95"/>
  <c r="A53" i="95"/>
  <c r="A52" i="95"/>
  <c r="A51" i="95"/>
  <c r="A50" i="95"/>
  <c r="A49" i="95"/>
  <c r="A48" i="95"/>
  <c r="A47"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216" i="104"/>
  <c r="A186" i="104"/>
  <c r="A156" i="104"/>
  <c r="A126" i="104"/>
  <c r="A96" i="104"/>
  <c r="A66" i="104"/>
  <c r="A55" i="104"/>
  <c r="A54" i="104"/>
  <c r="A53" i="104"/>
  <c r="A52" i="104"/>
  <c r="A51" i="104"/>
  <c r="A50" i="104"/>
  <c r="A49" i="104"/>
  <c r="A48" i="104"/>
  <c r="A47"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5" i="91"/>
  <c r="A54" i="91"/>
  <c r="A53" i="91"/>
  <c r="A52" i="91"/>
  <c r="A51" i="91"/>
  <c r="A50" i="91"/>
  <c r="A49" i="91"/>
  <c r="A48" i="91"/>
  <c r="A47"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55" i="116"/>
  <c r="A54" i="116"/>
  <c r="A53" i="116"/>
  <c r="A52" i="116"/>
  <c r="A51" i="116"/>
  <c r="A50" i="116"/>
  <c r="A49" i="116"/>
  <c r="A48" i="116"/>
  <c r="A47"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96" i="87"/>
  <c r="A66" i="87"/>
  <c r="A55" i="87"/>
  <c r="A54" i="87"/>
  <c r="A53" i="87"/>
  <c r="A52" i="87"/>
  <c r="A51" i="87"/>
  <c r="A50" i="87"/>
  <c r="A49" i="87"/>
  <c r="A48" i="87"/>
  <c r="A47"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66" i="114"/>
  <c r="A55" i="114"/>
  <c r="A54" i="114"/>
  <c r="A53" i="114"/>
  <c r="A52" i="114"/>
  <c r="A51" i="114"/>
  <c r="A50" i="114"/>
  <c r="A49" i="114"/>
  <c r="A48" i="114"/>
  <c r="A47"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636" i="113"/>
  <c r="A606" i="113"/>
  <c r="A576" i="113"/>
  <c r="A546" i="113"/>
  <c r="A516" i="113"/>
  <c r="A486" i="113"/>
  <c r="A456" i="113"/>
  <c r="A426" i="113"/>
  <c r="A396" i="113"/>
  <c r="A366" i="113"/>
  <c r="A336" i="113"/>
  <c r="A306" i="113"/>
  <c r="A276" i="113"/>
  <c r="A246" i="113"/>
  <c r="A216" i="113"/>
  <c r="A186" i="113"/>
  <c r="A156" i="113"/>
  <c r="A126" i="113"/>
  <c r="A96" i="113"/>
  <c r="A66" i="113"/>
  <c r="A55" i="113"/>
  <c r="A54" i="113"/>
  <c r="A53" i="113"/>
  <c r="A52" i="113"/>
  <c r="A51" i="113"/>
  <c r="A50" i="113"/>
  <c r="A49" i="113"/>
  <c r="A48" i="113"/>
  <c r="A47"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5" i="90"/>
  <c r="A54" i="90"/>
  <c r="A53" i="90"/>
  <c r="A52" i="90"/>
  <c r="A51" i="90"/>
  <c r="A50" i="90"/>
  <c r="A49" i="90"/>
  <c r="A48" i="90"/>
  <c r="A47"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186" i="106"/>
  <c r="A156" i="106"/>
  <c r="A126" i="106"/>
  <c r="A96" i="106"/>
  <c r="A66" i="106"/>
  <c r="A55" i="106"/>
  <c r="A54" i="106"/>
  <c r="A53" i="106"/>
  <c r="A52" i="106"/>
  <c r="A51" i="106"/>
  <c r="A50" i="106"/>
  <c r="A49" i="106"/>
  <c r="A48" i="106"/>
  <c r="A47"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5" i="94"/>
  <c r="A54" i="94"/>
  <c r="A53" i="94"/>
  <c r="A52" i="94"/>
  <c r="A51" i="94"/>
  <c r="A50" i="94"/>
  <c r="A49" i="94"/>
  <c r="A48" i="94"/>
  <c r="A47"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66" i="93"/>
  <c r="A55" i="93"/>
  <c r="A54" i="93"/>
  <c r="A53" i="93"/>
  <c r="A52" i="93"/>
  <c r="A51" i="93"/>
  <c r="A50" i="93"/>
  <c r="A49" i="93"/>
  <c r="A48" i="93"/>
  <c r="A47"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96" i="86"/>
  <c r="A66" i="86"/>
  <c r="A55" i="86"/>
  <c r="A54" i="86"/>
  <c r="A53" i="86"/>
  <c r="A52" i="86"/>
  <c r="A51" i="86"/>
  <c r="A50" i="86"/>
  <c r="A49" i="86"/>
  <c r="A48" i="86"/>
  <c r="A47"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66" i="85"/>
  <c r="A55" i="85"/>
  <c r="A54" i="85"/>
  <c r="A53" i="85"/>
  <c r="A52" i="85"/>
  <c r="A51" i="85"/>
  <c r="A50" i="85"/>
  <c r="A49" i="85"/>
  <c r="A48" i="85"/>
  <c r="A47"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16" i="84"/>
  <c r="A186" i="84"/>
  <c r="A156" i="84"/>
  <c r="A126" i="84"/>
  <c r="A96" i="84"/>
  <c r="A66" i="84"/>
  <c r="A55" i="84"/>
  <c r="A54" i="84"/>
  <c r="A53" i="84"/>
  <c r="A52" i="84"/>
  <c r="A51" i="84"/>
  <c r="A50" i="84"/>
  <c r="A49" i="84"/>
  <c r="A48" i="84"/>
  <c r="A47"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156" i="83"/>
  <c r="A126" i="83"/>
  <c r="A96" i="83"/>
  <c r="A66" i="83"/>
  <c r="A55" i="83"/>
  <c r="A54" i="83"/>
  <c r="A53" i="83"/>
  <c r="A52" i="83"/>
  <c r="A51" i="83"/>
  <c r="A50" i="83"/>
  <c r="A49" i="83"/>
  <c r="A48" i="83"/>
  <c r="A47"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66" i="88"/>
  <c r="A55" i="88"/>
  <c r="A54" i="88"/>
  <c r="A53" i="88"/>
  <c r="A52" i="88"/>
  <c r="A51" i="88"/>
  <c r="A50" i="88"/>
  <c r="A49" i="88"/>
  <c r="A48" i="88"/>
  <c r="A47"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55" i="78"/>
  <c r="A54" i="78"/>
  <c r="A53" i="78"/>
  <c r="A52" i="78"/>
  <c r="A51" i="78"/>
  <c r="A50" i="78"/>
  <c r="A49" i="78"/>
  <c r="A48" i="78"/>
  <c r="A47"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5" i="112"/>
  <c r="A54" i="112"/>
  <c r="A53" i="112"/>
  <c r="A52" i="112"/>
  <c r="A51" i="112"/>
  <c r="A50" i="112"/>
  <c r="A49" i="112"/>
  <c r="A48" i="112"/>
  <c r="A47"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5" i="105"/>
  <c r="A54" i="105"/>
  <c r="A53" i="105"/>
  <c r="A52" i="105"/>
  <c r="A51" i="105"/>
  <c r="A50" i="105"/>
  <c r="A49" i="105"/>
  <c r="A48" i="105"/>
  <c r="A47"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5" i="111"/>
  <c r="A54" i="111"/>
  <c r="A53" i="111"/>
  <c r="A52" i="111"/>
  <c r="A51" i="111"/>
  <c r="A50" i="111"/>
  <c r="A49" i="111"/>
  <c r="A48" i="111"/>
  <c r="A47"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5" i="110"/>
  <c r="A54" i="110"/>
  <c r="A53" i="110"/>
  <c r="A52" i="110"/>
  <c r="A51" i="110"/>
  <c r="A50" i="110"/>
  <c r="A49" i="110"/>
  <c r="A48" i="110"/>
  <c r="A47"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5" i="109"/>
  <c r="A54" i="109"/>
  <c r="A53" i="109"/>
  <c r="A52" i="109"/>
  <c r="A51" i="109"/>
  <c r="A50" i="109"/>
  <c r="A49" i="109"/>
  <c r="A48" i="109"/>
  <c r="A47"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5" i="89"/>
  <c r="A54" i="89"/>
  <c r="A53" i="89"/>
  <c r="A52" i="89"/>
  <c r="A51" i="89"/>
  <c r="A50" i="89"/>
  <c r="A49" i="89"/>
  <c r="A48" i="89"/>
  <c r="A47"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5" i="92"/>
  <c r="A54" i="92"/>
  <c r="A53" i="92"/>
  <c r="A52" i="92"/>
  <c r="A51" i="92"/>
  <c r="A50" i="92"/>
  <c r="A49" i="92"/>
  <c r="A48" i="92"/>
  <c r="A47"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5" i="108"/>
  <c r="A54" i="108"/>
  <c r="A53" i="108"/>
  <c r="A52" i="108"/>
  <c r="A51" i="108"/>
  <c r="A50" i="108"/>
  <c r="A49" i="108"/>
  <c r="A48" i="108"/>
  <c r="A47"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5" i="81"/>
  <c r="A54" i="81"/>
  <c r="A53" i="81"/>
  <c r="A52" i="81"/>
  <c r="A51" i="81"/>
  <c r="A50" i="81"/>
  <c r="A49" i="81"/>
  <c r="A48" i="81"/>
  <c r="A47"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5" i="82"/>
  <c r="A54" i="82"/>
  <c r="A53" i="82"/>
  <c r="A52" i="82"/>
  <c r="A51" i="82"/>
  <c r="A50" i="82"/>
  <c r="A49" i="82"/>
  <c r="A48" i="82"/>
  <c r="A47"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5" i="75"/>
  <c r="A54" i="75"/>
  <c r="A53" i="75"/>
  <c r="A52" i="75"/>
  <c r="A51" i="75"/>
  <c r="A50" i="75"/>
  <c r="A49" i="75"/>
  <c r="A48" i="75"/>
  <c r="A47"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6" i="72"/>
  <c r="A55" i="72"/>
  <c r="A54" i="72"/>
  <c r="A53" i="72"/>
  <c r="A52" i="72"/>
  <c r="A51" i="72"/>
  <c r="A50" i="72"/>
  <c r="A49" i="72"/>
  <c r="A48" i="72"/>
  <c r="A47"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5" i="80"/>
  <c r="A54" i="80"/>
  <c r="A53" i="80"/>
  <c r="A52" i="80"/>
  <c r="A51" i="80"/>
  <c r="A50" i="80"/>
  <c r="A49" i="80"/>
  <c r="A48" i="80"/>
  <c r="A47"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5" i="13"/>
  <c r="A54" i="13"/>
  <c r="A53" i="13"/>
  <c r="A52" i="13"/>
  <c r="A51" i="13"/>
  <c r="A50" i="13"/>
  <c r="A49" i="13"/>
  <c r="A48" i="13"/>
  <c r="A47"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5" i="71"/>
  <c r="A54" i="71"/>
  <c r="A53" i="71"/>
  <c r="A52" i="71"/>
  <c r="A51" i="71"/>
  <c r="A50" i="71"/>
  <c r="A49" i="71"/>
  <c r="A48" i="71"/>
  <c r="A47"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3"/>
  <c r="D74" i="103"/>
  <c r="D73" i="103"/>
  <c r="D72" i="103"/>
  <c r="D71" i="103"/>
  <c r="D70" i="103"/>
  <c r="D69" i="103"/>
  <c r="D68" i="103"/>
  <c r="D134" i="102" a="1"/>
  <c r="D134" i="102" s="1"/>
  <c r="D102" i="102" a="1"/>
  <c r="D102" i="102" s="1"/>
  <c r="G25" i="101" a="1"/>
  <c r="G25" i="101" s="1"/>
  <c r="F25" i="101" a="1"/>
  <c r="F25" i="101" s="1"/>
  <c r="D25" i="101" a="1"/>
  <c r="D25" i="101" s="1"/>
  <c r="H20" i="100" a="1"/>
  <c r="H20" i="100" s="1"/>
  <c r="E20" i="100" a="1"/>
  <c r="E20" i="100" s="1"/>
  <c r="D20" i="100" a="1"/>
  <c r="D20" i="100" s="1"/>
  <c r="N21" i="98" a="1"/>
  <c r="N21" i="98" s="1"/>
  <c r="N11" i="98" a="1"/>
  <c r="N11" i="98" s="1"/>
  <c r="D29" i="87"/>
  <c r="D36" i="82" s="1"/>
  <c r="D96" i="83" s="1"/>
  <c r="F642" i="113" a="1"/>
  <c r="F642" i="113" s="1"/>
  <c r="E642" i="113" a="1"/>
  <c r="E642" i="113" s="1"/>
  <c r="D642" i="113" a="1"/>
  <c r="D642" i="113" s="1"/>
  <c r="F624" i="113" a="1"/>
  <c r="F624" i="113" s="1"/>
  <c r="E624" i="113" a="1"/>
  <c r="E624" i="113" s="1"/>
  <c r="D624" i="113" a="1"/>
  <c r="D624" i="113" s="1"/>
  <c r="F505" i="113" a="1"/>
  <c r="F505" i="113" s="1"/>
  <c r="E505" i="113" a="1"/>
  <c r="E505" i="113" s="1"/>
  <c r="D505" i="113" a="1"/>
  <c r="D505" i="113" s="1"/>
  <c r="F463" i="113" a="1"/>
  <c r="F463" i="113" s="1"/>
  <c r="E463" i="113" a="1"/>
  <c r="E463" i="113" s="1"/>
  <c r="G463" i="113" s="1" a="1"/>
  <c r="G463" i="113" s="1"/>
  <c r="H463" i="113" s="1"/>
  <c r="D463" i="113" a="1"/>
  <c r="D463" i="113" s="1"/>
  <c r="F445" i="113" a="1"/>
  <c r="F445" i="113" s="1"/>
  <c r="E445" i="113" a="1"/>
  <c r="E445" i="113" s="1"/>
  <c r="G445" i="113" s="1" a="1"/>
  <c r="G445" i="113" s="1"/>
  <c r="H445" i="113" s="1"/>
  <c r="D445" i="113" a="1"/>
  <c r="D445" i="113" s="1"/>
  <c r="G351" i="113" a="1"/>
  <c r="G351" i="113" s="1"/>
  <c r="F351" i="113" a="1"/>
  <c r="F351" i="113" s="1"/>
  <c r="E351" i="113" a="1"/>
  <c r="E351" i="113" s="1"/>
  <c r="D351" i="113" a="1"/>
  <c r="D351" i="113" s="1"/>
  <c r="D320" i="113" a="1"/>
  <c r="D320" i="113" s="1"/>
  <c r="AD252" i="113" a="1"/>
  <c r="AD252" i="113" s="1"/>
  <c r="AC252" i="113" a="1"/>
  <c r="AC252" i="113" s="1"/>
  <c r="Z252" i="113" a="1"/>
  <c r="Z252" i="113" s="1"/>
  <c r="Y252" i="113" a="1"/>
  <c r="Y252" i="113" s="1"/>
  <c r="V252" i="113" a="1"/>
  <c r="V252" i="113" s="1"/>
  <c r="U252" i="113" a="1"/>
  <c r="U252" i="113" s="1"/>
  <c r="R252" i="113" a="1"/>
  <c r="R252" i="113" s="1"/>
  <c r="Q252" i="113" a="1"/>
  <c r="Q252" i="113" s="1"/>
  <c r="P252" i="113" a="1"/>
  <c r="P252" i="113" s="1"/>
  <c r="O252" i="113" a="1"/>
  <c r="O252" i="113" s="1"/>
  <c r="D252" i="113" a="1"/>
  <c r="D252" i="113" s="1"/>
  <c r="D236" i="113" a="1"/>
  <c r="D236" i="113" s="1"/>
  <c r="AA120" i="113" a="1"/>
  <c r="AA120" i="113" s="1"/>
  <c r="Z120" i="113" a="1"/>
  <c r="Z120" i="113" s="1"/>
  <c r="Y120" i="113" a="1"/>
  <c r="Y120" i="113" s="1"/>
  <c r="W120" i="113" a="1"/>
  <c r="W120" i="113" s="1"/>
  <c r="V120" i="113" a="1"/>
  <c r="V120" i="113" s="1"/>
  <c r="U120" i="113" a="1"/>
  <c r="U120" i="113" s="1"/>
  <c r="S120" i="113" a="1"/>
  <c r="S120" i="113" s="1"/>
  <c r="R120" i="113" a="1"/>
  <c r="R120" i="113" s="1"/>
  <c r="Q120" i="113" a="1"/>
  <c r="Q120" i="113" s="1"/>
  <c r="O120" i="113" a="1"/>
  <c r="O120" i="113" s="1"/>
  <c r="N120" i="113" a="1"/>
  <c r="N120" i="113" s="1"/>
  <c r="M120" i="113" a="1"/>
  <c r="M120" i="113" s="1"/>
  <c r="E120" i="113" a="1"/>
  <c r="E120" i="113" s="1"/>
  <c r="D120" i="113" a="1"/>
  <c r="D120" i="113" s="1"/>
  <c r="K23" i="113" a="1"/>
  <c r="K23" i="113" s="1"/>
  <c r="H23" i="113" a="1"/>
  <c r="H23" i="113" s="1"/>
  <c r="G23" i="113" a="1"/>
  <c r="G23" i="113" s="1"/>
  <c r="F23" i="113" a="1"/>
  <c r="F23" i="113" s="1"/>
  <c r="E23" i="113" a="1"/>
  <c r="E23" i="113" s="1"/>
  <c r="D23" i="113" a="1"/>
  <c r="D23" i="113" s="1"/>
  <c r="D32" i="94"/>
  <c r="D25" i="94"/>
  <c r="M39" i="93" a="1"/>
  <c r="M39" i="93" s="1"/>
  <c r="F39" i="93"/>
  <c r="D37" i="93"/>
  <c r="D34" i="93"/>
  <c r="D33" i="93"/>
  <c r="D25" i="93"/>
  <c r="I62" i="85"/>
  <c r="I61" i="85"/>
  <c r="J21" i="92" a="1"/>
  <c r="J21" i="92" s="1"/>
  <c r="G21" i="92" a="1"/>
  <c r="G21" i="92" s="1"/>
  <c r="J20" i="92" a="1"/>
  <c r="J20" i="92" s="1"/>
  <c r="G20" i="92" a="1"/>
  <c r="G20" i="92" s="1"/>
  <c r="J19" i="92" a="1"/>
  <c r="J19" i="92" s="1"/>
  <c r="G19" i="92" a="1"/>
  <c r="G19" i="92" s="1"/>
  <c r="J18" i="92" a="1"/>
  <c r="J18" i="92" s="1"/>
  <c r="G18" i="92" a="1"/>
  <c r="G18" i="92" s="1"/>
  <c r="J17" i="92" a="1"/>
  <c r="J17" i="92" s="1"/>
  <c r="G17" i="92" a="1"/>
  <c r="G17" i="92" s="1"/>
  <c r="E31" i="87"/>
  <c r="D31" i="87"/>
  <c r="E30" i="87"/>
  <c r="D30" i="87"/>
  <c r="D37" i="82" s="1"/>
  <c r="D34" i="85" s="1"/>
  <c r="E28" i="87"/>
  <c r="D28" i="87"/>
  <c r="E29" i="87"/>
  <c r="E32" i="87"/>
  <c r="D32" i="87"/>
  <c r="D42" i="82" s="1"/>
  <c r="D35" i="85" s="1"/>
  <c r="E35" i="85" s="1"/>
  <c r="M243" i="115"/>
  <c r="L243" i="115"/>
  <c r="M242" i="115"/>
  <c r="L242" i="115"/>
  <c r="N241" i="115" s="1"/>
  <c r="E317" i="113" a="1"/>
  <c r="E317" i="113" s="1"/>
  <c r="E316" i="113" a="1"/>
  <c r="E316" i="113" s="1"/>
  <c r="D285" i="113" a="1"/>
  <c r="G391" i="113" a="1"/>
  <c r="G391" i="113" s="1"/>
  <c r="J391" i="113" s="1"/>
  <c r="D48" i="110"/>
  <c r="D495" i="113" s="1"/>
  <c r="F495" i="113" s="1" a="1"/>
  <c r="F495" i="113" s="1"/>
  <c r="G495" i="113" s="1"/>
  <c r="F483" i="113" a="1"/>
  <c r="F483" i="113" s="1"/>
  <c r="G483" i="113" s="1"/>
  <c r="D7" i="110" a="1"/>
  <c r="D12" i="110" a="1"/>
  <c r="P158" i="115"/>
  <c r="O158" i="115"/>
  <c r="Q157" i="115" s="1"/>
  <c r="M157" i="115"/>
  <c r="L157" i="115"/>
  <c r="N156" i="115" s="1"/>
  <c r="P156" i="115"/>
  <c r="O156" i="115"/>
  <c r="Q155" i="115" s="1"/>
  <c r="M155" i="115"/>
  <c r="L155" i="115"/>
  <c r="N154" i="115" s="1"/>
  <c r="P154" i="115"/>
  <c r="O154" i="115"/>
  <c r="Q153" i="115" s="1"/>
  <c r="M153" i="115"/>
  <c r="L153" i="115"/>
  <c r="N152" i="115" s="1"/>
  <c r="P152" i="115"/>
  <c r="O152" i="115"/>
  <c r="Q151" i="115" s="1"/>
  <c r="M151" i="115"/>
  <c r="L151" i="115"/>
  <c r="N150" i="115" s="1"/>
  <c r="P150" i="115"/>
  <c r="O150" i="115"/>
  <c r="P149" i="115"/>
  <c r="O149" i="115"/>
  <c r="P148" i="115"/>
  <c r="O148" i="115"/>
  <c r="P147" i="115"/>
  <c r="O147" i="115"/>
  <c r="P146" i="115"/>
  <c r="O146" i="115"/>
  <c r="P145" i="115"/>
  <c r="O145" i="115"/>
  <c r="P144" i="115"/>
  <c r="O144" i="115"/>
  <c r="Q143" i="115" s="1"/>
  <c r="M143" i="115"/>
  <c r="L143" i="115"/>
  <c r="M142" i="115"/>
  <c r="L142" i="115"/>
  <c r="M141" i="115"/>
  <c r="L141" i="115"/>
  <c r="M140" i="115"/>
  <c r="L140" i="115"/>
  <c r="M139" i="115"/>
  <c r="L139" i="115"/>
  <c r="M138" i="115"/>
  <c r="L138" i="115"/>
  <c r="N137" i="115" s="1"/>
  <c r="P137" i="115"/>
  <c r="O137" i="115"/>
  <c r="P136" i="115"/>
  <c r="O136" i="115"/>
  <c r="P135" i="115"/>
  <c r="O135" i="115"/>
  <c r="P134" i="115"/>
  <c r="O134" i="115"/>
  <c r="P133" i="115"/>
  <c r="O133" i="115"/>
  <c r="P132" i="115"/>
  <c r="O132" i="115"/>
  <c r="P131" i="115"/>
  <c r="O131" i="115"/>
  <c r="Q130" i="115" s="1"/>
  <c r="M130" i="115"/>
  <c r="L130" i="115"/>
  <c r="M129" i="115"/>
  <c r="L129" i="115"/>
  <c r="M128" i="115"/>
  <c r="L128" i="115"/>
  <c r="M127" i="115"/>
  <c r="L127" i="115"/>
  <c r="M126" i="115"/>
  <c r="L126" i="115"/>
  <c r="M125" i="115"/>
  <c r="L125" i="115"/>
  <c r="N124" i="115" s="1"/>
  <c r="P124" i="115"/>
  <c r="O124" i="115"/>
  <c r="P123" i="115"/>
  <c r="O123" i="115"/>
  <c r="P122" i="115"/>
  <c r="O122" i="115"/>
  <c r="P121" i="115"/>
  <c r="O121" i="115"/>
  <c r="P120" i="115"/>
  <c r="O120" i="115"/>
  <c r="P119" i="115"/>
  <c r="O119" i="115"/>
  <c r="P118" i="115"/>
  <c r="O118" i="115"/>
  <c r="Q117" i="115" s="1"/>
  <c r="M117" i="115"/>
  <c r="L117" i="115"/>
  <c r="M116" i="115"/>
  <c r="L116" i="115"/>
  <c r="M115" i="115"/>
  <c r="L115" i="115"/>
  <c r="M114" i="115"/>
  <c r="L114" i="115"/>
  <c r="M113" i="115"/>
  <c r="L113" i="115"/>
  <c r="M112" i="115"/>
  <c r="L112" i="115"/>
  <c r="M111" i="115"/>
  <c r="L111" i="115"/>
  <c r="M110" i="115"/>
  <c r="L110" i="115"/>
  <c r="N109" i="115" s="1"/>
  <c r="P109" i="115"/>
  <c r="O109" i="115"/>
  <c r="P108" i="115"/>
  <c r="O108" i="115"/>
  <c r="P107" i="115"/>
  <c r="O107" i="115"/>
  <c r="P106" i="115"/>
  <c r="O106" i="115"/>
  <c r="P105" i="115"/>
  <c r="O105" i="115"/>
  <c r="Q104" i="115" s="1"/>
  <c r="M104" i="115"/>
  <c r="L104" i="115"/>
  <c r="M103" i="115"/>
  <c r="L103" i="115"/>
  <c r="M102" i="115"/>
  <c r="L102" i="115"/>
  <c r="M101" i="115"/>
  <c r="L101" i="115"/>
  <c r="M100" i="115"/>
  <c r="L100" i="115"/>
  <c r="M99" i="115"/>
  <c r="L99" i="115"/>
  <c r="M98" i="115"/>
  <c r="L98" i="115"/>
  <c r="N97" i="115" s="1"/>
  <c r="P97" i="115"/>
  <c r="O97" i="115"/>
  <c r="P96" i="115"/>
  <c r="O96" i="115"/>
  <c r="P95" i="115"/>
  <c r="O95" i="115"/>
  <c r="P94" i="115"/>
  <c r="O94" i="115"/>
  <c r="P93" i="115"/>
  <c r="O93" i="115"/>
  <c r="P92" i="115"/>
  <c r="O92" i="115"/>
  <c r="P91" i="115"/>
  <c r="O91" i="115"/>
  <c r="P90" i="115"/>
  <c r="O90" i="115"/>
  <c r="Q89" i="115" s="1"/>
  <c r="G454" i="113" a="1"/>
  <c r="G454" i="113" s="1"/>
  <c r="H454" i="113" s="1"/>
  <c r="I26" i="113" a="1"/>
  <c r="I26" i="113" s="1"/>
  <c r="M26" i="113" s="1"/>
  <c r="I72" i="114"/>
  <c r="I71" i="114"/>
  <c r="I70" i="114"/>
  <c r="S67" i="114"/>
  <c r="I67" i="114"/>
  <c r="P74" i="114"/>
  <c r="I52" i="114"/>
  <c r="I51" i="114"/>
  <c r="S32" i="114"/>
  <c r="I32" i="114"/>
  <c r="P35" i="114"/>
  <c r="F35" i="114"/>
  <c r="J16" i="114"/>
  <c r="T13" i="114"/>
  <c r="J13" i="114"/>
  <c r="P19" i="114"/>
  <c r="F603" i="113"/>
  <c r="N593" i="113" a="1"/>
  <c r="N593" i="113" s="1"/>
  <c r="F593" i="113" a="1"/>
  <c r="F593" i="113" s="1"/>
  <c r="L590" i="113" a="1"/>
  <c r="L590" i="113" s="1"/>
  <c r="D590" i="113" a="1"/>
  <c r="D590" i="113" s="1"/>
  <c r="I568" i="113"/>
  <c r="I564" i="113"/>
  <c r="I563" i="113"/>
  <c r="I562" i="113"/>
  <c r="I546" i="113"/>
  <c r="I544" i="113"/>
  <c r="E496" i="113"/>
  <c r="E495" i="113"/>
  <c r="E494" i="113"/>
  <c r="E485" i="113"/>
  <c r="E484" i="113"/>
  <c r="E483" i="113"/>
  <c r="E482" i="113"/>
  <c r="E481" i="113"/>
  <c r="K422" i="113"/>
  <c r="K421" i="113"/>
  <c r="K417" i="113"/>
  <c r="K416" i="113"/>
  <c r="K418" i="113"/>
  <c r="L358" i="113"/>
  <c r="L357" i="113"/>
  <c r="E179" i="113"/>
  <c r="E178" i="113"/>
  <c r="E177" i="113"/>
  <c r="F266" i="113"/>
  <c r="E153" i="113"/>
  <c r="E152" i="113"/>
  <c r="E151" i="113"/>
  <c r="E150" i="113"/>
  <c r="E149" i="113"/>
  <c r="E148" i="113"/>
  <c r="E140" i="113"/>
  <c r="E139" i="113"/>
  <c r="E138" i="113"/>
  <c r="E137" i="113"/>
  <c r="F72" i="113"/>
  <c r="O21" i="107"/>
  <c r="O20" i="107"/>
  <c r="O19" i="107"/>
  <c r="O18" i="107"/>
  <c r="O17" i="107"/>
  <c r="M21" i="107"/>
  <c r="M20" i="107"/>
  <c r="M19" i="107"/>
  <c r="M18" i="107"/>
  <c r="M17" i="107"/>
  <c r="K26" i="107"/>
  <c r="K25" i="107"/>
  <c r="K24" i="107"/>
  <c r="K23" i="107"/>
  <c r="K22" i="107"/>
  <c r="K21" i="107"/>
  <c r="K20" i="107"/>
  <c r="K19" i="107"/>
  <c r="K18" i="107"/>
  <c r="K17" i="107"/>
  <c r="I27" i="107"/>
  <c r="I26" i="107"/>
  <c r="I25" i="107"/>
  <c r="I24" i="107"/>
  <c r="I23" i="107"/>
  <c r="I22" i="107"/>
  <c r="I21" i="107"/>
  <c r="I20" i="107"/>
  <c r="I19" i="107"/>
  <c r="I18" i="107"/>
  <c r="I17" i="107"/>
  <c r="H185" i="106"/>
  <c r="H179" i="106"/>
  <c r="H168" i="106"/>
  <c r="H144" i="106"/>
  <c r="H138" i="106"/>
  <c r="H127" i="106"/>
  <c r="J16" i="106" a="1"/>
  <c r="J16" i="106" s="1"/>
  <c r="I16" i="106" a="1"/>
  <c r="I16" i="106" s="1"/>
  <c r="J15" i="106" a="1"/>
  <c r="J15" i="106" s="1"/>
  <c r="I15" i="106" a="1"/>
  <c r="I15" i="106" s="1"/>
  <c r="J14" i="106" a="1"/>
  <c r="J14" i="106" s="1"/>
  <c r="I14" i="106" a="1"/>
  <c r="I14" i="106" s="1"/>
  <c r="J13" i="106" a="1"/>
  <c r="J13" i="106" s="1"/>
  <c r="I13" i="106" a="1"/>
  <c r="I13" i="106" s="1"/>
  <c r="I19" i="101"/>
  <c r="I18" i="101"/>
  <c r="I16" i="101"/>
  <c r="I15" i="101"/>
  <c r="I50" i="99"/>
  <c r="G180" i="115"/>
  <c r="G190" i="115"/>
  <c r="G182" i="115"/>
  <c r="G184" i="115"/>
  <c r="G198" i="115"/>
  <c r="G191" i="115"/>
  <c r="G189" i="115"/>
  <c r="G188" i="115"/>
  <c r="G186" i="115"/>
  <c r="G187" i="115"/>
  <c r="G185" i="115"/>
  <c r="G179" i="115"/>
  <c r="G178" i="115"/>
  <c r="G193" i="115"/>
  <c r="G192" i="115"/>
  <c r="G181" i="115"/>
  <c r="I174" i="115"/>
  <c r="F99" i="103" a="1"/>
  <c r="F99" i="103" s="1"/>
  <c r="D96" i="103" a="1"/>
  <c r="D96" i="103" s="1"/>
  <c r="F94" i="103"/>
  <c r="D67" i="103"/>
  <c r="D66" i="103"/>
  <c r="D65" i="103"/>
  <c r="I60" i="103"/>
  <c r="I59" i="103"/>
  <c r="I58" i="103"/>
  <c r="I55" i="103" a="1"/>
  <c r="I55" i="103" s="1"/>
  <c r="F77" i="103"/>
  <c r="I18" i="103"/>
  <c r="I17" i="103"/>
  <c r="I16" i="103"/>
  <c r="I13" i="103" a="1"/>
  <c r="I13" i="103" s="1"/>
  <c r="F43" i="103"/>
  <c r="F151" i="102" a="1"/>
  <c r="F151" i="102" s="1"/>
  <c r="D148" i="102" a="1"/>
  <c r="D148" i="102" s="1"/>
  <c r="I128" i="102"/>
  <c r="I127" i="102"/>
  <c r="I124" i="102" a="1"/>
  <c r="I124" i="102" s="1"/>
  <c r="F146" i="102"/>
  <c r="I96" i="102" a="1"/>
  <c r="I96" i="102" s="1"/>
  <c r="G102" i="102"/>
  <c r="F84" i="102" a="1"/>
  <c r="F84" i="102" s="1"/>
  <c r="D81" i="102" a="1"/>
  <c r="D81" i="102" s="1"/>
  <c r="J53" i="102"/>
  <c r="J52" i="102"/>
  <c r="J49" i="102" a="1"/>
  <c r="J49" i="102" s="1"/>
  <c r="I14" i="102" a="1"/>
  <c r="I14" i="102" s="1"/>
  <c r="I13" i="102" a="1"/>
  <c r="I13" i="102" s="1"/>
  <c r="I17" i="101" a="1"/>
  <c r="I17" i="101" s="1"/>
  <c r="I14" i="101" a="1"/>
  <c r="I14" i="101" s="1"/>
  <c r="I13" i="101" a="1"/>
  <c r="I13" i="101" s="1"/>
  <c r="F55" i="100" a="1"/>
  <c r="F55" i="100" s="1"/>
  <c r="D52" i="100" a="1"/>
  <c r="D52" i="100" s="1"/>
  <c r="K47" i="100"/>
  <c r="F50" i="100"/>
  <c r="E74" i="103"/>
  <c r="E73" i="103"/>
  <c r="E72" i="103"/>
  <c r="I15" i="100" a="1"/>
  <c r="I15" i="100" s="1"/>
  <c r="I14" i="100" a="1"/>
  <c r="I14" i="100" s="1"/>
  <c r="I13" i="100" a="1"/>
  <c r="I13" i="100" s="1"/>
  <c r="F32" i="100"/>
  <c r="I53" i="99" a="1"/>
  <c r="I53" i="99" s="1"/>
  <c r="I52" i="99"/>
  <c r="I49" i="99" a="1"/>
  <c r="I49" i="99" s="1"/>
  <c r="I14" i="99" a="1"/>
  <c r="I14" i="99" s="1"/>
  <c r="I13" i="99" a="1"/>
  <c r="I13" i="99" s="1"/>
  <c r="O115" i="98" a="1"/>
  <c r="O115" i="98" s="1"/>
  <c r="M112" i="98" a="1"/>
  <c r="M112" i="98" s="1"/>
  <c r="S98" i="98"/>
  <c r="S96" i="98"/>
  <c r="N107" i="98" s="1"/>
  <c r="S95" i="98"/>
  <c r="F85" i="98" a="1"/>
  <c r="F85" i="98" s="1"/>
  <c r="D82" i="98" a="1"/>
  <c r="D82" i="98" s="1"/>
  <c r="O79" i="98"/>
  <c r="O63" i="98"/>
  <c r="I54" i="98"/>
  <c r="I53" i="98"/>
  <c r="I52" i="98"/>
  <c r="I49" i="98" a="1"/>
  <c r="I49" i="98" s="1"/>
  <c r="F80" i="98"/>
  <c r="O49" i="98"/>
  <c r="I14" i="98" a="1"/>
  <c r="I14" i="98" s="1"/>
  <c r="I13" i="98" a="1"/>
  <c r="I13" i="98" s="1"/>
  <c r="H56" i="97"/>
  <c r="I56" i="97" s="1"/>
  <c r="G56" i="97"/>
  <c r="H55" i="97"/>
  <c r="I55" i="97" s="1"/>
  <c r="G55" i="97"/>
  <c r="H54" i="97"/>
  <c r="G54" i="97"/>
  <c r="K44" i="97"/>
  <c r="F44" i="97"/>
  <c r="G44" i="97" s="1"/>
  <c r="K43" i="97"/>
  <c r="F43" i="97"/>
  <c r="G43" i="97" s="1"/>
  <c r="K42" i="97"/>
  <c r="F42" i="97"/>
  <c r="G42" i="97" s="1"/>
  <c r="F34" i="97"/>
  <c r="G34" i="97" s="1"/>
  <c r="F33" i="97"/>
  <c r="G33" i="97" s="1"/>
  <c r="F32" i="97"/>
  <c r="G32" i="97" s="1"/>
  <c r="F31" i="97"/>
  <c r="G31" i="97" s="1"/>
  <c r="F30" i="97"/>
  <c r="G30" i="97" s="1"/>
  <c r="F29" i="97"/>
  <c r="G29" i="97" s="1"/>
  <c r="F28" i="97"/>
  <c r="G28" i="97" s="1"/>
  <c r="F27" i="97"/>
  <c r="G27" i="97" s="1"/>
  <c r="F26" i="97"/>
  <c r="G26" i="97" s="1"/>
  <c r="F25" i="97"/>
  <c r="G25" i="97" s="1"/>
  <c r="G21" i="97"/>
  <c r="G20" i="97"/>
  <c r="G19" i="97"/>
  <c r="G18" i="97"/>
  <c r="G17" i="97"/>
  <c r="G16" i="97"/>
  <c r="G15" i="97"/>
  <c r="G14" i="97"/>
  <c r="G13" i="97"/>
  <c r="G12" i="97"/>
  <c r="E139" i="95"/>
  <c r="F40" i="94" s="1"/>
  <c r="G138" i="95"/>
  <c r="F32" i="93" s="1"/>
  <c r="E138" i="95"/>
  <c r="F39" i="94" s="1"/>
  <c r="G137" i="95"/>
  <c r="F31" i="93" s="1"/>
  <c r="E137" i="95"/>
  <c r="F38" i="94" s="1"/>
  <c r="D137" i="95"/>
  <c r="F31" i="94" s="1"/>
  <c r="G136" i="95"/>
  <c r="F30" i="93" s="1"/>
  <c r="E136" i="95"/>
  <c r="F37" i="94" s="1"/>
  <c r="D136" i="95"/>
  <c r="F30" i="94" s="1"/>
  <c r="G135" i="95"/>
  <c r="F29" i="93" s="1"/>
  <c r="E135" i="95"/>
  <c r="F36" i="94" s="1"/>
  <c r="D135" i="95"/>
  <c r="F29" i="94" s="1"/>
  <c r="G134" i="95"/>
  <c r="F28" i="93" s="1"/>
  <c r="E134" i="95"/>
  <c r="F35" i="94" s="1"/>
  <c r="D134" i="95"/>
  <c r="F28" i="94" s="1"/>
  <c r="G133" i="95"/>
  <c r="F27" i="93" s="1"/>
  <c r="F133" i="95"/>
  <c r="F36" i="93" s="1"/>
  <c r="E133" i="95"/>
  <c r="F34" i="94" s="1"/>
  <c r="D133" i="95"/>
  <c r="F27" i="94" s="1"/>
  <c r="I132" i="95"/>
  <c r="F38" i="93" s="1"/>
  <c r="G132" i="95"/>
  <c r="F26" i="93" s="1"/>
  <c r="F132" i="95"/>
  <c r="F35" i="93" s="1"/>
  <c r="E132" i="95"/>
  <c r="F33" i="94" s="1"/>
  <c r="D132" i="95"/>
  <c r="F26" i="94" s="1"/>
  <c r="I131" i="95"/>
  <c r="F37" i="93" s="1"/>
  <c r="H131" i="95"/>
  <c r="F33" i="93" s="1"/>
  <c r="G131" i="95"/>
  <c r="F25" i="93" s="1"/>
  <c r="F131" i="95"/>
  <c r="F34" i="93" s="1"/>
  <c r="E131" i="95"/>
  <c r="F32" i="94" s="1"/>
  <c r="D131" i="95"/>
  <c r="F25" i="94" s="1"/>
  <c r="D110" i="95" a="1"/>
  <c r="D110" i="95" s="1"/>
  <c r="E40" i="94"/>
  <c r="E39" i="94"/>
  <c r="D84" i="95" a="1"/>
  <c r="D84" i="95" s="1"/>
  <c r="E29" i="94"/>
  <c r="E27" i="94"/>
  <c r="E32" i="94"/>
  <c r="D52" i="95" a="1"/>
  <c r="D52" i="95" s="1"/>
  <c r="E39" i="93"/>
  <c r="E36" i="93"/>
  <c r="E35" i="93"/>
  <c r="E34" i="93"/>
  <c r="E32" i="93"/>
  <c r="E31" i="93"/>
  <c r="E30" i="93"/>
  <c r="E29" i="93"/>
  <c r="E28" i="93"/>
  <c r="E27" i="93"/>
  <c r="D8" i="95" a="1"/>
  <c r="D8" i="95" s="1"/>
  <c r="D34" i="94"/>
  <c r="D36" i="94"/>
  <c r="D27" i="94"/>
  <c r="D29" i="94"/>
  <c r="P18" i="94"/>
  <c r="P17" i="94"/>
  <c r="P16" i="94" a="1"/>
  <c r="P16" i="94" s="1"/>
  <c r="I16" i="94" a="1"/>
  <c r="I16" i="94" s="1"/>
  <c r="P15" i="94" a="1"/>
  <c r="P15" i="94" s="1"/>
  <c r="I15" i="94" a="1"/>
  <c r="I15" i="94" s="1"/>
  <c r="P14" i="94" a="1"/>
  <c r="P14" i="94" s="1"/>
  <c r="I14" i="94" a="1"/>
  <c r="I14" i="94" s="1"/>
  <c r="D39" i="93"/>
  <c r="D38" i="93"/>
  <c r="D60" i="93"/>
  <c r="D35" i="93"/>
  <c r="D48" i="93"/>
  <c r="D30" i="93"/>
  <c r="P16" i="93" a="1"/>
  <c r="P16" i="93" s="1"/>
  <c r="I16" i="93" a="1"/>
  <c r="I16" i="93" s="1"/>
  <c r="P15" i="93" a="1"/>
  <c r="P15" i="93" s="1"/>
  <c r="I15" i="93" a="1"/>
  <c r="I15" i="93" s="1"/>
  <c r="P14" i="93" a="1"/>
  <c r="P14" i="93" s="1"/>
  <c r="I14" i="93" a="1"/>
  <c r="I14" i="93" s="1"/>
  <c r="H21" i="92"/>
  <c r="H20" i="92"/>
  <c r="H19" i="92"/>
  <c r="H18" i="92"/>
  <c r="H17" i="92"/>
  <c r="I567" i="113" a="1"/>
  <c r="I567" i="113" s="1"/>
  <c r="E570" i="113" s="1"/>
  <c r="J36" i="90" a="1"/>
  <c r="J36" i="90" s="1"/>
  <c r="E39" i="90" s="1"/>
  <c r="D7" i="91" a="1"/>
  <c r="D7" i="91" s="1"/>
  <c r="J37" i="90"/>
  <c r="J33" i="90" s="1"/>
  <c r="J32" i="90"/>
  <c r="J31" i="90"/>
  <c r="F39" i="90"/>
  <c r="I16" i="90"/>
  <c r="I14" i="90"/>
  <c r="F18" i="90"/>
  <c r="H48" i="89"/>
  <c r="E48" i="89"/>
  <c r="H47" i="89"/>
  <c r="E47" i="89"/>
  <c r="H46" i="89"/>
  <c r="E46" i="89"/>
  <c r="H39" i="89"/>
  <c r="H38" i="89"/>
  <c r="H37" i="89"/>
  <c r="E29" i="89"/>
  <c r="E16" i="89"/>
  <c r="E22" i="89" s="1"/>
  <c r="E6" i="89"/>
  <c r="O72" i="88" a="1"/>
  <c r="O72" i="88" s="1"/>
  <c r="F72" i="88" a="1"/>
  <c r="F72" i="88" s="1"/>
  <c r="M69" i="88" a="1"/>
  <c r="M69" i="88" s="1"/>
  <c r="D69" i="88" a="1"/>
  <c r="D69" i="88" s="1"/>
  <c r="D60" i="88" a="1"/>
  <c r="D60" i="88" s="1"/>
  <c r="D55" i="88" a="1"/>
  <c r="I50" i="88" a="1"/>
  <c r="I50" i="88" s="1"/>
  <c r="I49" i="88" a="1"/>
  <c r="I49" i="88" s="1"/>
  <c r="I48" i="88" a="1"/>
  <c r="I48" i="88" s="1"/>
  <c r="G60" i="88"/>
  <c r="I15" i="88" a="1"/>
  <c r="I15" i="88" s="1"/>
  <c r="I14" i="88" a="1"/>
  <c r="I14" i="88" s="1"/>
  <c r="I13" i="88" a="1"/>
  <c r="I13" i="88" s="1"/>
  <c r="G25" i="88"/>
  <c r="I142" i="84"/>
  <c r="I143" i="84"/>
  <c r="H15" i="83"/>
  <c r="I69" i="83"/>
  <c r="D109" i="86"/>
  <c r="N108" i="86"/>
  <c r="D108" i="86"/>
  <c r="N107" i="86"/>
  <c r="D107" i="86"/>
  <c r="E101" i="86"/>
  <c r="D100" i="86"/>
  <c r="E99" i="86"/>
  <c r="D99" i="86"/>
  <c r="E98" i="86"/>
  <c r="N85" i="86"/>
  <c r="N84" i="86"/>
  <c r="D84" i="86"/>
  <c r="N83" i="86"/>
  <c r="D83" i="86"/>
  <c r="N82" i="86"/>
  <c r="J77" i="86" a="1"/>
  <c r="J77" i="86" s="1"/>
  <c r="J76" i="86" a="1"/>
  <c r="J76" i="86" s="1"/>
  <c r="J75" i="86" a="1"/>
  <c r="J75" i="86" s="1"/>
  <c r="J74" i="86" a="1"/>
  <c r="J74" i="86" s="1"/>
  <c r="D59" i="86"/>
  <c r="N58" i="86"/>
  <c r="D58" i="86"/>
  <c r="N57" i="86"/>
  <c r="D57" i="86"/>
  <c r="D56" i="86"/>
  <c r="E51" i="86"/>
  <c r="E50" i="86"/>
  <c r="D50" i="86"/>
  <c r="D49" i="86"/>
  <c r="E48" i="86"/>
  <c r="D43" i="86"/>
  <c r="D42" i="86"/>
  <c r="D41" i="86"/>
  <c r="E41" i="86" s="1"/>
  <c r="D39" i="86"/>
  <c r="D34" i="86"/>
  <c r="D32" i="86"/>
  <c r="D31" i="86"/>
  <c r="E31" i="86" s="1"/>
  <c r="D30" i="86"/>
  <c r="E30" i="86" s="1"/>
  <c r="N24" i="86"/>
  <c r="D24" i="86"/>
  <c r="N23" i="86"/>
  <c r="D23" i="86"/>
  <c r="J17" i="86" a="1"/>
  <c r="J17" i="86" s="1"/>
  <c r="J16" i="86" a="1"/>
  <c r="J16" i="86" s="1"/>
  <c r="J15" i="86" a="1"/>
  <c r="J15" i="86" s="1"/>
  <c r="J14" i="86" a="1"/>
  <c r="J14" i="86" s="1"/>
  <c r="D91" i="86"/>
  <c r="O70" i="85" a="1"/>
  <c r="O70" i="85" s="1"/>
  <c r="F70" i="85" a="1"/>
  <c r="F70" i="85" s="1"/>
  <c r="M67" i="85" a="1"/>
  <c r="M67" i="85" s="1"/>
  <c r="D67" i="85" a="1"/>
  <c r="D67" i="85" s="1"/>
  <c r="M43" i="85"/>
  <c r="D43" i="85"/>
  <c r="M42" i="85"/>
  <c r="D42" i="85"/>
  <c r="M40" i="85"/>
  <c r="D40" i="85"/>
  <c r="D32" i="85"/>
  <c r="E32" i="85" s="1"/>
  <c r="M26" i="85"/>
  <c r="D26" i="85"/>
  <c r="M25" i="85"/>
  <c r="D25" i="85"/>
  <c r="M23" i="85"/>
  <c r="D23" i="85"/>
  <c r="I15" i="85" a="1"/>
  <c r="I15" i="85" s="1"/>
  <c r="I14" i="85" a="1"/>
  <c r="I14" i="85" s="1"/>
  <c r="F32" i="85"/>
  <c r="Q217" i="84" a="1"/>
  <c r="Q217" i="84" s="1"/>
  <c r="F217" i="84" a="1"/>
  <c r="F217" i="84" s="1"/>
  <c r="O214" i="84" a="1"/>
  <c r="O214" i="84" s="1"/>
  <c r="D214" i="84" a="1"/>
  <c r="D214" i="84" s="1"/>
  <c r="D210" i="84"/>
  <c r="O209" i="84"/>
  <c r="D209" i="84"/>
  <c r="O208" i="84"/>
  <c r="D208" i="84"/>
  <c r="O206" i="84"/>
  <c r="D206" i="84"/>
  <c r="D197" i="84"/>
  <c r="D195" i="84"/>
  <c r="E195" i="84" s="1"/>
  <c r="I189" i="84" a="1"/>
  <c r="I189" i="84" s="1"/>
  <c r="K188" i="84" a="1"/>
  <c r="K188" i="84" s="1"/>
  <c r="J188" i="84" a="1"/>
  <c r="J188" i="84" s="1"/>
  <c r="I188" i="84" a="1"/>
  <c r="I188" i="84" s="1"/>
  <c r="O176" i="84"/>
  <c r="D176" i="84"/>
  <c r="O175" i="84"/>
  <c r="D175" i="84"/>
  <c r="I162" i="84" a="1"/>
  <c r="I162" i="84" s="1"/>
  <c r="I161" i="84" a="1"/>
  <c r="I161" i="84" s="1"/>
  <c r="H176" i="84"/>
  <c r="I144" i="84" a="1"/>
  <c r="I144" i="84" s="1"/>
  <c r="I141" i="84" a="1"/>
  <c r="I141" i="84" s="1"/>
  <c r="O129" i="84"/>
  <c r="I119" i="84" a="1"/>
  <c r="I119" i="84" s="1"/>
  <c r="I118" i="84" a="1"/>
  <c r="I118" i="84" s="1"/>
  <c r="R149" i="84"/>
  <c r="O106" i="84"/>
  <c r="D106" i="84"/>
  <c r="E101" i="84" a="1"/>
  <c r="E101" i="84" s="1"/>
  <c r="I96" i="84" a="1"/>
  <c r="I96" i="84" s="1"/>
  <c r="I95" i="84" a="1"/>
  <c r="I95" i="84" s="1"/>
  <c r="D78" i="84" a="1"/>
  <c r="D78" i="84" s="1"/>
  <c r="D73" i="84" a="1"/>
  <c r="H68" i="84" a="1"/>
  <c r="H68" i="84" s="1"/>
  <c r="H67" i="84" a="1"/>
  <c r="H67" i="84" s="1"/>
  <c r="H66" i="84" a="1"/>
  <c r="H66" i="84" s="1"/>
  <c r="I44" i="84" a="1"/>
  <c r="I44" i="84" s="1"/>
  <c r="I43" i="84" a="1"/>
  <c r="I43" i="84" s="1"/>
  <c r="I14" i="84" a="1"/>
  <c r="I14" i="84" s="1"/>
  <c r="I13" i="84" a="1"/>
  <c r="I13" i="84" s="1"/>
  <c r="I15" i="84"/>
  <c r="O176" i="83" a="1"/>
  <c r="O176" i="83" s="1"/>
  <c r="F176" i="83" a="1"/>
  <c r="F176" i="83" s="1"/>
  <c r="M173" i="83" a="1"/>
  <c r="M173" i="83" s="1"/>
  <c r="D173" i="83" a="1"/>
  <c r="D173" i="83" s="1"/>
  <c r="N167" i="83"/>
  <c r="E167" i="83"/>
  <c r="N166" i="83"/>
  <c r="E166" i="83"/>
  <c r="N164" i="83"/>
  <c r="E164" i="83"/>
  <c r="D159" i="83" a="1"/>
  <c r="D159" i="83" s="1"/>
  <c r="N153" i="83"/>
  <c r="E153" i="83"/>
  <c r="N152" i="83"/>
  <c r="E152" i="83"/>
  <c r="N150" i="83"/>
  <c r="E150" i="83"/>
  <c r="D145" i="83" a="1"/>
  <c r="D145" i="83" s="1"/>
  <c r="I140" i="83" a="1"/>
  <c r="I140" i="83" s="1"/>
  <c r="I139" i="83" a="1"/>
  <c r="I139" i="83" s="1"/>
  <c r="I138" i="83" a="1"/>
  <c r="I138" i="83" s="1"/>
  <c r="I150" i="83"/>
  <c r="H173" i="83"/>
  <c r="R115" i="83"/>
  <c r="R112" i="83" a="1"/>
  <c r="R112" i="83" s="1"/>
  <c r="I112" i="83" a="1"/>
  <c r="I112" i="83" s="1"/>
  <c r="I110" i="83" a="1"/>
  <c r="I110" i="83" s="1"/>
  <c r="M98" i="83"/>
  <c r="D98" i="83"/>
  <c r="M97" i="83"/>
  <c r="D97" i="83"/>
  <c r="N89" i="83"/>
  <c r="M89" i="83"/>
  <c r="E89" i="83"/>
  <c r="N88" i="83"/>
  <c r="M88" i="83"/>
  <c r="E88" i="83"/>
  <c r="M87" i="83"/>
  <c r="R75" i="83"/>
  <c r="R73" i="83" a="1"/>
  <c r="R73" i="83" s="1"/>
  <c r="I73" i="83" a="1"/>
  <c r="I73" i="83" s="1"/>
  <c r="I72" i="83" a="1"/>
  <c r="I72" i="83" s="1"/>
  <c r="I70" i="83" a="1"/>
  <c r="I70" i="83" s="1"/>
  <c r="M57" i="83"/>
  <c r="D57" i="83"/>
  <c r="E52" i="83" a="1"/>
  <c r="E52" i="83" s="1"/>
  <c r="D52" i="83"/>
  <c r="R44" i="83" a="1"/>
  <c r="R44" i="83" s="1"/>
  <c r="I44" i="83" a="1"/>
  <c r="I44" i="83" s="1"/>
  <c r="R42" i="83" a="1"/>
  <c r="R42" i="83" s="1"/>
  <c r="I42" i="83" a="1"/>
  <c r="I42" i="83" s="1"/>
  <c r="H14" i="83" a="1"/>
  <c r="H14" i="83" s="1"/>
  <c r="H13" i="83" a="1"/>
  <c r="H13" i="83" s="1"/>
  <c r="K42" i="82"/>
  <c r="D41" i="82"/>
  <c r="K38" i="82"/>
  <c r="G38" i="82"/>
  <c r="F38" i="82"/>
  <c r="E38" i="82"/>
  <c r="K37" i="82"/>
  <c r="E49" i="86" s="1"/>
  <c r="K36" i="82"/>
  <c r="D35" i="82"/>
  <c r="D58" i="78"/>
  <c r="D39" i="78"/>
  <c r="D38" i="78"/>
  <c r="D37" i="78"/>
  <c r="D36" i="78"/>
  <c r="D35" i="78"/>
  <c r="D34" i="78"/>
  <c r="D33" i="78"/>
  <c r="D32" i="78"/>
  <c r="D31" i="78"/>
  <c r="D30" i="78"/>
  <c r="D29" i="78"/>
  <c r="J36" i="78"/>
  <c r="J33" i="78"/>
  <c r="J34" i="78"/>
  <c r="J35" i="78"/>
  <c r="H391" i="113" l="1"/>
  <c r="I495" i="113"/>
  <c r="J454" i="113"/>
  <c r="J26" i="113"/>
  <c r="N56" i="86"/>
  <c r="D33" i="85"/>
  <c r="E33" i="85" s="1"/>
  <c r="D196" i="84"/>
  <c r="E196" i="84" s="1"/>
  <c r="D40" i="86"/>
  <c r="D98" i="86"/>
  <c r="N165" i="83"/>
  <c r="D41" i="85"/>
  <c r="M96" i="83"/>
  <c r="N151" i="83"/>
  <c r="D174" i="84"/>
  <c r="M41" i="85"/>
  <c r="D22" i="86"/>
  <c r="E151" i="83"/>
  <c r="O174" i="84"/>
  <c r="D207" i="84"/>
  <c r="N22" i="86"/>
  <c r="D48" i="86"/>
  <c r="O207" i="84"/>
  <c r="E80" i="83" a="1"/>
  <c r="E80" i="83" s="1"/>
  <c r="E165" i="83"/>
  <c r="E87" i="83"/>
  <c r="D24" i="85"/>
  <c r="D106" i="86"/>
  <c r="N87" i="83"/>
  <c r="M24" i="85"/>
  <c r="D82" i="86"/>
  <c r="N106" i="86"/>
  <c r="D129" i="84"/>
  <c r="N109" i="86"/>
  <c r="O210" i="84"/>
  <c r="N59" i="86"/>
  <c r="D44" i="85"/>
  <c r="E168" i="83"/>
  <c r="D27" i="85"/>
  <c r="M44" i="85"/>
  <c r="D125" i="83"/>
  <c r="N168" i="83"/>
  <c r="M27" i="85"/>
  <c r="D101" i="86"/>
  <c r="M125" i="83"/>
  <c r="D198" i="84"/>
  <c r="E198" i="84" s="1"/>
  <c r="D25" i="86"/>
  <c r="D51" i="86"/>
  <c r="E154" i="83"/>
  <c r="N154" i="83"/>
  <c r="J91" i="103"/>
  <c r="J87" i="114"/>
  <c r="M33" i="94" a="1"/>
  <c r="M33" i="94" s="1"/>
  <c r="E197" i="84"/>
  <c r="E42" i="86"/>
  <c r="M34" i="93" a="1"/>
  <c r="M34" i="93" s="1"/>
  <c r="L34" i="93" a="1"/>
  <c r="L34" i="93" s="1"/>
  <c r="M35" i="94" a="1"/>
  <c r="M35" i="94" s="1"/>
  <c r="AA252" i="113" a="1"/>
  <c r="AA252" i="113" s="1"/>
  <c r="G177" i="115"/>
  <c r="G176" i="115"/>
  <c r="G175" i="115"/>
  <c r="G174" i="115"/>
  <c r="E43" i="86"/>
  <c r="E33" i="86"/>
  <c r="M32" i="94" a="1"/>
  <c r="M32" i="94" s="1"/>
  <c r="L32" i="94" a="1"/>
  <c r="L32" i="94" s="1"/>
  <c r="M28" i="94" a="1"/>
  <c r="M28" i="94" s="1"/>
  <c r="M40" i="94" a="1"/>
  <c r="M40" i="94" s="1"/>
  <c r="J54" i="97"/>
  <c r="E71" i="103"/>
  <c r="E108" i="102"/>
  <c r="E140" i="102" s="1"/>
  <c r="K32" i="94"/>
  <c r="J32" i="94"/>
  <c r="I32" i="94"/>
  <c r="H32" i="94"/>
  <c r="G32" i="94"/>
  <c r="M25" i="93" a="1"/>
  <c r="M25" i="93" s="1"/>
  <c r="L25" i="93" a="1"/>
  <c r="L25" i="93" s="1"/>
  <c r="M28" i="93" a="1"/>
  <c r="M28" i="93" s="1"/>
  <c r="J27" i="94"/>
  <c r="I27" i="94"/>
  <c r="H27" i="94"/>
  <c r="G27" i="94"/>
  <c r="K27" i="94"/>
  <c r="K29" i="94"/>
  <c r="J29" i="94"/>
  <c r="I29" i="94"/>
  <c r="H29" i="94"/>
  <c r="G29" i="94"/>
  <c r="M37" i="93" a="1"/>
  <c r="M37" i="93" s="1"/>
  <c r="L37" i="93" a="1"/>
  <c r="L37" i="93" s="1"/>
  <c r="L36" i="94" a="1"/>
  <c r="L36" i="94" s="1"/>
  <c r="M36" i="94" a="1"/>
  <c r="M36" i="94" s="1"/>
  <c r="E75" i="103"/>
  <c r="E112" i="102"/>
  <c r="E144" i="102" s="1"/>
  <c r="E30" i="94"/>
  <c r="E37" i="94"/>
  <c r="J39" i="94"/>
  <c r="I39" i="94"/>
  <c r="H39" i="94"/>
  <c r="G39" i="94"/>
  <c r="M36" i="93" a="1"/>
  <c r="M36" i="93" s="1"/>
  <c r="M39" i="94" a="1"/>
  <c r="M39" i="94" s="1"/>
  <c r="E69" i="103"/>
  <c r="E106" i="102"/>
  <c r="I175" i="115"/>
  <c r="H195" i="115"/>
  <c r="E26" i="94"/>
  <c r="E33" i="94"/>
  <c r="E38" i="94"/>
  <c r="E31" i="94"/>
  <c r="E38" i="93"/>
  <c r="G38" i="93" s="1" a="1"/>
  <c r="G38" i="93" s="1"/>
  <c r="E33" i="93"/>
  <c r="G33" i="93" s="1" a="1"/>
  <c r="G33" i="93" s="1"/>
  <c r="E26" i="93"/>
  <c r="I26" i="93" s="1" a="1"/>
  <c r="I26" i="93" s="1"/>
  <c r="M33" i="93" a="1"/>
  <c r="M33" i="93" s="1"/>
  <c r="M29" i="94" a="1"/>
  <c r="M29" i="94" s="1"/>
  <c r="L29" i="94" a="1"/>
  <c r="L29" i="94" s="1"/>
  <c r="D7" i="110"/>
  <c r="D177" i="113" s="1"/>
  <c r="F177" i="113" s="1" a="1"/>
  <c r="F177" i="113" s="1"/>
  <c r="G177" i="113" s="1"/>
  <c r="D179" i="113"/>
  <c r="F179" i="113" s="1" a="1"/>
  <c r="F179" i="113" s="1"/>
  <c r="G179" i="113" s="1"/>
  <c r="D178" i="113"/>
  <c r="F178" i="113" s="1" a="1"/>
  <c r="F178" i="113" s="1"/>
  <c r="G178" i="113" s="1"/>
  <c r="E34" i="85"/>
  <c r="I15" i="90" a="1"/>
  <c r="I15" i="90" s="1"/>
  <c r="E18" i="90" s="1"/>
  <c r="G25" i="82" a="1"/>
  <c r="G25" i="82" s="1"/>
  <c r="F25" i="82" a="1"/>
  <c r="F25" i="82" s="1"/>
  <c r="G18" i="82" a="1"/>
  <c r="G18" i="82" s="1"/>
  <c r="E25" i="82" a="1"/>
  <c r="E25" i="82" s="1"/>
  <c r="F18" i="82" a="1"/>
  <c r="F18" i="82" s="1"/>
  <c r="G24" i="82" a="1"/>
  <c r="G24" i="82" s="1"/>
  <c r="E18" i="82" a="1"/>
  <c r="E18" i="82" s="1"/>
  <c r="F24" i="82" a="1"/>
  <c r="F24" i="82" s="1"/>
  <c r="G17" i="82" a="1"/>
  <c r="G17" i="82" s="1"/>
  <c r="E24" i="82" a="1"/>
  <c r="E24" i="82" s="1"/>
  <c r="F17" i="82" a="1"/>
  <c r="F17" i="82" s="1"/>
  <c r="G23" i="82" a="1"/>
  <c r="G23" i="82" s="1"/>
  <c r="E17" i="82" a="1"/>
  <c r="E17" i="82" s="1"/>
  <c r="F23" i="82" a="1"/>
  <c r="F23" i="82" s="1"/>
  <c r="G16" i="82" a="1"/>
  <c r="G16" i="82" s="1"/>
  <c r="E23" i="82" a="1"/>
  <c r="E23" i="82" s="1"/>
  <c r="F16" i="82" a="1"/>
  <c r="F16" i="82" s="1"/>
  <c r="E16" i="82" a="1"/>
  <c r="E16" i="82" s="1"/>
  <c r="G15" i="82" a="1"/>
  <c r="G15" i="82" s="1"/>
  <c r="G26" i="82" a="1"/>
  <c r="G26" i="82" s="1"/>
  <c r="F15" i="82" a="1"/>
  <c r="F15" i="82" s="1"/>
  <c r="F26" i="82" a="1"/>
  <c r="F26" i="82" s="1"/>
  <c r="E15" i="82" a="1"/>
  <c r="E15" i="82" s="1"/>
  <c r="E26" i="82" a="1"/>
  <c r="E26" i="82" s="1"/>
  <c r="D12" i="110"/>
  <c r="D137" i="113" s="1"/>
  <c r="F137" i="113" s="1" a="1"/>
  <c r="F137" i="113" s="1"/>
  <c r="G137" i="113" s="1"/>
  <c r="D139" i="113"/>
  <c r="F139" i="113" s="1" a="1"/>
  <c r="F139" i="113" s="1"/>
  <c r="D138" i="113"/>
  <c r="F138" i="113" s="1" a="1"/>
  <c r="F138" i="113" s="1"/>
  <c r="G138" i="113" s="1"/>
  <c r="D140" i="113"/>
  <c r="F140" i="113" s="1" a="1"/>
  <c r="F140" i="113" s="1"/>
  <c r="D19" i="102" a="1"/>
  <c r="P30" i="97"/>
  <c r="D58" i="99" a="1"/>
  <c r="D58" i="99" s="1"/>
  <c r="P29" i="97"/>
  <c r="D23" i="103" a="1"/>
  <c r="D23" i="103" s="1"/>
  <c r="D59" i="102" a="1"/>
  <c r="D59" i="102" s="1"/>
  <c r="P28" i="97"/>
  <c r="P27" i="97"/>
  <c r="P26" i="97"/>
  <c r="P25" i="97"/>
  <c r="D19" i="98" a="1"/>
  <c r="D19" i="99" a="1"/>
  <c r="G183" i="115"/>
  <c r="P34" i="97"/>
  <c r="P33" i="97"/>
  <c r="D60" i="98" a="1"/>
  <c r="D60" i="98" s="1"/>
  <c r="P32" i="97"/>
  <c r="P31" i="97"/>
  <c r="J39" i="93" a="1"/>
  <c r="J39" i="93" s="1"/>
  <c r="J36" i="93" a="1"/>
  <c r="J36" i="93" s="1"/>
  <c r="J30" i="93" a="1"/>
  <c r="J30" i="93" s="1"/>
  <c r="I27" i="93" a="1"/>
  <c r="I27" i="93" s="1"/>
  <c r="I39" i="93" a="1"/>
  <c r="I39" i="93" s="1"/>
  <c r="I36" i="93" a="1"/>
  <c r="I36" i="93" s="1"/>
  <c r="I30" i="93" a="1"/>
  <c r="I30" i="93" s="1"/>
  <c r="H27" i="93" a="1"/>
  <c r="H27" i="93" s="1"/>
  <c r="H39" i="93" a="1"/>
  <c r="H39" i="93" s="1"/>
  <c r="H36" i="93" a="1"/>
  <c r="H36" i="93" s="1"/>
  <c r="H30" i="93" a="1"/>
  <c r="H30" i="93" s="1"/>
  <c r="G27" i="93" a="1"/>
  <c r="G27" i="93" s="1"/>
  <c r="G39" i="93" a="1"/>
  <c r="G39" i="93" s="1"/>
  <c r="K37" i="93" a="1"/>
  <c r="K37" i="93" s="1"/>
  <c r="G36" i="93" a="1"/>
  <c r="G36" i="93" s="1"/>
  <c r="K34" i="93" a="1"/>
  <c r="K34" i="93" s="1"/>
  <c r="G30" i="93" a="1"/>
  <c r="G30" i="93" s="1"/>
  <c r="K28" i="93" a="1"/>
  <c r="K28" i="93" s="1"/>
  <c r="J37" i="93" a="1"/>
  <c r="J37" i="93" s="1"/>
  <c r="J34" i="93" a="1"/>
  <c r="J34" i="93" s="1"/>
  <c r="K31" i="93" a="1"/>
  <c r="K31" i="93" s="1"/>
  <c r="J28" i="93" a="1"/>
  <c r="J28" i="93" s="1"/>
  <c r="I37" i="93" a="1"/>
  <c r="I37" i="93" s="1"/>
  <c r="I34" i="93" a="1"/>
  <c r="I34" i="93" s="1"/>
  <c r="J31" i="93" a="1"/>
  <c r="J31" i="93" s="1"/>
  <c r="I28" i="93" a="1"/>
  <c r="I28" i="93" s="1"/>
  <c r="H37" i="93" a="1"/>
  <c r="H37" i="93" s="1"/>
  <c r="H34" i="93" a="1"/>
  <c r="H34" i="93" s="1"/>
  <c r="I31" i="93" a="1"/>
  <c r="I31" i="93" s="1"/>
  <c r="H28" i="93" a="1"/>
  <c r="H28" i="93" s="1"/>
  <c r="G34" i="93" a="1"/>
  <c r="G34" i="93" s="1"/>
  <c r="H31" i="93" a="1"/>
  <c r="H31" i="93" s="1"/>
  <c r="G28" i="93" a="1"/>
  <c r="G28" i="93" s="1"/>
  <c r="K35" i="93" a="1"/>
  <c r="K35" i="93" s="1"/>
  <c r="G31" i="93" a="1"/>
  <c r="G31" i="93" s="1"/>
  <c r="K29" i="93" a="1"/>
  <c r="K29" i="93" s="1"/>
  <c r="E25" i="93"/>
  <c r="J25" i="93" s="1" a="1"/>
  <c r="J25" i="93" s="1"/>
  <c r="E37" i="93"/>
  <c r="G37" i="93" s="1" a="1"/>
  <c r="G37" i="93" s="1"/>
  <c r="J35" i="93" a="1"/>
  <c r="J35" i="93" s="1"/>
  <c r="K32" i="93" a="1"/>
  <c r="K32" i="93" s="1"/>
  <c r="J29" i="93" a="1"/>
  <c r="J29" i="93" s="1"/>
  <c r="I35" i="93" a="1"/>
  <c r="I35" i="93" s="1"/>
  <c r="J32" i="93" a="1"/>
  <c r="J32" i="93" s="1"/>
  <c r="I29" i="93" a="1"/>
  <c r="I29" i="93" s="1"/>
  <c r="H38" i="93" a="1"/>
  <c r="H38" i="93" s="1"/>
  <c r="H35" i="93" a="1"/>
  <c r="H35" i="93" s="1"/>
  <c r="I32" i="93" a="1"/>
  <c r="I32" i="93" s="1"/>
  <c r="H29" i="93" a="1"/>
  <c r="H29" i="93" s="1"/>
  <c r="G26" i="93" a="1"/>
  <c r="G26" i="93" s="1"/>
  <c r="G35" i="93" a="1"/>
  <c r="G35" i="93" s="1"/>
  <c r="H32" i="93" a="1"/>
  <c r="H32" i="93" s="1"/>
  <c r="G29" i="93" a="1"/>
  <c r="G29" i="93" s="1"/>
  <c r="K27" i="93" a="1"/>
  <c r="K27" i="93" s="1"/>
  <c r="K39" i="93" a="1"/>
  <c r="K39" i="93" s="1"/>
  <c r="K36" i="93" a="1"/>
  <c r="K36" i="93" s="1"/>
  <c r="G32" i="93" a="1"/>
  <c r="G32" i="93" s="1"/>
  <c r="K30" i="93" a="1"/>
  <c r="K30" i="93" s="1"/>
  <c r="J27" i="93" a="1"/>
  <c r="J27" i="93" s="1"/>
  <c r="M26" i="93" a="1"/>
  <c r="M26" i="93" s="1"/>
  <c r="M30" i="93" a="1"/>
  <c r="M30" i="93" s="1"/>
  <c r="L30" i="93" a="1"/>
  <c r="L30" i="93" s="1"/>
  <c r="I97" i="102"/>
  <c r="I33" i="114"/>
  <c r="E34" i="86"/>
  <c r="M38" i="93" a="1"/>
  <c r="M38" i="93" s="1"/>
  <c r="L38" i="93" a="1"/>
  <c r="L38" i="93" s="1"/>
  <c r="M31" i="94" a="1"/>
  <c r="M31" i="94" s="1"/>
  <c r="I176" i="115"/>
  <c r="H196" i="115"/>
  <c r="D285" i="113"/>
  <c r="F285" i="113" s="1" a="1"/>
  <c r="F285" i="113" s="1"/>
  <c r="G285" i="113" s="1"/>
  <c r="F287" i="113" a="1"/>
  <c r="F287" i="113" s="1"/>
  <c r="F286" i="113" a="1"/>
  <c r="F286" i="113" s="1"/>
  <c r="G286" i="113" s="1"/>
  <c r="F296" i="113" a="1"/>
  <c r="F296" i="113" s="1"/>
  <c r="F295" i="113" a="1"/>
  <c r="F295" i="113" s="1"/>
  <c r="F294" i="113" a="1"/>
  <c r="F294" i="113" s="1"/>
  <c r="F293" i="113" a="1"/>
  <c r="F293" i="113" s="1"/>
  <c r="F292" i="113" a="1"/>
  <c r="F292" i="113" s="1"/>
  <c r="F291" i="113" a="1"/>
  <c r="F291" i="113" s="1"/>
  <c r="F290" i="113" a="1"/>
  <c r="F290" i="113" s="1"/>
  <c r="F289" i="113" a="1"/>
  <c r="F289" i="113" s="1"/>
  <c r="F288" i="113" a="1"/>
  <c r="F288" i="113" s="1"/>
  <c r="J40" i="94"/>
  <c r="I40" i="94"/>
  <c r="H40" i="94"/>
  <c r="G40" i="94"/>
  <c r="M26" i="94" a="1"/>
  <c r="M26" i="94" s="1"/>
  <c r="M29" i="93" a="1"/>
  <c r="M29" i="93" s="1"/>
  <c r="M30" i="94" a="1"/>
  <c r="M30" i="94" s="1"/>
  <c r="L30" i="94" a="1"/>
  <c r="L30" i="94" s="1"/>
  <c r="I177" i="115"/>
  <c r="H197" i="115"/>
  <c r="Q21" i="97" a="1"/>
  <c r="Q21" i="97" s="1"/>
  <c r="U20" i="97" a="1"/>
  <c r="U20" i="97" s="1"/>
  <c r="Z19" i="97"/>
  <c r="K19" i="97" a="1"/>
  <c r="K19" i="97" s="1"/>
  <c r="O18" i="97" a="1"/>
  <c r="O18" i="97" s="1"/>
  <c r="S17" i="97" a="1"/>
  <c r="S17" i="97" s="1"/>
  <c r="W16" i="97" a="1"/>
  <c r="W16" i="97" s="1"/>
  <c r="H16" i="97"/>
  <c r="I16" i="97" s="1"/>
  <c r="M15" i="97" a="1"/>
  <c r="M15" i="97" s="1"/>
  <c r="Q14" i="97" a="1"/>
  <c r="Q14" i="97" s="1"/>
  <c r="U13" i="97" a="1"/>
  <c r="U13" i="97" s="1"/>
  <c r="Z12" i="97"/>
  <c r="K12" i="97" a="1"/>
  <c r="K12" i="97" s="1"/>
  <c r="P21" i="97" a="1"/>
  <c r="P21" i="97" s="1"/>
  <c r="T20" i="97" a="1"/>
  <c r="T20" i="97" s="1"/>
  <c r="Y19" i="97"/>
  <c r="J19" i="97" a="1"/>
  <c r="J19" i="97" s="1"/>
  <c r="N18" i="97" a="1"/>
  <c r="N18" i="97" s="1"/>
  <c r="R17" i="97" a="1"/>
  <c r="R17" i="97" s="1"/>
  <c r="F16" i="97"/>
  <c r="L15" i="97" a="1"/>
  <c r="L15" i="97" s="1"/>
  <c r="P14" i="97" a="1"/>
  <c r="P14" i="97" s="1"/>
  <c r="T13" i="97" a="1"/>
  <c r="T13" i="97" s="1"/>
  <c r="Y12" i="97"/>
  <c r="J12" i="97" a="1"/>
  <c r="J12" i="97" s="1"/>
  <c r="O21" i="97" a="1"/>
  <c r="O21" i="97" s="1"/>
  <c r="S20" i="97" a="1"/>
  <c r="S20" i="97" s="1"/>
  <c r="W19" i="97" a="1"/>
  <c r="W19" i="97" s="1"/>
  <c r="H19" i="97"/>
  <c r="I19" i="97" s="1"/>
  <c r="M18" i="97" a="1"/>
  <c r="M18" i="97" s="1"/>
  <c r="Q17" i="97" a="1"/>
  <c r="Q17" i="97" s="1"/>
  <c r="U16" i="97" a="1"/>
  <c r="U16" i="97" s="1"/>
  <c r="Z15" i="97"/>
  <c r="K15" i="97" a="1"/>
  <c r="K15" i="97" s="1"/>
  <c r="O14" i="97" a="1"/>
  <c r="O14" i="97" s="1"/>
  <c r="S13" i="97" a="1"/>
  <c r="S13" i="97" s="1"/>
  <c r="W12" i="97" a="1"/>
  <c r="W12" i="97" s="1"/>
  <c r="H12" i="97"/>
  <c r="I12" i="97" s="1"/>
  <c r="N21" i="97" a="1"/>
  <c r="N21" i="97" s="1"/>
  <c r="R20" i="97" a="1"/>
  <c r="R20" i="97" s="1"/>
  <c r="F19" i="97"/>
  <c r="L18" i="97" a="1"/>
  <c r="L18" i="97" s="1"/>
  <c r="P17" i="97" a="1"/>
  <c r="P17" i="97" s="1"/>
  <c r="T16" i="97" a="1"/>
  <c r="T16" i="97" s="1"/>
  <c r="Y15" i="97"/>
  <c r="J15" i="97" a="1"/>
  <c r="J15" i="97" s="1"/>
  <c r="N14" i="97" a="1"/>
  <c r="N14" i="97" s="1"/>
  <c r="R13" i="97" a="1"/>
  <c r="R13" i="97" s="1"/>
  <c r="F12" i="97"/>
  <c r="M21" i="97" a="1"/>
  <c r="M21" i="97" s="1"/>
  <c r="Q20" i="97" a="1"/>
  <c r="Q20" i="97" s="1"/>
  <c r="U19" i="97" a="1"/>
  <c r="U19" i="97" s="1"/>
  <c r="Z18" i="97"/>
  <c r="K18" i="97" a="1"/>
  <c r="K18" i="97" s="1"/>
  <c r="O17" i="97" a="1"/>
  <c r="O17" i="97" s="1"/>
  <c r="S16" i="97" a="1"/>
  <c r="S16" i="97" s="1"/>
  <c r="W15" i="97" a="1"/>
  <c r="W15" i="97" s="1"/>
  <c r="H15" i="97"/>
  <c r="I15" i="97" s="1"/>
  <c r="M14" i="97" a="1"/>
  <c r="M14" i="97" s="1"/>
  <c r="Q13" i="97" a="1"/>
  <c r="Q13" i="97" s="1"/>
  <c r="U12" i="97" a="1"/>
  <c r="U12" i="97" s="1"/>
  <c r="L21" i="97" a="1"/>
  <c r="L21" i="97" s="1"/>
  <c r="P20" i="97" a="1"/>
  <c r="P20" i="97" s="1"/>
  <c r="T19" i="97" a="1"/>
  <c r="T19" i="97" s="1"/>
  <c r="Y18" i="97"/>
  <c r="J18" i="97" a="1"/>
  <c r="J18" i="97" s="1"/>
  <c r="N17" i="97" a="1"/>
  <c r="N17" i="97" s="1"/>
  <c r="R16" i="97" a="1"/>
  <c r="R16" i="97" s="1"/>
  <c r="F15" i="97"/>
  <c r="L14" i="97" a="1"/>
  <c r="L14" i="97" s="1"/>
  <c r="P13" i="97" a="1"/>
  <c r="P13" i="97" s="1"/>
  <c r="T12" i="97" a="1"/>
  <c r="T12" i="97" s="1"/>
  <c r="Z21" i="97"/>
  <c r="K21" i="97" a="1"/>
  <c r="K21" i="97" s="1"/>
  <c r="O20" i="97" a="1"/>
  <c r="O20" i="97" s="1"/>
  <c r="S19" i="97" a="1"/>
  <c r="S19" i="97" s="1"/>
  <c r="W18" i="97" a="1"/>
  <c r="W18" i="97" s="1"/>
  <c r="H18" i="97"/>
  <c r="I18" i="97" s="1"/>
  <c r="M17" i="97" a="1"/>
  <c r="M17" i="97" s="1"/>
  <c r="Q16" i="97" a="1"/>
  <c r="Q16" i="97" s="1"/>
  <c r="U15" i="97" a="1"/>
  <c r="U15" i="97" s="1"/>
  <c r="Z14" i="97"/>
  <c r="K14" i="97" a="1"/>
  <c r="K14" i="97" s="1"/>
  <c r="O13" i="97" a="1"/>
  <c r="O13" i="97" s="1"/>
  <c r="S12" i="97" a="1"/>
  <c r="S12" i="97" s="1"/>
  <c r="Y21" i="97"/>
  <c r="J21" i="97" a="1"/>
  <c r="J21" i="97" s="1"/>
  <c r="N20" i="97" a="1"/>
  <c r="N20" i="97" s="1"/>
  <c r="R19" i="97" a="1"/>
  <c r="R19" i="97" s="1"/>
  <c r="F18" i="97"/>
  <c r="L17" i="97" a="1"/>
  <c r="L17" i="97" s="1"/>
  <c r="P16" i="97" a="1"/>
  <c r="P16" i="97" s="1"/>
  <c r="T15" i="97" a="1"/>
  <c r="T15" i="97" s="1"/>
  <c r="Y14" i="97"/>
  <c r="J14" i="97" a="1"/>
  <c r="J14" i="97" s="1"/>
  <c r="N13" i="97" a="1"/>
  <c r="N13" i="97" s="1"/>
  <c r="R12" i="97" a="1"/>
  <c r="R12" i="97" s="1"/>
  <c r="W21" i="97" a="1"/>
  <c r="W21" i="97" s="1"/>
  <c r="H21" i="97"/>
  <c r="I21" i="97" s="1"/>
  <c r="M20" i="97" a="1"/>
  <c r="M20" i="97" s="1"/>
  <c r="Q19" i="97" a="1"/>
  <c r="Q19" i="97" s="1"/>
  <c r="U18" i="97" a="1"/>
  <c r="U18" i="97" s="1"/>
  <c r="Z17" i="97"/>
  <c r="K17" i="97" a="1"/>
  <c r="K17" i="97" s="1"/>
  <c r="O16" i="97" a="1"/>
  <c r="O16" i="97" s="1"/>
  <c r="S15" i="97" a="1"/>
  <c r="S15" i="97" s="1"/>
  <c r="W14" i="97" a="1"/>
  <c r="W14" i="97" s="1"/>
  <c r="H14" i="97"/>
  <c r="I14" i="97" s="1"/>
  <c r="M13" i="97" a="1"/>
  <c r="M13" i="97" s="1"/>
  <c r="Q12" i="97" a="1"/>
  <c r="Q12" i="97" s="1"/>
  <c r="F21" i="97"/>
  <c r="L20" i="97" a="1"/>
  <c r="L20" i="97" s="1"/>
  <c r="P19" i="97" a="1"/>
  <c r="P19" i="97" s="1"/>
  <c r="T18" i="97" a="1"/>
  <c r="T18" i="97" s="1"/>
  <c r="Y17" i="97"/>
  <c r="J17" i="97" a="1"/>
  <c r="J17" i="97" s="1"/>
  <c r="N16" i="97" a="1"/>
  <c r="N16" i="97" s="1"/>
  <c r="R15" i="97" a="1"/>
  <c r="R15" i="97" s="1"/>
  <c r="F14" i="97"/>
  <c r="L13" i="97" a="1"/>
  <c r="L13" i="97" s="1"/>
  <c r="P12" i="97" a="1"/>
  <c r="P12" i="97" s="1"/>
  <c r="U21" i="97" a="1"/>
  <c r="U21" i="97" s="1"/>
  <c r="Z20" i="97"/>
  <c r="K20" i="97" a="1"/>
  <c r="K20" i="97" s="1"/>
  <c r="O19" i="97" a="1"/>
  <c r="O19" i="97" s="1"/>
  <c r="S18" i="97" a="1"/>
  <c r="S18" i="97" s="1"/>
  <c r="W17" i="97" a="1"/>
  <c r="W17" i="97" s="1"/>
  <c r="H17" i="97"/>
  <c r="I17" i="97" s="1"/>
  <c r="M16" i="97" a="1"/>
  <c r="M16" i="97" s="1"/>
  <c r="Q15" i="97" a="1"/>
  <c r="Q15" i="97" s="1"/>
  <c r="U14" i="97" a="1"/>
  <c r="U14" i="97" s="1"/>
  <c r="Z13" i="97"/>
  <c r="K13" i="97" a="1"/>
  <c r="K13" i="97" s="1"/>
  <c r="O12" i="97" a="1"/>
  <c r="O12" i="97" s="1"/>
  <c r="T21" i="97" a="1"/>
  <c r="T21" i="97" s="1"/>
  <c r="Y20" i="97"/>
  <c r="J20" i="97" a="1"/>
  <c r="J20" i="97" s="1"/>
  <c r="N19" i="97" a="1"/>
  <c r="N19" i="97" s="1"/>
  <c r="R18" i="97" a="1"/>
  <c r="R18" i="97" s="1"/>
  <c r="F17" i="97"/>
  <c r="L16" i="97" a="1"/>
  <c r="L16" i="97" s="1"/>
  <c r="P15" i="97" a="1"/>
  <c r="P15" i="97" s="1"/>
  <c r="T14" i="97" a="1"/>
  <c r="T14" i="97" s="1"/>
  <c r="Y13" i="97"/>
  <c r="J13" i="97" a="1"/>
  <c r="J13" i="97" s="1"/>
  <c r="N12" i="97" a="1"/>
  <c r="N12" i="97" s="1"/>
  <c r="S21" i="97" a="1"/>
  <c r="S21" i="97" s="1"/>
  <c r="W20" i="97" a="1"/>
  <c r="W20" i="97" s="1"/>
  <c r="H20" i="97"/>
  <c r="I20" i="97" s="1"/>
  <c r="M19" i="97" a="1"/>
  <c r="M19" i="97" s="1"/>
  <c r="Q18" i="97" a="1"/>
  <c r="Q18" i="97" s="1"/>
  <c r="U17" i="97" a="1"/>
  <c r="U17" i="97" s="1"/>
  <c r="Z16" i="97"/>
  <c r="K16" i="97" a="1"/>
  <c r="K16" i="97" s="1"/>
  <c r="O15" i="97" a="1"/>
  <c r="O15" i="97" s="1"/>
  <c r="S14" i="97" a="1"/>
  <c r="S14" i="97" s="1"/>
  <c r="W13" i="97" a="1"/>
  <c r="W13" i="97" s="1"/>
  <c r="H13" i="97"/>
  <c r="I13" i="97" s="1"/>
  <c r="M12" i="97" a="1"/>
  <c r="M12" i="97" s="1"/>
  <c r="R21" i="97" a="1"/>
  <c r="R21" i="97" s="1"/>
  <c r="F20" i="97"/>
  <c r="L19" i="97" a="1"/>
  <c r="L19" i="97" s="1"/>
  <c r="P18" i="97" a="1"/>
  <c r="P18" i="97" s="1"/>
  <c r="T17" i="97" a="1"/>
  <c r="T17" i="97" s="1"/>
  <c r="Y16" i="97"/>
  <c r="J16" i="97" a="1"/>
  <c r="J16" i="97" s="1"/>
  <c r="N15" i="97" a="1"/>
  <c r="N15" i="97" s="1"/>
  <c r="R14" i="97" a="1"/>
  <c r="R14" i="97" s="1"/>
  <c r="F13" i="97"/>
  <c r="L12" i="97" a="1"/>
  <c r="L12" i="97" s="1"/>
  <c r="D167" i="84" a="1"/>
  <c r="D167" i="84" s="1"/>
  <c r="K39" i="94" a="1"/>
  <c r="K39" i="94" s="1"/>
  <c r="E39" i="86"/>
  <c r="E19" i="82" a="1"/>
  <c r="E19" i="82" s="1"/>
  <c r="F14" i="82" a="1"/>
  <c r="F14" i="82" s="1"/>
  <c r="E14" i="82" a="1"/>
  <c r="E14" i="82" s="1"/>
  <c r="G27" i="82" a="1"/>
  <c r="G27" i="82" s="1"/>
  <c r="F27" i="82" a="1"/>
  <c r="F27" i="82" s="1"/>
  <c r="G22" i="82" a="1"/>
  <c r="G22" i="82" s="1"/>
  <c r="E27" i="82" a="1"/>
  <c r="E27" i="82" s="1"/>
  <c r="F22" i="82" a="1"/>
  <c r="F22" i="82" s="1"/>
  <c r="E22" i="82" a="1"/>
  <c r="E22" i="82" s="1"/>
  <c r="G19" i="82" a="1"/>
  <c r="G19" i="82" s="1"/>
  <c r="F19" i="82" a="1"/>
  <c r="F19" i="82" s="1"/>
  <c r="G14" i="82" a="1"/>
  <c r="G14" i="82" s="1"/>
  <c r="K40" i="94" a="1"/>
  <c r="K40" i="94" s="1"/>
  <c r="E35" i="94"/>
  <c r="E28" i="94"/>
  <c r="M27" i="94" a="1"/>
  <c r="M27" i="94" s="1"/>
  <c r="L27" i="94" a="1"/>
  <c r="L27" i="94" s="1"/>
  <c r="M38" i="94" a="1"/>
  <c r="M38" i="94" s="1"/>
  <c r="M35" i="93" a="1"/>
  <c r="M35" i="93" s="1"/>
  <c r="L35" i="93" a="1"/>
  <c r="L35" i="93" s="1"/>
  <c r="M37" i="94" a="1"/>
  <c r="M37" i="94" s="1"/>
  <c r="E320" i="113" a="1"/>
  <c r="E320" i="113" s="1"/>
  <c r="F320" i="113" s="1" a="1"/>
  <c r="E25" i="101" a="1"/>
  <c r="E25" i="101" s="1"/>
  <c r="E32" i="86"/>
  <c r="E40" i="86"/>
  <c r="M34" i="94" a="1"/>
  <c r="M34" i="94" s="1"/>
  <c r="L34" i="94" a="1"/>
  <c r="L34" i="94" s="1"/>
  <c r="M31" i="93" a="1"/>
  <c r="M31" i="93" s="1"/>
  <c r="L31" i="93" a="1"/>
  <c r="L31" i="93" s="1"/>
  <c r="E252" i="113" a="1"/>
  <c r="E68" i="103"/>
  <c r="E105" i="102"/>
  <c r="E137" i="102" s="1"/>
  <c r="D85" i="86"/>
  <c r="N25" i="86"/>
  <c r="M25" i="94" a="1"/>
  <c r="M25" i="94" s="1"/>
  <c r="L25" i="94" a="1"/>
  <c r="L25" i="94" s="1"/>
  <c r="M27" i="93" a="1"/>
  <c r="M27" i="93" s="1"/>
  <c r="L27" i="93" a="1"/>
  <c r="L27" i="93" s="1"/>
  <c r="M32" i="93" a="1"/>
  <c r="M32" i="93" s="1"/>
  <c r="E70" i="103"/>
  <c r="E107" i="102"/>
  <c r="E139" i="102" s="1"/>
  <c r="G197" i="115"/>
  <c r="G196" i="115"/>
  <c r="G195" i="115"/>
  <c r="G194" i="115"/>
  <c r="AA261" i="113" s="1" a="1"/>
  <c r="AA261" i="113" s="1"/>
  <c r="I57" i="103"/>
  <c r="I69" i="114"/>
  <c r="I27" i="113" a="1"/>
  <c r="I27" i="113" s="1"/>
  <c r="P120" i="113" a="1"/>
  <c r="P120" i="113" s="1"/>
  <c r="T121" i="113" a="1"/>
  <c r="T121" i="113" s="1"/>
  <c r="X124" i="113" a="1"/>
  <c r="X124" i="113" s="1"/>
  <c r="P128" i="113" a="1"/>
  <c r="P128" i="113" s="1"/>
  <c r="F484" i="113" a="1"/>
  <c r="F484" i="113" s="1"/>
  <c r="D59" i="106" a="1"/>
  <c r="I28" i="113" a="1"/>
  <c r="I28" i="113" s="1"/>
  <c r="X121" i="113" a="1"/>
  <c r="X121" i="113" s="1"/>
  <c r="AB124" i="113" a="1"/>
  <c r="AB124" i="113" s="1"/>
  <c r="T128" i="113" a="1"/>
  <c r="T128" i="113" s="1"/>
  <c r="F485" i="113" a="1"/>
  <c r="F485" i="113" s="1"/>
  <c r="G485" i="113" s="1"/>
  <c r="E34" i="94"/>
  <c r="E59" i="106" a="1"/>
  <c r="I29" i="113" a="1"/>
  <c r="I29" i="113" s="1"/>
  <c r="AB121" i="113" a="1"/>
  <c r="AB121" i="113" s="1"/>
  <c r="P125" i="113" a="1"/>
  <c r="P125" i="113" s="1"/>
  <c r="X128" i="113" a="1"/>
  <c r="X128" i="113" s="1"/>
  <c r="F148" i="113" a="1"/>
  <c r="F148" i="113" s="1"/>
  <c r="G148" i="113" s="1"/>
  <c r="G464" i="113" a="1"/>
  <c r="G464" i="113" s="1"/>
  <c r="H464" i="113" s="1"/>
  <c r="H194" i="115"/>
  <c r="I21" i="92"/>
  <c r="L39" i="93" s="1" a="1"/>
  <c r="L39" i="93" s="1"/>
  <c r="I30" i="113" a="1"/>
  <c r="I30" i="113" s="1"/>
  <c r="P122" i="113" a="1"/>
  <c r="P122" i="113" s="1"/>
  <c r="T125" i="113" a="1"/>
  <c r="T125" i="113" s="1"/>
  <c r="AB128" i="113" a="1"/>
  <c r="AB128" i="113" s="1"/>
  <c r="F149" i="113" a="1"/>
  <c r="F149" i="113" s="1"/>
  <c r="G382" i="113" a="1"/>
  <c r="G382" i="113" s="1"/>
  <c r="H382" i="113" s="1"/>
  <c r="G446" i="113" a="1"/>
  <c r="G446" i="113" s="1"/>
  <c r="H446" i="113" s="1"/>
  <c r="G465" i="113" a="1"/>
  <c r="G465" i="113" s="1"/>
  <c r="H465" i="113" s="1"/>
  <c r="F181" i="113"/>
  <c r="E25" i="94"/>
  <c r="I31" i="113" a="1"/>
  <c r="I31" i="113" s="1"/>
  <c r="T120" i="113" a="1"/>
  <c r="T120" i="113" s="1"/>
  <c r="T122" i="113" a="1"/>
  <c r="T122" i="113" s="1"/>
  <c r="X125" i="113" a="1"/>
  <c r="X125" i="113" s="1"/>
  <c r="P129" i="113" a="1"/>
  <c r="P129" i="113" s="1"/>
  <c r="F150" i="113" a="1"/>
  <c r="F150" i="113" s="1"/>
  <c r="G383" i="113" a="1"/>
  <c r="G383" i="113" s="1"/>
  <c r="G447" i="113" a="1"/>
  <c r="G447" i="113" s="1"/>
  <c r="H447" i="113" s="1"/>
  <c r="G466" i="113" a="1"/>
  <c r="G466" i="113" s="1"/>
  <c r="H466" i="113" s="1"/>
  <c r="E109" i="102"/>
  <c r="I32" i="113" a="1"/>
  <c r="I32" i="113" s="1"/>
  <c r="AB125" i="113" a="1"/>
  <c r="AB125" i="113" s="1"/>
  <c r="T129" i="113" a="1"/>
  <c r="T129" i="113" s="1"/>
  <c r="F151" i="113" a="1"/>
  <c r="F151" i="113" s="1"/>
  <c r="G384" i="113" a="1"/>
  <c r="G384" i="113" s="1"/>
  <c r="G448" i="113" a="1"/>
  <c r="G448" i="113" s="1"/>
  <c r="H448" i="113" s="1"/>
  <c r="G467" i="113" a="1"/>
  <c r="G467" i="113" s="1"/>
  <c r="H467" i="113" s="1"/>
  <c r="E110" i="102"/>
  <c r="E142" i="102" s="1"/>
  <c r="I545" i="113" a="1"/>
  <c r="I545" i="113" s="1"/>
  <c r="E548" i="113" s="1"/>
  <c r="E36" i="94"/>
  <c r="D157" i="106" a="1"/>
  <c r="D157" i="106" s="1"/>
  <c r="E39" i="113" a="1"/>
  <c r="E39" i="113" s="1"/>
  <c r="X122" i="113" a="1"/>
  <c r="X122" i="113" s="1"/>
  <c r="P126" i="113" a="1"/>
  <c r="P126" i="113" s="1"/>
  <c r="X129" i="113" a="1"/>
  <c r="X129" i="113" s="1"/>
  <c r="F152" i="113" a="1"/>
  <c r="F152" i="113" s="1"/>
  <c r="S254" i="113" a="1"/>
  <c r="S254" i="113" s="1"/>
  <c r="G385" i="113" a="1"/>
  <c r="G385" i="113" s="1"/>
  <c r="G449" i="113" a="1"/>
  <c r="G449" i="113" s="1"/>
  <c r="H449" i="113" s="1"/>
  <c r="G468" i="113" a="1"/>
  <c r="G468" i="113" s="1"/>
  <c r="H468" i="113" s="1"/>
  <c r="F496" i="113" a="1"/>
  <c r="F496" i="113" s="1"/>
  <c r="G496" i="113" s="1"/>
  <c r="E111" i="102"/>
  <c r="E143" i="102" s="1"/>
  <c r="D47" i="110"/>
  <c r="D494" i="113" s="1"/>
  <c r="F494" i="113" s="1" a="1"/>
  <c r="F494" i="113" s="1"/>
  <c r="G494" i="113" s="1"/>
  <c r="D21" i="106" a="1"/>
  <c r="E157" i="106" a="1"/>
  <c r="E157" i="106" s="1"/>
  <c r="E58" i="113" a="1"/>
  <c r="E58" i="113" s="1"/>
  <c r="AB122" i="113" a="1"/>
  <c r="AB122" i="113" s="1"/>
  <c r="T126" i="113" a="1"/>
  <c r="T126" i="113" s="1"/>
  <c r="AB129" i="113" a="1"/>
  <c r="AB129" i="113" s="1"/>
  <c r="F153" i="113" a="1"/>
  <c r="F153" i="113" s="1"/>
  <c r="G386" i="113" a="1"/>
  <c r="G386" i="113" s="1"/>
  <c r="G450" i="113" a="1"/>
  <c r="G450" i="113" s="1"/>
  <c r="H450" i="113" s="1"/>
  <c r="G469" i="113" a="1"/>
  <c r="G469" i="113" s="1"/>
  <c r="E21" i="106" a="1"/>
  <c r="E76" i="113" a="1"/>
  <c r="E76" i="113" s="1"/>
  <c r="X120" i="113" a="1"/>
  <c r="X120" i="113" s="1"/>
  <c r="P123" i="113" a="1"/>
  <c r="P123" i="113" s="1"/>
  <c r="X126" i="113" a="1"/>
  <c r="X126" i="113" s="1"/>
  <c r="G387" i="113" a="1"/>
  <c r="G387" i="113" s="1"/>
  <c r="G451" i="113" a="1"/>
  <c r="G451" i="113" s="1"/>
  <c r="G470" i="113" a="1"/>
  <c r="G470" i="113" s="1"/>
  <c r="D116" i="106" a="1"/>
  <c r="D116" i="106" s="1"/>
  <c r="I23" i="113" a="1"/>
  <c r="I23" i="113" s="1"/>
  <c r="J23" i="113" s="1"/>
  <c r="T123" i="113" a="1"/>
  <c r="T123" i="113" s="1"/>
  <c r="AB126" i="113" a="1"/>
  <c r="AB126" i="113" s="1"/>
  <c r="E315" i="113" a="1"/>
  <c r="E315" i="113" s="1"/>
  <c r="G388" i="113" a="1"/>
  <c r="G388" i="113" s="1"/>
  <c r="G452" i="113" a="1"/>
  <c r="G452" i="113" s="1"/>
  <c r="G471" i="113" a="1"/>
  <c r="G471" i="113" s="1"/>
  <c r="E116" i="106" a="1"/>
  <c r="E116" i="106" s="1"/>
  <c r="X123" i="113" a="1"/>
  <c r="X123" i="113" s="1"/>
  <c r="P127" i="113" a="1"/>
  <c r="P127" i="113" s="1"/>
  <c r="G389" i="113" a="1"/>
  <c r="G389" i="113" s="1"/>
  <c r="G453" i="113" a="1"/>
  <c r="G453" i="113" s="1"/>
  <c r="G472" i="113" a="1"/>
  <c r="G472" i="113" s="1"/>
  <c r="I24" i="113" a="1"/>
  <c r="I24" i="113" s="1"/>
  <c r="J24" i="113" s="1"/>
  <c r="AB123" i="113" a="1"/>
  <c r="AB123" i="113" s="1"/>
  <c r="T127" i="113" a="1"/>
  <c r="T127" i="113" s="1"/>
  <c r="G390" i="113" a="1"/>
  <c r="G390" i="113" s="1"/>
  <c r="F481" i="113" a="1"/>
  <c r="F481" i="113" s="1"/>
  <c r="G481" i="113" s="1"/>
  <c r="I25" i="113" a="1"/>
  <c r="I25" i="113" s="1"/>
  <c r="AB120" i="113" a="1"/>
  <c r="AB120" i="113" s="1"/>
  <c r="P124" i="113" a="1"/>
  <c r="P124" i="113" s="1"/>
  <c r="X127" i="113" a="1"/>
  <c r="X127" i="113" s="1"/>
  <c r="F482" i="113" a="1"/>
  <c r="F482" i="113" s="1"/>
  <c r="I19" i="92"/>
  <c r="P121" i="113" a="1"/>
  <c r="P121" i="113" s="1"/>
  <c r="T124" i="113" a="1"/>
  <c r="T124" i="113" s="1"/>
  <c r="AB127" i="113" a="1"/>
  <c r="AB127" i="113" s="1"/>
  <c r="H320" i="113" a="1"/>
  <c r="H320" i="113" s="1"/>
  <c r="G320" i="113" a="1"/>
  <c r="G320" i="113" s="1"/>
  <c r="E252" i="113"/>
  <c r="F20" i="100" a="1"/>
  <c r="F20" i="100" s="1"/>
  <c r="G20" i="100" a="1"/>
  <c r="F182" i="113"/>
  <c r="P55" i="114"/>
  <c r="F55" i="114"/>
  <c r="F74" i="114"/>
  <c r="P90" i="114"/>
  <c r="F90" i="114"/>
  <c r="F19" i="114"/>
  <c r="F90" i="113"/>
  <c r="F91" i="113"/>
  <c r="F263" i="113"/>
  <c r="E499" i="113"/>
  <c r="F34" i="113"/>
  <c r="F35" i="113"/>
  <c r="E182" i="113"/>
  <c r="F657" i="113"/>
  <c r="F656" i="113"/>
  <c r="F654" i="113"/>
  <c r="F636" i="113"/>
  <c r="F653" i="113"/>
  <c r="F159" i="113"/>
  <c r="F142" i="113"/>
  <c r="F156" i="113"/>
  <c r="F635" i="113"/>
  <c r="F155" i="113"/>
  <c r="F132" i="113"/>
  <c r="F499" i="113"/>
  <c r="F488" i="113"/>
  <c r="F332" i="113"/>
  <c r="F516" i="113"/>
  <c r="F393" i="113"/>
  <c r="F363" i="113"/>
  <c r="F264" i="113"/>
  <c r="F498" i="113"/>
  <c r="F487" i="113"/>
  <c r="F475" i="113"/>
  <c r="F457" i="113"/>
  <c r="F426" i="113"/>
  <c r="F331" i="113"/>
  <c r="F548" i="113"/>
  <c r="F362" i="113"/>
  <c r="F474" i="113"/>
  <c r="F456" i="113"/>
  <c r="F425" i="113"/>
  <c r="F570" i="113"/>
  <c r="F299" i="113"/>
  <c r="F394" i="113"/>
  <c r="F533" i="113"/>
  <c r="F517" i="113"/>
  <c r="F298" i="113"/>
  <c r="F267" i="113"/>
  <c r="E636" i="113"/>
  <c r="N588" i="113"/>
  <c r="F588" i="113"/>
  <c r="F131" i="113"/>
  <c r="F143" i="113"/>
  <c r="F160" i="113"/>
  <c r="F94" i="113"/>
  <c r="F54" i="113"/>
  <c r="F93" i="113"/>
  <c r="F73" i="113"/>
  <c r="F53" i="113"/>
  <c r="G315" i="113"/>
  <c r="L352" i="113"/>
  <c r="L356" i="113"/>
  <c r="L360" i="113"/>
  <c r="L355" i="113"/>
  <c r="L351" i="113"/>
  <c r="L359" i="113"/>
  <c r="L353" i="113"/>
  <c r="K420" i="113"/>
  <c r="K415" i="113"/>
  <c r="K419" i="113"/>
  <c r="K423" i="113"/>
  <c r="L354" i="113"/>
  <c r="K414" i="113"/>
  <c r="F192" i="106"/>
  <c r="F151" i="106"/>
  <c r="I15" i="103"/>
  <c r="E141" i="102"/>
  <c r="F79" i="102"/>
  <c r="G59" i="102"/>
  <c r="F78" i="99"/>
  <c r="F58" i="99"/>
  <c r="F60" i="98"/>
  <c r="O110" i="98"/>
  <c r="N105" i="98"/>
  <c r="D40" i="97"/>
  <c r="I54" i="97"/>
  <c r="J55" i="97"/>
  <c r="J56" i="97"/>
  <c r="F58" i="94"/>
  <c r="F49" i="94"/>
  <c r="F57" i="94"/>
  <c r="F46" i="94"/>
  <c r="F56" i="94"/>
  <c r="F45" i="94"/>
  <c r="F55" i="94"/>
  <c r="F44" i="94"/>
  <c r="F52" i="94"/>
  <c r="F43" i="94"/>
  <c r="F51" i="94"/>
  <c r="F50" i="94"/>
  <c r="D39" i="94"/>
  <c r="L39" i="94" s="1" a="1"/>
  <c r="L39" i="94" s="1"/>
  <c r="D42" i="94"/>
  <c r="D30" i="94"/>
  <c r="D37" i="94"/>
  <c r="L37" i="94" s="1" a="1"/>
  <c r="L37" i="94" s="1"/>
  <c r="D28" i="94"/>
  <c r="L28" i="94" s="1" a="1"/>
  <c r="L28" i="94" s="1"/>
  <c r="D35" i="94"/>
  <c r="L35" i="94" s="1" a="1"/>
  <c r="L35" i="94" s="1"/>
  <c r="D26" i="94"/>
  <c r="L26" i="94" s="1" a="1"/>
  <c r="L26" i="94" s="1"/>
  <c r="D33" i="94"/>
  <c r="L33" i="94" s="1" a="1"/>
  <c r="L33" i="94" s="1"/>
  <c r="D40" i="94"/>
  <c r="L40" i="94" s="1" a="1"/>
  <c r="L40" i="94" s="1"/>
  <c r="D31" i="94"/>
  <c r="L31" i="94" s="1" a="1"/>
  <c r="L31" i="94" s="1"/>
  <c r="D38" i="94"/>
  <c r="L38" i="94" s="1" a="1"/>
  <c r="L38" i="94" s="1"/>
  <c r="D48" i="94"/>
  <c r="F70" i="93"/>
  <c r="F61" i="93"/>
  <c r="F51" i="93"/>
  <c r="F69" i="93"/>
  <c r="F50" i="93"/>
  <c r="F58" i="93"/>
  <c r="F68" i="93"/>
  <c r="F49" i="93"/>
  <c r="F57" i="93"/>
  <c r="F67" i="93"/>
  <c r="F56" i="93"/>
  <c r="F46" i="93"/>
  <c r="F64" i="93"/>
  <c r="F55" i="93"/>
  <c r="F45" i="93"/>
  <c r="F63" i="93"/>
  <c r="F44" i="93"/>
  <c r="F62" i="93"/>
  <c r="F52" i="93"/>
  <c r="F43" i="93"/>
  <c r="D54" i="93"/>
  <c r="D29" i="93"/>
  <c r="L29" i="93" s="1" a="1"/>
  <c r="L29" i="93" s="1"/>
  <c r="D28" i="93"/>
  <c r="L28" i="93" s="1" a="1"/>
  <c r="L28" i="93" s="1"/>
  <c r="D32" i="93"/>
  <c r="L32" i="93" s="1" a="1"/>
  <c r="L32" i="93" s="1"/>
  <c r="I18" i="92"/>
  <c r="D27" i="93"/>
  <c r="D36" i="93"/>
  <c r="L36" i="93" s="1" a="1"/>
  <c r="L36" i="93" s="1"/>
  <c r="D31" i="93"/>
  <c r="D26" i="93"/>
  <c r="L26" i="93" s="1" a="1"/>
  <c r="L26" i="93" s="1"/>
  <c r="D42" i="93"/>
  <c r="I20" i="92"/>
  <c r="L33" i="93" s="1" a="1"/>
  <c r="L33" i="93" s="1"/>
  <c r="I17" i="92"/>
  <c r="G55" i="88"/>
  <c r="P35" i="88"/>
  <c r="G35" i="88"/>
  <c r="H69" i="88"/>
  <c r="G65" i="88"/>
  <c r="O67" i="88"/>
  <c r="F67" i="88"/>
  <c r="P65" i="88"/>
  <c r="Q69" i="88"/>
  <c r="P25" i="88"/>
  <c r="D55" i="88"/>
  <c r="G30" i="88"/>
  <c r="P30" i="88"/>
  <c r="F42" i="82"/>
  <c r="G42" i="82"/>
  <c r="E42" i="82"/>
  <c r="I43" i="83"/>
  <c r="R43" i="83"/>
  <c r="I111" i="83"/>
  <c r="I71" i="83"/>
  <c r="Q23" i="85"/>
  <c r="P111" i="86"/>
  <c r="P87" i="86"/>
  <c r="P61" i="86"/>
  <c r="F111" i="86"/>
  <c r="F87" i="86"/>
  <c r="F61" i="86"/>
  <c r="R106" i="86"/>
  <c r="R82" i="86"/>
  <c r="R56" i="86"/>
  <c r="H106" i="86"/>
  <c r="H82" i="86"/>
  <c r="H56" i="86"/>
  <c r="O65" i="85"/>
  <c r="F65" i="85"/>
  <c r="O46" i="85"/>
  <c r="H40" i="85"/>
  <c r="F46" i="85"/>
  <c r="Q40" i="85"/>
  <c r="H210" i="84"/>
  <c r="H208" i="84"/>
  <c r="H207" i="84"/>
  <c r="H206" i="84"/>
  <c r="H120" i="83"/>
  <c r="G83" i="84"/>
  <c r="R83" i="84"/>
  <c r="S106" i="84"/>
  <c r="H106" i="84"/>
  <c r="R54" i="84"/>
  <c r="G54" i="84"/>
  <c r="R30" i="84"/>
  <c r="G30" i="84"/>
  <c r="G149" i="84"/>
  <c r="S208" i="84"/>
  <c r="S129" i="84"/>
  <c r="S174" i="84"/>
  <c r="H209" i="84"/>
  <c r="S175" i="84"/>
  <c r="S209" i="84"/>
  <c r="S176" i="84"/>
  <c r="S210" i="84"/>
  <c r="H129" i="84"/>
  <c r="H174" i="84"/>
  <c r="I80" i="83"/>
  <c r="F212" i="84"/>
  <c r="H175" i="84"/>
  <c r="S206" i="84"/>
  <c r="Q212" i="84"/>
  <c r="D73" i="84"/>
  <c r="S207" i="84"/>
  <c r="H125" i="83"/>
  <c r="Q125" i="83"/>
  <c r="Q96" i="83"/>
  <c r="H96" i="83"/>
  <c r="H57" i="83"/>
  <c r="Q57" i="83"/>
  <c r="G30" i="83"/>
  <c r="P30" i="83"/>
  <c r="Q173" i="83"/>
  <c r="F171" i="83"/>
  <c r="G87" i="83"/>
  <c r="G159" i="83"/>
  <c r="G145" i="83"/>
  <c r="R164" i="83"/>
  <c r="O171" i="83"/>
  <c r="R150" i="83"/>
  <c r="I164" i="83"/>
  <c r="P87" i="83"/>
  <c r="J157" i="106" l="1" a="1"/>
  <c r="J157" i="106" s="1"/>
  <c r="J116" i="106" a="1"/>
  <c r="J116" i="106" s="1"/>
  <c r="J121" i="106" a="1"/>
  <c r="J121" i="106" s="1"/>
  <c r="I150" i="113"/>
  <c r="G150" i="113"/>
  <c r="G151" i="113"/>
  <c r="I151" i="113"/>
  <c r="G152" i="113"/>
  <c r="I152" i="113"/>
  <c r="G153" i="113"/>
  <c r="I153" i="113"/>
  <c r="I149" i="113"/>
  <c r="G149" i="113"/>
  <c r="I329" i="113"/>
  <c r="I322" i="113"/>
  <c r="I328" i="113"/>
  <c r="I321" i="113"/>
  <c r="I327" i="113"/>
  <c r="I320" i="113"/>
  <c r="I326" i="113"/>
  <c r="I325" i="113"/>
  <c r="I324" i="113"/>
  <c r="I323" i="113"/>
  <c r="I288" i="113"/>
  <c r="G288" i="113"/>
  <c r="I289" i="113"/>
  <c r="G289" i="113"/>
  <c r="I290" i="113"/>
  <c r="G290" i="113"/>
  <c r="G291" i="113"/>
  <c r="I291" i="113"/>
  <c r="G292" i="113"/>
  <c r="I292" i="113"/>
  <c r="I293" i="113"/>
  <c r="G293" i="113"/>
  <c r="G294" i="113"/>
  <c r="I294" i="113"/>
  <c r="G295" i="113"/>
  <c r="I295" i="113"/>
  <c r="G296" i="113"/>
  <c r="I296" i="113"/>
  <c r="G287" i="113"/>
  <c r="I287" i="113"/>
  <c r="H383" i="113"/>
  <c r="J383" i="113"/>
  <c r="H389" i="113"/>
  <c r="J389" i="113"/>
  <c r="H384" i="113"/>
  <c r="J384" i="113"/>
  <c r="H386" i="113"/>
  <c r="J386" i="113"/>
  <c r="H388" i="113"/>
  <c r="J388" i="113"/>
  <c r="H390" i="113"/>
  <c r="J390" i="113"/>
  <c r="H385" i="113"/>
  <c r="J385" i="113"/>
  <c r="H387" i="113"/>
  <c r="J387" i="113"/>
  <c r="I482" i="113"/>
  <c r="G482" i="113"/>
  <c r="G484" i="113"/>
  <c r="I484" i="113"/>
  <c r="I140" i="113"/>
  <c r="G140" i="113"/>
  <c r="G139" i="113"/>
  <c r="I139" i="113"/>
  <c r="E143" i="113" s="1"/>
  <c r="F124" i="113"/>
  <c r="G124" i="113" s="1"/>
  <c r="F127" i="113"/>
  <c r="H472" i="113"/>
  <c r="J472" i="113"/>
  <c r="H471" i="113"/>
  <c r="J471" i="113"/>
  <c r="J469" i="113"/>
  <c r="H469" i="113"/>
  <c r="H470" i="113"/>
  <c r="J470" i="113"/>
  <c r="J451" i="113"/>
  <c r="H451" i="113"/>
  <c r="J453" i="113"/>
  <c r="H453" i="113"/>
  <c r="J452" i="113"/>
  <c r="H452" i="113"/>
  <c r="J30" i="113"/>
  <c r="M30" i="113"/>
  <c r="G88" i="113"/>
  <c r="G87" i="113"/>
  <c r="G86" i="113"/>
  <c r="G85" i="113"/>
  <c r="J86" i="113"/>
  <c r="J88" i="113"/>
  <c r="G84" i="113"/>
  <c r="J87" i="113"/>
  <c r="G83" i="113"/>
  <c r="G82" i="113"/>
  <c r="J83" i="113"/>
  <c r="G79" i="113"/>
  <c r="J82" i="113"/>
  <c r="J81" i="113"/>
  <c r="J85" i="113"/>
  <c r="G81" i="113"/>
  <c r="J80" i="113"/>
  <c r="J84" i="113"/>
  <c r="G80" i="113"/>
  <c r="M28" i="113"/>
  <c r="J28" i="113"/>
  <c r="G49" i="113"/>
  <c r="G48" i="113"/>
  <c r="J51" i="113"/>
  <c r="G47" i="113"/>
  <c r="J50" i="113"/>
  <c r="G46" i="113"/>
  <c r="J47" i="113"/>
  <c r="G43" i="113"/>
  <c r="J49" i="113"/>
  <c r="G45" i="113"/>
  <c r="J48" i="113"/>
  <c r="G44" i="113"/>
  <c r="J44" i="113"/>
  <c r="J43" i="113"/>
  <c r="J46" i="113"/>
  <c r="G42" i="113"/>
  <c r="G51" i="113"/>
  <c r="G50" i="113"/>
  <c r="J45" i="113"/>
  <c r="M25" i="113"/>
  <c r="J25" i="113"/>
  <c r="J66" i="113"/>
  <c r="G62" i="113"/>
  <c r="J65" i="113"/>
  <c r="G61" i="113"/>
  <c r="J64" i="113"/>
  <c r="J63" i="113"/>
  <c r="G70" i="113"/>
  <c r="G68" i="113"/>
  <c r="G67" i="113"/>
  <c r="J70" i="113"/>
  <c r="G66" i="113"/>
  <c r="J69" i="113"/>
  <c r="G65" i="113"/>
  <c r="G69" i="113"/>
  <c r="J68" i="113"/>
  <c r="G64" i="113"/>
  <c r="J67" i="113"/>
  <c r="G63" i="113"/>
  <c r="J31" i="113"/>
  <c r="M31" i="113"/>
  <c r="J32" i="113"/>
  <c r="M32" i="113"/>
  <c r="J29" i="113"/>
  <c r="M29" i="113"/>
  <c r="J27" i="113"/>
  <c r="M27" i="113"/>
  <c r="Q39" i="94"/>
  <c r="P39" i="94"/>
  <c r="O39" i="94"/>
  <c r="N39" i="94"/>
  <c r="Q40" i="94"/>
  <c r="P40" i="94"/>
  <c r="O40" i="94"/>
  <c r="N40" i="94"/>
  <c r="Q27" i="94"/>
  <c r="P27" i="94"/>
  <c r="O27" i="94"/>
  <c r="N27" i="94"/>
  <c r="N32" i="94"/>
  <c r="Q32" i="94"/>
  <c r="P32" i="94"/>
  <c r="O32" i="94"/>
  <c r="N29" i="94"/>
  <c r="Q29" i="94"/>
  <c r="P29" i="94"/>
  <c r="O29" i="94"/>
  <c r="J38" i="93" a="1"/>
  <c r="J38" i="93" s="1"/>
  <c r="P38" i="93" s="1"/>
  <c r="J33" i="93" a="1"/>
  <c r="J33" i="93" s="1"/>
  <c r="P33" i="93" s="1"/>
  <c r="E51" i="93" s="1"/>
  <c r="H33" i="93" a="1"/>
  <c r="H33" i="93" s="1"/>
  <c r="N33" i="93" s="1"/>
  <c r="E49" i="93" s="1"/>
  <c r="K38" i="93" a="1"/>
  <c r="K38" i="93" s="1"/>
  <c r="Q38" i="93" s="1"/>
  <c r="K33" i="93" a="1"/>
  <c r="K33" i="93" s="1"/>
  <c r="Q33" i="93" s="1"/>
  <c r="E52" i="93" s="1"/>
  <c r="K26" i="93" a="1"/>
  <c r="K26" i="93" s="1"/>
  <c r="Q26" i="93" s="1"/>
  <c r="I38" i="93" a="1"/>
  <c r="I38" i="93" s="1"/>
  <c r="O38" i="93" s="1"/>
  <c r="J26" i="93" a="1"/>
  <c r="J26" i="93" s="1"/>
  <c r="P26" i="93" s="1"/>
  <c r="H26" i="93" a="1"/>
  <c r="H26" i="93" s="1"/>
  <c r="N26" i="93" s="1"/>
  <c r="I33" i="93" a="1"/>
  <c r="I33" i="93" s="1"/>
  <c r="O33" i="93" s="1"/>
  <c r="E50" i="93" s="1"/>
  <c r="Q27" i="93"/>
  <c r="P27" i="93"/>
  <c r="O27" i="93"/>
  <c r="N27" i="93"/>
  <c r="P39" i="93"/>
  <c r="O39" i="93"/>
  <c r="N39" i="93"/>
  <c r="Q39" i="93"/>
  <c r="Q31" i="93"/>
  <c r="P31" i="93"/>
  <c r="O31" i="93"/>
  <c r="N31" i="93"/>
  <c r="P32" i="93"/>
  <c r="O32" i="93"/>
  <c r="N32" i="93"/>
  <c r="Q32" i="93"/>
  <c r="N29" i="93"/>
  <c r="Q29" i="93"/>
  <c r="P29" i="93"/>
  <c r="O29" i="93"/>
  <c r="O35" i="93"/>
  <c r="Q35" i="93"/>
  <c r="P35" i="93"/>
  <c r="N35" i="93"/>
  <c r="Q37" i="93"/>
  <c r="P37" i="93"/>
  <c r="O37" i="93"/>
  <c r="N37" i="93"/>
  <c r="Q30" i="93"/>
  <c r="P30" i="93"/>
  <c r="O30" i="93"/>
  <c r="N30" i="93"/>
  <c r="N36" i="93"/>
  <c r="Q36" i="93"/>
  <c r="P36" i="93"/>
  <c r="O36" i="93"/>
  <c r="Q28" i="93"/>
  <c r="P28" i="93"/>
  <c r="O28" i="93"/>
  <c r="N28" i="93"/>
  <c r="Q34" i="93"/>
  <c r="P34" i="93"/>
  <c r="O34" i="93"/>
  <c r="N34" i="93"/>
  <c r="N38" i="93"/>
  <c r="O26" i="93"/>
  <c r="Z236" i="113" a="1"/>
  <c r="Z236" i="113" s="1"/>
  <c r="R236" i="113" a="1"/>
  <c r="R236" i="113" s="1"/>
  <c r="X12" i="97"/>
  <c r="AL236" i="113" a="1"/>
  <c r="AL236" i="113" s="1"/>
  <c r="AK236" i="113" a="1"/>
  <c r="AK236" i="113" s="1"/>
  <c r="O236" i="113" a="1"/>
  <c r="O236" i="113" s="1"/>
  <c r="U236" i="113" a="1"/>
  <c r="U236" i="113" s="1"/>
  <c r="P236" i="113" a="1"/>
  <c r="P236" i="113" s="1"/>
  <c r="X14" i="97"/>
  <c r="AC236" i="113" a="1"/>
  <c r="V236" i="113" a="1"/>
  <c r="V236" i="113" s="1"/>
  <c r="AG236" i="113" a="1"/>
  <c r="AG236" i="113" s="1"/>
  <c r="V13" i="97"/>
  <c r="AH236" i="113" a="1"/>
  <c r="AH236" i="113" s="1"/>
  <c r="AD236" i="113" a="1"/>
  <c r="AD236" i="113" s="1"/>
  <c r="Y236" i="113" a="1"/>
  <c r="V16" i="97"/>
  <c r="X16" i="97" s="1"/>
  <c r="O35" i="114"/>
  <c r="S48" i="114" s="1"/>
  <c r="E35" i="114"/>
  <c r="I48" i="114" s="1"/>
  <c r="W253" i="113" a="1"/>
  <c r="W253" i="113" s="1"/>
  <c r="AA259" i="113" a="1"/>
  <c r="AA259" i="113" s="1"/>
  <c r="W261" i="113" a="1"/>
  <c r="W261" i="113" s="1"/>
  <c r="AE260" i="113" a="1"/>
  <c r="AE260" i="113" s="1"/>
  <c r="S259" i="113" a="1"/>
  <c r="S259" i="113" s="1"/>
  <c r="P21" i="98" a="1"/>
  <c r="P21" i="98" s="1"/>
  <c r="O21" i="98" a="1"/>
  <c r="O25" i="84" a="1"/>
  <c r="O25" i="84" s="1"/>
  <c r="M30" i="88" a="1"/>
  <c r="M30" i="88" s="1"/>
  <c r="O49" i="84" a="1"/>
  <c r="O49" i="84" s="1"/>
  <c r="F320" i="113"/>
  <c r="D19" i="99"/>
  <c r="F19" i="99" s="1" a="1"/>
  <c r="F19" i="99" s="1"/>
  <c r="F26" i="99" a="1"/>
  <c r="F26" i="99" s="1"/>
  <c r="F25" i="99" a="1"/>
  <c r="F25" i="99" s="1"/>
  <c r="F24" i="99" a="1"/>
  <c r="F24" i="99" s="1"/>
  <c r="F37" i="99" a="1"/>
  <c r="F37" i="99" s="1"/>
  <c r="F23" i="99" a="1"/>
  <c r="F23" i="99" s="1"/>
  <c r="F36" i="99" a="1"/>
  <c r="F36" i="99" s="1"/>
  <c r="F22" i="99" a="1"/>
  <c r="F22" i="99" s="1"/>
  <c r="F35" i="99" a="1"/>
  <c r="F35" i="99" s="1"/>
  <c r="F21" i="99" a="1"/>
  <c r="F21" i="99" s="1"/>
  <c r="F34" i="99" a="1"/>
  <c r="F34" i="99" s="1"/>
  <c r="F20" i="99" a="1"/>
  <c r="F20" i="99" s="1"/>
  <c r="F33" i="99" a="1"/>
  <c r="F33" i="99" s="1"/>
  <c r="F32" i="99" a="1"/>
  <c r="F32" i="99" s="1"/>
  <c r="F31" i="99" a="1"/>
  <c r="F31" i="99" s="1"/>
  <c r="F30" i="99" a="1"/>
  <c r="F30" i="99" s="1"/>
  <c r="F29" i="99" a="1"/>
  <c r="F29" i="99" s="1"/>
  <c r="F28" i="99" a="1"/>
  <c r="F28" i="99" s="1"/>
  <c r="F27" i="99" a="1"/>
  <c r="F27" i="99" s="1"/>
  <c r="H38" i="94"/>
  <c r="G38" i="94"/>
  <c r="K38" i="94"/>
  <c r="J38" i="94"/>
  <c r="I38" i="94"/>
  <c r="V19" i="97"/>
  <c r="X19" i="97" s="1"/>
  <c r="K30" i="94"/>
  <c r="J30" i="94"/>
  <c r="I30" i="94"/>
  <c r="H30" i="94"/>
  <c r="G30" i="94"/>
  <c r="J132" i="106" a="1"/>
  <c r="J132" i="106" s="1"/>
  <c r="J120" i="106" a="1"/>
  <c r="J120" i="106" s="1"/>
  <c r="J179" i="106" a="1"/>
  <c r="J179" i="106" s="1"/>
  <c r="J176" i="106" a="1"/>
  <c r="J176" i="106" s="1"/>
  <c r="G35" i="94"/>
  <c r="K35" i="94"/>
  <c r="J35" i="94"/>
  <c r="I35" i="94"/>
  <c r="H35" i="94"/>
  <c r="K36" i="94"/>
  <c r="J36" i="94"/>
  <c r="I36" i="94"/>
  <c r="H36" i="94"/>
  <c r="G36" i="94"/>
  <c r="J162" i="106" a="1"/>
  <c r="J162" i="106" s="1"/>
  <c r="V17" i="97"/>
  <c r="X17" i="97" s="1"/>
  <c r="V15" i="97"/>
  <c r="X15" i="97" s="1"/>
  <c r="K33" i="94"/>
  <c r="J33" i="94"/>
  <c r="I33" i="94"/>
  <c r="H33" i="94"/>
  <c r="G33" i="94"/>
  <c r="K37" i="94"/>
  <c r="J37" i="94"/>
  <c r="I37" i="94"/>
  <c r="H37" i="94"/>
  <c r="G37" i="94"/>
  <c r="AE255" i="113" a="1"/>
  <c r="AE255" i="113" s="1"/>
  <c r="J175" i="106" a="1"/>
  <c r="J175" i="106" s="1"/>
  <c r="AE261" i="113" a="1"/>
  <c r="AE261" i="113" s="1"/>
  <c r="J167" i="106" a="1"/>
  <c r="J167" i="106" s="1"/>
  <c r="K26" i="94"/>
  <c r="J26" i="94"/>
  <c r="I26" i="94"/>
  <c r="H26" i="94"/>
  <c r="G26" i="94"/>
  <c r="J123" i="106" a="1"/>
  <c r="J123" i="106" s="1"/>
  <c r="W258" i="113" a="1"/>
  <c r="W258" i="113" s="1"/>
  <c r="AA254" i="113" a="1"/>
  <c r="AA254" i="113" s="1"/>
  <c r="W254" i="113" a="1"/>
  <c r="W254" i="113" s="1"/>
  <c r="J127" i="106" a="1"/>
  <c r="J127" i="106" s="1"/>
  <c r="J178" i="106" a="1"/>
  <c r="J178" i="106" s="1"/>
  <c r="J160" i="106" a="1"/>
  <c r="J160" i="106" s="1"/>
  <c r="J117" i="106" a="1"/>
  <c r="J117" i="106" s="1"/>
  <c r="D25" i="88" a="1"/>
  <c r="D25" i="88" s="1"/>
  <c r="AE254" i="113" a="1"/>
  <c r="AE254" i="113" s="1"/>
  <c r="J126" i="106" a="1"/>
  <c r="J126" i="106" s="1"/>
  <c r="J177" i="106" a="1"/>
  <c r="J177" i="106" s="1"/>
  <c r="J134" i="106" a="1"/>
  <c r="J134" i="106" s="1"/>
  <c r="W252" i="113" a="1"/>
  <c r="W252" i="113" s="1"/>
  <c r="AE252" i="113" a="1"/>
  <c r="AE252" i="113" s="1"/>
  <c r="K252" i="113" s="1"/>
  <c r="J144" i="106" a="1"/>
  <c r="J144" i="106" s="1"/>
  <c r="D19" i="98"/>
  <c r="F19" i="98" s="1" a="1"/>
  <c r="F19" i="98" s="1"/>
  <c r="F37" i="98" a="1"/>
  <c r="F37" i="98" s="1"/>
  <c r="F23" i="98" a="1"/>
  <c r="F23" i="98" s="1"/>
  <c r="F36" i="98" a="1"/>
  <c r="F36" i="98" s="1"/>
  <c r="F22" i="98" a="1"/>
  <c r="F22" i="98" s="1"/>
  <c r="F35" i="98" a="1"/>
  <c r="F35" i="98" s="1"/>
  <c r="F34" i="98" a="1"/>
  <c r="F34" i="98" s="1"/>
  <c r="F33" i="98" a="1"/>
  <c r="F33" i="98" s="1"/>
  <c r="F21" i="98" a="1"/>
  <c r="F21" i="98" s="1"/>
  <c r="F32" i="98" a="1"/>
  <c r="F32" i="98" s="1"/>
  <c r="F20" i="98" a="1"/>
  <c r="F20" i="98" s="1"/>
  <c r="F31" i="98" a="1"/>
  <c r="F31" i="98" s="1"/>
  <c r="F30" i="98" a="1"/>
  <c r="F30" i="98" s="1"/>
  <c r="F29" i="98" a="1"/>
  <c r="F29" i="98" s="1"/>
  <c r="F28" i="98" a="1"/>
  <c r="F28" i="98" s="1"/>
  <c r="F27" i="98" a="1"/>
  <c r="F27" i="98" s="1"/>
  <c r="F26" i="98" a="1"/>
  <c r="F26" i="98" s="1"/>
  <c r="F25" i="98" a="1"/>
  <c r="F25" i="98" s="1"/>
  <c r="F24" i="98" a="1"/>
  <c r="F24" i="98" s="1"/>
  <c r="S258" i="113" a="1"/>
  <c r="S258" i="113" s="1"/>
  <c r="J136" i="106" a="1"/>
  <c r="J136" i="106" s="1"/>
  <c r="J124" i="106" a="1"/>
  <c r="J124" i="106" s="1"/>
  <c r="X13" i="97"/>
  <c r="V21" i="97"/>
  <c r="X21" i="97" s="1"/>
  <c r="H25" i="93" a="1"/>
  <c r="H25" i="93" s="1"/>
  <c r="AA258" i="113" a="1"/>
  <c r="AA258" i="113" s="1"/>
  <c r="S261" i="113" a="1"/>
  <c r="S261" i="113" s="1"/>
  <c r="J119" i="106" a="1"/>
  <c r="J119" i="106" s="1"/>
  <c r="J161" i="106" a="1"/>
  <c r="J161" i="106" s="1"/>
  <c r="J168" i="106" a="1"/>
  <c r="J168" i="106" s="1"/>
  <c r="D59" i="106"/>
  <c r="G88" i="106" a="1"/>
  <c r="G88" i="106" s="1"/>
  <c r="G79" i="106" a="1"/>
  <c r="G79" i="106" s="1"/>
  <c r="G72" i="106" a="1"/>
  <c r="G72" i="106" s="1"/>
  <c r="G64" i="106" a="1"/>
  <c r="G64" i="106" s="1"/>
  <c r="G86" i="106" a="1"/>
  <c r="G86" i="106" s="1"/>
  <c r="G78" i="106" a="1"/>
  <c r="G78" i="106" s="1"/>
  <c r="G71" i="106" a="1"/>
  <c r="G71" i="106" s="1"/>
  <c r="G63" i="106" a="1"/>
  <c r="G63" i="106" s="1"/>
  <c r="G85" i="106" a="1"/>
  <c r="G85" i="106" s="1"/>
  <c r="G77" i="106" a="1"/>
  <c r="G77" i="106" s="1"/>
  <c r="G69" i="106" a="1"/>
  <c r="G69" i="106" s="1"/>
  <c r="G62" i="106" a="1"/>
  <c r="G62" i="106" s="1"/>
  <c r="G92" i="106" a="1"/>
  <c r="G92" i="106" s="1"/>
  <c r="G84" i="106" a="1"/>
  <c r="G84" i="106" s="1"/>
  <c r="G76" i="106" a="1"/>
  <c r="G76" i="106" s="1"/>
  <c r="G68" i="106" a="1"/>
  <c r="G68" i="106" s="1"/>
  <c r="G61" i="106" a="1"/>
  <c r="G61" i="106" s="1"/>
  <c r="G91" i="106" a="1"/>
  <c r="G91" i="106" s="1"/>
  <c r="G83" i="106" a="1"/>
  <c r="G83" i="106" s="1"/>
  <c r="G75" i="106" a="1"/>
  <c r="G75" i="106" s="1"/>
  <c r="G67" i="106" a="1"/>
  <c r="G67" i="106" s="1"/>
  <c r="G60" i="106" a="1"/>
  <c r="G60" i="106" s="1"/>
  <c r="G90" i="106" a="1"/>
  <c r="G90" i="106" s="1"/>
  <c r="G82" i="106" a="1"/>
  <c r="G82" i="106" s="1"/>
  <c r="G74" i="106" a="1"/>
  <c r="G74" i="106" s="1"/>
  <c r="G66" i="106" a="1"/>
  <c r="G66" i="106" s="1"/>
  <c r="G89" i="106" a="1"/>
  <c r="G89" i="106" s="1"/>
  <c r="G80" i="106" a="1"/>
  <c r="G80" i="106" s="1"/>
  <c r="G73" i="106" a="1"/>
  <c r="G73" i="106" s="1"/>
  <c r="G65" i="106" a="1"/>
  <c r="G65" i="106" s="1"/>
  <c r="M20" i="88" a="1"/>
  <c r="M20" i="83" a="1"/>
  <c r="O20" i="84" a="1"/>
  <c r="D25" i="84" a="1"/>
  <c r="D25" i="84" s="1"/>
  <c r="AE257" i="113" a="1"/>
  <c r="AE257" i="113" s="1"/>
  <c r="J159" i="106" a="1"/>
  <c r="J159" i="106" s="1"/>
  <c r="S255" i="113" a="1"/>
  <c r="S255" i="113" s="1"/>
  <c r="AA257" i="113" a="1"/>
  <c r="AA257" i="113" s="1"/>
  <c r="K25" i="94"/>
  <c r="J25" i="94"/>
  <c r="I25" i="94"/>
  <c r="H25" i="94"/>
  <c r="G25" i="94"/>
  <c r="J135" i="106" a="1"/>
  <c r="J135" i="106" s="1"/>
  <c r="J125" i="106" a="1"/>
  <c r="J125" i="106" s="1"/>
  <c r="K25" i="93" a="1"/>
  <c r="K25" i="93" s="1"/>
  <c r="I25" i="93" a="1"/>
  <c r="I25" i="93" s="1"/>
  <c r="J164" i="106" a="1"/>
  <c r="J164" i="106" s="1"/>
  <c r="J173" i="106" a="1"/>
  <c r="J173" i="106" s="1"/>
  <c r="W257" i="113" a="1"/>
  <c r="W257" i="113" s="1"/>
  <c r="AA260" i="113" a="1"/>
  <c r="AA260" i="113" s="1"/>
  <c r="E59" i="106"/>
  <c r="H59" i="106" s="1" a="1"/>
  <c r="H59" i="106" s="1"/>
  <c r="H86" i="106" a="1"/>
  <c r="H86" i="106" s="1"/>
  <c r="H78" i="106" a="1"/>
  <c r="H78" i="106" s="1"/>
  <c r="H71" i="106" a="1"/>
  <c r="H71" i="106" s="1"/>
  <c r="H63" i="106" a="1"/>
  <c r="H63" i="106" s="1"/>
  <c r="H85" i="106" a="1"/>
  <c r="H85" i="106" s="1"/>
  <c r="H77" i="106" a="1"/>
  <c r="H77" i="106" s="1"/>
  <c r="H69" i="106" a="1"/>
  <c r="H69" i="106" s="1"/>
  <c r="H62" i="106" a="1"/>
  <c r="H62" i="106" s="1"/>
  <c r="H92" i="106" a="1"/>
  <c r="H92" i="106" s="1"/>
  <c r="H84" i="106" a="1"/>
  <c r="H84" i="106" s="1"/>
  <c r="H76" i="106" a="1"/>
  <c r="H76" i="106" s="1"/>
  <c r="H68" i="106" a="1"/>
  <c r="H68" i="106" s="1"/>
  <c r="H61" i="106" a="1"/>
  <c r="H61" i="106" s="1"/>
  <c r="H91" i="106" a="1"/>
  <c r="H91" i="106" s="1"/>
  <c r="H83" i="106" a="1"/>
  <c r="H83" i="106" s="1"/>
  <c r="H75" i="106" a="1"/>
  <c r="H75" i="106" s="1"/>
  <c r="H67" i="106" a="1"/>
  <c r="H67" i="106" s="1"/>
  <c r="H60" i="106" a="1"/>
  <c r="H60" i="106" s="1"/>
  <c r="H90" i="106" a="1"/>
  <c r="H90" i="106" s="1"/>
  <c r="H82" i="106" a="1"/>
  <c r="H82" i="106" s="1"/>
  <c r="H74" i="106" a="1"/>
  <c r="H74" i="106" s="1"/>
  <c r="H66" i="106" a="1"/>
  <c r="H66" i="106" s="1"/>
  <c r="H89" i="106" a="1"/>
  <c r="H89" i="106" s="1"/>
  <c r="H80" i="106" a="1"/>
  <c r="H80" i="106" s="1"/>
  <c r="H73" i="106" a="1"/>
  <c r="H73" i="106" s="1"/>
  <c r="H65" i="106" a="1"/>
  <c r="H65" i="106" s="1"/>
  <c r="H88" i="106" a="1"/>
  <c r="H88" i="106" s="1"/>
  <c r="H79" i="106" a="1"/>
  <c r="H79" i="106" s="1"/>
  <c r="H72" i="106" a="1"/>
  <c r="H72" i="106" s="1"/>
  <c r="H64" i="106" a="1"/>
  <c r="H64" i="106" s="1"/>
  <c r="S256" i="113" a="1"/>
  <c r="S256" i="113" s="1"/>
  <c r="S252" i="113" a="1"/>
  <c r="S252" i="113" s="1"/>
  <c r="V20" i="97"/>
  <c r="X20" i="97" s="1"/>
  <c r="V14" i="97"/>
  <c r="V12" i="97"/>
  <c r="D30" i="88" a="1"/>
  <c r="D30" i="88" s="1"/>
  <c r="M25" i="83" a="1"/>
  <c r="M25" i="83" s="1"/>
  <c r="J122" i="106" a="1"/>
  <c r="J122" i="106" s="1"/>
  <c r="E498" i="113"/>
  <c r="J133" i="106" a="1"/>
  <c r="J133" i="106" s="1"/>
  <c r="J118" i="106" a="1"/>
  <c r="J118" i="106" s="1"/>
  <c r="J174" i="106" a="1"/>
  <c r="J174" i="106" s="1"/>
  <c r="J138" i="106" a="1"/>
  <c r="J138" i="106" s="1"/>
  <c r="J163" i="106" a="1"/>
  <c r="J163" i="106" s="1"/>
  <c r="AE253" i="113" a="1"/>
  <c r="AE253" i="113" s="1"/>
  <c r="S257" i="113" a="1"/>
  <c r="S257" i="113" s="1"/>
  <c r="K34" i="94"/>
  <c r="J34" i="94"/>
  <c r="I34" i="94"/>
  <c r="H34" i="94"/>
  <c r="G34" i="94"/>
  <c r="V18" i="97"/>
  <c r="X18" i="97" s="1"/>
  <c r="E138" i="102"/>
  <c r="M25" i="88" a="1"/>
  <c r="M25" i="88" s="1"/>
  <c r="AA253" i="113" a="1"/>
  <c r="AA253" i="113" s="1"/>
  <c r="D124" i="84" a="1"/>
  <c r="D124" i="84" s="1"/>
  <c r="D120" i="83" a="1"/>
  <c r="D120" i="83" s="1"/>
  <c r="AA255" i="113" a="1"/>
  <c r="AA255" i="113" s="1"/>
  <c r="J185" i="106" a="1"/>
  <c r="J185" i="106" s="1"/>
  <c r="E21" i="106"/>
  <c r="H21" i="106" s="1" a="1"/>
  <c r="H21" i="106" s="1"/>
  <c r="H53" i="106" a="1"/>
  <c r="H53" i="106" s="1"/>
  <c r="H45" i="106" a="1"/>
  <c r="H45" i="106" s="1"/>
  <c r="H37" i="106" a="1"/>
  <c r="H37" i="106" s="1"/>
  <c r="H29" i="106" a="1"/>
  <c r="H29" i="106" s="1"/>
  <c r="H22" i="106" a="1"/>
  <c r="H22" i="106" s="1"/>
  <c r="H52" i="106" a="1"/>
  <c r="H52" i="106" s="1"/>
  <c r="H44" i="106" a="1"/>
  <c r="H44" i="106" s="1"/>
  <c r="H36" i="106" a="1"/>
  <c r="H36" i="106" s="1"/>
  <c r="H28" i="106" a="1"/>
  <c r="H28" i="106" s="1"/>
  <c r="H51" i="106" a="1"/>
  <c r="H51" i="106" s="1"/>
  <c r="H42" i="106" a="1"/>
  <c r="H42" i="106" s="1"/>
  <c r="H35" i="106" a="1"/>
  <c r="H35" i="106" s="1"/>
  <c r="H27" i="106" a="1"/>
  <c r="H27" i="106" s="1"/>
  <c r="H50" i="106" a="1"/>
  <c r="H50" i="106" s="1"/>
  <c r="H41" i="106" a="1"/>
  <c r="H41" i="106" s="1"/>
  <c r="H34" i="106" a="1"/>
  <c r="H34" i="106" s="1"/>
  <c r="H26" i="106" a="1"/>
  <c r="H26" i="106" s="1"/>
  <c r="H48" i="106" a="1"/>
  <c r="H48" i="106" s="1"/>
  <c r="H40" i="106" a="1"/>
  <c r="H40" i="106" s="1"/>
  <c r="H33" i="106" a="1"/>
  <c r="H33" i="106" s="1"/>
  <c r="H25" i="106" a="1"/>
  <c r="H25" i="106" s="1"/>
  <c r="H47" i="106" a="1"/>
  <c r="H47" i="106" s="1"/>
  <c r="H39" i="106" a="1"/>
  <c r="H39" i="106" s="1"/>
  <c r="H31" i="106" a="1"/>
  <c r="H31" i="106" s="1"/>
  <c r="H24" i="106" a="1"/>
  <c r="H24" i="106" s="1"/>
  <c r="H54" i="106" a="1"/>
  <c r="H54" i="106" s="1"/>
  <c r="H46" i="106" a="1"/>
  <c r="H46" i="106" s="1"/>
  <c r="H38" i="106" a="1"/>
  <c r="H38" i="106" s="1"/>
  <c r="H30" i="106" a="1"/>
  <c r="H30" i="106" s="1"/>
  <c r="H23" i="106" a="1"/>
  <c r="H23" i="106" s="1"/>
  <c r="J137" i="106" a="1"/>
  <c r="J137" i="106" s="1"/>
  <c r="W260" i="113" a="1"/>
  <c r="W260" i="113" s="1"/>
  <c r="AA256" i="113" a="1"/>
  <c r="AA256" i="113" s="1"/>
  <c r="AE259" i="113" a="1"/>
  <c r="AE259" i="113" s="1"/>
  <c r="D20" i="88" a="1"/>
  <c r="D20" i="83" a="1"/>
  <c r="D20" i="84" a="1"/>
  <c r="G25" i="93" a="1"/>
  <c r="G25" i="93" s="1"/>
  <c r="D19" i="102"/>
  <c r="F19" i="102" s="1" a="1"/>
  <c r="F19" i="102" s="1"/>
  <c r="G19" i="102" s="1" a="1"/>
  <c r="G19" i="102" s="1"/>
  <c r="F32" i="102" a="1"/>
  <c r="F32" i="102" s="1"/>
  <c r="G32" i="102" s="1" a="1"/>
  <c r="G32" i="102" s="1"/>
  <c r="F25" i="102" a="1"/>
  <c r="F25" i="102" s="1"/>
  <c r="G25" i="102" s="1" a="1"/>
  <c r="G25" i="102" s="1"/>
  <c r="F31" i="102" a="1"/>
  <c r="F31" i="102" s="1"/>
  <c r="G31" i="102" s="1" a="1"/>
  <c r="G31" i="102" s="1"/>
  <c r="F24" i="102" a="1"/>
  <c r="F24" i="102" s="1"/>
  <c r="G24" i="102" s="1" a="1"/>
  <c r="G24" i="102" s="1"/>
  <c r="F37" i="102" a="1"/>
  <c r="F37" i="102" s="1"/>
  <c r="G37" i="102" s="1" a="1"/>
  <c r="G37" i="102" s="1"/>
  <c r="F30" i="102" a="1"/>
  <c r="F30" i="102" s="1"/>
  <c r="G30" i="102" s="1" a="1"/>
  <c r="G30" i="102" s="1"/>
  <c r="F23" i="102" a="1"/>
  <c r="F23" i="102" s="1"/>
  <c r="G23" i="102" s="1" a="1"/>
  <c r="G23" i="102" s="1"/>
  <c r="F36" i="102" a="1"/>
  <c r="F36" i="102" s="1"/>
  <c r="G36" i="102" s="1" a="1"/>
  <c r="G36" i="102" s="1"/>
  <c r="F29" i="102" a="1"/>
  <c r="F29" i="102" s="1"/>
  <c r="G29" i="102" s="1" a="1"/>
  <c r="G29" i="102" s="1"/>
  <c r="F22" i="102" a="1"/>
  <c r="F22" i="102" s="1"/>
  <c r="G22" i="102" s="1" a="1"/>
  <c r="G22" i="102" s="1"/>
  <c r="F35" i="102" a="1"/>
  <c r="F35" i="102" s="1"/>
  <c r="G35" i="102" s="1" a="1"/>
  <c r="G35" i="102" s="1"/>
  <c r="F28" i="102" a="1"/>
  <c r="F28" i="102" s="1"/>
  <c r="G28" i="102" s="1" a="1"/>
  <c r="G28" i="102" s="1"/>
  <c r="F21" i="102" a="1"/>
  <c r="F21" i="102" s="1"/>
  <c r="G21" i="102" s="1" a="1"/>
  <c r="G21" i="102" s="1"/>
  <c r="F34" i="102" a="1"/>
  <c r="F34" i="102" s="1"/>
  <c r="G34" i="102" s="1" a="1"/>
  <c r="G34" i="102" s="1"/>
  <c r="F27" i="102" a="1"/>
  <c r="F27" i="102" s="1"/>
  <c r="G27" i="102" s="1" a="1"/>
  <c r="G27" i="102" s="1"/>
  <c r="F20" i="102" a="1"/>
  <c r="F20" i="102" s="1"/>
  <c r="G20" i="102" s="1" a="1"/>
  <c r="G20" i="102" s="1"/>
  <c r="F33" i="102" a="1"/>
  <c r="F33" i="102" s="1"/>
  <c r="G33" i="102" s="1" a="1"/>
  <c r="G33" i="102" s="1"/>
  <c r="F26" i="102" a="1"/>
  <c r="F26" i="102" s="1"/>
  <c r="G26" i="102" s="1" a="1"/>
  <c r="G26" i="102" s="1"/>
  <c r="W259" i="113" a="1"/>
  <c r="W259" i="113" s="1"/>
  <c r="AE258" i="113" a="1"/>
  <c r="AE258" i="113" s="1"/>
  <c r="W255" i="113" a="1"/>
  <c r="W255" i="113" s="1"/>
  <c r="W256" i="113" a="1"/>
  <c r="W256" i="113" s="1"/>
  <c r="J165" i="106" a="1"/>
  <c r="J165" i="106" s="1"/>
  <c r="D21" i="106"/>
  <c r="G187" i="106" a="1"/>
  <c r="G187" i="106" s="1"/>
  <c r="G176" i="106" a="1"/>
  <c r="G176" i="106" s="1"/>
  <c r="G143" i="106" a="1"/>
  <c r="G143" i="106" s="1"/>
  <c r="G124" i="106" a="1"/>
  <c r="G124" i="106" s="1"/>
  <c r="G117" i="106" a="1"/>
  <c r="G117" i="106" s="1"/>
  <c r="G54" i="106" a="1"/>
  <c r="G54" i="106" s="1"/>
  <c r="G46" i="106" a="1"/>
  <c r="G46" i="106" s="1"/>
  <c r="G38" i="106" a="1"/>
  <c r="G38" i="106" s="1"/>
  <c r="G30" i="106" a="1"/>
  <c r="G30" i="106" s="1"/>
  <c r="G23" i="106" a="1"/>
  <c r="G23" i="106" s="1"/>
  <c r="G186" i="106" a="1"/>
  <c r="G186" i="106" s="1"/>
  <c r="G166" i="106" a="1"/>
  <c r="G166" i="106" s="1"/>
  <c r="G159" i="106" a="1"/>
  <c r="G159" i="106" s="1"/>
  <c r="G142" i="106" a="1"/>
  <c r="G142" i="106" s="1"/>
  <c r="G133" i="106" a="1"/>
  <c r="G133" i="106" s="1"/>
  <c r="G175" i="106" a="1"/>
  <c r="G175" i="106" s="1"/>
  <c r="G141" i="106" a="1"/>
  <c r="G141" i="106" s="1"/>
  <c r="G123" i="106" a="1"/>
  <c r="G123" i="106" s="1"/>
  <c r="G53" i="106" a="1"/>
  <c r="G53" i="106" s="1"/>
  <c r="G45" i="106" a="1"/>
  <c r="G45" i="106" s="1"/>
  <c r="G37" i="106" a="1"/>
  <c r="G37" i="106" s="1"/>
  <c r="G29" i="106" a="1"/>
  <c r="G29" i="106" s="1"/>
  <c r="G22" i="106" a="1"/>
  <c r="G22" i="106" s="1"/>
  <c r="G184" i="106" a="1"/>
  <c r="G184" i="106" s="1"/>
  <c r="G165" i="106" a="1"/>
  <c r="G165" i="106" s="1"/>
  <c r="G158" i="106" a="1"/>
  <c r="G158" i="106" s="1"/>
  <c r="G140" i="106" a="1"/>
  <c r="G140" i="106" s="1"/>
  <c r="G132" i="106" a="1"/>
  <c r="G132" i="106" s="1"/>
  <c r="G183" i="106" a="1"/>
  <c r="G183" i="106" s="1"/>
  <c r="G174" i="106" a="1"/>
  <c r="G174" i="106" s="1"/>
  <c r="G139" i="106" a="1"/>
  <c r="G139" i="106" s="1"/>
  <c r="G131" i="106" a="1"/>
  <c r="G131" i="106" s="1"/>
  <c r="G122" i="106" a="1"/>
  <c r="G122" i="106" s="1"/>
  <c r="G52" i="106" a="1"/>
  <c r="G52" i="106" s="1"/>
  <c r="G44" i="106" a="1"/>
  <c r="G44" i="106" s="1"/>
  <c r="G36" i="106" a="1"/>
  <c r="G36" i="106" s="1"/>
  <c r="G28" i="106" a="1"/>
  <c r="G28" i="106" s="1"/>
  <c r="G182" i="106" a="1"/>
  <c r="G182" i="106" s="1"/>
  <c r="G164" i="106" a="1"/>
  <c r="G164" i="106" s="1"/>
  <c r="G130" i="106" a="1"/>
  <c r="G130" i="106" s="1"/>
  <c r="G181" i="106" a="1"/>
  <c r="G181" i="106" s="1"/>
  <c r="G173" i="106" a="1"/>
  <c r="G173" i="106" s="1"/>
  <c r="G129" i="106" a="1"/>
  <c r="G129" i="106" s="1"/>
  <c r="G121" i="106" a="1"/>
  <c r="G121" i="106" s="1"/>
  <c r="G51" i="106" a="1"/>
  <c r="G51" i="106" s="1"/>
  <c r="G42" i="106" a="1"/>
  <c r="G42" i="106" s="1"/>
  <c r="G35" i="106" a="1"/>
  <c r="G35" i="106" s="1"/>
  <c r="G27" i="106" a="1"/>
  <c r="G27" i="106" s="1"/>
  <c r="G180" i="106" a="1"/>
  <c r="G180" i="106" s="1"/>
  <c r="G172" i="106" a="1"/>
  <c r="G172" i="106" s="1"/>
  <c r="G163" i="106" a="1"/>
  <c r="G163" i="106" s="1"/>
  <c r="G137" i="106" a="1"/>
  <c r="G137" i="106" s="1"/>
  <c r="G128" i="106" a="1"/>
  <c r="G128" i="106" s="1"/>
  <c r="G171" i="106" a="1"/>
  <c r="G171" i="106" s="1"/>
  <c r="G149" i="106" a="1"/>
  <c r="G149" i="106" s="1"/>
  <c r="G120" i="106" a="1"/>
  <c r="G120" i="106" s="1"/>
  <c r="G50" i="106" a="1"/>
  <c r="G50" i="106" s="1"/>
  <c r="G41" i="106" a="1"/>
  <c r="G41" i="106" s="1"/>
  <c r="G34" i="106" a="1"/>
  <c r="G34" i="106" s="1"/>
  <c r="G26" i="106" a="1"/>
  <c r="G26" i="106" s="1"/>
  <c r="G170" i="106" a="1"/>
  <c r="G170" i="106" s="1"/>
  <c r="G162" i="106" a="1"/>
  <c r="G162" i="106" s="1"/>
  <c r="G148" i="106" a="1"/>
  <c r="G148" i="106" s="1"/>
  <c r="G136" i="106" a="1"/>
  <c r="G136" i="106" s="1"/>
  <c r="G178" i="106" a="1"/>
  <c r="G178" i="106" s="1"/>
  <c r="G169" i="106" a="1"/>
  <c r="G169" i="106" s="1"/>
  <c r="G147" i="106" a="1"/>
  <c r="G147" i="106" s="1"/>
  <c r="G126" i="106" a="1"/>
  <c r="G126" i="106" s="1"/>
  <c r="G119" i="106" a="1"/>
  <c r="G119" i="106" s="1"/>
  <c r="G48" i="106" a="1"/>
  <c r="G48" i="106" s="1"/>
  <c r="G40" i="106" a="1"/>
  <c r="G40" i="106" s="1"/>
  <c r="G33" i="106" a="1"/>
  <c r="G33" i="106" s="1"/>
  <c r="G25" i="106" a="1"/>
  <c r="G25" i="106" s="1"/>
  <c r="G190" i="106" a="1"/>
  <c r="G190" i="106" s="1"/>
  <c r="G161" i="106" a="1"/>
  <c r="G161" i="106" s="1"/>
  <c r="G146" i="106" a="1"/>
  <c r="G146" i="106" s="1"/>
  <c r="G135" i="106" a="1"/>
  <c r="G135" i="106" s="1"/>
  <c r="G189" i="106" a="1"/>
  <c r="G189" i="106" s="1"/>
  <c r="G177" i="106" a="1"/>
  <c r="G177" i="106" s="1"/>
  <c r="G145" i="106" a="1"/>
  <c r="G145" i="106" s="1"/>
  <c r="G125" i="106" a="1"/>
  <c r="G125" i="106" s="1"/>
  <c r="G118" i="106" a="1"/>
  <c r="G118" i="106" s="1"/>
  <c r="G47" i="106" a="1"/>
  <c r="G47" i="106" s="1"/>
  <c r="G39" i="106" a="1"/>
  <c r="G39" i="106" s="1"/>
  <c r="G31" i="106" a="1"/>
  <c r="G31" i="106" s="1"/>
  <c r="G24" i="106" a="1"/>
  <c r="G24" i="106" s="1"/>
  <c r="G188" i="106" a="1"/>
  <c r="G188" i="106" s="1"/>
  <c r="G167" i="106" a="1"/>
  <c r="G167" i="106" s="1"/>
  <c r="G160" i="106" a="1"/>
  <c r="G160" i="106" s="1"/>
  <c r="G134" i="106" a="1"/>
  <c r="G134" i="106" s="1"/>
  <c r="AE256" i="113" a="1"/>
  <c r="AE256" i="113" s="1"/>
  <c r="S253" i="113" a="1"/>
  <c r="S253" i="113" s="1"/>
  <c r="S260" i="113" a="1"/>
  <c r="S260" i="113" s="1"/>
  <c r="Q236" i="113" a="1"/>
  <c r="J158" i="106" a="1"/>
  <c r="J158" i="106" s="1"/>
  <c r="K28" i="94"/>
  <c r="J28" i="94"/>
  <c r="I28" i="94"/>
  <c r="H28" i="94"/>
  <c r="G28" i="94"/>
  <c r="D49" i="84" a="1"/>
  <c r="D49" i="84" s="1"/>
  <c r="D25" i="83" a="1"/>
  <c r="D25" i="83" s="1"/>
  <c r="J166" i="106" a="1"/>
  <c r="J166" i="106" s="1"/>
  <c r="K31" i="94"/>
  <c r="J31" i="94"/>
  <c r="I31" i="94"/>
  <c r="H31" i="94"/>
  <c r="G31" i="94"/>
  <c r="E32" i="98" a="1"/>
  <c r="E32" i="98" s="1"/>
  <c r="E36" i="99" a="1"/>
  <c r="E36" i="99" s="1"/>
  <c r="E29" i="99" a="1"/>
  <c r="E29" i="99" s="1"/>
  <c r="E22" i="99" a="1"/>
  <c r="E22" i="99" s="1"/>
  <c r="E31" i="98" a="1"/>
  <c r="E31" i="98" s="1"/>
  <c r="E24" i="98" a="1"/>
  <c r="E24" i="98" s="1"/>
  <c r="E32" i="99" a="1"/>
  <c r="E32" i="99" s="1"/>
  <c r="E35" i="99" a="1"/>
  <c r="E35" i="99" s="1"/>
  <c r="E28" i="99" a="1"/>
  <c r="E28" i="99" s="1"/>
  <c r="E21" i="99" a="1"/>
  <c r="E21" i="99" s="1"/>
  <c r="E37" i="98" a="1"/>
  <c r="E37" i="98" s="1"/>
  <c r="E30" i="98" a="1"/>
  <c r="E30" i="98" s="1"/>
  <c r="E23" i="98" a="1"/>
  <c r="E23" i="98" s="1"/>
  <c r="E34" i="99" a="1"/>
  <c r="E34" i="99" s="1"/>
  <c r="E27" i="99" a="1"/>
  <c r="E27" i="99" s="1"/>
  <c r="E20" i="99" a="1"/>
  <c r="E20" i="99" s="1"/>
  <c r="E36" i="98" a="1"/>
  <c r="E36" i="98" s="1"/>
  <c r="E29" i="98" a="1"/>
  <c r="E29" i="98" s="1"/>
  <c r="E22" i="98" a="1"/>
  <c r="E22" i="98" s="1"/>
  <c r="E27" i="98" a="1"/>
  <c r="E27" i="98" s="1"/>
  <c r="E33" i="99" a="1"/>
  <c r="E33" i="99" s="1"/>
  <c r="E26" i="99" a="1"/>
  <c r="E26" i="99" s="1"/>
  <c r="E35" i="98" a="1"/>
  <c r="E35" i="98" s="1"/>
  <c r="E28" i="98" a="1"/>
  <c r="E28" i="98" s="1"/>
  <c r="E34" i="98" a="1"/>
  <c r="E34" i="98" s="1"/>
  <c r="E23" i="99" a="1"/>
  <c r="E23" i="99" s="1"/>
  <c r="E25" i="99" a="1"/>
  <c r="E25" i="99" s="1"/>
  <c r="E30" i="99" a="1"/>
  <c r="E30" i="99" s="1"/>
  <c r="E21" i="98" a="1"/>
  <c r="E21" i="98" s="1"/>
  <c r="E25" i="98" a="1"/>
  <c r="E25" i="98" s="1"/>
  <c r="E31" i="99" a="1"/>
  <c r="E31" i="99" s="1"/>
  <c r="E24" i="99" a="1"/>
  <c r="E24" i="99" s="1"/>
  <c r="E33" i="98" a="1"/>
  <c r="E33" i="98" s="1"/>
  <c r="E26" i="98" a="1"/>
  <c r="E26" i="98" s="1"/>
  <c r="E20" i="98" a="1"/>
  <c r="E20" i="98" s="1"/>
  <c r="E37" i="99" a="1"/>
  <c r="E37" i="99" s="1"/>
  <c r="G20" i="100"/>
  <c r="E236" i="113" a="1"/>
  <c r="E181" i="113"/>
  <c r="F123" i="113"/>
  <c r="F128" i="113"/>
  <c r="F121" i="113"/>
  <c r="G121" i="113" s="1"/>
  <c r="F122" i="113"/>
  <c r="G122" i="113" s="1"/>
  <c r="E654" i="113"/>
  <c r="E657" i="113" s="1"/>
  <c r="F129" i="113"/>
  <c r="E426" i="113"/>
  <c r="F125" i="113"/>
  <c r="E363" i="113"/>
  <c r="E517" i="113"/>
  <c r="F126" i="113"/>
  <c r="F120" i="113"/>
  <c r="G120" i="113" s="1"/>
  <c r="H23" i="85"/>
  <c r="P20" i="88"/>
  <c r="G20" i="88"/>
  <c r="F77" i="72"/>
  <c r="F76" i="72"/>
  <c r="F75" i="72"/>
  <c r="E77" i="72"/>
  <c r="E76" i="72"/>
  <c r="E75" i="72"/>
  <c r="G54" i="80"/>
  <c r="F56" i="80"/>
  <c r="F54" i="80"/>
  <c r="F55" i="80" s="1"/>
  <c r="F48" i="80"/>
  <c r="F46" i="80"/>
  <c r="I42" i="106" l="1"/>
  <c r="H137" i="106" s="1"/>
  <c r="I137" i="106" s="1"/>
  <c r="K137" i="106" s="1"/>
  <c r="I27" i="106"/>
  <c r="H122" i="106" s="1"/>
  <c r="I33" i="106"/>
  <c r="H128" i="106" s="1"/>
  <c r="I25" i="106"/>
  <c r="H120" i="106" s="1"/>
  <c r="I120" i="106" s="1"/>
  <c r="K120" i="106" s="1"/>
  <c r="I28" i="106"/>
  <c r="H123" i="106" s="1"/>
  <c r="I123" i="106" s="1"/>
  <c r="K123" i="106" s="1"/>
  <c r="I65" i="106"/>
  <c r="H163" i="106" s="1"/>
  <c r="I163" i="106" s="1"/>
  <c r="K163" i="106" s="1"/>
  <c r="I68" i="106"/>
  <c r="H166" i="106" s="1"/>
  <c r="I166" i="106" s="1"/>
  <c r="K166" i="106" s="1"/>
  <c r="I61" i="106"/>
  <c r="H159" i="106" s="1"/>
  <c r="I159" i="106" s="1"/>
  <c r="K159" i="106" s="1"/>
  <c r="I23" i="106"/>
  <c r="H118" i="106" s="1"/>
  <c r="I118" i="106" s="1"/>
  <c r="K118" i="106" s="1"/>
  <c r="I46" i="106"/>
  <c r="H141" i="106" s="1"/>
  <c r="I80" i="106"/>
  <c r="H178" i="106" s="1"/>
  <c r="I178" i="106" s="1"/>
  <c r="K178" i="106" s="1"/>
  <c r="I91" i="106"/>
  <c r="H189" i="106" s="1"/>
  <c r="I34" i="106"/>
  <c r="H129" i="106" s="1"/>
  <c r="I64" i="106"/>
  <c r="H162" i="106" s="1"/>
  <c r="I162" i="106" s="1"/>
  <c r="K162" i="106" s="1"/>
  <c r="I79" i="106"/>
  <c r="H177" i="106" s="1"/>
  <c r="I177" i="106" s="1"/>
  <c r="K177" i="106" s="1"/>
  <c r="I54" i="106"/>
  <c r="H149" i="106" s="1"/>
  <c r="I92" i="106"/>
  <c r="H190" i="106" s="1"/>
  <c r="I39" i="106"/>
  <c r="H134" i="106" s="1"/>
  <c r="I134" i="106" s="1"/>
  <c r="K134" i="106" s="1"/>
  <c r="I67" i="106"/>
  <c r="H165" i="106" s="1"/>
  <c r="I165" i="106" s="1"/>
  <c r="K165" i="106" s="1"/>
  <c r="I71" i="106"/>
  <c r="H169" i="106" s="1"/>
  <c r="I40" i="106"/>
  <c r="H135" i="106" s="1"/>
  <c r="I135" i="106" s="1"/>
  <c r="K135" i="106" s="1"/>
  <c r="I48" i="106"/>
  <c r="H143" i="106" s="1"/>
  <c r="I75" i="106"/>
  <c r="H173" i="106" s="1"/>
  <c r="I173" i="106" s="1"/>
  <c r="K173" i="106" s="1"/>
  <c r="I78" i="106"/>
  <c r="H176" i="106" s="1"/>
  <c r="I176" i="106" s="1"/>
  <c r="K176" i="106" s="1"/>
  <c r="I83" i="106"/>
  <c r="H181" i="106" s="1"/>
  <c r="I86" i="106"/>
  <c r="H184" i="106" s="1"/>
  <c r="I29" i="106"/>
  <c r="H124" i="106" s="1"/>
  <c r="I124" i="106" s="1"/>
  <c r="K124" i="106" s="1"/>
  <c r="I73" i="106"/>
  <c r="H171" i="106" s="1"/>
  <c r="I76" i="106"/>
  <c r="H174" i="106" s="1"/>
  <c r="I174" i="106" s="1"/>
  <c r="K174" i="106" s="1"/>
  <c r="I88" i="106"/>
  <c r="H186" i="106" s="1"/>
  <c r="I84" i="106"/>
  <c r="H182" i="106" s="1"/>
  <c r="I122" i="106"/>
  <c r="K122" i="106" s="1"/>
  <c r="I89" i="106"/>
  <c r="H187" i="106" s="1"/>
  <c r="I66" i="106"/>
  <c r="H164" i="106" s="1"/>
  <c r="I164" i="106" s="1"/>
  <c r="K164" i="106" s="1"/>
  <c r="I62" i="106"/>
  <c r="H160" i="106" s="1"/>
  <c r="I160" i="106" s="1"/>
  <c r="K160" i="106" s="1"/>
  <c r="I74" i="106"/>
  <c r="H172" i="106" s="1"/>
  <c r="I69" i="106"/>
  <c r="H167" i="106" s="1"/>
  <c r="I167" i="106" s="1"/>
  <c r="K167" i="106" s="1"/>
  <c r="I82" i="106"/>
  <c r="H180" i="106" s="1"/>
  <c r="I77" i="106"/>
  <c r="H175" i="106" s="1"/>
  <c r="I175" i="106" s="1"/>
  <c r="K175" i="106" s="1"/>
  <c r="I90" i="106"/>
  <c r="H188" i="106" s="1"/>
  <c r="I85" i="106"/>
  <c r="H183" i="106" s="1"/>
  <c r="I60" i="106"/>
  <c r="H158" i="106" s="1"/>
  <c r="I158" i="106" s="1"/>
  <c r="K158" i="106" s="1"/>
  <c r="I63" i="106"/>
  <c r="H161" i="106" s="1"/>
  <c r="I161" i="106" s="1"/>
  <c r="K161" i="106" s="1"/>
  <c r="I51" i="106"/>
  <c r="H146" i="106" s="1"/>
  <c r="I41" i="106"/>
  <c r="H136" i="106" s="1"/>
  <c r="I136" i="106" s="1"/>
  <c r="K136" i="106" s="1"/>
  <c r="I31" i="106"/>
  <c r="H126" i="106" s="1"/>
  <c r="I126" i="106" s="1"/>
  <c r="K126" i="106" s="1"/>
  <c r="I50" i="106"/>
  <c r="H145" i="106" s="1"/>
  <c r="I30" i="106"/>
  <c r="H125" i="106" s="1"/>
  <c r="I125" i="106" s="1"/>
  <c r="K125" i="106" s="1"/>
  <c r="I47" i="106"/>
  <c r="H142" i="106" s="1"/>
  <c r="I72" i="106"/>
  <c r="H170" i="106" s="1"/>
  <c r="I38" i="106"/>
  <c r="H133" i="106" s="1"/>
  <c r="I133" i="106" s="1"/>
  <c r="K133" i="106" s="1"/>
  <c r="I22" i="106"/>
  <c r="H117" i="106" s="1"/>
  <c r="I117" i="106" s="1"/>
  <c r="K117" i="106" s="1"/>
  <c r="I36" i="106"/>
  <c r="H131" i="106" s="1"/>
  <c r="I44" i="106"/>
  <c r="H139" i="106" s="1"/>
  <c r="I37" i="106"/>
  <c r="H132" i="106" s="1"/>
  <c r="I132" i="106" s="1"/>
  <c r="K132" i="106" s="1"/>
  <c r="I52" i="106"/>
  <c r="H147" i="106" s="1"/>
  <c r="I45" i="106"/>
  <c r="H140" i="106" s="1"/>
  <c r="I35" i="106"/>
  <c r="H130" i="106" s="1"/>
  <c r="I53" i="106"/>
  <c r="H148" i="106" s="1"/>
  <c r="I24" i="106"/>
  <c r="H119" i="106" s="1"/>
  <c r="I119" i="106" s="1"/>
  <c r="K119" i="106" s="1"/>
  <c r="I26" i="106"/>
  <c r="H121" i="106" s="1"/>
  <c r="I121" i="106" s="1"/>
  <c r="K121" i="106" s="1"/>
  <c r="E155" i="113"/>
  <c r="E156" i="113"/>
  <c r="E488" i="113"/>
  <c r="E487" i="113"/>
  <c r="E142" i="113"/>
  <c r="I124" i="113"/>
  <c r="I129" i="113"/>
  <c r="G129" i="113"/>
  <c r="I128" i="113"/>
  <c r="G128" i="113"/>
  <c r="I125" i="113"/>
  <c r="G125" i="113"/>
  <c r="I126" i="113"/>
  <c r="G126" i="113"/>
  <c r="G123" i="113"/>
  <c r="I123" i="113"/>
  <c r="I127" i="113"/>
  <c r="G127" i="113"/>
  <c r="E91" i="113"/>
  <c r="E73" i="113"/>
  <c r="E54" i="113"/>
  <c r="E90" i="113"/>
  <c r="E53" i="113"/>
  <c r="E72" i="113"/>
  <c r="P28" i="94"/>
  <c r="N28" i="94"/>
  <c r="Q28" i="94"/>
  <c r="O28" i="94"/>
  <c r="P35" i="94"/>
  <c r="Q35" i="94"/>
  <c r="N35" i="94"/>
  <c r="O35" i="94"/>
  <c r="O38" i="94"/>
  <c r="N38" i="94"/>
  <c r="Q38" i="94"/>
  <c r="P38" i="94"/>
  <c r="Q33" i="94"/>
  <c r="P33" i="94"/>
  <c r="O33" i="94"/>
  <c r="N33" i="94"/>
  <c r="Q34" i="94"/>
  <c r="P34" i="94"/>
  <c r="O34" i="94"/>
  <c r="N34" i="94"/>
  <c r="Q26" i="94"/>
  <c r="P26" i="94"/>
  <c r="O26" i="94"/>
  <c r="N26" i="94"/>
  <c r="O31" i="94"/>
  <c r="N31" i="94"/>
  <c r="Q31" i="94"/>
  <c r="P31" i="94"/>
  <c r="N25" i="94"/>
  <c r="Q25" i="94"/>
  <c r="P25" i="94"/>
  <c r="O25" i="94"/>
  <c r="O36" i="94"/>
  <c r="Q36" i="94"/>
  <c r="P36" i="94"/>
  <c r="N36" i="94"/>
  <c r="Q30" i="94"/>
  <c r="P30" i="94"/>
  <c r="O30" i="94"/>
  <c r="N30" i="94"/>
  <c r="Q37" i="94"/>
  <c r="P37" i="94"/>
  <c r="O37" i="94"/>
  <c r="N37" i="94"/>
  <c r="E61" i="93"/>
  <c r="E64" i="93"/>
  <c r="P25" i="93"/>
  <c r="E45" i="93" s="1"/>
  <c r="O25" i="93"/>
  <c r="E44" i="93" s="1"/>
  <c r="N25" i="93"/>
  <c r="E43" i="93" s="1"/>
  <c r="Q25" i="93"/>
  <c r="E46" i="93" s="1"/>
  <c r="W236" i="113" a="1"/>
  <c r="W236" i="113" s="1"/>
  <c r="AI236" i="113" a="1"/>
  <c r="AI236" i="113" s="1"/>
  <c r="AM240" i="113" a="1"/>
  <c r="AM240" i="113" s="1"/>
  <c r="S242" i="113" a="1"/>
  <c r="S242" i="113" s="1"/>
  <c r="AE244" i="113" a="1"/>
  <c r="AE244" i="113" s="1"/>
  <c r="S239" i="113" a="1"/>
  <c r="S239" i="113" s="1"/>
  <c r="AM242" i="113" a="1"/>
  <c r="AM242" i="113" s="1"/>
  <c r="S237" i="113" a="1"/>
  <c r="S237" i="113" s="1"/>
  <c r="AM243" i="113" a="1"/>
  <c r="AM243" i="113" s="1"/>
  <c r="W245" i="113" a="1"/>
  <c r="W245" i="113" s="1"/>
  <c r="AE240" i="113" a="1"/>
  <c r="AE240" i="113" s="1"/>
  <c r="S238" i="113" a="1"/>
  <c r="S238" i="113" s="1"/>
  <c r="AE237" i="113" a="1"/>
  <c r="AE237" i="113" s="1"/>
  <c r="AM244" i="113" a="1"/>
  <c r="AM244" i="113" s="1"/>
  <c r="AM241" i="113" a="1"/>
  <c r="AM241" i="113" s="1"/>
  <c r="AM236" i="113" a="1"/>
  <c r="AM236" i="113" s="1"/>
  <c r="AM238" i="113" a="1"/>
  <c r="AM238" i="113" s="1"/>
  <c r="S245" i="113" a="1"/>
  <c r="S245" i="113" s="1"/>
  <c r="W242" i="113" a="1"/>
  <c r="W242" i="113" s="1"/>
  <c r="AA239" i="113" a="1"/>
  <c r="AA239" i="113" s="1"/>
  <c r="AM245" i="113" a="1"/>
  <c r="AM245" i="113" s="1"/>
  <c r="AA240" i="113" a="1"/>
  <c r="AA240" i="113" s="1"/>
  <c r="AA242" i="113" a="1"/>
  <c r="AA242" i="113" s="1"/>
  <c r="S241" i="113" a="1"/>
  <c r="S241" i="113" s="1"/>
  <c r="AM239" i="113" a="1"/>
  <c r="AM239" i="113" s="1"/>
  <c r="W239" i="113" a="1"/>
  <c r="W239" i="113" s="1"/>
  <c r="AM237" i="113" a="1"/>
  <c r="AM237" i="113" s="1"/>
  <c r="W244" i="113" a="1"/>
  <c r="W244" i="113" s="1"/>
  <c r="W237" i="113" a="1"/>
  <c r="W237" i="113" s="1"/>
  <c r="W243" i="113" a="1"/>
  <c r="W243" i="113" s="1"/>
  <c r="W238" i="113" a="1"/>
  <c r="W238" i="113" s="1"/>
  <c r="W240" i="113" a="1"/>
  <c r="W240" i="113" s="1"/>
  <c r="W241" i="113" a="1"/>
  <c r="W241" i="113" s="1"/>
  <c r="AE239" i="113" a="1"/>
  <c r="AE239" i="113" s="1"/>
  <c r="AE245" i="113" a="1"/>
  <c r="AE245" i="113" s="1"/>
  <c r="AE238" i="113" a="1"/>
  <c r="AE238" i="113" s="1"/>
  <c r="AE243" i="113" a="1"/>
  <c r="AE243" i="113" s="1"/>
  <c r="AC236" i="113"/>
  <c r="AE236" i="113" s="1" a="1"/>
  <c r="AE236" i="113" s="1"/>
  <c r="AE241" i="113" a="1"/>
  <c r="AE241" i="113" s="1"/>
  <c r="AE242" i="113" a="1"/>
  <c r="AE242" i="113" s="1"/>
  <c r="Q236" i="113"/>
  <c r="S236" i="113" s="1" a="1"/>
  <c r="S236" i="113" s="1"/>
  <c r="AA245" i="113" a="1"/>
  <c r="AA245" i="113" s="1"/>
  <c r="Y236" i="113"/>
  <c r="AA236" i="113" s="1" a="1"/>
  <c r="AA236" i="113" s="1"/>
  <c r="AA238" i="113" a="1"/>
  <c r="AA238" i="113" s="1"/>
  <c r="AA243" i="113" a="1"/>
  <c r="AA243" i="113" s="1"/>
  <c r="J245" i="113"/>
  <c r="J237" i="113"/>
  <c r="J244" i="113"/>
  <c r="J243" i="113"/>
  <c r="J242" i="113"/>
  <c r="J241" i="113"/>
  <c r="J240" i="113"/>
  <c r="J239" i="113"/>
  <c r="J238" i="113"/>
  <c r="AI242" i="113" a="1"/>
  <c r="AI242" i="113" s="1"/>
  <c r="AI240" i="113" a="1"/>
  <c r="AI240" i="113" s="1"/>
  <c r="AI243" i="113" a="1"/>
  <c r="AI243" i="113" s="1"/>
  <c r="AI245" i="113" a="1"/>
  <c r="AI245" i="113" s="1"/>
  <c r="AA241" i="113" a="1"/>
  <c r="AA241" i="113" s="1"/>
  <c r="AI239" i="113" a="1"/>
  <c r="AI239" i="113" s="1"/>
  <c r="AI238" i="113" a="1"/>
  <c r="AI238" i="113" s="1"/>
  <c r="AA244" i="113" a="1"/>
  <c r="AA244" i="113" s="1"/>
  <c r="AI244" i="113" a="1"/>
  <c r="AI244" i="113" s="1"/>
  <c r="AA237" i="113" a="1"/>
  <c r="AA237" i="113" s="1"/>
  <c r="AI237" i="113" a="1"/>
  <c r="AI237" i="113" s="1"/>
  <c r="AI241" i="113" a="1"/>
  <c r="AI241" i="113" s="1"/>
  <c r="E34" i="102"/>
  <c r="E74" i="102" s="1"/>
  <c r="E35" i="103"/>
  <c r="E33" i="102"/>
  <c r="E73" i="102" s="1"/>
  <c r="K254" i="113"/>
  <c r="Q29" i="98"/>
  <c r="K259" i="113"/>
  <c r="E24" i="102"/>
  <c r="E64" i="102" s="1"/>
  <c r="F254" i="113"/>
  <c r="G254" i="113" s="1"/>
  <c r="E19" i="98" a="1"/>
  <c r="E19" i="98" s="1"/>
  <c r="Q26" i="98"/>
  <c r="E30" i="102"/>
  <c r="E70" i="102" s="1"/>
  <c r="E32" i="103"/>
  <c r="E36" i="102"/>
  <c r="E76" i="102" s="1"/>
  <c r="E33" i="103"/>
  <c r="E37" i="102"/>
  <c r="E77" i="102" s="1"/>
  <c r="E23" i="102"/>
  <c r="E63" i="102" s="1"/>
  <c r="Q24" i="98"/>
  <c r="Q28" i="98"/>
  <c r="Q23" i="98"/>
  <c r="Q25" i="98"/>
  <c r="E19" i="99" a="1"/>
  <c r="E19" i="99" s="1"/>
  <c r="Q27" i="98"/>
  <c r="E25" i="103"/>
  <c r="E36" i="103"/>
  <c r="E27" i="102"/>
  <c r="E67" i="102" s="1"/>
  <c r="E24" i="103"/>
  <c r="E30" i="103"/>
  <c r="E22" i="102"/>
  <c r="E62" i="102" s="1"/>
  <c r="E29" i="103"/>
  <c r="E39" i="103"/>
  <c r="K253" i="113"/>
  <c r="H253" i="113"/>
  <c r="F253" i="113"/>
  <c r="G253" i="113" s="1"/>
  <c r="H257" i="113"/>
  <c r="F257" i="113"/>
  <c r="G257" i="113" s="1"/>
  <c r="K257" i="113"/>
  <c r="H252" i="113"/>
  <c r="F252" i="113"/>
  <c r="G252" i="113" s="1"/>
  <c r="H256" i="113"/>
  <c r="F256" i="113"/>
  <c r="G256" i="113" s="1"/>
  <c r="K256" i="113"/>
  <c r="H261" i="113"/>
  <c r="F261" i="113"/>
  <c r="G261" i="113" s="1"/>
  <c r="K261" i="113"/>
  <c r="F255" i="113"/>
  <c r="G255" i="113" s="1"/>
  <c r="K255" i="113"/>
  <c r="H255" i="113"/>
  <c r="F259" i="113"/>
  <c r="G259" i="113" s="1"/>
  <c r="H259" i="113"/>
  <c r="O11" i="98" a="1"/>
  <c r="O11" i="98" s="1"/>
  <c r="O21" i="98"/>
  <c r="Q22" i="98"/>
  <c r="H254" i="113"/>
  <c r="H258" i="113"/>
  <c r="F258" i="113"/>
  <c r="G258" i="113" s="1"/>
  <c r="K258" i="113"/>
  <c r="K260" i="113"/>
  <c r="H260" i="113"/>
  <c r="F260" i="113"/>
  <c r="G260" i="113" s="1"/>
  <c r="Q30" i="98"/>
  <c r="P30" i="84"/>
  <c r="Q30" i="84"/>
  <c r="Q54" i="84" s="1"/>
  <c r="Q83" i="84" s="1"/>
  <c r="F30" i="84"/>
  <c r="E30" i="84"/>
  <c r="F30" i="83"/>
  <c r="O30" i="83"/>
  <c r="N30" i="83"/>
  <c r="E30" i="83"/>
  <c r="N35" i="88"/>
  <c r="N65" i="88" s="1"/>
  <c r="O35" i="88"/>
  <c r="O65" i="88" s="1"/>
  <c r="F35" i="88"/>
  <c r="F65" i="88" s="1"/>
  <c r="E35" i="88"/>
  <c r="E65" i="88" s="1"/>
  <c r="M20" i="88"/>
  <c r="G59" i="106" a="1"/>
  <c r="G59" i="106" s="1"/>
  <c r="D20" i="84"/>
  <c r="D20" i="83"/>
  <c r="D30" i="83" s="1"/>
  <c r="S244" i="113" a="1"/>
  <c r="S244" i="113" s="1"/>
  <c r="S240" i="113" a="1"/>
  <c r="S240" i="113" s="1"/>
  <c r="G116" i="106" a="1"/>
  <c r="G116" i="106" s="1"/>
  <c r="G21" i="106" a="1"/>
  <c r="G21" i="106" s="1"/>
  <c r="G157" i="106" a="1"/>
  <c r="G157" i="106" s="1"/>
  <c r="D20" i="88"/>
  <c r="S243" i="113" a="1"/>
  <c r="S243" i="113" s="1"/>
  <c r="P11" i="98" a="1"/>
  <c r="P11" i="98" s="1"/>
  <c r="N34" i="98" s="1"/>
  <c r="O20" i="84"/>
  <c r="M20" i="83"/>
  <c r="M30" i="83" s="1"/>
  <c r="E65" i="103"/>
  <c r="E102" i="102"/>
  <c r="E134" i="102" s="1"/>
  <c r="E32" i="100"/>
  <c r="K44" i="100" s="1"/>
  <c r="E67" i="103"/>
  <c r="E104" i="102"/>
  <c r="E136" i="102" s="1"/>
  <c r="E103" i="102"/>
  <c r="E135" i="102" s="1"/>
  <c r="E66" i="103"/>
  <c r="Q21" i="98"/>
  <c r="E236" i="113"/>
  <c r="J236" i="113" s="1"/>
  <c r="E331" i="113"/>
  <c r="E332" i="113"/>
  <c r="E58" i="93"/>
  <c r="E456" i="113"/>
  <c r="E475" i="113"/>
  <c r="E393" i="113"/>
  <c r="E474" i="113"/>
  <c r="E394" i="113"/>
  <c r="E457" i="113"/>
  <c r="E298" i="113"/>
  <c r="E299" i="113"/>
  <c r="E34" i="113"/>
  <c r="E35" i="113"/>
  <c r="E56" i="93"/>
  <c r="E57" i="93"/>
  <c r="E63" i="93"/>
  <c r="E55" i="93"/>
  <c r="E62" i="93"/>
  <c r="I179" i="106" l="1"/>
  <c r="K179" i="106" s="1"/>
  <c r="I185" i="106"/>
  <c r="K185" i="106" s="1"/>
  <c r="I168" i="106"/>
  <c r="K168" i="106" s="1"/>
  <c r="I144" i="106"/>
  <c r="K144" i="106" s="1"/>
  <c r="I127" i="106"/>
  <c r="K127" i="106" s="1"/>
  <c r="I59" i="106"/>
  <c r="H157" i="106" s="1"/>
  <c r="I157" i="106" s="1"/>
  <c r="K157" i="106" s="1"/>
  <c r="I21" i="106"/>
  <c r="H116" i="106" s="1"/>
  <c r="I116" i="106" s="1"/>
  <c r="K116" i="106" s="1"/>
  <c r="I138" i="106"/>
  <c r="K138" i="106" s="1"/>
  <c r="E94" i="113"/>
  <c r="E93" i="113"/>
  <c r="E45" i="94"/>
  <c r="E50" i="94"/>
  <c r="E44" i="94"/>
  <c r="E49" i="94"/>
  <c r="E51" i="94"/>
  <c r="E46" i="94"/>
  <c r="E52" i="94"/>
  <c r="E43" i="94"/>
  <c r="E38" i="103"/>
  <c r="F237" i="113"/>
  <c r="G237" i="113" s="1"/>
  <c r="H241" i="113"/>
  <c r="F245" i="113"/>
  <c r="G245" i="113" s="1"/>
  <c r="H245" i="113"/>
  <c r="F236" i="113"/>
  <c r="G236" i="113" s="1"/>
  <c r="F242" i="113"/>
  <c r="G242" i="113" s="1"/>
  <c r="K239" i="113"/>
  <c r="K241" i="113"/>
  <c r="H237" i="113"/>
  <c r="K238" i="113"/>
  <c r="H239" i="113"/>
  <c r="H236" i="113"/>
  <c r="K237" i="113"/>
  <c r="F241" i="113"/>
  <c r="G241" i="113" s="1"/>
  <c r="F239" i="113"/>
  <c r="G239" i="113" s="1"/>
  <c r="F238" i="113"/>
  <c r="G238" i="113" s="1"/>
  <c r="E37" i="103"/>
  <c r="K245" i="113"/>
  <c r="H238" i="113"/>
  <c r="H242" i="113"/>
  <c r="K242" i="113"/>
  <c r="K236" i="113"/>
  <c r="E31" i="102"/>
  <c r="E71" i="102" s="1"/>
  <c r="E28" i="103"/>
  <c r="E34" i="103"/>
  <c r="E31" i="103"/>
  <c r="E28" i="102"/>
  <c r="E68" i="102" s="1"/>
  <c r="E27" i="103"/>
  <c r="E41" i="103"/>
  <c r="E32" i="102"/>
  <c r="E72" i="102" s="1"/>
  <c r="E29" i="102"/>
  <c r="E69" i="102" s="1"/>
  <c r="E40" i="103"/>
  <c r="E21" i="102"/>
  <c r="E61" i="102" s="1"/>
  <c r="E20" i="102"/>
  <c r="E60" i="102" s="1"/>
  <c r="E26" i="103"/>
  <c r="E25" i="102"/>
  <c r="E65" i="102" s="1"/>
  <c r="Q13" i="98"/>
  <c r="E35" i="102"/>
  <c r="E75" i="102" s="1"/>
  <c r="E26" i="102"/>
  <c r="E66" i="102" s="1"/>
  <c r="Q14" i="98"/>
  <c r="K243" i="113"/>
  <c r="H243" i="113"/>
  <c r="F243" i="113"/>
  <c r="G243" i="113" s="1"/>
  <c r="H240" i="113"/>
  <c r="F240" i="113"/>
  <c r="G240" i="113" s="1"/>
  <c r="K240" i="113"/>
  <c r="H244" i="113"/>
  <c r="F244" i="113"/>
  <c r="G244" i="113" s="1"/>
  <c r="K244" i="113"/>
  <c r="R106" i="84"/>
  <c r="R129" i="84"/>
  <c r="P54" i="84"/>
  <c r="P83" i="84" s="1"/>
  <c r="Q129" i="84" s="1"/>
  <c r="F54" i="84"/>
  <c r="F83" i="84" s="1"/>
  <c r="G129" i="84" s="1"/>
  <c r="E54" i="84"/>
  <c r="O30" i="84"/>
  <c r="D30" i="84"/>
  <c r="M35" i="88"/>
  <c r="D35" i="88"/>
  <c r="Q12" i="98"/>
  <c r="Q15" i="98"/>
  <c r="Q18" i="98"/>
  <c r="Q20" i="98"/>
  <c r="Q17" i="98"/>
  <c r="Q19" i="98"/>
  <c r="Q16" i="98"/>
  <c r="Q11" i="98"/>
  <c r="E23" i="103"/>
  <c r="E19" i="102"/>
  <c r="E59" i="102" s="1"/>
  <c r="E264" i="113"/>
  <c r="E132" i="113"/>
  <c r="E160" i="113" s="1"/>
  <c r="E70" i="93"/>
  <c r="I530" i="113" s="1"/>
  <c r="E131" i="113"/>
  <c r="E159" i="113" s="1"/>
  <c r="F34" i="13" s="1" a="1"/>
  <c r="F34" i="13" s="1"/>
  <c r="E69" i="93"/>
  <c r="E15" i="13" s="1" a="1"/>
  <c r="E15" i="13" s="1"/>
  <c r="F15" i="13" s="1"/>
  <c r="E67" i="93"/>
  <c r="E13" i="13" s="1" a="1"/>
  <c r="E13" i="13" s="1"/>
  <c r="F13" i="13" s="1"/>
  <c r="I13" i="13" s="1"/>
  <c r="E68" i="93"/>
  <c r="E14" i="13" s="1" a="1"/>
  <c r="E14" i="13" s="1"/>
  <c r="F14" i="13" s="1"/>
  <c r="F37" i="13" a="1"/>
  <c r="F37" i="13" s="1"/>
  <c r="I37" i="13" s="1"/>
  <c r="E37" i="13" a="1"/>
  <c r="E37" i="13" s="1"/>
  <c r="H37" i="13" s="1"/>
  <c r="F33" i="13" a="1"/>
  <c r="F33" i="13" s="1"/>
  <c r="I33" i="13" s="1"/>
  <c r="E33" i="13" a="1"/>
  <c r="E33" i="13" s="1"/>
  <c r="E192" i="106" l="1"/>
  <c r="E603" i="113" s="1"/>
  <c r="E151" i="106"/>
  <c r="E19" i="13" s="1" a="1"/>
  <c r="E19" i="13" s="1"/>
  <c r="H19" i="13" s="1"/>
  <c r="E55" i="94"/>
  <c r="E16" i="13" s="1" a="1"/>
  <c r="E16" i="13" s="1"/>
  <c r="F16" i="13" s="1"/>
  <c r="I16" i="13" s="1"/>
  <c r="E56" i="94"/>
  <c r="E17" i="13" s="1" a="1"/>
  <c r="E17" i="13" s="1"/>
  <c r="F17" i="13" s="1"/>
  <c r="E57" i="94"/>
  <c r="E18" i="13" s="1" a="1"/>
  <c r="E18" i="13" s="1"/>
  <c r="F18" i="13" s="1"/>
  <c r="E58" i="94"/>
  <c r="I531" i="113" s="1"/>
  <c r="E533" i="113" s="1"/>
  <c r="E266" i="113"/>
  <c r="E263" i="113"/>
  <c r="N33" i="98"/>
  <c r="N35" i="98" s="1"/>
  <c r="Q149" i="84"/>
  <c r="R176" i="84" s="1"/>
  <c r="Q106" i="84"/>
  <c r="G106" i="84"/>
  <c r="E83" i="84"/>
  <c r="F129" i="84" s="1"/>
  <c r="O54" i="84"/>
  <c r="O83" i="84" s="1"/>
  <c r="D54" i="84"/>
  <c r="M65" i="88"/>
  <c r="N67" i="88" s="1"/>
  <c r="D65" i="88"/>
  <c r="E67" i="88" s="1"/>
  <c r="E267" i="113"/>
  <c r="E34" i="13" a="1"/>
  <c r="E34" i="13" s="1"/>
  <c r="H13" i="13"/>
  <c r="F19" i="13" l="1"/>
  <c r="I19" i="13" s="1"/>
  <c r="H16" i="13"/>
  <c r="S92" i="98"/>
  <c r="P149" i="84"/>
  <c r="Q176" i="84" s="1"/>
  <c r="F149" i="84"/>
  <c r="G176" i="84" s="1"/>
  <c r="R174" i="84"/>
  <c r="R175" i="84"/>
  <c r="P106" i="84"/>
  <c r="P129" i="84"/>
  <c r="F106" i="84"/>
  <c r="D83" i="84"/>
  <c r="F9" i="13" a="1"/>
  <c r="F9" i="13" s="1"/>
  <c r="P69" i="88"/>
  <c r="E9" i="13" a="1"/>
  <c r="E9" i="13" s="1"/>
  <c r="G69" i="88"/>
  <c r="R46" i="98"/>
  <c r="O105" i="98" s="1"/>
  <c r="S93" i="98" s="1"/>
  <c r="R76" i="98"/>
  <c r="O107" i="98" s="1"/>
  <c r="R60" i="98"/>
  <c r="O106" i="98" s="1"/>
  <c r="J58" i="78"/>
  <c r="J39" i="78"/>
  <c r="J38" i="78"/>
  <c r="J30" i="78"/>
  <c r="D10" i="78"/>
  <c r="D9" i="78"/>
  <c r="D8" i="78"/>
  <c r="D12" i="78"/>
  <c r="D11" i="78"/>
  <c r="I16" i="81"/>
  <c r="I15" i="81"/>
  <c r="I14" i="81"/>
  <c r="I13" i="81"/>
  <c r="I12" i="81"/>
  <c r="I11" i="81"/>
  <c r="I10" i="81"/>
  <c r="I9" i="81"/>
  <c r="I8" i="81"/>
  <c r="I7" i="81"/>
  <c r="Q175" i="84" l="1"/>
  <c r="Q174" i="84"/>
  <c r="G175" i="84"/>
  <c r="G174" i="84"/>
  <c r="E149" i="84"/>
  <c r="F176" i="84" s="1"/>
  <c r="O149" i="84"/>
  <c r="P176" i="84" s="1"/>
  <c r="E106" i="84"/>
  <c r="E129" i="84"/>
  <c r="E22" i="72"/>
  <c r="G55" i="80"/>
  <c r="G52" i="80"/>
  <c r="G53" i="80" s="1"/>
  <c r="F174" i="84" l="1"/>
  <c r="F175" i="84"/>
  <c r="P174" i="84"/>
  <c r="P175" i="84"/>
  <c r="D149" i="84"/>
  <c r="F52" i="80"/>
  <c r="F53" i="80" s="1"/>
  <c r="F44" i="80"/>
  <c r="D39" i="80"/>
  <c r="D32" i="80"/>
  <c r="D73" i="72" a="1"/>
  <c r="F53" i="72"/>
  <c r="E53" i="72"/>
  <c r="F52" i="72"/>
  <c r="E52" i="72"/>
  <c r="F51" i="72"/>
  <c r="E51" i="72"/>
  <c r="D70" i="72"/>
  <c r="F43" i="13" a="1"/>
  <c r="F43" i="13" s="1"/>
  <c r="I43" i="13" s="1"/>
  <c r="E43" i="13" a="1"/>
  <c r="E43" i="13" s="1"/>
  <c r="H43" i="13" s="1"/>
  <c r="E41" i="13" a="1"/>
  <c r="E41" i="13" s="1"/>
  <c r="F42" i="13" a="1"/>
  <c r="F42" i="13" s="1"/>
  <c r="I42" i="13" s="1"/>
  <c r="E42" i="13" a="1"/>
  <c r="E42" i="13" s="1"/>
  <c r="H42" i="13" s="1"/>
  <c r="E40" i="13" a="1"/>
  <c r="E40" i="13" s="1"/>
  <c r="E39" i="13" a="1"/>
  <c r="E39" i="13" s="1"/>
  <c r="F38" i="13" a="1"/>
  <c r="F38" i="13" s="1"/>
  <c r="I38" i="13" s="1"/>
  <c r="E38" i="13" a="1"/>
  <c r="E38" i="13" s="1"/>
  <c r="H38" i="13" s="1"/>
  <c r="F36" i="13" a="1"/>
  <c r="F36" i="13" s="1"/>
  <c r="I36" i="13" s="1"/>
  <c r="E36" i="13" a="1"/>
  <c r="E36" i="13" s="1"/>
  <c r="H36" i="13" s="1"/>
  <c r="F35" i="13" a="1"/>
  <c r="F35" i="13" s="1"/>
  <c r="I35" i="13" s="1"/>
  <c r="E35" i="13" a="1"/>
  <c r="E35" i="13" s="1"/>
  <c r="H35" i="13" s="1"/>
  <c r="I34" i="13"/>
  <c r="H34" i="13"/>
  <c r="H33" i="13"/>
  <c r="E175" i="84" l="1"/>
  <c r="E176" i="84"/>
  <c r="E174" i="84"/>
  <c r="E74" i="72"/>
  <c r="F74" i="72"/>
  <c r="D73" i="72"/>
  <c r="F39" i="13"/>
  <c r="I39" i="13" s="1"/>
  <c r="H39" i="13"/>
  <c r="F41" i="13"/>
  <c r="I41" i="13" s="1"/>
  <c r="H41" i="13"/>
  <c r="F40" i="13"/>
  <c r="I40" i="13" s="1"/>
  <c r="H40" i="13"/>
  <c r="H44" i="13" l="1"/>
  <c r="I44" i="13"/>
  <c r="D40" i="13" a="1"/>
  <c r="D40" i="13" s="1"/>
  <c r="E26" i="13" a="1"/>
  <c r="E26" i="13" s="1"/>
  <c r="F26" i="13" s="1"/>
  <c r="I26" i="13" s="1"/>
  <c r="I27" i="13" s="1"/>
  <c r="D26" i="13" a="1"/>
  <c r="D26" i="13" s="1"/>
  <c r="E66" i="72"/>
  <c r="E65" i="72"/>
  <c r="D62" i="72" a="1"/>
  <c r="D62" i="72" s="1"/>
  <c r="E62" i="72" s="1"/>
  <c r="D59" i="72"/>
  <c r="D49" i="72" a="1"/>
  <c r="D45" i="72" a="1"/>
  <c r="D45" i="72" s="1"/>
  <c r="D43" i="72"/>
  <c r="G37" i="72"/>
  <c r="E49" i="13" s="1"/>
  <c r="J59" i="78"/>
  <c r="J57" i="78"/>
  <c r="J56" i="78"/>
  <c r="J55" i="78"/>
  <c r="J48" i="78"/>
  <c r="J47" i="78"/>
  <c r="J46" i="78"/>
  <c r="J45" i="78"/>
  <c r="J37" i="78"/>
  <c r="J32" i="78"/>
  <c r="J31" i="78"/>
  <c r="J29" i="78"/>
  <c r="J23" i="78"/>
  <c r="J22" i="78"/>
  <c r="J21" i="78"/>
  <c r="J20" i="78"/>
  <c r="J19" i="78"/>
  <c r="J18" i="78"/>
  <c r="J12" i="78"/>
  <c r="J11" i="78"/>
  <c r="J10" i="78"/>
  <c r="J9" i="78"/>
  <c r="J8" i="78"/>
  <c r="D59" i="78"/>
  <c r="D57" i="78"/>
  <c r="D56" i="78"/>
  <c r="D55" i="78"/>
  <c r="D48" i="78"/>
  <c r="D47" i="78"/>
  <c r="D46" i="78"/>
  <c r="D45" i="78"/>
  <c r="D23" i="78"/>
  <c r="D22" i="78"/>
  <c r="D21" i="78"/>
  <c r="D20" i="78"/>
  <c r="D19" i="78"/>
  <c r="D18" i="78"/>
  <c r="G28" i="87"/>
  <c r="D117" i="79" a="1"/>
  <c r="D117" i="79" s="1"/>
  <c r="D107" i="79" a="1"/>
  <c r="D107" i="79" s="1"/>
  <c r="D83" i="79" a="1"/>
  <c r="D83" i="79" s="1"/>
  <c r="D59" i="79" a="1"/>
  <c r="D59" i="79" s="1"/>
  <c r="I75" i="83" l="1"/>
  <c r="R47" i="83"/>
  <c r="I47" i="83"/>
  <c r="I115" i="83"/>
  <c r="I113" i="83" s="1"/>
  <c r="I46" i="83"/>
  <c r="I114" i="83"/>
  <c r="I74" i="83"/>
  <c r="R46" i="83"/>
  <c r="I51" i="99"/>
  <c r="I60" i="85"/>
  <c r="J51" i="102"/>
  <c r="I126" i="102"/>
  <c r="I56" i="103"/>
  <c r="I14" i="103"/>
  <c r="I68" i="114"/>
  <c r="G82" i="102"/>
  <c r="O591" i="113"/>
  <c r="G591" i="113"/>
  <c r="G149" i="102"/>
  <c r="P70" i="88"/>
  <c r="N72" i="88" s="1" a="1"/>
  <c r="N72" i="88" s="1"/>
  <c r="R215" i="84"/>
  <c r="G70" i="88"/>
  <c r="E72" i="88" s="1" a="1"/>
  <c r="E72" i="88" s="1"/>
  <c r="G215" i="84"/>
  <c r="P113" i="98"/>
  <c r="G53" i="100"/>
  <c r="G83" i="98"/>
  <c r="P174" i="83"/>
  <c r="G97" i="103"/>
  <c r="P68" i="85"/>
  <c r="G174" i="83"/>
  <c r="G68" i="85"/>
  <c r="G29" i="87"/>
  <c r="I49" i="114"/>
  <c r="O108" i="98" a="1"/>
  <c r="O108" i="98" s="1"/>
  <c r="I50" i="98"/>
  <c r="J50" i="102"/>
  <c r="I125" i="102"/>
  <c r="O87" i="83"/>
  <c r="O89" i="83"/>
  <c r="R113" i="83"/>
  <c r="O88" i="83"/>
  <c r="I9" i="13" a="1"/>
  <c r="I9" i="13" s="1"/>
  <c r="I14" i="13" a="1"/>
  <c r="I14" i="13" s="1"/>
  <c r="I18" i="13" a="1"/>
  <c r="I18" i="13" s="1"/>
  <c r="H17" i="13" a="1"/>
  <c r="H17" i="13" s="1"/>
  <c r="I17" i="13" a="1"/>
  <c r="I17" i="13" s="1"/>
  <c r="H18" i="13" a="1"/>
  <c r="H18" i="13" s="1"/>
  <c r="I15" i="13" a="1"/>
  <c r="I15" i="13" s="1"/>
  <c r="H14" i="13" a="1"/>
  <c r="H14" i="13" s="1"/>
  <c r="H15" i="13" a="1"/>
  <c r="H15" i="13" s="1"/>
  <c r="E50" i="72"/>
  <c r="F50" i="72"/>
  <c r="H9" i="13" a="1"/>
  <c r="H9" i="13" s="1"/>
  <c r="H26" i="13"/>
  <c r="H27" i="13" s="1"/>
  <c r="J50" i="78"/>
  <c r="J61" i="78"/>
  <c r="J41" i="78"/>
  <c r="J14" i="78"/>
  <c r="J25" i="78"/>
  <c r="D49" i="72"/>
  <c r="E63" i="72"/>
  <c r="E67" i="72" s="1"/>
  <c r="E64" i="72"/>
  <c r="H48" i="79"/>
  <c r="I20" i="101" s="1"/>
  <c r="E22" i="75"/>
  <c r="H51" i="79"/>
  <c r="E19" i="75"/>
  <c r="H53" i="79"/>
  <c r="H50" i="79"/>
  <c r="I50" i="114" s="1"/>
  <c r="H54" i="79"/>
  <c r="H52" i="79"/>
  <c r="H49" i="79"/>
  <c r="O74" i="114" l="1"/>
  <c r="E74" i="114"/>
  <c r="O55" i="114"/>
  <c r="R585" i="113" s="1"/>
  <c r="E55" i="114"/>
  <c r="N97" i="83"/>
  <c r="O152" i="83" s="1"/>
  <c r="O166" i="83" s="1"/>
  <c r="O97" i="83"/>
  <c r="P152" i="83" s="1"/>
  <c r="P166" i="83" s="1"/>
  <c r="P97" i="83"/>
  <c r="Q152" i="83" s="1"/>
  <c r="Q166" i="83" s="1"/>
  <c r="O98" i="83"/>
  <c r="P153" i="83" s="1"/>
  <c r="P167" i="83" s="1"/>
  <c r="P98" i="83"/>
  <c r="Q153" i="83" s="1"/>
  <c r="Q167" i="83" s="1"/>
  <c r="N98" i="83"/>
  <c r="O153" i="83" s="1"/>
  <c r="O167" i="83" s="1"/>
  <c r="O96" i="83"/>
  <c r="P151" i="83" s="1"/>
  <c r="P165" i="83" s="1"/>
  <c r="N96" i="83"/>
  <c r="O151" i="83" s="1"/>
  <c r="O165" i="83" s="1"/>
  <c r="P96" i="83"/>
  <c r="Q151" i="83" s="1"/>
  <c r="Q165" i="83" s="1"/>
  <c r="E125" i="83"/>
  <c r="F154" i="83" s="1"/>
  <c r="F168" i="83" s="1"/>
  <c r="F125" i="83"/>
  <c r="G154" i="83" s="1"/>
  <c r="G168" i="83" s="1"/>
  <c r="G125" i="83"/>
  <c r="H154" i="83" s="1"/>
  <c r="H168" i="83" s="1"/>
  <c r="N125" i="83"/>
  <c r="O154" i="83" s="1"/>
  <c r="O168" i="83" s="1"/>
  <c r="O125" i="83"/>
  <c r="P154" i="83" s="1"/>
  <c r="P168" i="83" s="1"/>
  <c r="P125" i="83"/>
  <c r="Q154" i="83" s="1"/>
  <c r="Q168" i="83" s="1"/>
  <c r="J88" i="114"/>
  <c r="J92" i="103"/>
  <c r="I55" i="98"/>
  <c r="I53" i="114"/>
  <c r="J54" i="102"/>
  <c r="S99" i="98"/>
  <c r="N106" i="98" s="1"/>
  <c r="N108" i="98" s="1"/>
  <c r="I129" i="102"/>
  <c r="I63" i="85"/>
  <c r="I59" i="85" s="1"/>
  <c r="K46" i="100"/>
  <c r="S94" i="98"/>
  <c r="P112" i="98" s="1"/>
  <c r="N115" i="98" s="1" a="1"/>
  <c r="N115" i="98" s="1"/>
  <c r="T86" i="114"/>
  <c r="J86" i="114"/>
  <c r="I190" i="84"/>
  <c r="R45" i="83"/>
  <c r="I45" i="83"/>
  <c r="J15" i="114"/>
  <c r="I51" i="98"/>
  <c r="F88" i="83" a="1"/>
  <c r="F88" i="83" s="1"/>
  <c r="F89" i="83" a="1"/>
  <c r="F89" i="83" s="1"/>
  <c r="F87" i="83" a="1"/>
  <c r="F87" i="83" s="1"/>
  <c r="E63" i="78"/>
  <c r="E13" i="72"/>
  <c r="E18" i="75"/>
  <c r="E20" i="75" s="1"/>
  <c r="E21" i="75" s="1"/>
  <c r="E20" i="72"/>
  <c r="E90" i="114" l="1"/>
  <c r="O90" i="114"/>
  <c r="R586" i="113" s="1"/>
  <c r="R210" i="84"/>
  <c r="G210" i="84"/>
  <c r="R206" i="84"/>
  <c r="Q210" i="84"/>
  <c r="F210" i="84"/>
  <c r="G206" i="84"/>
  <c r="Q206" i="84"/>
  <c r="R208" i="84"/>
  <c r="P210" i="84"/>
  <c r="R207" i="84"/>
  <c r="P206" i="84"/>
  <c r="F206" i="84"/>
  <c r="E210" i="84"/>
  <c r="G207" i="84"/>
  <c r="E206" i="84"/>
  <c r="G208" i="84"/>
  <c r="Q208" i="84"/>
  <c r="Q207" i="84"/>
  <c r="P208" i="84"/>
  <c r="F207" i="84"/>
  <c r="P207" i="84"/>
  <c r="F208" i="84"/>
  <c r="E207" i="84"/>
  <c r="E208" i="84"/>
  <c r="E31" i="101"/>
  <c r="G97" i="83"/>
  <c r="H152" i="83" s="1"/>
  <c r="H166" i="83" s="1"/>
  <c r="E97" i="83"/>
  <c r="F152" i="83" s="1"/>
  <c r="F166" i="83" s="1"/>
  <c r="F97" i="83"/>
  <c r="G152" i="83" s="1"/>
  <c r="G166" i="83" s="1"/>
  <c r="F96" i="83"/>
  <c r="G151" i="83" s="1"/>
  <c r="G165" i="83" s="1"/>
  <c r="E96" i="83"/>
  <c r="F151" i="83" s="1"/>
  <c r="F165" i="83" s="1"/>
  <c r="G96" i="83"/>
  <c r="H151" i="83" s="1"/>
  <c r="H165" i="83" s="1"/>
  <c r="F98" i="83"/>
  <c r="G153" i="83" s="1"/>
  <c r="G167" i="83" s="1"/>
  <c r="E98" i="83"/>
  <c r="F153" i="83" s="1"/>
  <c r="F167" i="83" s="1"/>
  <c r="G98" i="83"/>
  <c r="H153" i="83" s="1"/>
  <c r="H167" i="83" s="1"/>
  <c r="G57" i="83"/>
  <c r="H150" i="83" s="1"/>
  <c r="H164" i="83" s="1"/>
  <c r="F57" i="83"/>
  <c r="G150" i="83" s="1"/>
  <c r="G164" i="83" s="1"/>
  <c r="O57" i="83"/>
  <c r="P150" i="83" s="1"/>
  <c r="P164" i="83" s="1"/>
  <c r="P57" i="83"/>
  <c r="Q150" i="83" s="1"/>
  <c r="Q164" i="83" s="1"/>
  <c r="E57" i="83"/>
  <c r="F150" i="83" s="1"/>
  <c r="F164" i="83" s="1"/>
  <c r="N57" i="83"/>
  <c r="O150" i="83" s="1"/>
  <c r="O164" i="83" s="1"/>
  <c r="E77" i="103"/>
  <c r="J90" i="103" s="1"/>
  <c r="E146" i="102"/>
  <c r="G148" i="102" s="1"/>
  <c r="E151" i="102" s="1" a="1"/>
  <c r="E151" i="102" s="1"/>
  <c r="J17" i="114"/>
  <c r="J14" i="114" s="1"/>
  <c r="E19" i="114" s="1"/>
  <c r="K48" i="100"/>
  <c r="K45" i="100" s="1"/>
  <c r="G52" i="100" s="1"/>
  <c r="E55" i="100" s="1" a="1"/>
  <c r="E55" i="100" s="1"/>
  <c r="E43" i="103"/>
  <c r="J89" i="103" s="1"/>
  <c r="E30" i="89"/>
  <c r="D8" i="82"/>
  <c r="D9" i="82"/>
  <c r="D58" i="83"/>
  <c r="E78" i="99"/>
  <c r="E79" i="102"/>
  <c r="G81" i="102" s="1"/>
  <c r="E84" i="102" s="1" a="1"/>
  <c r="E84" i="102" s="1"/>
  <c r="D4" i="13"/>
  <c r="D52" i="13"/>
  <c r="D47" i="13"/>
  <c r="D34" i="72"/>
  <c r="F47" i="80"/>
  <c r="G46" i="80"/>
  <c r="G47" i="80" s="1"/>
  <c r="F45" i="80"/>
  <c r="G44" i="80"/>
  <c r="G45" i="80" s="1"/>
  <c r="G96" i="103" l="1"/>
  <c r="E99" i="103" s="1" a="1"/>
  <c r="E99" i="103" s="1"/>
  <c r="O19" i="114"/>
  <c r="R584" i="113" s="1"/>
  <c r="J585" i="113"/>
  <c r="E80" i="98"/>
  <c r="G82" i="98" s="1"/>
  <c r="E85" i="98" s="1" a="1"/>
  <c r="E85" i="98" s="1"/>
  <c r="N171" i="83"/>
  <c r="I37" i="89"/>
  <c r="E41" i="89" s="1"/>
  <c r="I48" i="89"/>
  <c r="I38" i="89"/>
  <c r="I39" i="89"/>
  <c r="I46" i="89"/>
  <c r="E50" i="89" s="1"/>
  <c r="I47" i="89"/>
  <c r="E212" i="84"/>
  <c r="J584" i="113"/>
  <c r="P212" i="84"/>
  <c r="E171" i="83"/>
  <c r="F23" i="85"/>
  <c r="F40" i="85" s="1"/>
  <c r="G23" i="85"/>
  <c r="G40" i="85" s="1"/>
  <c r="E23" i="85"/>
  <c r="E40" i="85" s="1"/>
  <c r="J586" i="113" l="1"/>
  <c r="E588" i="113" s="1"/>
  <c r="G590" i="113" s="1"/>
  <c r="E593" i="113" s="1" a="1"/>
  <c r="E593" i="113" s="1"/>
  <c r="M588" i="113"/>
  <c r="O590" i="113" s="1"/>
  <c r="M593" i="113" s="1" a="1"/>
  <c r="M593" i="113" s="1"/>
  <c r="J35" i="90"/>
  <c r="I566" i="113"/>
  <c r="I565" i="113"/>
  <c r="J34" i="90"/>
  <c r="O23" i="85"/>
  <c r="O40" i="85" s="1"/>
  <c r="N23" i="85"/>
  <c r="N40" i="85" s="1"/>
  <c r="P23" i="85"/>
  <c r="P40" i="85" s="1"/>
  <c r="G25" i="86" l="1"/>
  <c r="G109" i="86" s="1"/>
  <c r="Q25" i="86"/>
  <c r="Q109" i="86" s="1"/>
  <c r="P25" i="86"/>
  <c r="P109" i="86" s="1"/>
  <c r="O25" i="86"/>
  <c r="O109" i="86" s="1"/>
  <c r="Q59" i="86" l="1"/>
  <c r="Q85" i="86"/>
  <c r="P59" i="86"/>
  <c r="P85" i="86"/>
  <c r="O59" i="86"/>
  <c r="O85" i="86"/>
  <c r="G59" i="86"/>
  <c r="G85" i="86"/>
  <c r="E27" i="85"/>
  <c r="E44" i="85" s="1"/>
  <c r="E25" i="86"/>
  <c r="E109" i="86" s="1"/>
  <c r="F27" i="85"/>
  <c r="F44" i="85" s="1"/>
  <c r="F25" i="86"/>
  <c r="F109" i="86" s="1"/>
  <c r="N27" i="85"/>
  <c r="N44" i="85" s="1"/>
  <c r="O27" i="85"/>
  <c r="O44" i="85" s="1"/>
  <c r="P27" i="85"/>
  <c r="P44" i="85" s="1"/>
  <c r="G27" i="85"/>
  <c r="G44" i="85" s="1"/>
  <c r="F59" i="86" l="1"/>
  <c r="F85" i="86"/>
  <c r="E59" i="86"/>
  <c r="E85" i="86"/>
  <c r="P173" i="83"/>
  <c r="N176" i="83" s="1" a="1"/>
  <c r="N176" i="83" s="1"/>
  <c r="G173" i="83"/>
  <c r="E176" i="83" s="1" a="1"/>
  <c r="E176" i="83" s="1"/>
  <c r="G24" i="86" l="1"/>
  <c r="G108" i="86" s="1"/>
  <c r="N24" i="85"/>
  <c r="N41" i="85" s="1"/>
  <c r="O22" i="86"/>
  <c r="O106" i="86" s="1"/>
  <c r="N25" i="85"/>
  <c r="N42" i="85" s="1"/>
  <c r="O23" i="86"/>
  <c r="O107" i="86" s="1"/>
  <c r="E25" i="85"/>
  <c r="E42" i="85" s="1"/>
  <c r="E23" i="86"/>
  <c r="E107" i="86" s="1"/>
  <c r="F24" i="86"/>
  <c r="F108" i="86" s="1"/>
  <c r="O25" i="85"/>
  <c r="O42" i="85" s="1"/>
  <c r="P23" i="86"/>
  <c r="P107" i="86" s="1"/>
  <c r="F24" i="85"/>
  <c r="F41" i="85" s="1"/>
  <c r="F22" i="86"/>
  <c r="F106" i="86" s="1"/>
  <c r="E24" i="85"/>
  <c r="E41" i="85" s="1"/>
  <c r="E22" i="86"/>
  <c r="E106" i="86" s="1"/>
  <c r="O24" i="85"/>
  <c r="O41" i="85" s="1"/>
  <c r="P22" i="86"/>
  <c r="P106" i="86" s="1"/>
  <c r="O24" i="86"/>
  <c r="O108" i="86" s="1"/>
  <c r="E24" i="86"/>
  <c r="E108" i="86" s="1"/>
  <c r="G25" i="85"/>
  <c r="G42" i="85" s="1"/>
  <c r="G23" i="86"/>
  <c r="G107" i="86" s="1"/>
  <c r="P24" i="86"/>
  <c r="P108" i="86" s="1"/>
  <c r="P24" i="85"/>
  <c r="P41" i="85" s="1"/>
  <c r="Q22" i="86"/>
  <c r="Q106" i="86" s="1"/>
  <c r="G24" i="85"/>
  <c r="G41" i="85" s="1"/>
  <c r="G22" i="86"/>
  <c r="G106" i="86" s="1"/>
  <c r="P25" i="85"/>
  <c r="P42" i="85" s="1"/>
  <c r="Q23" i="86"/>
  <c r="Q107" i="86" s="1"/>
  <c r="Q24" i="86"/>
  <c r="Q108" i="86" s="1"/>
  <c r="F25" i="85"/>
  <c r="F42" i="85" s="1"/>
  <c r="F23" i="86"/>
  <c r="F107" i="86" s="1"/>
  <c r="E10" i="13" a="1"/>
  <c r="E10" i="13" s="1"/>
  <c r="H10" i="13" s="1" a="1"/>
  <c r="H10" i="13" s="1"/>
  <c r="F10" i="13" a="1"/>
  <c r="F10" i="13" s="1"/>
  <c r="I10" i="13" s="1" a="1"/>
  <c r="I10" i="13" s="1"/>
  <c r="Q58" i="86" l="1"/>
  <c r="Q84" i="86"/>
  <c r="P58" i="86"/>
  <c r="P84" i="86"/>
  <c r="O58" i="86"/>
  <c r="O84" i="86"/>
  <c r="Q57" i="86"/>
  <c r="Q83" i="86"/>
  <c r="P57" i="86"/>
  <c r="P83" i="86"/>
  <c r="O57" i="86"/>
  <c r="O83" i="86"/>
  <c r="G58" i="86"/>
  <c r="G84" i="86"/>
  <c r="F58" i="86"/>
  <c r="F84" i="86"/>
  <c r="E58" i="86"/>
  <c r="E84" i="86"/>
  <c r="G57" i="86"/>
  <c r="G83" i="86"/>
  <c r="F57" i="86"/>
  <c r="F83" i="86"/>
  <c r="E57" i="86"/>
  <c r="E83" i="86"/>
  <c r="Q56" i="86"/>
  <c r="Q82" i="86"/>
  <c r="P56" i="86"/>
  <c r="P82" i="86"/>
  <c r="O56" i="86"/>
  <c r="O82" i="86"/>
  <c r="G56" i="86"/>
  <c r="G82" i="86"/>
  <c r="F56" i="86"/>
  <c r="F82" i="86"/>
  <c r="E56" i="86"/>
  <c r="E82" i="86"/>
  <c r="N46" i="85"/>
  <c r="R58" i="85" s="1"/>
  <c r="N65" i="85" s="1"/>
  <c r="E46" i="85"/>
  <c r="I58" i="85" s="1"/>
  <c r="E65" i="85" s="1"/>
  <c r="R214" i="84"/>
  <c r="P217" i="84" s="1" a="1"/>
  <c r="P217" i="84" s="1"/>
  <c r="G67" i="85" l="1"/>
  <c r="E70" i="85" s="1" a="1"/>
  <c r="E70" i="85" s="1"/>
  <c r="E87" i="86"/>
  <c r="E111" i="86"/>
  <c r="O61" i="86"/>
  <c r="O87" i="86"/>
  <c r="O111" i="86"/>
  <c r="E61" i="86"/>
  <c r="P67" i="85"/>
  <c r="N70" i="85" s="1" a="1"/>
  <c r="N70" i="85" s="1"/>
  <c r="E11" i="13" a="1"/>
  <c r="E11" i="13" s="1"/>
  <c r="H11" i="13" s="1" a="1"/>
  <c r="H11" i="13" s="1"/>
  <c r="G214" i="84"/>
  <c r="E217" i="84" s="1" a="1"/>
  <c r="E217" i="84" s="1"/>
  <c r="E12" i="13" a="1"/>
  <c r="E12" i="13" s="1"/>
  <c r="H12" i="13" s="1" a="1"/>
  <c r="H12" i="13" s="1"/>
  <c r="F12" i="13" a="1"/>
  <c r="F12" i="13" s="1"/>
  <c r="I12" i="13" s="1" a="1"/>
  <c r="I12" i="13" s="1"/>
  <c r="F11" i="13" a="1"/>
  <c r="F11" i="13" s="1"/>
  <c r="I11" i="13" s="1" a="1"/>
  <c r="I11" i="13" s="1"/>
  <c r="H20" i="13" l="1"/>
  <c r="E55" i="13" s="1"/>
  <c r="I20" i="13"/>
  <c r="F55" i="13" s="1"/>
  <c r="F49" i="72" l="1"/>
  <c r="F56" i="13"/>
  <c r="E49" i="72"/>
  <c r="E56" i="13"/>
  <c r="E54" i="72" l="1"/>
  <c r="E36" i="80" s="1"/>
  <c r="E73" i="72"/>
  <c r="E78" i="72" s="1"/>
  <c r="E37" i="80" s="1"/>
  <c r="F73" i="72"/>
  <c r="F78" i="72" s="1"/>
  <c r="F37" i="80" s="1"/>
  <c r="F54" i="72"/>
  <c r="F36" i="80" s="1"/>
  <c r="I53" i="80" l="1"/>
  <c r="I55" i="80"/>
  <c r="I47" i="80"/>
  <c r="I45" i="80"/>
  <c r="H53" i="80"/>
  <c r="H47" i="80"/>
  <c r="H45" i="80"/>
  <c r="H55" i="80"/>
  <c r="I52" i="80"/>
  <c r="I54" i="80"/>
  <c r="I44" i="80"/>
  <c r="I46" i="80"/>
  <c r="H44" i="80"/>
  <c r="H52" i="80"/>
  <c r="H54" i="80"/>
  <c r="H46"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<sst xmlns="http://schemas.openxmlformats.org/spreadsheetml/2006/main" count="7631" uniqueCount="2392">
  <si>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</si>
  <si>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</si>
  <si>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</si>
  <si>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</si>
  <si>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</si>
  <si>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</si>
  <si>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</si>
  <si>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</si>
  <si>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</si>
  <si>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</si>
  <si>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</si>
  <si>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</si>
  <si>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</si>
  <si>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</si>
  <si>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</si>
  <si>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</si>
  <si>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</si>
  <si>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</si>
  <si>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</si>
  <si>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</si>
  <si>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</si>
  <si>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</si>
  <si>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</si>
  <si>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</si>
  <si>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</si>
  <si>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</si>
  <si>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</si>
  <si>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</si>
  <si>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</si>
  <si>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</si>
  <si>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</si>
  <si>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</si>
  <si>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</si>
  <si>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</si>
  <si>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</si>
  <si>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</si>
  <si>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</si>
  <si>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</si>
  <si>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</si>
  <si>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</si>
  <si>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</si>
  <si>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</si>
  <si>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</si>
  <si>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</si>
  <si>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</si>
  <si>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</si>
  <si>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</si>
  <si>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</si>
  <si>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</si>
  <si>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</si>
  <si>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</si>
  <si>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</si>
  <si>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</si>
  <si>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</si>
  <si>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</si>
  <si>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</si>
  <si>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</si>
  <si>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</si>
  <si>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</si>
  <si>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</si>
  <si>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</si>
  <si>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</si>
  <si>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</si>
  <si>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</si>
  <si>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</si>
  <si>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</si>
  <si>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</si>
  <si>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</si>
  <si>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</si>
  <si>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</si>
  <si>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</si>
  <si>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</si>
  <si>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</si>
  <si>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</si>
  <si>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</si>
  <si>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</si>
  <si>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</si>
  <si>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</si>
  <si>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</si>
  <si>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</si>
  <si>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</si>
  <si>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</si>
  <si>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</si>
  <si>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</si>
  <si>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</si>
  <si>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</si>
  <si>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</si>
  <si>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</si>
  <si>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</si>
  <si>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</si>
  <si>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</si>
  <si>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</si>
  <si>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</si>
  <si>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</si>
  <si>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</si>
  <si>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</si>
  <si>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</si>
  <si>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</si>
  <si>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</si>
  <si>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</si>
  <si>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</si>
  <si>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</si>
  <si>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</si>
  <si>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</si>
  <si>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</si>
  <si>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</si>
  <si>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</si>
  <si>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</si>
  <si>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</si>
  <si>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</si>
  <si>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</si>
  <si>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</si>
  <si>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</si>
  <si>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</si>
  <si>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</si>
  <si>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</si>
  <si>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</si>
  <si>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</si>
  <si>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</si>
  <si>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</si>
  <si>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</si>
  <si>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</si>
  <si>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</si>
  <si>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</si>
  <si>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</si>
  <si>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</si>
  <si>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</si>
  <si>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</si>
  <si>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</si>
  <si>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</si>
  <si>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</si>
  <si>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</si>
  <si>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</si>
  <si>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</si>
  <si>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</si>
  <si>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</si>
  <si>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</si>
  <si>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</si>
  <si>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</si>
  <si>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</si>
  <si>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</si>
  <si>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</si>
  <si>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</si>
  <si>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</si>
  <si>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</si>
  <si>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</si>
  <si>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</si>
  <si>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</si>
  <si>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</si>
  <si>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</si>
  <si>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</si>
  <si>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</si>
  <si>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</si>
  <si>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</si>
  <si>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</si>
  <si>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</si>
  <si>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</si>
  <si>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</si>
  <si>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</si>
  <si>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</si>
  <si>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</si>
  <si>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</si>
  <si>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</si>
  <si>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</si>
  <si>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</si>
  <si>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</si>
  <si>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</si>
  <si>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</si>
  <si>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</si>
  <si>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</si>
  <si>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</si>
  <si>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</si>
  <si>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</si>
  <si>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</si>
  <si>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</si>
  <si>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</si>
  <si>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</si>
  <si>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</si>
  <si>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</si>
  <si>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</si>
  <si>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</si>
  <si>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</si>
  <si>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</si>
  <si>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</si>
  <si>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</si>
  <si>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</si>
  <si>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</si>
  <si>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</si>
  <si>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</si>
  <si>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</si>
  <si>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</si>
  <si>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</si>
  <si>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</si>
  <si>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</si>
  <si>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</si>
  <si>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</si>
  <si>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</si>
  <si>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</si>
  <si>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</si>
  <si>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</si>
  <si>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</si>
  <si>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</si>
  <si>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</si>
  <si>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</si>
  <si>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</si>
  <si>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</si>
  <si>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</si>
  <si>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</si>
  <si>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</si>
  <si>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</si>
  <si>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</si>
  <si>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</si>
  <si>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</si>
  <si>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</si>
  <si>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</si>
  <si>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</si>
  <si>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</si>
  <si>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</si>
  <si>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</si>
  <si>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</si>
  <si>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</si>
  <si>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</si>
  <si>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</si>
  <si>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</si>
  <si>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</si>
  <si>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</si>
  <si>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</si>
  <si>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</si>
  <si>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</si>
  <si>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</si>
  <si>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</si>
  <si>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</si>
  <si>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</si>
  <si>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</si>
  <si>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</si>
  <si>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</si>
  <si>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</si>
  <si>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</si>
  <si>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</si>
  <si>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</si>
  <si>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</si>
  <si>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</si>
  <si>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</si>
  <si>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</si>
  <si>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</si>
  <si>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</si>
  <si>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</si>
  <si>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</si>
  <si>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</si>
  <si>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</si>
  <si>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</si>
  <si>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</si>
  <si>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</si>
  <si>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</si>
  <si>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</si>
  <si>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</si>
  <si>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</si>
  <si>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</si>
  <si>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</si>
  <si>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</si>
  <si>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</si>
  <si>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</si>
  <si>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</si>
  <si>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</si>
  <si>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</si>
  <si>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Liveweight sold</t>
  </si>
  <si>
    <t>Manure produced</t>
  </si>
  <si>
    <t>10.1.1-2 Solid waste treatment</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</si>
  <si>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</si>
  <si>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</si>
  <si>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</si>
  <si>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</si>
  <si>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</si>
  <si>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</si>
  <si>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</si>
  <si>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</si>
  <si>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</si>
  <si>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</si>
  <si>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</si>
  <si>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</si>
  <si>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</si>
  <si>
    <t>Feedlot management</t>
  </si>
  <si>
    <t>4.1.1.1-2 Manure Methane</t>
  </si>
  <si>
    <t>3.1.1.1-2 Enteric Methane</t>
  </si>
  <si>
    <t>4.1.1.3-4 Manure Direct N20</t>
  </si>
  <si>
    <t xml:space="preserve"> 4.1.1.5-6 Manure Atmospheric Deposition</t>
  </si>
  <si>
    <t>15.1.1.1 Total emissions from purchased livestock - Cattle</t>
  </si>
  <si>
    <t>Input - MMS - Feedlot</t>
  </si>
  <si>
    <t>Herd movement</t>
  </si>
  <si>
    <t>Domestic</t>
  </si>
  <si>
    <t>Mid-fed</t>
  </si>
  <si>
    <t>Long-fed</t>
  </si>
  <si>
    <t>head</t>
  </si>
  <si>
    <t>days</t>
  </si>
  <si>
    <t>Intake</t>
  </si>
  <si>
    <t>Method 1 default values (Do not edit)</t>
  </si>
  <si>
    <t>Feed intake</t>
  </si>
  <si>
    <t>kg dry matter / head  day</t>
  </si>
  <si>
    <t>Ether extract</t>
  </si>
  <si>
    <t>fraction</t>
  </si>
  <si>
    <t>NDF</t>
  </si>
  <si>
    <t>Dry matter digestibility</t>
  </si>
  <si>
    <t>Crude protein</t>
  </si>
  <si>
    <t>N retention</t>
  </si>
  <si>
    <t>percent of intake</t>
  </si>
  <si>
    <t>Method 2 custom values (Edit if known)</t>
  </si>
  <si>
    <t>Manure management systems</t>
  </si>
  <si>
    <t>Stage 1 MMS</t>
  </si>
  <si>
    <t>Drylot (feed pad)</t>
  </si>
  <si>
    <t>▼</t>
  </si>
  <si>
    <t>Stage 2 MMS</t>
  </si>
  <si>
    <t>►</t>
  </si>
  <si>
    <r>
      <t xml:space="preserve">Destination after stage 2 MMS </t>
    </r>
    <r>
      <rPr>
        <i/>
        <sz val="10"/>
        <color rgb="FF533001"/>
        <rFont val="Arial"/>
        <family val="1"/>
      </rPr>
      <t>(Percent)</t>
    </r>
  </si>
  <si>
    <t>Sold</t>
  </si>
  <si>
    <t>Fert for own farm (eg crop)</t>
  </si>
  <si>
    <t>Direct application to soil</t>
  </si>
  <si>
    <t>Stage 3 MMS</t>
  </si>
  <si>
    <r>
      <t xml:space="preserve">Destination after stage 3 MMS </t>
    </r>
    <r>
      <rPr>
        <i/>
        <sz val="10"/>
        <color rgb="FF533001"/>
        <rFont val="Arial"/>
        <family val="1"/>
      </rPr>
      <t>(Percent)</t>
    </r>
  </si>
  <si>
    <t>Where manure was deposited on farm soils, what is the closest match?</t>
  </si>
  <si>
    <t>Pasture</t>
  </si>
  <si>
    <t>Not irrigated</t>
  </si>
  <si>
    <t>Variable</t>
  </si>
  <si>
    <t>M1_Table_I_j</t>
  </si>
  <si>
    <t>M2_Table_I_j</t>
  </si>
  <si>
    <t>Dry matter intake (Method 1)</t>
  </si>
  <si>
    <t>Dry matter intake (Method 2)</t>
  </si>
  <si>
    <t>kg DM/head/day</t>
  </si>
  <si>
    <t>M1_Table_DMD_j</t>
  </si>
  <si>
    <t>M2_Table_DMD_j</t>
  </si>
  <si>
    <t>Dry matter digestibility (Method 1)</t>
  </si>
  <si>
    <t>Dry matter digestibility (Method 2)</t>
  </si>
  <si>
    <t>M1_Table_VS_j</t>
  </si>
  <si>
    <t>M2_Table_VS_j</t>
  </si>
  <si>
    <t>Volatile solid production (Method 1)</t>
  </si>
  <si>
    <t>Volatile solid production (Method 2)</t>
  </si>
  <si>
    <t>NOTE: Drylot MCF is state based</t>
  </si>
  <si>
    <t>Table_MMS_m-5_T-1</t>
  </si>
  <si>
    <t>Fraction of manure in primary system drylot</t>
  </si>
  <si>
    <t>M1_Table_M_j_m-5_T-1</t>
  </si>
  <si>
    <t>M2_Table_M_j_m-5_T-1</t>
  </si>
  <si>
    <t>Production of methane stage 1 MMS (Method 1)</t>
  </si>
  <si>
    <t>Production of methane stage 1 MMS (Method 2)</t>
  </si>
  <si>
    <t>Table_MMS_m_T-2</t>
  </si>
  <si>
    <t>Fraction of manure sent to stage 2 MMS</t>
  </si>
  <si>
    <t>M1_Table_MCF_i_m</t>
  </si>
  <si>
    <t>M2_Table_MCF_i_m</t>
  </si>
  <si>
    <t>Methane conversion factor for state and MMS (Method 1)</t>
  </si>
  <si>
    <t>Methane conversion factor for state and MMS (Method 2)</t>
  </si>
  <si>
    <r>
      <t>MCF</t>
    </r>
    <r>
      <rPr>
        <b/>
        <vertAlign val="subscript"/>
        <sz val="10"/>
        <color rgb="FF183C1B"/>
        <rFont val="Arial"/>
        <family val="1"/>
      </rPr>
      <t>im</t>
    </r>
  </si>
  <si>
    <r>
      <rPr>
        <b/>
        <sz val="10"/>
        <color rgb="FF0070C0"/>
        <rFont val="Arial"/>
        <family val="1"/>
      </rPr>
      <t>Note:</t>
    </r>
    <r>
      <rPr>
        <sz val="10"/>
        <color rgb="FF0070C0"/>
        <rFont val="Arial"/>
        <family val="1"/>
      </rPr>
      <t xml:space="preserve"> Manure that is directly applied to soils after it is scraped from the feed pad is calculated as having zero methane emissions.</t>
    </r>
  </si>
  <si>
    <t>M1_Table_M_j_m_T-2</t>
  </si>
  <si>
    <t>M2_Table_M_j_m_T-2</t>
  </si>
  <si>
    <t>Production of methane in stage 2 MMS (Method 1)</t>
  </si>
  <si>
    <t>Production of methane in stage 2 MMS (Method 2)</t>
  </si>
  <si>
    <t>Table_MMS_m-1_T-3</t>
  </si>
  <si>
    <t>Fraction of manure sent to tertiary MMS</t>
  </si>
  <si>
    <t>M1_Table_M_j_m-1_T-3</t>
  </si>
  <si>
    <t>M2_Table_M_j_m-1_T-3</t>
  </si>
  <si>
    <t>Production of methane in stage 3 MMS (Method 1)</t>
  </si>
  <si>
    <t>Production of methane in stage 3 MMS (Method 2)</t>
  </si>
  <si>
    <t>Table_D_j</t>
  </si>
  <si>
    <t>Duration of stay</t>
  </si>
  <si>
    <t>M1_Table_M_j_m_T</t>
  </si>
  <si>
    <t>M2_Table_M_j_m_T</t>
  </si>
  <si>
    <t>Methane production for all livestock groups, MMS and treatment stages (Method 1)</t>
  </si>
  <si>
    <t>Methane production for all livestock groups, MMS and treatment stages (Method 2)</t>
  </si>
  <si>
    <t>Stage</t>
  </si>
  <si>
    <t>MMS</t>
  </si>
  <si>
    <t>Table_N_j</t>
  </si>
  <si>
    <t>Number of head in each group</t>
  </si>
  <si>
    <t>Table_E_CH4</t>
  </si>
  <si>
    <t>Methane emissions for each group, MMS and treatment stage</t>
  </si>
  <si>
    <t>ECH4 (Method 1)</t>
  </si>
  <si>
    <t>ECH4 (Method 2)</t>
  </si>
  <si>
    <r>
      <t>E</t>
    </r>
    <r>
      <rPr>
        <vertAlign val="subscript"/>
        <sz val="10"/>
        <color theme="1" tint="0.24994659260841701"/>
        <rFont val="Arial"/>
        <family val="1"/>
      </rPr>
      <t>CO2e</t>
    </r>
    <r>
      <rPr>
        <sz val="10"/>
        <color theme="1" tint="0.24994659260841701"/>
        <rFont val="Arial"/>
        <family val="1"/>
      </rPr>
      <t xml:space="preserve"> (Method 1)</t>
    </r>
  </si>
  <si>
    <r>
      <t>E</t>
    </r>
    <r>
      <rPr>
        <vertAlign val="subscript"/>
        <sz val="10"/>
        <color theme="1" tint="0.24994659260841701"/>
        <rFont val="Arial"/>
        <family val="1"/>
      </rPr>
      <t>CO2e</t>
    </r>
    <r>
      <rPr>
        <sz val="10"/>
        <color theme="1" tint="0.24994659260841701"/>
        <rFont val="Arial"/>
        <family val="1"/>
      </rPr>
      <t xml:space="preserve"> (Method 2)</t>
    </r>
  </si>
  <si>
    <t>4.1.1.3-4 Manure Direct N2O</t>
  </si>
  <si>
    <t>Formula name</t>
  </si>
  <si>
    <t>M1_Table_CP_j</t>
  </si>
  <si>
    <t>M2_Table_CP_j</t>
  </si>
  <si>
    <t>Crude protein content of feed (Method 1)</t>
  </si>
  <si>
    <t>Crude protein content of feed (Method 2)</t>
  </si>
  <si>
    <t>M1_Table_NI_j</t>
  </si>
  <si>
    <t>M2_Table_NI_j</t>
  </si>
  <si>
    <t>Nitrogen intake (Method 1)</t>
  </si>
  <si>
    <t>Nitrogen intake (Method 2)</t>
  </si>
  <si>
    <t>M1_Table_NR_j</t>
  </si>
  <si>
    <t>M2_Table_NR_j</t>
  </si>
  <si>
    <t>Nitrogen retention (Method 1)</t>
  </si>
  <si>
    <t>Nitrogen retention (Method 2)</t>
  </si>
  <si>
    <t>Fraction of intake</t>
  </si>
  <si>
    <t>M1_Table_NE_j</t>
  </si>
  <si>
    <t>M2_Table_NE_j</t>
  </si>
  <si>
    <t>Head</t>
  </si>
  <si>
    <t>M1_Table_AE_j</t>
  </si>
  <si>
    <t>M2_Table_AE_j</t>
  </si>
  <si>
    <t>Annual nitrogen excretion (Method 1)</t>
  </si>
  <si>
    <t>Annual nitrogen excretion (Method 2)</t>
  </si>
  <si>
    <t>Table_MMS_j_m-5_T-1</t>
  </si>
  <si>
    <t>M1_Table_MN_j_m-5_T-1</t>
  </si>
  <si>
    <t>M2_Table_MN_j_m-5_T-1</t>
  </si>
  <si>
    <t>Nitrogen in stage 1 MMS (Method 1)</t>
  </si>
  <si>
    <t>Nitrogen in stage 1 MMS (Method 2)</t>
  </si>
  <si>
    <t>Table_MMS_j_m-1_T-3</t>
  </si>
  <si>
    <t>Fraction of manure sent to stage 3 MMS</t>
  </si>
  <si>
    <t>M1_Table_MN_j_m-1_T-3</t>
  </si>
  <si>
    <t>M2_Table_MN_j_m-1_T-3</t>
  </si>
  <si>
    <t>Nitrogen in stage 3 MMS (Method 1)</t>
  </si>
  <si>
    <t>Nitrogen in stage 3 MMS (Method 2)</t>
  </si>
  <si>
    <t>M1_Table_NT_j_m-_T-2</t>
  </si>
  <si>
    <t>M2_Table_NT_j_m-_T-2</t>
  </si>
  <si>
    <t>Nitrogen transferred to stage 2 MMS (Method 1)</t>
  </si>
  <si>
    <t>Nitrogen transferred to stage 2 MMS (Method 2)</t>
  </si>
  <si>
    <t>Table_MMS_j_m_T-2</t>
  </si>
  <si>
    <t>M1_Table_MN_j_m_T-2</t>
  </si>
  <si>
    <t>Nitrogen in stage 2 MMS (Method 1)</t>
  </si>
  <si>
    <t>Nitrogen in stage 2 MMS (Method 2)</t>
  </si>
  <si>
    <t>Table_EF_j_m</t>
  </si>
  <si>
    <t>EFs for MMS</t>
  </si>
  <si>
    <r>
      <t>EF</t>
    </r>
    <r>
      <rPr>
        <b/>
        <vertAlign val="subscript"/>
        <sz val="10"/>
        <color rgb="FF183C1B"/>
        <rFont val="Arial"/>
        <family val="1"/>
      </rPr>
      <t>jm</t>
    </r>
  </si>
  <si>
    <r>
      <rPr>
        <b/>
        <sz val="10"/>
        <color rgb="FF0070C0"/>
        <rFont val="Arial"/>
        <family val="1"/>
      </rPr>
      <t>Note:</t>
    </r>
    <r>
      <rPr>
        <sz val="10"/>
        <color rgb="FF0070C0"/>
        <rFont val="Arial"/>
        <family val="1"/>
      </rPr>
      <t xml:space="preserve"> Manure that is directly applied to soil after stage 1 is not included in direct nitrous oxide calculations</t>
    </r>
  </si>
  <si>
    <t>and instead is handled in 'Manure applied to soils'.</t>
  </si>
  <si>
    <t>M1_Table_E_N2O_dir</t>
  </si>
  <si>
    <t>M2_Table_E_N2O_dir</t>
  </si>
  <si>
    <t>Total annual N2O emissions (Method 1)</t>
  </si>
  <si>
    <t>Total annual N2O emissions (Method 2)</t>
  </si>
  <si>
    <r>
      <t>E</t>
    </r>
    <r>
      <rPr>
        <b/>
        <vertAlign val="subscript"/>
        <sz val="14"/>
        <color theme="1" tint="0.24994659260841701"/>
        <rFont val="Arial"/>
        <family val="1"/>
      </rPr>
      <t>N2O,dir</t>
    </r>
  </si>
  <si>
    <r>
      <t>E</t>
    </r>
    <r>
      <rPr>
        <vertAlign val="subscript"/>
        <sz val="10"/>
        <color theme="1" tint="0.24994659260841701"/>
        <rFont val="Arial"/>
        <family val="1"/>
      </rPr>
      <t>CO2e</t>
    </r>
  </si>
  <si>
    <t>4.1.1.5-6 Manure Atmospheric Deposition</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</si>
  <si>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</si>
  <si>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M1_Table_MN_j_m_T</t>
  </si>
  <si>
    <t>M2_Table_MN_j_m_T</t>
  </si>
  <si>
    <t>Nitrogen in each MMS excluding direct application (Method 1)</t>
  </si>
  <si>
    <t>Nitrogen in each MMS excluding direct application (Method 2)</t>
  </si>
  <si>
    <t>Table_FracGASM_m_T-2-3</t>
  </si>
  <si>
    <t>Fraction of N volatilised in each MMS</t>
  </si>
  <si>
    <t>M1_Table_MMS_ATMOS</t>
  </si>
  <si>
    <t>M2_Table_MMS_ATMOS</t>
  </si>
  <si>
    <r>
      <t>MMS</t>
    </r>
    <r>
      <rPr>
        <b/>
        <vertAlign val="subscript"/>
        <sz val="10"/>
        <color theme="1" tint="0.24994659260841701"/>
        <rFont val="Arial"/>
        <family val="1"/>
      </rPr>
      <t>ATMOS</t>
    </r>
  </si>
  <si>
    <r>
      <t>E</t>
    </r>
    <r>
      <rPr>
        <b/>
        <vertAlign val="subscript"/>
        <sz val="14"/>
        <color theme="1" tint="0.24994659260841701"/>
        <rFont val="Arial"/>
        <family val="1"/>
      </rPr>
      <t>N2O,ad</t>
    </r>
  </si>
  <si>
    <t>4.1.1.9 Manure applied to soils</t>
  </si>
  <si>
    <t>M1_Table_MN_j_m_T-2-3</t>
  </si>
  <si>
    <t>M2_Table_MN_j_m_T-2-3</t>
  </si>
  <si>
    <t>Mass on N in stage 2 and 3 MMS (Method 1)</t>
  </si>
  <si>
    <t>Mass on N in stage 2 and 3 MMS (Method 2)</t>
  </si>
  <si>
    <t>kg N</t>
  </si>
  <si>
    <t>Table_EF_j_m_T-2-3</t>
  </si>
  <si>
    <t>kg N2O/kg N</t>
  </si>
  <si>
    <t>(kg NH3-N + NOx-N)/kg N</t>
  </si>
  <si>
    <t>Table_PF</t>
  </si>
  <si>
    <t>Fraction of manure applied to soil from MMS</t>
  </si>
  <si>
    <t>PF</t>
  </si>
  <si>
    <t>M1_Table_MNSoil_scope1</t>
  </si>
  <si>
    <t>M2_Table_MNSoil_scope1</t>
  </si>
  <si>
    <t>Mass of N applied to soils (Method 1)</t>
  </si>
  <si>
    <t>Mass of N applied to soils (Method 2)</t>
  </si>
  <si>
    <r>
      <t>MNSoil</t>
    </r>
    <r>
      <rPr>
        <b/>
        <vertAlign val="subscript"/>
        <sz val="14"/>
        <color theme="1" tint="0.24994659260841701"/>
        <rFont val="Arial"/>
        <family val="1"/>
      </rPr>
      <t>scope1</t>
    </r>
  </si>
  <si>
    <t>M1_Table_MNSoil_scope3</t>
  </si>
  <si>
    <t>M2_Table_MNSoil_scope3</t>
  </si>
  <si>
    <t>Mass of N applied to soils as fertiliser (Method 1)</t>
  </si>
  <si>
    <t>Mass of N applied to soils as fertiliser (Method 2)</t>
  </si>
  <si>
    <r>
      <t>MNSoil</t>
    </r>
    <r>
      <rPr>
        <b/>
        <vertAlign val="subscript"/>
        <sz val="14"/>
        <color theme="1" tint="0.24994659260841701"/>
        <rFont val="Arial"/>
        <family val="1"/>
      </rPr>
      <t>fert,scope3</t>
    </r>
  </si>
  <si>
    <t>* Manure that is removed from stage 2 and 3 MMS and used as fertiliser on the farm, for other enterprises (eg crops)</t>
  </si>
  <si>
    <t>Scope 1: Mass of nitrogen applied as fertiliser on own farm</t>
  </si>
  <si>
    <t>Table_PF_fert</t>
  </si>
  <si>
    <t>Fraction of manure applied to as fertiliser on own farm from MMS</t>
  </si>
  <si>
    <r>
      <t>PF</t>
    </r>
    <r>
      <rPr>
        <b/>
        <vertAlign val="subscript"/>
        <sz val="10"/>
        <color rgb="FF533001"/>
        <rFont val="Arial"/>
        <family val="1"/>
      </rPr>
      <t>fert</t>
    </r>
  </si>
  <si>
    <t>M1_Table_MNSoil_scope3_fert</t>
  </si>
  <si>
    <t>M2_Table_MNSoil_scope3_fert</t>
  </si>
  <si>
    <t>Mass of N applied to own farm as fertiliser (Method 1)</t>
  </si>
  <si>
    <t>Mass of N applied to own farm as fertiliser (Method 2)</t>
  </si>
  <si>
    <r>
      <t>MNSoil</t>
    </r>
    <r>
      <rPr>
        <b/>
        <vertAlign val="subscript"/>
        <sz val="14"/>
        <color theme="1" tint="0.24994659260841701"/>
        <rFont val="Arial"/>
        <family val="1"/>
      </rPr>
      <t>scope3,fert</t>
    </r>
  </si>
  <si>
    <t>Source Data - Feedlot</t>
  </si>
  <si>
    <t>Feedlot manure management systems</t>
  </si>
  <si>
    <t>Feedlot crop or pasture production systems</t>
  </si>
  <si>
    <t>Irrigation methods</t>
  </si>
  <si>
    <t>Livestock classes</t>
  </si>
  <si>
    <t>Table_LivestockClasses_Feedlot</t>
  </si>
  <si>
    <t>Symbol and MMS</t>
  </si>
  <si>
    <t>Production system</t>
  </si>
  <si>
    <t>Livestock class</t>
  </si>
  <si>
    <t>Drip irrigation</t>
  </si>
  <si>
    <t>Sprinkler irrigation</t>
  </si>
  <si>
    <t>Surface irrigation</t>
  </si>
  <si>
    <t>Other irrigation</t>
  </si>
  <si>
    <t>Feedlot type</t>
  </si>
  <si>
    <t>Length of stay</t>
  </si>
  <si>
    <t>Characteristic</t>
  </si>
  <si>
    <t>2005-2009</t>
  </si>
  <si>
    <t>2010-2014</t>
  </si>
  <si>
    <t>2015-2019</t>
  </si>
  <si>
    <t>2020-2023</t>
  </si>
  <si>
    <t>Nutrient analysis</t>
  </si>
  <si>
    <t>2020-2023 Converted to fraction</t>
  </si>
  <si>
    <t>Treatment stage T</t>
  </si>
  <si>
    <t>MMS m</t>
  </si>
  <si>
    <t>NSW</t>
  </si>
  <si>
    <t>ACT</t>
  </si>
  <si>
    <t>QLD</t>
  </si>
  <si>
    <t>NT</t>
  </si>
  <si>
    <t>SA</t>
  </si>
  <si>
    <t>VIC</t>
  </si>
  <si>
    <t>WA</t>
  </si>
  <si>
    <t>TAS</t>
  </si>
  <si>
    <t>NIR definition</t>
  </si>
  <si>
    <t>EF mT</t>
  </si>
  <si>
    <t>FracGASMmT</t>
  </si>
  <si>
    <t>3.1.1.1-2 Enteric Methane Beef Feedlot</t>
  </si>
  <si>
    <t>M1_Table_EE_j</t>
  </si>
  <si>
    <t>M2_Table_EE_j</t>
  </si>
  <si>
    <t>Ether extract (Method 1)</t>
  </si>
  <si>
    <t>Ether extract (Method 2)</t>
  </si>
  <si>
    <t>M1_Table_NDF_j</t>
  </si>
  <si>
    <t>M2_Table_NDF_j</t>
  </si>
  <si>
    <t>Neutral detergent fibre (Method 1)</t>
  </si>
  <si>
    <t>Neutral detergent fibre (Method 2)</t>
  </si>
  <si>
    <t>M1_Table_M_j</t>
  </si>
  <si>
    <t>M2_Table_M_j</t>
  </si>
  <si>
    <t>Daily production of enteric methane (Method 1)</t>
  </si>
  <si>
    <t>Daily production of enteric methane (Method 2)</t>
  </si>
  <si>
    <t>M1_Table_E_CH4</t>
  </si>
  <si>
    <t>M2_Table_E_CH4</t>
  </si>
  <si>
    <t>Methane emissions for each group, MMS and treatment stage (Method 1)</t>
  </si>
  <si>
    <t>Methane emissions for each group, MMS and treatment stage (Method 2)</t>
  </si>
  <si>
    <r>
      <t>E</t>
    </r>
    <r>
      <rPr>
        <b/>
        <vertAlign val="subscript"/>
        <sz val="14"/>
        <color theme="1" tint="0.24994659260841701"/>
        <rFont val="Arial"/>
        <family val="1"/>
      </rPr>
      <t>enteric</t>
    </r>
    <r>
      <rPr>
        <b/>
        <sz val="14"/>
        <color theme="1" tint="0.24994659260841701"/>
        <rFont val="Arial"/>
        <family val="1"/>
      </rPr>
      <t xml:space="preserve"> (Method 1)</t>
    </r>
  </si>
  <si>
    <r>
      <t>E</t>
    </r>
    <r>
      <rPr>
        <b/>
        <vertAlign val="subscript"/>
        <sz val="14"/>
        <color theme="1" tint="0.24994659260841701"/>
        <rFont val="Arial"/>
        <family val="1"/>
      </rPr>
      <t>enteric</t>
    </r>
    <r>
      <rPr>
        <b/>
        <sz val="14"/>
        <color theme="1" tint="0.24994659260841701"/>
        <rFont val="Arial"/>
        <family val="1"/>
      </rPr>
      <t xml:space="preserve"> (Method 2)</t>
    </r>
  </si>
  <si>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</si>
  <si>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</si>
  <si>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</si>
  <si>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</si>
  <si>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</si>
  <si>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</si>
  <si>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</si>
  <si>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</si>
  <si>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</si>
  <si>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</si>
  <si>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</si>
  <si>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</si>
  <si>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</si>
  <si>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</si>
  <si>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</si>
  <si>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</si>
  <si>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</si>
  <si>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</si>
  <si>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</si>
  <si>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</si>
  <si>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</si>
  <si>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</si>
  <si>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</si>
  <si>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</si>
  <si>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</si>
  <si>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</si>
  <si>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</si>
  <si>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</si>
  <si>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</si>
  <si>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</si>
  <si>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</si>
  <si>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</si>
  <si>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</si>
  <si>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</si>
  <si>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</si>
  <si>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</si>
  <si>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</si>
  <si>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</si>
  <si>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</si>
  <si>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</si>
  <si>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</si>
  <si>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</si>
  <si>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</si>
  <si>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</si>
  <si>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</si>
  <si>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</si>
  <si>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</si>
  <si>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</si>
  <si>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</si>
  <si>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</si>
  <si>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</si>
  <si>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</si>
  <si>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</si>
  <si>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</si>
  <si>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</si>
  <si>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</si>
  <si>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</si>
  <si>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</si>
  <si>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</si>
  <si>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</si>
  <si>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</si>
  <si>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</si>
  <si>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</si>
  <si>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</si>
  <si>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</si>
  <si>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</si>
  <si>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</si>
  <si>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</si>
  <si>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</si>
  <si>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</si>
  <si>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</si>
  <si>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</si>
  <si>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</si>
  <si>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</si>
  <si>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</si>
  <si>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</si>
  <si>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</si>
  <si>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</si>
  <si>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</si>
  <si>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</si>
  <si>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</si>
  <si>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</si>
  <si>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</si>
  <si>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</si>
  <si>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</si>
  <si>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</si>
  <si>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</si>
  <si>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</si>
  <si>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</si>
  <si>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</si>
  <si>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</si>
  <si>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</si>
  <si>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</si>
  <si>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</si>
  <si>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</si>
  <si>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</si>
  <si>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</si>
  <si>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</si>
  <si>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</si>
  <si>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</si>
  <si>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</si>
  <si>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</si>
  <si>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</si>
  <si>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</si>
  <si>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</si>
  <si>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</si>
  <si>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</si>
  <si>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</si>
  <si>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</si>
  <si>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</si>
  <si>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</si>
  <si>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</si>
  <si>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</si>
  <si>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</si>
  <si>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</si>
  <si>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</si>
  <si>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</si>
  <si>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</si>
  <si>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</si>
  <si>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</si>
  <si>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</si>
  <si>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</si>
  <si>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</si>
  <si>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</si>
  <si>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</si>
  <si>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</si>
  <si>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</si>
  <si>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</si>
  <si>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</si>
  <si>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</si>
  <si>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</si>
  <si>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</si>
  <si>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</si>
  <si>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</si>
  <si>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</si>
  <si>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</si>
  <si>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</si>
  <si>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</si>
  <si>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</si>
  <si>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</si>
  <si>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</si>
  <si>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</si>
  <si>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</si>
  <si>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</si>
  <si>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</si>
  <si>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</si>
  <si>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</si>
  <si>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</si>
  <si>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</si>
  <si>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</si>
  <si>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</si>
  <si>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</si>
  <si>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</si>
  <si>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</si>
  <si>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</si>
  <si>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</si>
  <si>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</si>
  <si>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</si>
  <si>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</si>
  <si>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</si>
  <si>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</si>
  <si>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</si>
  <si>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</si>
  <si>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</si>
  <si>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</si>
  <si>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</si>
  <si>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</si>
  <si>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</si>
  <si>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</si>
  <si>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</si>
  <si>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</si>
  <si>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</si>
  <si>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</si>
  <si>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</si>
  <si>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</si>
  <si>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</si>
  <si>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</si>
  <si>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</si>
  <si>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</si>
  <si>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</si>
  <si>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</si>
  <si>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</si>
  <si>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</si>
  <si>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</si>
  <si>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</si>
  <si>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</si>
  <si>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</si>
  <si>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</si>
  <si>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</si>
  <si>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</si>
  <si>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</si>
  <si>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</si>
  <si>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</si>
  <si>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</si>
  <si>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</si>
  <si>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</si>
  <si>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</si>
  <si>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</si>
  <si>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</si>
  <si>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</si>
  <si>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</si>
  <si>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</si>
  <si>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</si>
  <si>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</si>
  <si>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</si>
  <si>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</si>
  <si>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</si>
  <si>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</si>
  <si>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</si>
  <si>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</si>
  <si>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</si>
  <si>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</si>
  <si>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</si>
  <si>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</si>
  <si>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</si>
  <si>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</si>
  <si>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</si>
  <si>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</si>
  <si>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</si>
  <si>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</si>
  <si>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</si>
  <si>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</si>
  <si>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</si>
  <si>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</si>
  <si>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</si>
  <si>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</si>
  <si>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</si>
  <si>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</si>
  <si>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</si>
  <si>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</si>
  <si>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</si>
  <si>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</si>
  <si>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</si>
  <si>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</si>
  <si>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</si>
  <si>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</si>
  <si>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</si>
  <si>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</si>
  <si>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</si>
  <si>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</si>
  <si>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</si>
  <si>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</si>
  <si>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</si>
  <si>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</si>
  <si>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</si>
  <si>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</si>
  <si>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</si>
  <si>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</si>
  <si>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</si>
  <si>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</si>
  <si>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</si>
  <si>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</si>
  <si>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</si>
  <si>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</si>
  <si>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</si>
  <si>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</si>
  <si>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</si>
  <si>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</si>
  <si>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</si>
  <si>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</si>
  <si>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</si>
  <si>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</si>
  <si>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</si>
  <si>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</si>
  <si>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</si>
  <si>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</si>
  <si>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</si>
  <si>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</si>
  <si>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</si>
  <si>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</si>
  <si>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</si>
  <si>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</si>
  <si>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</si>
  <si>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</si>
  <si>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</si>
  <si>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</si>
  <si>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</si>
  <si>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</si>
  <si>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</si>
  <si>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</si>
  <si>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</si>
  <si>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</si>
  <si>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</si>
  <si>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</si>
  <si>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</si>
  <si>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</si>
  <si>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</si>
  <si>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</si>
  <si>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</si>
  <si>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</si>
  <si>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</si>
  <si>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</si>
  <si>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</si>
  <si>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</si>
  <si>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</si>
  <si>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</si>
  <si>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</si>
  <si>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</si>
  <si>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</si>
  <si>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</si>
  <si>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</si>
  <si>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</si>
  <si>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</si>
  <si>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</si>
  <si>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</si>
  <si>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</si>
  <si>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</si>
  <si>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</si>
  <si>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</si>
  <si>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</si>
  <si>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</si>
  <si>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</si>
  <si>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</si>
  <si>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</si>
  <si>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</si>
  <si>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</si>
  <si>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</si>
  <si>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</si>
  <si>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</si>
  <si>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</si>
  <si>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</si>
  <si>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</si>
  <si>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</si>
  <si>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</si>
  <si>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</si>
  <si>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</si>
  <si>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</si>
  <si>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</si>
  <si>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</si>
  <si>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</si>
  <si>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</si>
  <si>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</si>
  <si>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</si>
  <si>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</si>
  <si>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</si>
  <si>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</si>
  <si>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</si>
  <si>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</si>
  <si>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</si>
  <si>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</si>
  <si>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</si>
  <si>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</si>
  <si>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</si>
  <si>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</si>
  <si>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</si>
  <si>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</si>
  <si>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</si>
  <si>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</si>
  <si>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</si>
  <si>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</si>
  <si>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</si>
  <si>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</si>
  <si>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</si>
  <si>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</si>
  <si>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</si>
  <si>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</si>
  <si>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</si>
  <si>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</si>
  <si>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</si>
  <si>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</si>
  <si>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</si>
  <si>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</si>
  <si>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</si>
  <si>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</si>
  <si>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</si>
  <si>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</si>
  <si>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</si>
  <si>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</si>
  <si>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</si>
  <si>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</si>
  <si>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</si>
  <si>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</si>
  <si>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</si>
  <si>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</si>
  <si>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</si>
  <si>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</si>
  <si>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</si>
  <si>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</si>
  <si>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</si>
  <si>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</si>
  <si>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</si>
  <si>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</si>
  <si>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</si>
  <si>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</si>
  <si>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</si>
  <si>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</si>
  <si>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</si>
  <si>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</si>
  <si>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</si>
  <si>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</si>
  <si>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</si>
  <si>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</si>
  <si>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</si>
  <si>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</si>
  <si>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</si>
  <si>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</si>
  <si>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</si>
  <si>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</si>
  <si>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</si>
  <si>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</si>
  <si>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</si>
  <si>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</si>
  <si>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</si>
  <si>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</si>
  <si>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</si>
  <si>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</si>
  <si>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</si>
  <si>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</si>
  <si>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</si>
  <si>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</si>
  <si>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</si>
  <si>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</si>
  <si>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Cows from Barry</t>
  </si>
  <si>
    <t>Steers &lt; 1 year</t>
  </si>
  <si>
    <t>Cattle, for prime beef</t>
  </si>
  <si>
    <t>WA - Kimberley</t>
  </si>
  <si>
    <t>Steers 1-2 years</t>
  </si>
  <si>
    <t>Cattle, for manufacturing beef</t>
  </si>
  <si>
    <t>WA - South west</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</si>
  <si>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</si>
  <si>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</si>
  <si>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</si>
  <si>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</si>
  <si>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</si>
  <si>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</si>
  <si>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</si>
  <si>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</si>
  <si>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</si>
  <si>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</si>
  <si>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</si>
  <si>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</si>
  <si>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</si>
  <si>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</si>
  <si>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</si>
  <si>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</si>
  <si>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</si>
  <si>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</si>
  <si>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</si>
  <si>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</si>
  <si>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</si>
  <si>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</si>
  <si>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</si>
  <si>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</si>
  <si>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</si>
  <si>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</si>
  <si>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</si>
  <si>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</si>
  <si>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</si>
  <si>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</si>
  <si>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</si>
  <si>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</si>
  <si>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</si>
  <si>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</si>
  <si>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</si>
  <si>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</si>
  <si>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</si>
  <si>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</si>
  <si>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</si>
  <si>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</si>
  <si>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</si>
  <si>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</si>
  <si>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</si>
  <si>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</si>
  <si>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</si>
  <si>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</si>
  <si>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</si>
  <si>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</si>
  <si>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</si>
  <si>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</si>
  <si>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</si>
  <si>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</si>
  <si>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</si>
  <si>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</si>
  <si>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</si>
  <si>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</si>
  <si>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</si>
  <si>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</si>
  <si>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</si>
  <si>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</si>
  <si>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</si>
  <si>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</si>
  <si>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</si>
  <si>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</si>
  <si>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</si>
  <si>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</si>
  <si>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</si>
  <si>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</si>
  <si>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</si>
  <si>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</si>
  <si>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</si>
  <si>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</si>
  <si>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</si>
  <si>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</si>
  <si>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</si>
  <si>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</si>
  <si>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</si>
  <si>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</si>
  <si>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</si>
  <si>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</si>
  <si>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</si>
  <si>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</si>
  <si>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</si>
  <si>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</si>
  <si>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</si>
  <si>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</si>
  <si>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</si>
  <si>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</si>
  <si>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</si>
  <si>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</si>
  <si>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</si>
  <si>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</si>
  <si>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</si>
  <si>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</si>
  <si>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</si>
  <si>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</si>
  <si>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</si>
  <si>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</si>
  <si>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</si>
  <si>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</si>
  <si>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</si>
  <si>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</si>
  <si>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</si>
  <si>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</si>
  <si>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</si>
  <si>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</si>
  <si>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</si>
  <si>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</si>
  <si>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</si>
  <si>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</si>
  <si>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</si>
  <si>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</si>
  <si>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</si>
  <si>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</si>
  <si>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</si>
  <si>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</si>
  <si>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</si>
  <si>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</si>
  <si>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</si>
  <si>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</si>
  <si>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</si>
  <si>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</si>
  <si>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</si>
  <si>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</si>
  <si>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</si>
  <si>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</si>
  <si>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</si>
  <si>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</si>
  <si>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</si>
  <si>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</si>
  <si>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</si>
  <si>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</si>
  <si>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</si>
  <si>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</si>
  <si>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</si>
  <si>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</si>
  <si>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</si>
  <si>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</si>
  <si>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</si>
  <si>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</si>
  <si>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</si>
  <si>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</si>
  <si>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</si>
  <si>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</si>
  <si>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</si>
  <si>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</si>
  <si>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</si>
  <si>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</si>
  <si>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</si>
  <si>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</si>
  <si>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</si>
  <si>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</si>
  <si>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</si>
  <si>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</si>
  <si>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</si>
  <si>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</si>
  <si>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</si>
  <si>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</si>
  <si>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</si>
  <si>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</si>
  <si>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</si>
  <si>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</si>
  <si>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</si>
  <si>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</si>
  <si>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</si>
  <si>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</si>
  <si>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</si>
  <si>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</si>
  <si>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</si>
  <si>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</si>
  <si>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</si>
  <si>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</si>
  <si>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</si>
  <si>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</si>
  <si>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</si>
  <si>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</si>
  <si>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</si>
  <si>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</si>
  <si>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</si>
  <si>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</si>
  <si>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</si>
  <si>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</si>
  <si>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</si>
  <si>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</si>
  <si>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</si>
  <si>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</si>
  <si>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</si>
  <si>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</si>
  <si>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</si>
  <si>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</si>
  <si>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</si>
  <si>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</si>
  <si>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</si>
  <si>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</si>
  <si>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</si>
  <si>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</si>
  <si>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</si>
  <si>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</si>
  <si>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</si>
  <si>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</si>
  <si>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</si>
  <si>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</si>
  <si>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</si>
  <si>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</si>
  <si>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</si>
  <si>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</si>
  <si>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</si>
  <si>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</si>
  <si>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</si>
  <si>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</si>
  <si>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</si>
  <si>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</si>
  <si>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</si>
  <si>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</si>
  <si>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</si>
  <si>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</si>
  <si>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</si>
  <si>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</si>
  <si>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</si>
  <si>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</si>
  <si>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</si>
  <si>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Pilbara</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</si>
  <si>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</si>
  <si>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</si>
  <si>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</si>
  <si>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</si>
  <si>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</si>
  <si>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</si>
  <si>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</si>
  <si>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</si>
  <si>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</si>
  <si>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</si>
  <si>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</si>
  <si>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</si>
  <si>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</si>
  <si>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</si>
  <si>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</si>
  <si>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</si>
  <si>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Livestock</t>
  </si>
  <si>
    <t>Symbol</t>
  </si>
  <si>
    <t>Manure management system</t>
  </si>
  <si>
    <t>Daily production of enteric methane</t>
  </si>
  <si>
    <t>VEERG 2026: 3.1.1.1, Equation (2)</t>
  </si>
  <si>
    <t>M_j</t>
  </si>
  <si>
    <t>kg CH4/head/day</t>
  </si>
  <si>
    <t>I_j</t>
  </si>
  <si>
    <t>dry matter intake</t>
  </si>
  <si>
    <t>EE_j</t>
  </si>
  <si>
    <t>ether extract as a percentage of I_j</t>
  </si>
  <si>
    <t>NDF_j</t>
  </si>
  <si>
    <t>neutral detergent fibre as a percentage of I_j</t>
  </si>
  <si>
    <t>Input</t>
  </si>
  <si>
    <t>per cent</t>
  </si>
  <si>
    <t>Total annual methane production from enteric fermentation in feedlot beef cattle</t>
  </si>
  <si>
    <t>VEERG 2026: 3.1.1.1, Equation (1)</t>
  </si>
  <si>
    <t>E_enteric</t>
  </si>
  <si>
    <t>D_j</t>
  </si>
  <si>
    <t>duration of stay of each cattle lot</t>
  </si>
  <si>
    <t>daily methane production</t>
  </si>
  <si>
    <t>N_j</t>
  </si>
  <si>
    <t>numbers of feedlot cattle in each cattle lot</t>
  </si>
  <si>
    <t>Calculated from 3.1.1.1, (2)</t>
  </si>
  <si>
    <t>Volatile solid production</t>
  </si>
  <si>
    <t>VEERG 2026: 4.1.1.1, Equation (5)</t>
  </si>
  <si>
    <t>VS_j</t>
  </si>
  <si>
    <t>kg/head/day</t>
  </si>
  <si>
    <t>Production of methane in treatment stage 1 MMS</t>
  </si>
  <si>
    <t>VEERG 2026: 4.1.1.1, Equation (2)</t>
  </si>
  <si>
    <t>M_jm5T1</t>
  </si>
  <si>
    <t>volatile solid production from feedlot cattle in each group</t>
  </si>
  <si>
    <t>BO</t>
  </si>
  <si>
    <t>emissions potential</t>
  </si>
  <si>
    <t>MMS_m5T1</t>
  </si>
  <si>
    <t>fraction of manure in primary system drylot MMS</t>
  </si>
  <si>
    <t>MCF_im5</t>
  </si>
  <si>
    <t>methane conversion factor for state and drylot system</t>
  </si>
  <si>
    <t>rho</t>
  </si>
  <si>
    <t>density of methane</t>
  </si>
  <si>
    <t>i</t>
  </si>
  <si>
    <t>state</t>
  </si>
  <si>
    <t>Calculated from 4.1.1.1 (5)</t>
  </si>
  <si>
    <t>m3 CH4/kg VS</t>
  </si>
  <si>
    <t>Constant</t>
  </si>
  <si>
    <t>kg/m3</t>
  </si>
  <si>
    <t>Production of methane in treatment stage 2 MMS</t>
  </si>
  <si>
    <t>VEERG 2026: 4.1.1.1, Equation (3)</t>
  </si>
  <si>
    <t>M_jmT2</t>
  </si>
  <si>
    <t>VSL</t>
  </si>
  <si>
    <t>fraction of volatile solids lost during storage in the primary system</t>
  </si>
  <si>
    <t>MMS_mT2</t>
  </si>
  <si>
    <t>fraction of manure in each secondary system</t>
  </si>
  <si>
    <t>MCF_im</t>
  </si>
  <si>
    <t>methane conversion factor for state and MMS</t>
  </si>
  <si>
    <t>methane conversion factor for mean annual temperature and MMS</t>
  </si>
  <si>
    <t>Mean annual temperature</t>
  </si>
  <si>
    <t>Production of methane in treatment stage 3 MMS</t>
  </si>
  <si>
    <t>VEERG 2026: 4.1.1.1, Equation (4)</t>
  </si>
  <si>
    <t>M_jm1T3</t>
  </si>
  <si>
    <t>volatile solid production from feedlot cattle in each group j</t>
  </si>
  <si>
    <t>MMS_m1T3</t>
  </si>
  <si>
    <t>fraction of manure to tertiary anaerobic lagoon system</t>
  </si>
  <si>
    <t>MCF_im1</t>
  </si>
  <si>
    <t>methane conversion factor for state and anaerobic lagoon system</t>
  </si>
  <si>
    <t>methane conversion factor for mean annual temperature and anaerobic lagoon system</t>
  </si>
  <si>
    <t>Total annual methane emissions from manure management</t>
  </si>
  <si>
    <t>VEERG 2026: 4.1.1.1, Equation (1)</t>
  </si>
  <si>
    <t>E_CH4</t>
  </si>
  <si>
    <t>length of stay of each cattle group</t>
  </si>
  <si>
    <t>M_jmT</t>
  </si>
  <si>
    <t>methane production from manure per cattle group, MMS, and treatment stage</t>
  </si>
  <si>
    <t>numbers of beef cattle in each group</t>
  </si>
  <si>
    <t>Calculated from 4.1.1.1 (2)(3)(4)</t>
  </si>
  <si>
    <t>Nitrogen intake of feedlot cattle</t>
  </si>
  <si>
    <t>VEERG 2026: 4.1.1.3, Equation (5)</t>
  </si>
  <si>
    <t>NI_j</t>
  </si>
  <si>
    <t>kg N/head/day</t>
  </si>
  <si>
    <t>CP_j</t>
  </si>
  <si>
    <t>crude protein content of feed</t>
  </si>
  <si>
    <t>factor for converting crude protein into nitrogen</t>
  </si>
  <si>
    <t>ratio</t>
  </si>
  <si>
    <t>Nitrogen excretion per head per day</t>
  </si>
  <si>
    <t>VEERG 2026: 4.1.1.3, Equation (4)</t>
  </si>
  <si>
    <t>NE_j</t>
  </si>
  <si>
    <t>nitrogen intake</t>
  </si>
  <si>
    <t>NR_j</t>
  </si>
  <si>
    <t>nitrogen retention expressed as a fraction of intake</t>
  </si>
  <si>
    <t>Calculated from 4.1.1.3 (5)</t>
  </si>
  <si>
    <t>Annual nitrogen excretion from each feedlot cattle group</t>
  </si>
  <si>
    <t>VEERG 2026: 4.1.1.3, Equation (3)</t>
  </si>
  <si>
    <t>AE_j</t>
  </si>
  <si>
    <t>Nitrogen in treatment stage 1 MMS</t>
  </si>
  <si>
    <t>VEERG 2026: 4.1.1.3, Equation (2)</t>
  </si>
  <si>
    <t>MN_jm5T1</t>
  </si>
  <si>
    <t>total nitrogen excreted by each cattle group</t>
  </si>
  <si>
    <t>MMS_jm5T1</t>
  </si>
  <si>
    <t>Calculated from 4.1.1.3 (3)</t>
  </si>
  <si>
    <t>Nitrogen in treatment stage 3 MMS</t>
  </si>
  <si>
    <t>VEERG 2026: 4.1.1.3, Equation (8)</t>
  </si>
  <si>
    <t>MN_jm1T3</t>
  </si>
  <si>
    <t>MMS_jm1T3</t>
  </si>
  <si>
    <t>Nitrogen transferred to treatment stage 2 MMS</t>
  </si>
  <si>
    <t>VEERG 2026: 4.1.1.3, Equation (7)</t>
  </si>
  <si>
    <t>NT_jmT2</t>
  </si>
  <si>
    <t>nitrogen in MMS treatment stage 1</t>
  </si>
  <si>
    <t>FracGASM_m5</t>
  </si>
  <si>
    <t>fraction of N volatilised from drylot MMS</t>
  </si>
  <si>
    <t>EF_m5</t>
  </si>
  <si>
    <t>nitrous oxide emission factor for drylot MMS</t>
  </si>
  <si>
    <t>MN_jmT3</t>
  </si>
  <si>
    <t>nitrogen in MMS treatment stage 3</t>
  </si>
  <si>
    <t>Calculated from 4.1.1.3 (2)</t>
  </si>
  <si>
    <t>kg N2O-N/kg N deposited</t>
  </si>
  <si>
    <t>Calculated from 4.1.1.3 (8)</t>
  </si>
  <si>
    <t>Nitrogen in treatment stage 2 MMS</t>
  </si>
  <si>
    <t>VEERG 2026: 4.1.1.3, Equation (6)</t>
  </si>
  <si>
    <t>MN_jmT2</t>
  </si>
  <si>
    <t>nitrogen transferred to secondary treatment MMS</t>
  </si>
  <si>
    <t>MMS_jmT2</t>
  </si>
  <si>
    <t>Calculated from 4.1.1.3 (7)</t>
  </si>
  <si>
    <t>Total annual direct nitrous oxide emissions from manure management systems</t>
  </si>
  <si>
    <t>VEERG 2026: 4.1.1.3, Equation (1)</t>
  </si>
  <si>
    <t>E_N2Odir</t>
  </si>
  <si>
    <t>MN_jmT</t>
  </si>
  <si>
    <t>nitrogen per cattle group, MMS and treatment stage</t>
  </si>
  <si>
    <t>EF_jm</t>
  </si>
  <si>
    <t>nitrous oxide emission factor for MMS</t>
  </si>
  <si>
    <t>C_N2O</t>
  </si>
  <si>
    <t>factor to convert elemental mass of nitrous oxide to molecular mass</t>
  </si>
  <si>
    <t>Calculated from 4.1.1.3 (2)(6)(8)</t>
  </si>
  <si>
    <t>kg N2O-N/kg N</t>
  </si>
  <si>
    <t>Volatilised nitrogen from manure management</t>
  </si>
  <si>
    <t>VEERG 2026: 4.1.1.5, Equation (2)</t>
  </si>
  <si>
    <t>MMS_ATMOS</t>
  </si>
  <si>
    <t>nitrogen in each treatment stage MMS (excluding MN_ijm13T2)</t>
  </si>
  <si>
    <t>FracGASM_mT</t>
  </si>
  <si>
    <t>fraction of N volatilised in each MMS</t>
  </si>
  <si>
    <t>Total annual atmospheric deposition emissions from manure management</t>
  </si>
  <si>
    <t>VEERG 2026: 4.1.1.5, Equation (1)</t>
  </si>
  <si>
    <t>E_N2Oad</t>
  </si>
  <si>
    <t>mass of N volatilised from MMS</t>
  </si>
  <si>
    <t>EF_N2O</t>
  </si>
  <si>
    <t>nitrous oxide emission factor for atmospheric deposition</t>
  </si>
  <si>
    <t>j</t>
  </si>
  <si>
    <t>production system</t>
  </si>
  <si>
    <t>irrigation method</t>
  </si>
  <si>
    <t>r</t>
  </si>
  <si>
    <t>rainfall zone</t>
  </si>
  <si>
    <t>Calculated from 4.1.1.5 (2)</t>
  </si>
  <si>
    <t>Mass of nitrogen applied to soils for scope 1 emissions</t>
  </si>
  <si>
    <t>VEERG 2026: 4.1.1.9, Equation (1)</t>
  </si>
  <si>
    <t>MNSoil_scope1</t>
  </si>
  <si>
    <t>MN_jmT23</t>
  </si>
  <si>
    <t>mass of N in secondary and tertiary treatment MMS stages as calculated for manure management</t>
  </si>
  <si>
    <t>EF_mT23</t>
  </si>
  <si>
    <t>nitrous oxide emission factor for each MMS</t>
  </si>
  <si>
    <t>FracGASM_mT23</t>
  </si>
  <si>
    <t>fraction of animal waste N volatilised in each MMS for each cattle group</t>
  </si>
  <si>
    <t>fraction of manure applied to soil within the feedlot boundary</t>
  </si>
  <si>
    <t>Calculated from 4.1.1.3 (6)(8)</t>
  </si>
  <si>
    <t>Mass of nitrogen applied to soils for scope 3 emissions</t>
  </si>
  <si>
    <t>VEERG 2026: 4.1.1.9, Equation (2)</t>
  </si>
  <si>
    <t>MNSoil_scope3</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</si>
  <si>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</si>
  <si>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</si>
  <si>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</si>
  <si>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</si>
  <si>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</si>
  <si>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</si>
  <si>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</si>
  <si>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</si>
  <si>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</si>
  <si>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</si>
  <si>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</si>
  <si>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</si>
  <si>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</si>
  <si>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</si>
  <si>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</si>
  <si>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</si>
  <si>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</si>
  <si>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</si>
  <si>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</si>
  <si>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</si>
  <si>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</si>
  <si>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</si>
  <si>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</si>
  <si>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</si>
  <si>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</si>
  <si>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</si>
  <si>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</si>
  <si>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</si>
  <si>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</si>
  <si>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</si>
  <si>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</si>
  <si>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</si>
  <si>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</si>
  <si>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</si>
  <si>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</si>
  <si>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</si>
  <si>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</si>
  <si>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</si>
  <si>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</si>
  <si>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</si>
  <si>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</si>
  <si>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</si>
  <si>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</si>
  <si>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</si>
  <si>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</si>
  <si>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</si>
  <si>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</si>
  <si>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</si>
  <si>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</si>
  <si>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</si>
  <si>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</si>
  <si>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</si>
  <si>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</si>
  <si>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</si>
  <si>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</si>
  <si>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</si>
  <si>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</si>
  <si>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</si>
  <si>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</si>
  <si>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</si>
  <si>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</si>
  <si>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</si>
  <si>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</si>
  <si>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</si>
  <si>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</si>
  <si>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</si>
  <si>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</si>
  <si>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</si>
  <si>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</si>
  <si>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</si>
  <si>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</si>
  <si>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</si>
  <si>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</si>
  <si>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</si>
  <si>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</si>
  <si>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</si>
  <si>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</si>
  <si>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</si>
  <si>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</si>
  <si>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</si>
  <si>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</si>
  <si>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</si>
  <si>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</si>
  <si>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</si>
  <si>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</si>
  <si>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</si>
  <si>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</si>
  <si>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</si>
  <si>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</si>
  <si>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</si>
  <si>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</si>
  <si>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</si>
  <si>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</si>
  <si>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</si>
  <si>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</si>
  <si>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</si>
  <si>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</si>
  <si>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</si>
  <si>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</si>
  <si>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</si>
  <si>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</si>
  <si>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</si>
  <si>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</si>
  <si>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</si>
  <si>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</si>
  <si>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</si>
  <si>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c</t>
  </si>
  <si>
    <t>livestock type</t>
  </si>
  <si>
    <t>o</t>
  </si>
  <si>
    <t>origin</t>
  </si>
  <si>
    <t>kg/head</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</si>
  <si>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</si>
  <si>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</si>
  <si>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</si>
  <si>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</si>
  <si>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</si>
  <si>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</si>
  <si>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</si>
  <si>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</si>
  <si>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</si>
  <si>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</si>
  <si>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</si>
  <si>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</si>
  <si>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</si>
  <si>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</si>
  <si>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</si>
  <si>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</si>
  <si>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</si>
  <si>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</si>
  <si>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</si>
  <si>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</si>
  <si>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</si>
  <si>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</si>
  <si>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</si>
  <si>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</si>
  <si>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</si>
  <si>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</si>
  <si>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f</t>
  </si>
  <si>
    <t>inorganic fertiliser type</t>
  </si>
  <si>
    <t>wt%</t>
  </si>
  <si>
    <t>kg CO2e/kg component</t>
  </si>
  <si>
    <t>Emissions from purchased fertiliser</t>
  </si>
  <si>
    <t>VEERG 2026: 15.4.1.1, Equation (1)</t>
  </si>
  <si>
    <t>TM_jf</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</si>
  <si>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</si>
  <si>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</si>
  <si>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</si>
  <si>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</si>
  <si>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</si>
  <si>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</si>
  <si>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</si>
  <si>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</si>
  <si>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</si>
  <si>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</si>
  <si>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</si>
  <si>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</si>
  <si>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</si>
  <si>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</si>
  <si>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</si>
  <si>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</si>
  <si>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</si>
  <si>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M_lime</t>
  </si>
  <si>
    <t>total quantity of lime applied to soils</t>
  </si>
  <si>
    <t>EF_l</t>
  </si>
  <si>
    <t>emission factor for purchased lime</t>
  </si>
  <si>
    <t>Emissions of purchased services and contractor operations</t>
  </si>
  <si>
    <t>VEERG 2026: 15.7.1.1, Equation (1)</t>
  </si>
  <si>
    <t>A_p</t>
  </si>
  <si>
    <t>activity data of the service that was purchased</t>
  </si>
  <si>
    <t>EF_p</t>
  </si>
  <si>
    <t>life cycle emission factor for the purchased service</t>
  </si>
  <si>
    <t>p</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</si>
  <si>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</si>
  <si>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</si>
  <si>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</si>
  <si>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</si>
  <si>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</si>
  <si>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</si>
  <si>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</si>
  <si>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</si>
  <si>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</si>
  <si>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</si>
  <si>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</si>
  <si>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</si>
  <si>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</si>
  <si>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</si>
  <si>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</si>
  <si>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</si>
  <si>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</si>
  <si>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</si>
  <si>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</si>
  <si>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</si>
  <si>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</si>
  <si>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</si>
  <si>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</si>
  <si>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</si>
  <si>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</si>
  <si>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</si>
  <si>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</si>
  <si>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</si>
  <si>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</si>
  <si>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</si>
  <si>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</si>
  <si>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</si>
  <si>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</si>
  <si>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</si>
  <si>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</si>
  <si>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</si>
  <si>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</si>
  <si>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</si>
  <si>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</si>
  <si>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</si>
  <si>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</si>
  <si>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</si>
  <si>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</si>
  <si>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</si>
  <si>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</si>
  <si>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</si>
  <si>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</si>
  <si>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</si>
  <si>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</si>
  <si>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</si>
  <si>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</si>
  <si>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E_N2O</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</si>
  <si>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</si>
  <si>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</si>
  <si>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</si>
  <si>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</si>
  <si>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</si>
  <si>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Calculated</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</si>
  <si>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</si>
  <si>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</si>
  <si>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</si>
  <si>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</si>
  <si>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</si>
  <si>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</si>
  <si>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</si>
  <si>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</si>
  <si>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</si>
  <si>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</si>
  <si>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</si>
  <si>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</si>
  <si>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Nitrous oxide emissions from the application of all organic fertiliser types f to all production systems j</t>
  </si>
  <si>
    <t>VEERG 2026: 5.2.1.1, Equation (1)</t>
  </si>
  <si>
    <t>MNSoil_jf</t>
  </si>
  <si>
    <t>mass of nitrogen in organic fertiliser type f applied to production system j</t>
  </si>
  <si>
    <t>EF_N2Oi</t>
  </si>
  <si>
    <t>emission factor for direct nitrous oxide emissions from organic fertiliser applied to soils and aquatic systems in climate zone i</t>
  </si>
  <si>
    <t>Calculated from 5.2.1.1 (2)</t>
  </si>
  <si>
    <t>Lookup</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</si>
  <si>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</si>
  <si>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</si>
  <si>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</si>
  <si>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</si>
  <si>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</si>
  <si>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</si>
  <si>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</si>
  <si>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</si>
  <si>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</si>
  <si>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EF_N2Oj</t>
  </si>
  <si>
    <t>emission factor for atmospheric deposition in production system j</t>
  </si>
  <si>
    <t>ir</t>
  </si>
  <si>
    <t>rainfall region</t>
  </si>
  <si>
    <t>Calculated from 5.4.1.3 (2)</t>
  </si>
  <si>
    <t>Mass of nitrogen lost through leaching and runoff from organic fertiliser application in production system j</t>
  </si>
  <si>
    <t>VEERG 2026: 5.5, Equation (3)</t>
  </si>
  <si>
    <t>M_leachorganicj</t>
  </si>
  <si>
    <t>mass of nitrogen in organic fertiliser</t>
  </si>
  <si>
    <t>FracWETj</t>
  </si>
  <si>
    <t>fraction of N available for leaching and runoff</t>
  </si>
  <si>
    <t>FracLEACH</t>
  </si>
  <si>
    <t>fraction of N that is lost through leaching and runoff</t>
  </si>
  <si>
    <t>z</t>
  </si>
  <si>
    <t>location in leaching zone</t>
  </si>
  <si>
    <t>Nitrous oxide emissions from nitrogen leaching and runoff from the application of all fertilisers across all production systems j</t>
  </si>
  <si>
    <t>VEERG 2026: 5.5, Equation (1)</t>
  </si>
  <si>
    <t>E_fertleach</t>
  </si>
  <si>
    <t>M_leachinorganicj</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</si>
  <si>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</si>
  <si>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</si>
  <si>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</si>
  <si>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</si>
  <si>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</si>
  <si>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</si>
  <si>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Feedlot - Fraction of volatile solids lost during storage in the primary system</t>
  </si>
  <si>
    <t>VEERG 2026: 4.1.2.3 CONSTANTS</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</si>
  <si>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</si>
  <si>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</si>
  <si>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</si>
  <si>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</si>
  <si>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</si>
  <si>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</si>
  <si>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</si>
  <si>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</si>
  <si>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</si>
  <si>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</si>
  <si>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</si>
  <si>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</si>
  <si>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</si>
  <si>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</si>
  <si>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</si>
  <si>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</si>
  <si>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</si>
  <si>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</si>
  <si>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</si>
  <si>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</si>
  <si>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per cent of intake</t>
  </si>
  <si>
    <t>Beef feedlot cattle - Diet properties</t>
  </si>
  <si>
    <t>VEERG 2026: Table A.1.1.3: Beef feedlot cattle - Diet properties</t>
  </si>
  <si>
    <t>Added 'Converted to fraction column and converted NDF and Ether extract values to fractions.</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</si>
  <si>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</si>
  <si>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</si>
  <si>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</si>
  <si>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</si>
  <si>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</si>
  <si>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</si>
  <si>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</si>
  <si>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</si>
  <si>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</si>
  <si>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</si>
  <si>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</si>
  <si>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</si>
  <si>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</si>
  <si>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</si>
  <si>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</si>
  <si>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</si>
  <si>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</si>
  <si>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</si>
  <si>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</si>
  <si>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</si>
  <si>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</si>
  <si>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</si>
  <si>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</si>
  <si>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</si>
  <si>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</si>
  <si>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</si>
  <si>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</si>
  <si>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</si>
  <si>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</si>
  <si>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</si>
  <si>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</si>
  <si>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</si>
  <si>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</si>
  <si>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</si>
  <si>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</si>
  <si>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</si>
  <si>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</si>
  <si>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</si>
  <si>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</si>
  <si>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</si>
  <si>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</si>
  <si>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</si>
  <si>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</si>
  <si>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</si>
  <si>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</si>
  <si>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</si>
  <si>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</si>
  <si>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</si>
  <si>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</si>
  <si>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</si>
  <si>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</si>
  <si>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</si>
  <si>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</si>
  <si>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</si>
  <si>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</si>
  <si>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</si>
  <si>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</si>
  <si>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</si>
  <si>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</si>
  <si>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</si>
  <si>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</si>
  <si>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</si>
  <si>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</si>
  <si>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</si>
  <si>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</si>
  <si>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</si>
  <si>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</si>
  <si>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</si>
  <si>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</si>
  <si>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</si>
  <si>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</si>
  <si>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</si>
  <si>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</si>
  <si>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</si>
  <si>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</si>
  <si>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</si>
  <si>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</si>
  <si>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</si>
  <si>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</si>
  <si>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</si>
  <si>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</si>
  <si>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</si>
  <si>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</si>
  <si>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</si>
  <si>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</si>
  <si>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</si>
  <si>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</si>
  <si>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</si>
  <si>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</si>
  <si>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</si>
  <si>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</si>
  <si>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</si>
  <si>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</si>
  <si>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</si>
  <si>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</si>
  <si>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</si>
  <si>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</si>
  <si>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</si>
  <si>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</si>
  <si>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</si>
  <si>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</si>
  <si>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</si>
  <si>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</si>
  <si>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</si>
  <si>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</si>
  <si>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</si>
  <si>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</si>
  <si>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</si>
  <si>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</si>
  <si>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</si>
  <si>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</si>
  <si>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</si>
  <si>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</si>
  <si>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</si>
  <si>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</si>
  <si>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</si>
  <si>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</si>
  <si>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kg C/kg urea</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</si>
  <si>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</si>
  <si>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</si>
  <si>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</si>
  <si>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</si>
  <si>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</si>
  <si>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</si>
  <si>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</si>
  <si>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</si>
  <si>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</si>
  <si>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</si>
  <si>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</si>
  <si>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</si>
  <si>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</si>
  <si>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</si>
  <si>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</si>
  <si>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</si>
  <si>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</si>
  <si>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</si>
  <si>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</si>
  <si>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</si>
  <si>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</si>
  <si>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</si>
  <si>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</si>
  <si>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</si>
  <si>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</si>
  <si>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</si>
  <si>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</si>
  <si>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</si>
  <si>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</si>
  <si>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</si>
  <si>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</si>
  <si>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</si>
  <si>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</si>
  <si>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</si>
  <si>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</si>
  <si>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</si>
  <si>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</si>
  <si>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</si>
  <si>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</si>
  <si>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</si>
  <si>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</si>
  <si>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</si>
  <si>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</si>
  <si>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</si>
  <si>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</si>
  <si>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</si>
  <si>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</si>
  <si>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</si>
  <si>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</si>
  <si>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</si>
  <si>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</si>
  <si>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</si>
  <si>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</si>
  <si>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</si>
  <si>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</si>
  <si>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</si>
  <si>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</si>
  <si>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</si>
  <si>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</si>
  <si>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</si>
  <si>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</si>
  <si>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</si>
  <si>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</si>
  <si>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Yes</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</si>
  <si>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</si>
  <si>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</si>
  <si>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</si>
  <si>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</si>
  <si>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</si>
  <si>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</si>
  <si>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</si>
  <si>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</si>
  <si>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</si>
  <si>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</si>
  <si>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</si>
  <si>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</si>
  <si>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</si>
  <si>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</si>
  <si>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</si>
  <si>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</si>
  <si>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</si>
  <si>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</si>
  <si>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</si>
  <si>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</si>
  <si>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</si>
  <si>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</si>
  <si>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</si>
  <si>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</si>
  <si>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</si>
  <si>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</si>
  <si>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</si>
  <si>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</si>
  <si>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</si>
  <si>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</si>
  <si>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</si>
  <si>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</si>
  <si>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</si>
  <si>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</si>
  <si>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</si>
  <si>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</si>
  <si>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</si>
  <si>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</si>
  <si>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</si>
  <si>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</si>
  <si>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</si>
  <si>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</si>
  <si>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</si>
  <si>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</si>
  <si>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</si>
  <si>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</si>
  <si>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</si>
  <si>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</si>
  <si>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</si>
  <si>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</si>
  <si>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</si>
  <si>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</si>
  <si>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</si>
  <si>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</si>
  <si>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</si>
  <si>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</si>
  <si>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</si>
  <si>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</si>
  <si>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</si>
  <si>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</si>
  <si>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</si>
  <si>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</si>
  <si>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</si>
  <si>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</si>
  <si>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</si>
  <si>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</si>
  <si>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</si>
  <si>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</si>
  <si>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</si>
  <si>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</si>
  <si>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</si>
  <si>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</si>
  <si>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</si>
  <si>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</si>
  <si>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</si>
  <si>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</si>
  <si>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</si>
  <si>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</si>
  <si>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</si>
  <si>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</si>
  <si>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</si>
  <si>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</si>
  <si>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</si>
  <si>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</si>
  <si>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</si>
  <si>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</si>
  <si>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</si>
  <si>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</si>
  <si>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</si>
  <si>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</si>
  <si>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</si>
  <si>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</si>
  <si>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</si>
  <si>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</si>
  <si>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</si>
  <si>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</si>
  <si>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</si>
  <si>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</si>
  <si>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</si>
  <si>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</si>
  <si>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</si>
  <si>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</si>
  <si>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</si>
  <si>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</si>
  <si>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</si>
  <si>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</si>
  <si>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</si>
  <si>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</si>
  <si>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</si>
  <si>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</si>
  <si>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</si>
  <si>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</si>
  <si>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</si>
  <si>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</si>
  <si>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</si>
  <si>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</si>
  <si>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</si>
  <si>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</si>
  <si>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</si>
  <si>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</si>
  <si>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</si>
  <si>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</si>
  <si>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</si>
  <si>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</si>
  <si>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</si>
  <si>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</si>
  <si>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</si>
  <si>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</si>
  <si>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</si>
  <si>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</si>
  <si>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</si>
  <si>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</si>
  <si>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</si>
  <si>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</si>
  <si>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</si>
  <si>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</si>
  <si>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</si>
  <si>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</si>
  <si>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</si>
  <si>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</si>
  <si>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</si>
  <si>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</si>
  <si>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</si>
  <si>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</si>
  <si>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</si>
  <si>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</si>
  <si>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</si>
  <si>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</si>
  <si>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</si>
  <si>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</si>
  <si>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</si>
  <si>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</si>
  <si>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</si>
  <si>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</si>
  <si>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</si>
  <si>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</si>
  <si>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</si>
  <si>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</si>
  <si>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</si>
  <si>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</si>
  <si>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</si>
  <si>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</si>
  <si>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</si>
  <si>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</si>
  <si>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</si>
  <si>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</si>
  <si>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</si>
  <si>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</si>
  <si>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</si>
  <si>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</si>
  <si>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</si>
  <si>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</si>
  <si>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</si>
  <si>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</si>
  <si>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</si>
  <si>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</si>
  <si>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</si>
  <si>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</si>
  <si>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</si>
  <si>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</si>
  <si>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</si>
  <si>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</si>
  <si>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</si>
  <si>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</si>
  <si>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</si>
  <si>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</si>
  <si>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</si>
  <si>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</si>
  <si>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</si>
  <si>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</si>
  <si>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</si>
  <si>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</si>
  <si>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</si>
  <si>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</si>
  <si>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</si>
  <si>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</si>
  <si>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</si>
  <si>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kg liveweight</t>
  </si>
  <si>
    <t>at market</t>
  </si>
  <si>
    <t>Cattle, weaners</t>
  </si>
  <si>
    <t>Chickens</t>
  </si>
  <si>
    <t>Dairy cows</t>
  </si>
  <si>
    <t>Sheep</t>
  </si>
  <si>
    <t>Sheep, for mutton</t>
  </si>
  <si>
    <t>Sheep, for prime lamb</t>
  </si>
  <si>
    <t>at manufacturer</t>
  </si>
  <si>
    <t>Pharmacy chemicals</t>
  </si>
  <si>
    <t>p (head)</t>
  </si>
  <si>
    <t>Grain</t>
  </si>
  <si>
    <t>Barley grain</t>
  </si>
  <si>
    <t>Maize grain</t>
  </si>
  <si>
    <t>Sorghum grain</t>
  </si>
  <si>
    <t>Hay</t>
  </si>
  <si>
    <t>Maize silage</t>
  </si>
  <si>
    <t>Oaten hay</t>
  </si>
  <si>
    <t>Meal</t>
  </si>
  <si>
    <t>Canola meal</t>
  </si>
  <si>
    <t>Meat meal</t>
  </si>
  <si>
    <t>Wheat bran</t>
  </si>
  <si>
    <t>Other</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</si>
  <si>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</si>
  <si>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</si>
  <si>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</si>
  <si>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</si>
  <si>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</si>
  <si>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</si>
  <si>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</si>
  <si>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</si>
  <si>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</si>
  <si>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</si>
  <si>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</si>
  <si>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</si>
  <si>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</si>
  <si>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</si>
  <si>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</si>
  <si>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</si>
  <si>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</si>
  <si>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</si>
  <si>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</si>
  <si>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</si>
  <si>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</si>
  <si>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</si>
  <si>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</si>
  <si>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</si>
  <si>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</si>
  <si>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</si>
  <si>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</si>
  <si>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</si>
  <si>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</si>
  <si>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</si>
  <si>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</si>
  <si>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</si>
  <si>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</si>
  <si>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</si>
  <si>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</si>
  <si>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</si>
  <si>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</si>
  <si>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</si>
  <si>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</si>
  <si>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</si>
  <si>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</si>
  <si>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</si>
  <si>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</si>
  <si>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</si>
  <si>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</si>
  <si>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</si>
  <si>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</si>
  <si>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</si>
  <si>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</si>
  <si>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</si>
  <si>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2,4-D</t>
  </si>
  <si>
    <t>kg AI</t>
  </si>
  <si>
    <t>Atrazine</t>
  </si>
  <si>
    <t>Diuron</t>
  </si>
  <si>
    <t>Glyphosate</t>
  </si>
  <si>
    <t>Mancozeb</t>
  </si>
  <si>
    <t>MCPA</t>
  </si>
  <si>
    <t>Metolachlor</t>
  </si>
  <si>
    <t>Metsulfuron-methyl</t>
  </si>
  <si>
    <t>Pesticides (generic)</t>
  </si>
  <si>
    <t>Tri-allate</t>
  </si>
  <si>
    <t>Tribenuron methyl</t>
  </si>
  <si>
    <t>Trifluralin</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</si>
  <si>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</si>
  <si>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</si>
  <si>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</si>
  <si>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</si>
  <si>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</si>
  <si>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</si>
  <si>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</si>
  <si>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</si>
  <si>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</si>
  <si>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</si>
  <si>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</si>
  <si>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</si>
  <si>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</si>
  <si>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</si>
  <si>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</si>
  <si>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</si>
  <si>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</si>
  <si>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</si>
  <si>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</si>
  <si>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</si>
  <si>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</si>
  <si>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</si>
  <si>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</si>
  <si>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</si>
  <si>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</si>
  <si>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</si>
  <si>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</si>
  <si>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</si>
  <si>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</si>
  <si>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</si>
  <si>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</si>
  <si>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</si>
  <si>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</si>
  <si>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</si>
  <si>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</si>
  <si>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</si>
  <si>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</si>
  <si>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</si>
  <si>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</si>
  <si>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</si>
  <si>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</si>
  <si>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</si>
  <si>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</si>
  <si>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</si>
  <si>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</si>
  <si>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</si>
  <si>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</si>
  <si>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</si>
  <si>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</si>
  <si>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</si>
  <si>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</si>
  <si>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</si>
  <si>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</si>
  <si>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</si>
  <si>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</si>
  <si>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</si>
  <si>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</si>
  <si>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</si>
  <si>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</si>
  <si>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</si>
  <si>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</si>
  <si>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</si>
  <si>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</si>
  <si>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</si>
  <si>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</si>
  <si>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</si>
  <si>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</si>
  <si>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</si>
  <si>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</si>
  <si>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</si>
  <si>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</si>
  <si>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</si>
  <si>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</si>
  <si>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</si>
  <si>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</si>
  <si>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</si>
  <si>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</si>
  <si>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</si>
  <si>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</si>
  <si>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</si>
  <si>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</si>
  <si>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</si>
  <si>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</si>
  <si>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</si>
  <si>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</si>
  <si>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</si>
  <si>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</si>
  <si>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</si>
  <si>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</si>
  <si>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</si>
  <si>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</si>
  <si>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</si>
  <si>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</si>
  <si>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</si>
  <si>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</si>
  <si>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</si>
  <si>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</si>
  <si>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</si>
  <si>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</si>
  <si>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</si>
  <si>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</si>
  <si>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</si>
  <si>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</si>
  <si>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</si>
  <si>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</si>
  <si>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</si>
  <si>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</si>
  <si>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</si>
  <si>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</si>
  <si>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</si>
  <si>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</si>
  <si>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</si>
  <si>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</si>
  <si>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</si>
  <si>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</si>
  <si>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</si>
  <si>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</si>
  <si>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</si>
  <si>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</si>
  <si>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</si>
  <si>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</si>
  <si>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</si>
  <si>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</si>
  <si>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</si>
  <si>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</si>
  <si>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</si>
  <si>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</si>
  <si>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</si>
  <si>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</si>
  <si>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</si>
  <si>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</si>
  <si>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</si>
  <si>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</si>
  <si>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</si>
  <si>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</si>
  <si>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</si>
  <si>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</si>
  <si>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</si>
  <si>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</si>
  <si>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</si>
  <si>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</si>
  <si>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</si>
  <si>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</si>
  <si>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</si>
  <si>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</si>
  <si>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</si>
  <si>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</si>
  <si>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</si>
  <si>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</si>
  <si>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</si>
  <si>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</si>
  <si>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</si>
  <si>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</si>
  <si>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</si>
  <si>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</si>
  <si>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</si>
  <si>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</si>
  <si>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</si>
  <si>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</si>
  <si>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</si>
  <si>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</si>
  <si>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</si>
  <si>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</si>
  <si>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</si>
  <si>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</si>
  <si>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</si>
  <si>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</si>
  <si>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</si>
  <si>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</si>
  <si>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</si>
  <si>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</si>
  <si>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</si>
  <si>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</si>
  <si>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</si>
  <si>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</si>
  <si>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</si>
  <si>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</si>
  <si>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</si>
  <si>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</si>
  <si>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</si>
  <si>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</si>
  <si>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</si>
  <si>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</si>
  <si>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</si>
  <si>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</si>
  <si>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</si>
  <si>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Mass of nitrogen in inorganic fertiliser applied to production system</t>
  </si>
  <si>
    <t>VEERG 2026: 5.1.1.1, Equation (2)</t>
  </si>
  <si>
    <t>MN_jf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</si>
  <si>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</si>
  <si>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</si>
  <si>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</si>
  <si>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</si>
  <si>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</si>
  <si>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</si>
  <si>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</si>
  <si>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</si>
  <si>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</si>
  <si>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</si>
  <si>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</si>
  <si>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</si>
  <si>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Inorganic fertiliser type</t>
  </si>
  <si>
    <t>kg N/ha</t>
  </si>
  <si>
    <t>mass of nitrogen in inorganic fertiliser type f applied to production system j</t>
  </si>
  <si>
    <t>EF_jN2O</t>
  </si>
  <si>
    <t>emission factor for nitrous oxide for inorganic fertilisers</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</si>
  <si>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</si>
  <si>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</si>
  <si>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</si>
  <si>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</si>
  <si>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</si>
  <si>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</si>
  <si>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</si>
  <si>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</si>
  <si>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</si>
  <si>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</si>
  <si>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</si>
  <si>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Calculated from 5.1.1.2 (1)(2)(3)</t>
  </si>
  <si>
    <t>Mass of urea applied to production system</t>
  </si>
  <si>
    <t>VEERG 2026: 5.1.1.3, Equation (2)</t>
  </si>
  <si>
    <t>MU_jf</t>
  </si>
  <si>
    <t>kg urea</t>
  </si>
  <si>
    <t>FU_f</t>
  </si>
  <si>
    <t>fraction of urea in fertiliser type f</t>
  </si>
  <si>
    <t>kg urea/kg</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</si>
  <si>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</si>
  <si>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</si>
  <si>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</si>
  <si>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</si>
  <si>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</si>
  <si>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</si>
  <si>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</si>
  <si>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</si>
  <si>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Mass of nitrogen in purchased organic fertilisers applied to production system</t>
  </si>
  <si>
    <t>VEERG 2026: 5.2.1.1, Equation (2)</t>
  </si>
  <si>
    <t>M_organicjf</t>
  </si>
  <si>
    <t>mass of organic fertiliser type f applied to production system j</t>
  </si>
  <si>
    <t>FN_organicf</t>
  </si>
  <si>
    <t>nitrogen fraction of organic fertiliser type f</t>
  </si>
  <si>
    <t>Emissions from the application of lime and dolomite to production systems</t>
  </si>
  <si>
    <t>VEERG 2026: 5.3.1.1, Equation (1)</t>
  </si>
  <si>
    <t>E_lime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</si>
  <si>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</si>
  <si>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</si>
  <si>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</si>
  <si>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</si>
  <si>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</si>
  <si>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</si>
  <si>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</si>
  <si>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</si>
  <si>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</si>
  <si>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</si>
  <si>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</si>
  <si>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</si>
  <si>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</si>
  <si>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</si>
  <si>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</si>
  <si>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</si>
  <si>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</si>
  <si>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</si>
  <si>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</si>
  <si>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</si>
  <si>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</si>
  <si>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</si>
  <si>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</si>
  <si>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emission factor for atmospheric deposition</t>
  </si>
  <si>
    <t>Calculated from 5.4.1.1 (2)</t>
  </si>
  <si>
    <t>Mass of nitrogen lost through leaching and runoff from inorganic fertiliser application in production system j</t>
  </si>
  <si>
    <t>VEERG 2026: 5.5, Equation (2)</t>
  </si>
  <si>
    <t>mass of nitrogen in inorganic fertiliser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</si>
</sst>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i/>
      <sz val="10"/>
      <color rgb="FF533001"/>
      <name val="Arial"/>
      <family val="1"/>
    </font>
    <font>
      <b/>
      <sz val="10"/>
      <color rgb="FFC44340"/>
      <name val="Arial"/>
      <family val="1"/>
    </font>
    <font>
      <b/>
      <vertAlign val="subscript"/>
      <sz val="10"/>
      <color rgb="FF183C1B"/>
      <name val="Arial"/>
      <family val="1"/>
    </font>
    <font>
      <vertAlign val="subscript"/>
      <sz val="10"/>
      <color theme="1" tint="0.24994659260841701"/>
      <name val="Arial"/>
      <family val="1"/>
    </font>
    <font>
      <b/>
      <vertAlign val="subscript"/>
      <sz val="14"/>
      <color theme="1" tint="0.24994659260841701"/>
      <name val="Arial"/>
      <family val="1"/>
    </font>
    <font>
      <b/>
      <vertAlign val="subscript"/>
      <sz val="10"/>
      <color theme="1" tint="0.24994659260841701"/>
      <name val="Arial"/>
      <family val="1"/>
    </font>
    <font>
      <b/>
      <vertAlign val="subscript"/>
      <sz val="10"/>
      <color rgb="FF533001"/>
      <name val="Arial"/>
      <family val="1"/>
    </font>
    <font>
      <b/>
      <sz val="10"/>
      <color theme="1"/>
      <name val="Arial"/>
      <family val="2"/>
    </font>
    <font>
      <sz val="9"/>
      <color theme="1"/>
      <name val="Arial"/>
      <family val="2"/>
    </font>
    <font>
      <sz val="9"/>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3" fillId="0" borderId="0"/>
    <xf numFmtId="0" fontId="74" fillId="4" borderId="0">
      <alignment horizontal="left" vertical="center"/>
    </xf>
    <xf numFmtId="0" fontId="38" fillId="16" borderId="2">
      <alignment horizontal="center" vertical="center"/>
    </xf>
  </cellStyleXfs>
  <cellXfs count="255">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12" fillId="6" borderId="0" xfId="28">
      <alignment horizontal="left" vertical="center" indent="1"/>
    </xf>
    <xf numFmtId="3" fontId="2" fillId="0" borderId="2" xfId="18">
      <alignment horizontal="center" vertical="center"/>
    </xf>
    <xf numFmtId="0" fontId="20" fillId="5" borderId="0" xfId="36">
      <alignment horizontal="left" vertical="center" indent="1"/>
    </xf>
    <xf numFmtId="0" fontId="55" fillId="6" borderId="0" xfId="29" applyFont="1" applyProtection="1">
      <alignment horizontal="center" vertical="center"/>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2"/>
    </xf>
    <xf numFmtId="0" fontId="55" fillId="6" borderId="0" xfId="29" applyFont="1" applyAlignment="1" applyProtection="1">
      <alignment horizontal="left" vertical="center" indent="3"/>
    </xf>
    <xf numFmtId="0" fontId="56" fillId="4" borderId="0" xfId="59" applyFont="1">
      <alignment horizontal="left" vertical="center"/>
    </xf>
    <xf numFmtId="0" fontId="40" fillId="4" borderId="0" xfId="8" applyFont="1" applyAlignment="1">
      <alignment horizontal="left" vertical="center" indent="6"/>
    </xf>
    <xf numFmtId="0" fontId="27" fillId="4" borderId="0" xfId="8" applyAlignment="1">
      <alignment horizontal="center" vertical="center"/>
    </xf>
    <xf numFmtId="0" fontId="27" fillId="4" borderId="0" xfId="8" applyAlignment="1">
      <alignment horizontal="left" vertical="center" indent="6"/>
    </xf>
    <xf numFmtId="0" fontId="12" fillId="6" borderId="0" xfId="28" applyAlignment="1">
      <alignment horizontal="left" vertical="center" indent="3"/>
    </xf>
    <xf numFmtId="0" fontId="15" fillId="4" borderId="0" xfId="24">
      <alignment horizontal="left" vertical="center"/>
    </xf>
    <xf numFmtId="0" fontId="23" fillId="4" borderId="2" xfId="63">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3" fillId="4" borderId="18" xfId="63" applyBorder="1">
      <alignment horizontal="left" vertical="center"/>
    </xf>
    <xf numFmtId="0" fontId="23" fillId="4" borderId="19" xfId="63" applyBorder="1">
      <alignment horizontal="left" vertical="center"/>
    </xf>
    <xf numFmtId="0" fontId="58" fillId="4" borderId="0" xfId="54" applyFont="1">
      <alignment horizontal="left" vertical="center"/>
    </xf>
    <xf numFmtId="0" fontId="23" fillId="4" borderId="2" xfId="52" applyAlignment="1">
      <alignment horizontal="left" vertical="center"/>
    </xf>
    <xf numFmtId="3" fontId="23" fillId="4" borderId="2" xfId="52" applyNumberFormat="1">
      <alignment horizontal="center" vertical="center"/>
    </xf>
    <xf numFmtId="0" fontId="23" fillId="4" borderId="18" xfId="52" applyBorder="1" applyAlignment="1">
      <alignment horizontal="left" vertical="center"/>
    </xf>
    <xf numFmtId="0" fontId="23" fillId="4" borderId="20" xfId="52" applyBorder="1">
      <alignment horizontal="center" vertical="center"/>
    </xf>
    <xf numFmtId="0" fontId="5" fillId="2" borderId="0" xfId="1">
      <alignment horizontal="left" vertical="center" indent="1"/>
      <protection locked="0"/>
    </xf>
    <xf numFmtId="0" fontId="30" fillId="13" borderId="11" xfId="39" applyBorder="1">
      <alignment horizontal="left" vertical="center"/>
    </xf>
    <xf numFmtId="0" fontId="6" fillId="4" borderId="1" xfId="12" applyBorder="1">
      <alignment horizontal="left" vertical="center" indent="1"/>
    </xf>
    <xf numFmtId="0" fontId="27" fillId="4" borderId="21" xfId="8" applyBorder="1">
      <alignment horizontal="left" vertical="center"/>
    </xf>
    <xf numFmtId="0" fontId="23" fillId="4" borderId="20" xfId="63" applyBorder="1">
      <alignment horizontal="left" vertical="center"/>
    </xf>
    <xf numFmtId="0" fontId="0" fillId="0" borderId="1" xfId="0" applyBorder="1"/>
    <xf numFmtId="0" fontId="0" fillId="0" borderId="0" xfId="1" applyFont="1" applyFill="1">
      <alignment horizontal="left" vertical="center" indent="1"/>
      <protection locked="0"/>
    </xf>
    <xf numFmtId="0" fontId="64" fillId="2" borderId="0" xfId="8" applyFont="1" applyFill="1">
      <alignment horizontal="left" vertical="center"/>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5"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6" fillId="4" borderId="0" xfId="0" applyFont="1" applyFill="1"/>
    <xf numFmtId="0" fontId="26" fillId="4" borderId="0" xfId="48" applyAlignment="1">
      <alignment horizontal="left" vertical="center"/>
    </xf>
    <xf numFmtId="4" fontId="23" fillId="4" borderId="2" xfId="46">
      <alignment horizontal="center" vertical="center"/>
    </xf>
    <xf numFmtId="173" fontId="67"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7"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2" xfId="52" applyBorder="1">
      <alignment horizontal="center" vertical="center"/>
    </xf>
    <xf numFmtId="0" fontId="23" fillId="4" borderId="23" xfId="52" applyBorder="1">
      <alignment horizontal="center" vertical="center"/>
    </xf>
    <xf numFmtId="4" fontId="23" fillId="4" borderId="22" xfId="46" applyBorder="1">
      <alignment horizontal="center" vertical="center"/>
    </xf>
    <xf numFmtId="4" fontId="23" fillId="4" borderId="24" xfId="46" applyBorder="1">
      <alignment horizontal="center" vertical="center"/>
    </xf>
    <xf numFmtId="173" fontId="67" fillId="4" borderId="24" xfId="52" applyNumberFormat="1" applyFont="1" applyBorder="1">
      <alignment horizontal="center" vertical="center"/>
    </xf>
    <xf numFmtId="173" fontId="67" fillId="4" borderId="22" xfId="52" applyNumberFormat="1" applyFont="1" applyBorder="1">
      <alignment horizontal="center" vertical="center"/>
    </xf>
    <xf numFmtId="0" fontId="23" fillId="4" borderId="24" xfId="52" applyBorder="1">
      <alignment horizontal="center" vertical="center"/>
    </xf>
    <xf numFmtId="0" fontId="67" fillId="4" borderId="24" xfId="52" applyFont="1" applyBorder="1">
      <alignment horizontal="center" vertical="center"/>
    </xf>
    <xf numFmtId="0" fontId="3" fillId="4" borderId="21" xfId="7" applyBorder="1">
      <alignment horizontal="left" vertical="center"/>
    </xf>
    <xf numFmtId="165" fontId="66" fillId="4" borderId="21" xfId="0" applyNumberFormat="1" applyFont="1" applyFill="1" applyBorder="1"/>
    <xf numFmtId="0" fontId="6" fillId="4" borderId="21" xfId="12" applyBorder="1">
      <alignment horizontal="left" vertical="center" indent="1"/>
    </xf>
    <xf numFmtId="168" fontId="66" fillId="4" borderId="0" xfId="0" applyNumberFormat="1" applyFont="1" applyFill="1" applyAlignment="1">
      <alignment vertical="center"/>
    </xf>
    <xf numFmtId="165" fontId="66" fillId="4" borderId="21" xfId="0" applyNumberFormat="1" applyFont="1" applyFill="1" applyBorder="1" applyAlignment="1">
      <alignment vertical="center"/>
    </xf>
    <xf numFmtId="0" fontId="66" fillId="4" borderId="0" xfId="0" applyFont="1" applyFill="1" applyAlignment="1">
      <alignment vertical="center"/>
    </xf>
    <xf numFmtId="165" fontId="68" fillId="4" borderId="21" xfId="0" applyNumberFormat="1" applyFont="1" applyFill="1" applyBorder="1" applyAlignment="1">
      <alignment vertical="center"/>
    </xf>
    <xf numFmtId="168" fontId="67" fillId="4" borderId="2" xfId="46" applyNumberFormat="1" applyFont="1">
      <alignment horizontal="center" vertical="center"/>
    </xf>
    <xf numFmtId="168" fontId="67" fillId="4" borderId="17" xfId="46" applyNumberFormat="1" applyFont="1" applyBorder="1">
      <alignment horizontal="center" vertical="center"/>
    </xf>
    <xf numFmtId="168" fontId="67" fillId="4" borderId="24" xfId="46" applyNumberFormat="1" applyFont="1" applyBorder="1">
      <alignment horizontal="center" vertical="center"/>
    </xf>
    <xf numFmtId="0" fontId="65" fillId="0" borderId="0" xfId="0" applyFont="1" applyAlignment="1">
      <alignment vertical="center" wrapText="1"/>
    </xf>
    <xf numFmtId="0" fontId="65" fillId="0" borderId="0" xfId="0" applyFont="1" applyAlignment="1">
      <alignment horizontal="left" vertical="center"/>
    </xf>
    <xf numFmtId="0" fontId="65"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5" fillId="4" borderId="0" xfId="0" applyFont="1" applyFill="1" applyAlignment="1">
      <alignment horizontal="left" vertical="center"/>
    </xf>
    <xf numFmtId="0" fontId="40" fillId="4" borderId="0" xfId="8" applyFont="1" applyAlignment="1">
      <alignment horizontal="right" vertical="center"/>
    </xf>
    <xf numFmtId="0" fontId="69" fillId="4" borderId="0" xfId="0" applyFont="1" applyFill="1"/>
    <xf numFmtId="0" fontId="65" fillId="0" borderId="0" xfId="0" applyFont="1"/>
    <xf numFmtId="0" fontId="65" fillId="0" borderId="0" xfId="7" applyFont="1" applyFill="1">
      <alignment horizontal="left" vertical="center"/>
    </xf>
    <xf numFmtId="0" fontId="65" fillId="4" borderId="0" xfId="0" applyFont="1" applyFill="1"/>
    <xf numFmtId="0" fontId="65" fillId="4" borderId="0" xfId="7" applyFont="1">
      <alignment horizontal="left" vertical="center"/>
    </xf>
    <xf numFmtId="0" fontId="70" fillId="4" borderId="0" xfId="0" applyFont="1" applyFill="1" applyAlignment="1">
      <alignment horizontal="center" vertical="center"/>
    </xf>
    <xf numFmtId="0" fontId="70"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0" fillId="4" borderId="0" xfId="67" applyNumberFormat="1" applyFont="1" applyFill="1" applyBorder="1" applyAlignment="1" applyProtection="1">
      <alignment horizontal="center" wrapText="1"/>
      <protection locked="0"/>
    </xf>
    <xf numFmtId="1" fontId="70" fillId="4" borderId="0" xfId="67" applyNumberFormat="1" applyFont="1" applyFill="1" applyBorder="1" applyAlignment="1" applyProtection="1">
      <alignment horizontal="center" wrapText="1"/>
      <protection locked="0"/>
    </xf>
    <xf numFmtId="0" fontId="70" fillId="4" borderId="0" xfId="0" applyFont="1" applyFill="1" applyAlignment="1">
      <alignment horizontal="left" wrapText="1"/>
    </xf>
    <xf numFmtId="0" fontId="70"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1"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1" fillId="12" borderId="2" xfId="15" applyFont="1">
      <alignment horizontal="center" vertical="center"/>
    </xf>
    <xf numFmtId="9" fontId="0" fillId="0" borderId="25"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6" xfId="39" applyBorder="1">
      <alignment horizontal="left" vertical="center"/>
    </xf>
    <xf numFmtId="0" fontId="30" fillId="13" borderId="0" xfId="39" applyBorder="1">
      <alignment horizontal="left" vertical="center"/>
    </xf>
    <xf numFmtId="0" fontId="30" fillId="13" borderId="27"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30" fillId="13" borderId="5" xfId="39">
      <alignment horizontal="left" vertical="center"/>
    </xf>
    <xf numFmtId="0" fontId="6" fillId="4" borderId="0" xfId="12" applyAlignment="1">
      <alignment horizontal="center" vertical="center"/>
    </xf>
    <xf numFmtId="0" fontId="23" fillId="4" borderId="19" xfId="52" applyBorder="1" applyAlignment="1">
      <alignment horizontal="left" vertical="center"/>
    </xf>
    <xf numFmtId="0" fontId="23" fillId="4" borderId="20" xfId="52" applyBorder="1" applyAlignment="1">
      <alignment horizontal="left" vertical="center"/>
    </xf>
    <xf numFmtId="0" fontId="23" fillId="4" borderId="19" xfId="52" applyBorder="1">
      <alignment horizontal="center" vertical="center"/>
    </xf>
    <xf numFmtId="174" fontId="23" fillId="4" borderId="2" xfId="52" applyNumberFormat="1">
      <alignment horizontal="center" vertical="center"/>
    </xf>
    <xf numFmtId="4" fontId="23" fillId="4" borderId="2" xfId="52" applyNumberFormat="1">
      <alignment horizontal="center" vertical="center"/>
    </xf>
    <xf numFmtId="9" fontId="23" fillId="4" borderId="2" xfId="52" applyNumberFormat="1">
      <alignment horizontal="center" vertical="center"/>
    </xf>
    <xf numFmtId="0" fontId="27" fillId="4" borderId="28" xfId="8" applyBorder="1">
      <alignment horizontal="left"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wrapText="1"/>
    </xf>
    <xf numFmtId="0" fontId="64" fillId="0" borderId="0" xfId="8" applyFont="1" applyFill="1">
      <alignment horizontal="left" vertical="center"/>
    </xf>
    <xf numFmtId="0" fontId="73" fillId="0" borderId="0" xfId="69"/>
    <xf numFmtId="0" fontId="73" fillId="4" borderId="0" xfId="69" applyFill="1"/>
    <xf numFmtId="0" fontId="0" fillId="0" borderId="0" xfId="8" applyFont="1" applyFill="1" applyAlignment="1">
      <alignment horizontal="left" vertical="center" wrapText="1"/>
    </xf>
    <xf numFmtId="15" fontId="2" fillId="0" borderId="2" xfId="14" applyNumberFormat="1">
      <alignment horizontal="center" vertical="center"/>
    </xf>
    <xf numFmtId="0" fontId="74" fillId="4" borderId="0" xfId="70">
      <alignment horizontal="left" vertical="center"/>
    </xf>
    <xf numFmtId="0" fontId="2" fillId="0" borderId="17" xfId="56" applyBorder="1">
      <alignment horizontal="center" vertical="center"/>
    </xf>
    <xf numFmtId="0" fontId="0" fillId="0" borderId="0" xfId="29" applyFont="1" applyFill="1" applyProtection="1">
      <alignment horizontal="center" vertical="center"/>
    </xf>
    <xf numFmtId="0" fontId="70" fillId="4" borderId="0" xfId="69" applyFont="1" applyFill="1" applyAlignment="1" applyProtection="1">
      <alignment horizontal="center"/>
      <protection locked="0"/>
    </xf>
    <xf numFmtId="0" fontId="70"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6" borderId="2" xfId="71">
      <alignment horizontal="center" vertical="center"/>
    </xf>
    <xf numFmtId="0" fontId="64" fillId="6" borderId="0" xfId="8" applyFont="1" applyFill="1">
      <alignment horizontal="left" vertical="center"/>
    </xf>
    <xf numFmtId="0" fontId="67" fillId="4" borderId="2" xfId="52" applyFont="1">
      <alignment horizontal="center" vertical="center"/>
    </xf>
    <xf numFmtId="49" fontId="23" fillId="4" borderId="2" xfId="52" applyNumberFormat="1">
      <alignment horizontal="center" vertical="center"/>
    </xf>
    <xf numFmtId="0" fontId="77"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B1D5AD63-26EE-4A7A-A4C3-D5D472CEC673}"/>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84F2400C-FF53-43DB-A0EC-27BC0A8DF36A}"/>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9C4643A8-DDCE-4947-8423-20AC2B0BE290}"/>
    <cellStyle name="Variable type other" xfId="64" xr:uid="{105BD9DE-B567-4DA0-87E6-C60A0ECC1C65}"/>
  </cellStyles>
  <dxfs count="428">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27"/>
      <tableStyleElement type="headerRow" dxfId="426"/>
      <tableStyleElement type="totalRow" dxfId="425"/>
      <tableStyleElement type="firstColumn" dxfId="424"/>
      <tableStyleElement type="firstRowStripe" dxfId="423"/>
      <tableStyleElement type="secondRowStripe" dxfId="422"/>
    </tableStyle>
    <tableStyle name="Equation table" pivot="0" count="6" xr9:uid="{B247698E-E41D-4CCD-AA0A-C14817E9DE65}">
      <tableStyleElement type="wholeTable" dxfId="421"/>
      <tableStyleElement type="headerRow" dxfId="420"/>
      <tableStyleElement type="totalRow" dxfId="419"/>
      <tableStyleElement type="firstColumn" dxfId="418"/>
      <tableStyleElement type="firstRowStripe" dxfId="417"/>
      <tableStyleElement type="secondRowStripe" dxfId="416"/>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 Target="richData/rdrichvalue.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56" Type="http://schemas.openxmlformats.org/officeDocument/2006/relationships/customXml" Target="../customXml/item3.xml"/><Relationship Id="rId8" Type="http://schemas.openxmlformats.org/officeDocument/2006/relationships/worksheet" Target="worksheets/sheet8.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0/relationships/richValueRel" Target="richData/richValueRel.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Types" Target="richData/rdRichValueTyp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cat>
            <c:strRef>
              <c:f>'Results - Activity period'!$D$9:$D$19</c:f>
              <c:strCache>
                <c:ptCount val="11"/>
                <c:pt idx="0">
                  <c:v>3.1.1.1-2 Enteric Methane</c:v>
                </c:pt>
                <c:pt idx="1">
                  <c:v>4.1.1.1-2 Manure Methane</c:v>
                </c:pt>
                <c:pt idx="2">
                  <c:v>4.1.1.3-4 Manure Direct N20</c:v>
                </c:pt>
                <c:pt idx="3">
                  <c:v> 4.1.1.5-6 Manure Atmospheric Deposition</c:v>
                </c:pt>
                <c:pt idx="4">
                  <c:v>8.1.1.1-2 Transport fuel CO2</c:v>
                </c:pt>
                <c:pt idx="5">
                  <c:v>8.1.1.1-2 Transport fuel CH4</c:v>
                </c:pt>
                <c:pt idx="6">
                  <c:v>8.1.1.1-2 Transport fuel N2O</c:v>
                </c:pt>
                <c:pt idx="7">
                  <c:v>8.2.1.1-2 Stationary fuel CO2</c:v>
                </c:pt>
                <c:pt idx="8">
                  <c:v>8.2.1.1-2 Stationary fuel CH4</c:v>
                </c:pt>
                <c:pt idx="9">
                  <c:v>8.2.1.1-2 Stationary fuel N2O</c:v>
                </c:pt>
                <c:pt idx="10">
                  <c:v>10.1.1-2 Solid waste treatment</c:v>
                </c:pt>
              </c:strCache>
            </c:strRef>
          </c:cat>
          <c:val>
            <c:numRef>
              <c:f>'Results - Activity period'!$I$9:$I$19</c:f>
              <c:numCache>
                <c:formatCode>General</c:formatCode>
                <c:ptCount val="11"/>
                <c:pt idx="0">
                  <c:v>1062.6666400000001</c:v>
                </c:pt>
                <c:pt idx="1">
                  <c:v>73.581417452175344</c:v>
                </c:pt>
                <c:pt idx="2">
                  <c:v>213.63449215245529</c:v>
                </c:pt>
                <c:pt idx="3">
                  <c:v>38.649786416457445</c:v>
                </c:pt>
                <c:pt idx="4">
                  <c:v>83.182000000000002</c:v>
                </c:pt>
                <c:pt idx="5">
                  <c:v>5.5736800000000004</c:v>
                </c:pt>
                <c:pt idx="6">
                  <c:v>154.89250000000001</c:v>
                </c:pt>
                <c:pt idx="7">
                  <c:v>29.070800000000002</c:v>
                </c:pt>
                <c:pt idx="8">
                  <c:v>2.0272000000000001</c:v>
                </c:pt>
                <c:pt idx="9">
                  <c:v>18.921000000000003</c:v>
                </c:pt>
                <c:pt idx="10">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period'!$D$33:$D$43</c:f>
              <c:strCache>
                <c:ptCount val="11"/>
                <c:pt idx="0">
                  <c:v>15.1.1.1 Total emissions from purchased livestock - Cattle</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period'!$I$33:$I$43</c:f>
              <c:numCache>
                <c:formatCode>General</c:formatCode>
                <c:ptCount val="11"/>
                <c:pt idx="0">
                  <c:v>0</c:v>
                </c:pt>
                <c:pt idx="1">
                  <c:v>0.78505200000000008</c:v>
                </c:pt>
                <c:pt idx="2">
                  <c:v>42</c:v>
                </c:pt>
                <c:pt idx="3">
                  <c:v>2.73</c:v>
                </c:pt>
                <c:pt idx="4">
                  <c:v>1.5636000000000001E-2</c:v>
                </c:pt>
                <c:pt idx="5">
                  <c:v>4000</c:v>
                </c:pt>
                <c:pt idx="6">
                  <c:v>26.794</c:v>
                </c:pt>
                <c:pt idx="7">
                  <c:v>2.7</c:v>
                </c:pt>
                <c:pt idx="8">
                  <c:v>441.15000000000003</c:v>
                </c:pt>
                <c:pt idx="9">
                  <c:v>5146700</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930999.0004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417.5643766</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893759.0404</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930999.0004</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417.5643766</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893759.0404</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930999.0004</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521.9554708</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1117198.8</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434.96289233685</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930999.00037567000</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521.9554708</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1117198.8</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929" r="692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349E6D-6E84-45C5-A0DE-0533AE984856}"/>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5.11×</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−4.00×</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+2.26×</m:t>
                        </m:r>
                        <m:r>
                          <a:rPr lang="en-AU" sz="1000" i="1">
                            <a:latin typeface="Cambria Math" panose="02040503050406030204" pitchFamily="18" charset="0"/>
                          </a:rPr>
                          <m:t>𝑁𝐷</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11349E6D-6E84-45C5-A0DE-0533AE984856}"/>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𝑀_𝑗=(5.11×𝐼_𝑗−4.00×𝐸𝐸_𝑗+2.26×𝑁𝐷𝐹_𝑗 )×10^(−3)</a:t>
              </a:r>
              <a:endParaRPr lang="en-AU" sz="10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10333AB-945F-476D-8E7B-CF2836468DC4}"/>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10333AB-945F-476D-8E7B-CF2836468DC4}"/>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𝐸_𝑒𝑛𝑡𝑒𝑟𝑖𝑐=∑2_𝑗▒(𝐷_𝑗×𝑀_𝑗×𝑁_𝑗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2C34B41-FF9E-47FB-BD51-F4C6E209A2D8}"/>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C2C34B41-FF9E-47FB-BD51-F4C6E209A2D8}"/>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𝑉𝑆_𝑗=𝐼_𝑗×(1−𝐷𝑀𝐷_𝑗 )×(1−𝐴)</a:t>
              </a:r>
              <a:endParaRPr lang="en-AU" sz="10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87CD22-0E70-4950-9830-32E1515036C4}"/>
                </a:ext>
              </a:extLst>
            </xdr:cNvPr>
            <xdr:cNvSpPr txBox="1"/>
          </xdr:nvSpPr>
          <xdr:spPr>
            <a:xfrm>
              <a:off x="2714625" y="924401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E487CD22-0E70-4950-9830-32E1515036C4}"/>
                </a:ext>
              </a:extLst>
            </xdr:cNvPr>
            <xdr:cNvSpPr txBox="1"/>
          </xdr:nvSpPr>
          <xdr:spPr>
            <a:xfrm>
              <a:off x="2714625" y="924401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𝑀_(𝑗𝑚=5,𝑇=1)=𝑉𝑆_𝑗×𝐵𝑂×𝑀𝑀𝑆_(𝑚=5,𝑇=1)×𝑀𝐶𝐹_(𝑖𝑚=5)×𝜌</a:t>
              </a:r>
              <a:endParaRPr lang="en-AU" sz="10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86F1C06-F1C3-4E18-B65A-294CAF5A3DB9}"/>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𝑉𝑆𝐿</m:t>
                        </m:r>
                      </m:e>
                    </m:d>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4" name="TextBox 3">
              <a:extLst>
                <a:ext uri="{FF2B5EF4-FFF2-40B4-BE49-F238E27FC236}">
                  <a16:creationId xmlns:a16="http://schemas.microsoft.com/office/drawing/2014/main" id="{B86F1C06-F1C3-4E18-B65A-294CAF5A3DB9}"/>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𝑀_(𝑗𝑚𝑇=2)=(1−𝑉𝑆𝐿)×𝑉𝑆_𝑗×𝐵𝑂×𝑀𝑀𝑆_(𝑚𝑇=2)×𝑀𝐶𝐹_𝑖𝑚×𝜌</a:t>
              </a:r>
              <a:endParaRPr lang="en-AU" sz="10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A36ACDA-D2F6-43C7-BD9D-B2A5813818E2}"/>
                </a:ext>
              </a:extLst>
            </xdr:cNvPr>
            <xdr:cNvSpPr txBox="1"/>
          </xdr:nvSpPr>
          <xdr:spPr>
            <a:xfrm>
              <a:off x="2690812" y="2602230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DA36ACDA-D2F6-43C7-BD9D-B2A5813818E2}"/>
                </a:ext>
              </a:extLst>
            </xdr:cNvPr>
            <xdr:cNvSpPr txBox="1"/>
          </xdr:nvSpPr>
          <xdr:spPr>
            <a:xfrm>
              <a:off x="2690812" y="2602230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𝑀_(𝑗𝑚=1,𝑇=3)=𝑉𝑆_𝑗×𝐵𝑂×𝑀𝑀𝑆_(𝑚=1,𝑇=3)×𝑀𝐶𝐹_(𝑖𝑚=1)×𝜌</a:t>
              </a:r>
              <a:endParaRPr lang="en-AU" sz="10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59232F0-08CF-45C1-A5F4-443FB6B14534}"/>
                </a:ext>
              </a:extLst>
            </xdr:cNvPr>
            <xdr:cNvSpPr txBox="1"/>
          </xdr:nvSpPr>
          <xdr:spPr>
            <a:xfrm>
              <a:off x="2690812" y="327088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359232F0-08CF-45C1-A5F4-443FB6B14534}"/>
                </a:ext>
              </a:extLst>
            </xdr:cNvPr>
            <xdr:cNvSpPr txBox="1"/>
          </xdr:nvSpPr>
          <xdr:spPr>
            <a:xfrm>
              <a:off x="2690812" y="327088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𝐸_𝐶𝐻4=∑_𝑗▒∑_𝑚▒∑_𝑇▒(𝐷_𝑗×𝑀_𝑗𝑚𝑇×𝑁_𝑗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3D3D015-BEEB-429D-BF49-BD7EF42C4A7B}"/>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oMath>
                </m:oMathPara>
              </a14:m>
              <a:endParaRPr lang="en-AU" sz="1000"/>
            </a:p>
          </xdr:txBody>
        </xdr:sp>
      </mc:Choice>
      <mc:Fallback xmlns="">
        <xdr:sp macro="" textlink="">
          <xdr:nvSpPr>
            <xdr:cNvPr id="2" name="TextBox 1">
              <a:extLst>
                <a:ext uri="{FF2B5EF4-FFF2-40B4-BE49-F238E27FC236}">
                  <a16:creationId xmlns:a16="http://schemas.microsoft.com/office/drawing/2014/main" id="{A3D3D015-BEEB-429D-BF49-BD7EF42C4A7B}"/>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𝑁𝐼_𝑗=𝐼_𝑗×𝐶𝑃_𝑗÷6.25</a:t>
              </a:r>
              <a:endParaRPr lang="en-AU" sz="10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DF02B09-71C6-4D43-A922-4A431C0A059A}"/>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5DF02B09-71C6-4D43-A922-4A431C0A059A}"/>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𝑁𝐸_𝑗=𝑁𝐼_𝑗×(1−𝑁𝑅_𝑗 )</a:t>
              </a:r>
              <a:endParaRPr lang="en-AU" sz="10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EA5FB33-2A2A-43F5-8028-2525627656FB}"/>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DEA5FB33-2A2A-43F5-8028-2525627656FB}"/>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𝐴𝐸_𝑗=𝑁_𝑗×𝑁𝐸_𝑗×𝐷_𝑗</a:t>
              </a:r>
              <a:endParaRPr lang="en-AU" sz="10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32536E1-D53F-4357-8954-F4173371E914}"/>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132536E1-D53F-4357-8954-F4173371E914}"/>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𝑀𝑁_(𝑗𝑚=5,𝑇=1)=𝐴𝐸_𝑗×𝑀𝑀𝑆_(𝑗𝑚=5,𝑇=1)</a:t>
              </a:r>
              <a:endParaRPr lang="en-AU" sz="10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61B8AEB-857A-4A99-825B-7A21E2FE3A26}"/>
                </a:ext>
              </a:extLst>
            </xdr:cNvPr>
            <xdr:cNvSpPr txBox="1"/>
          </xdr:nvSpPr>
          <xdr:spPr>
            <a:xfrm>
              <a:off x="2690812" y="3866673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6" name="TextBox 5">
              <a:extLst>
                <a:ext uri="{FF2B5EF4-FFF2-40B4-BE49-F238E27FC236}">
                  <a16:creationId xmlns:a16="http://schemas.microsoft.com/office/drawing/2014/main" id="{661B8AEB-857A-4A99-825B-7A21E2FE3A26}"/>
                </a:ext>
              </a:extLst>
            </xdr:cNvPr>
            <xdr:cNvSpPr txBox="1"/>
          </xdr:nvSpPr>
          <xdr:spPr>
            <a:xfrm>
              <a:off x="2690812" y="3866673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18C4CB6-07CF-4722-9655-6DA8FEB72DA6}"/>
                </a:ext>
              </a:extLst>
            </xdr:cNvPr>
            <xdr:cNvSpPr txBox="1"/>
          </xdr:nvSpPr>
          <xdr:spPr>
            <a:xfrm>
              <a:off x="2652712" y="3365658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=5</m:t>
                                </m:r>
                              </m:sub>
                            </m:sSub>
                          </m:e>
                        </m:d>
                      </m:e>
                    </m:d>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7" name="TextBox 6">
              <a:extLst>
                <a:ext uri="{FF2B5EF4-FFF2-40B4-BE49-F238E27FC236}">
                  <a16:creationId xmlns:a16="http://schemas.microsoft.com/office/drawing/2014/main" id="{518C4CB6-07CF-4722-9655-6DA8FEB72DA6}"/>
                </a:ext>
              </a:extLst>
            </xdr:cNvPr>
            <xdr:cNvSpPr txBox="1"/>
          </xdr:nvSpPr>
          <xdr:spPr>
            <a:xfrm>
              <a:off x="2652712" y="3365658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𝑁𝑇_(𝑗𝑚,𝑇=2)=(𝑀𝑁_(𝑗𝑚=5,𝑇=1)×(1−𝐹𝑟𝑎𝑐𝐺𝐴𝑆𝑀_(𝑚=5)−𝐸𝐹_(𝑚=5) ))−𝑀𝑁_(𝑗𝑚,𝑇=3)</a:t>
              </a:r>
              <a:endParaRPr lang="en-AU" sz="10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5EF27F-4C0B-413B-907A-9DD0D5F17EBB}"/>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755EF27F-4C0B-413B-907A-9DD0D5F17EBB}"/>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𝑀𝑁_(𝑗𝑚=1,𝑇=3)=𝐴𝐸_𝑗×𝑀𝑀𝑆_(𝑗𝑚=1,𝑇=3)</a:t>
              </a:r>
              <a:endParaRPr lang="en-AU" sz="10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59CE45F-4DF3-4A73-A18F-559CCDD946C3}"/>
                </a:ext>
              </a:extLst>
            </xdr:cNvPr>
            <xdr:cNvSpPr txBox="1"/>
          </xdr:nvSpPr>
          <xdr:spPr>
            <a:xfrm>
              <a:off x="2671762" y="45096112"/>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659CE45F-4DF3-4A73-A18F-559CCDD946C3}"/>
                </a:ext>
              </a:extLst>
            </xdr:cNvPr>
            <xdr:cNvSpPr txBox="1"/>
          </xdr:nvSpPr>
          <xdr:spPr>
            <a:xfrm>
              <a:off x="2671762" y="45096112"/>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0B53F20-F7CB-48EA-8511-73908EB80CB9}"/>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10B53F20-F7CB-48EA-8511-73908EB80CB9}"/>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𝑀𝑀𝑆_𝐴𝑇𝑀𝑂𝑆=∑_𝑗▒∑_𝑚▒∑_𝑇▒(𝑀𝑁_𝑗𝑚𝑇×𝐹𝑟𝑎𝑐𝐺𝐴𝑆𝑀_𝑚𝑇 ) </a:t>
              </a:r>
              <a:endParaRPr lang="en-AU" sz="10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9C60D49-E2E6-4485-8BF6-38200603BAF4}"/>
                </a:ext>
              </a:extLst>
            </xdr:cNvPr>
            <xdr:cNvSpPr txBox="1"/>
          </xdr:nvSpPr>
          <xdr:spPr>
            <a:xfrm>
              <a:off x="2690812" y="1314926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D9C60D49-E2E6-4485-8BF6-38200603BAF4}"/>
                </a:ext>
              </a:extLst>
            </xdr:cNvPr>
            <xdr:cNvSpPr txBox="1"/>
          </xdr:nvSpPr>
          <xdr:spPr>
            <a:xfrm>
              <a:off x="2690812" y="1314926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D80885-8C27-4A76-B8DC-E5216F3BC8DF}"/>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E0D80885-8C27-4A76-B8DC-E5216F3BC8DF}"/>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𝑀𝑁𝑆𝑜𝑖𝑙_𝑠𝑐𝑜𝑝𝑒1=∑_𝑗▒∑_𝑚▒∑_𝑇▒(𝑀𝑁_(𝑗𝑚𝑇=2,3)×(1−𝐸𝐹_(𝑚𝑇=2,3)−𝐹𝑟𝑎𝑐𝐺𝐴𝑆𝑀_(𝑚𝑇=2,3) )) ×𝑃𝐹</a:t>
              </a:r>
              <a:endParaRPr lang="en-AU" sz="10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5D363BB-0A2B-4F6E-841C-1367DBA09A5B}"/>
                </a:ext>
              </a:extLst>
            </xdr:cNvPr>
            <xdr:cNvSpPr txBox="1"/>
          </xdr:nvSpPr>
          <xdr:spPr>
            <a:xfrm>
              <a:off x="2690812" y="1687353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35D363BB-0A2B-4F6E-841C-1367DBA09A5B}"/>
                </a:ext>
              </a:extLst>
            </xdr:cNvPr>
            <xdr:cNvSpPr txBox="1"/>
          </xdr:nvSpPr>
          <xdr:spPr>
            <a:xfrm>
              <a:off x="2690812" y="1687353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𝑀𝑁𝑆𝑜𝑖𝑙_𝑠𝑐𝑜𝑝𝑒3=∑_𝑗▒∑_𝑚▒∑_𝑇▒(𝑀𝑁_(𝑗𝑚𝑇=2,3)×(1−𝐸𝐹_(𝑚𝑇=2,3)−𝐹𝑟𝑎𝑐𝐺𝐴𝑆𝑀_(𝑚𝑇=2,3) )) ×(1−𝑃𝐹)</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7BB693B-E13E-421C-BCDF-73C1A932920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7BB693B-E13E-421C-BCDF-73C1A932920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A73B2E-6442-4D78-B521-F09F95BC5E4B}"/>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3A73B2E-6442-4D78-B521-F09F95BC5E4B}"/>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AAEF399-CF3F-412D-AE2E-4BF6623894F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BAAEF399-CF3F-412D-AE2E-4BF6623894F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0CFFDF8-0AFB-4A8B-83CC-54C4668340F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70CFFDF8-0AFB-4A8B-83CC-54C4668340F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B33EA2-5C49-4132-870B-18938FA1E99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4CB33EA2-5C49-4132-870B-18938FA1E99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D89E44-EAB7-4F43-B480-EE9D4793EC4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B3D89E44-EAB7-4F43-B480-EE9D4793EC4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2FFA7D9-8405-4261-AC6A-C486BD5C445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2FFA7D9-8405-4261-AC6A-C486BD5C445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AF18D81-AF80-4192-9949-8BB5DCF9D05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AF18D81-AF80-4192-9949-8BB5DCF9D05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A6CB8BB-2780-4CAA-A470-350D041095D7}"/>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A6CB8BB-2780-4CAA-A470-350D041095D7}"/>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DCFDE5B-6776-4112-87B2-20E5EA1EEDEC}"/>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DCFDE5B-6776-4112-87B2-20E5EA1EEDEC}"/>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835EC38-A9CF-462D-8353-E9C55444789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D835EC38-A9CF-462D-8353-E9C55444789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897E05F-6293-4173-BD4D-9A818354265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F897E05F-6293-4173-BD4D-9A8183542654}"/>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4D528B0-D17A-48D5-A9F4-85D87752DD98}"/>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4D528B0-D17A-48D5-A9F4-85D87752DD98}"/>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8B878E5-C1AA-4561-9FFD-2F9A5483ED7D}"/>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8B878E5-C1AA-4561-9FFD-2F9A5483ED7D}"/>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22DB9E2-3E72-41A6-8615-A54DF60A7201}"/>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22DB9E2-3E72-41A6-8615-A54DF60A7201}"/>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4908B2-F3CF-4712-9833-3DB16F4E7E17}"/>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B24908B2-F3CF-4712-9833-3DB16F4E7E17}"/>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8C874C5-DD6F-43DE-BE75-7353BFF830ED}"/>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78C874C5-DD6F-43DE-BE75-7353BFF830ED}"/>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B4ECF65-B517-430B-B59F-A0906508E33D}"/>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DB4ECF65-B517-430B-B59F-A0906508E33D}"/>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FF281F0-B495-4BE5-957D-5B2B7E5D3391}"/>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4FF281F0-B495-4BE5-957D-5B2B7E5D3391}"/>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203F79E-0CC5-4DA5-A828-4985334A77D1}"/>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7203F79E-0CC5-4DA5-A828-4985334A77D1}"/>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796FA47-3874-48FF-8B1E-587A5AEDCAD1}"/>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9796FA47-3874-48FF-8B1E-587A5AEDCAD1}"/>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997CC498-2D48-4DE4-B917-7C28A2FDE97F}"/>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997CC498-2D48-4DE4-B917-7C28A2FDE97F}"/>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87D91371-9362-4EB0-ABAF-FCABA9FAA35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87D91371-9362-4EB0-ABAF-FCABA9FAA35F}"/>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859B09F7-636E-426D-95FA-9FFA08E3CE4F}"/>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859B09F7-636E-426D-95FA-9FFA08E3CE4F}"/>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BE5019-63E7-4D0C-B9E6-36DADC63C7C3}"/>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EABE5019-63E7-4D0C-B9E6-36DADC63C7C3}"/>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2B02FFEB-C5CC-49A9-BE6A-9E4A07D86B5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2B02FFEB-C5CC-49A9-BE6A-9E4A07D86B5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D4BFE758-EBAC-493F-9431-68F02B517AD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D4BFE758-EBAC-493F-9431-68F02B517AD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90F25AE-E0E3-4D61-A0B6-F7504D937AEF}"/>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490F25AE-E0E3-4D61-A0B6-F7504D937AEF}"/>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B23EF70A-223E-47E5-9133-00F802113982}"/>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B23EF70A-223E-47E5-9133-00F802113982}"/>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D00AABBB-2808-4F06-930E-BF97F17C88F6}"/>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D00AABBB-2808-4F06-930E-BF97F17C88F6}"/>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BC36FEC7-8CD5-4EE2-9CBA-8E2AE6CAF265}"/>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BC36FEC7-8CD5-4EE2-9CBA-8E2AE6CAF265}"/>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8C610A19-C767-4F9B-B8F8-66C89EB18082}"/>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8C610A19-C767-4F9B-B8F8-66C89EB18082}"/>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C1238F60-D676-4630-AD5D-4F916FF4A8E9}"/>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C1238F60-D676-4630-AD5D-4F916FF4A8E9}"/>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83EEFA4-6055-4891-88B0-2C07375B7AF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83EEFA4-6055-4891-88B0-2C07375B7AF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FB01ABD-EB06-4B3D-9E2C-83EEE81974BC}"/>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3FB01ABD-EB06-4B3D-9E2C-83EEE81974BC}"/>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3DC2C5F-75F0-4D1B-9CCE-798EB7785437}"/>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23DC2C5F-75F0-4D1B-9CCE-798EB7785437}"/>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0297A48-F4CD-46A7-B964-6C420F0A0B7E}"/>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C0297A48-F4CD-46A7-B964-6C420F0A0B7E}"/>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A47FFD-12E0-46C7-86E2-3A4A40670EE3}"/>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C9A47FFD-12E0-46C7-86E2-3A4A40670EE3}"/>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47C814E-3DB5-47DC-8657-222F6CC71528}"/>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247C814E-3DB5-47DC-8657-222F6CC71528}"/>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E44B0817-2996-450E-9E25-7603EFD7F3FE}"/>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E44B0817-2996-450E-9E25-7603EFD7F3FE}"/>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680BCFC-3B18-4BCA-B64F-99A6A099AE31}"/>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7680BCFC-3B18-4BCA-B64F-99A6A099AE31}"/>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FCFC21AA-D32A-4492-8019-685F0D2F942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FCFC21AA-D32A-4492-8019-685F0D2F942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B640DC7-720B-42A7-B200-55B43B0961E3}"/>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2B640DC7-720B-42A7-B200-55B43B0961E3}"/>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6F13423-2DB7-47A6-925E-AB4C9AC23F3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D6F13423-2DB7-47A6-925E-AB4C9AC23F3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79617A4-EBE3-45B3-BE24-7DD64A8D9CF6}"/>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C79617A4-EBE3-45B3-BE24-7DD64A8D9CF6}"/>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A5F876-FEBE-40EB-870E-B91738B2B9D5}"/>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7AA5F876-FEBE-40EB-870E-B91738B2B9D5}"/>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4E0D3F8-3A47-428A-8FDD-1E747A2BE6C5}"/>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4E0D3F8-3A47-428A-8FDD-1E747A2BE6C5}"/>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45AA680-0422-411C-8829-2BEC00150947}"/>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45AA680-0422-411C-8829-2BEC00150947}"/>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111ADCC-86D6-4C1F-A7B3-CD4E1799B546}"/>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E111ADCC-86D6-4C1F-A7B3-CD4E1799B546}"/>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AF1794-E199-41A0-9201-C840378DC4F5}"/>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6AF1794-E199-41A0-9201-C840378DC4F5}"/>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98DFF5-F708-4298-98F2-5AE237D619CB}"/>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CB98DFF5-F708-4298-98F2-5AE237D619CB}"/>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97C669E-4BA0-491D-A944-75C89D7D33E9}"/>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E97C669E-4BA0-491D-A944-75C89D7D33E9}"/>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2060E8-23BC-41D1-8586-E2560151263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F92060E8-23BC-41D1-8586-E2560151263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38623BE-6F9B-4180-A66B-E50E9B31C1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38623BE-6F9B-4180-A66B-E50E9B31C10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C69660-CEEA-4BBF-A55D-F9E7A9E4550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CC69660-CEEA-4BBF-A55D-F9E7A9E4550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BED09E-E3D3-4E5B-9DE0-1287967E0583}"/>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EBED09E-E3D3-4E5B-9DE0-1287967E0583}"/>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9752FA-1B54-4A1A-A9DD-59CF7920826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D59752FA-1B54-4A1A-A9DD-59CF7920826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5A76728-14CC-4C78-9FE6-9A8CE7192B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5A76728-14CC-4C78-9FE6-9A8CE7192B28}"/>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B3D1C8-6C80-485C-9933-929DBD6B8A96}"/>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3CB3D1C8-6C80-485C-9933-929DBD6B8A96}"/>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17D6E4A-C191-4854-AF7B-9830E371245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17D6E4A-C191-4854-AF7B-9830E371245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2BAC939-2342-4B61-B821-EBD07841676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2BAC939-2342-4B61-B821-EBD07841676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15"/>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EEE433E9-E326-4E02-ADCE-1B97637FD2A9}"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8BB3B967-D816-4A42-9D23-D6A2334D3E17}" name="Transaction name" dataCellStyle="Input text"/>
    <tableColumn id="13" xr3:uid="{90E2A260-0E1C-4B43-BB52-4789AECFA650}" name="Purchase date" dataCellStyle="Input text"/>
    <tableColumn id="11" xr3:uid="{9C60409B-A8D2-4D3B-83D6-BC08562F3A88}" name="Class (select)" dataDxfId="414" dataCellStyle="Input select"/>
    <tableColumn id="2" xr3:uid="{DBAA9D27-4C87-4C7D-8416-A3DCB3E20C34}" name="Purchase class (select)" dataDxfId="413" dataCellStyle="Input select"/>
    <tableColumn id="6" xr3:uid="{F7806E01-EC46-4B05-9CCA-6096EAB05BF6}" name="Source region (Select)" dataDxfId="412" dataCellStyle="Input select"/>
    <tableColumn id="3" xr3:uid="{22709688-28F1-4A13-850C-7B040DAF1A75}" name="Quantity (head)" dataCellStyle="Input number general"/>
    <tableColumn id="12" xr3:uid="{3C64C483-B9E9-4437-AEF9-4BE89C764008}" name="Liveweight (kg/head) Method 1" dataCellStyle="Input number general calculated"/>
    <tableColumn id="4" xr3:uid="{3E26D981-DEE5-4045-9ECE-56CDB158A3E5}"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7E913CC-0A85-48F8-A32E-272C1851FE58}" name="Table_Input_Fuel" displayName="Table_Input_Fuel" ref="D16:J21" totalsRowDxfId="41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EBC8755D-8CD2-4767-A196-0E04AD823D1D}" name="Fuel use (select)" totalsRowFunction="average" totalsRowDxfId="410" dataCellStyle="Input select" totalsRowCellStyle="Input select"/>
    <tableColumn id="3" xr3:uid="{578404DF-E27F-43EB-9BEC-EDF01C2AFC5A}" name="Fuel type (select)" totalsRowDxfId="409" dataCellStyle="Input select" totalsRowCellStyle="Input select"/>
    <tableColumn id="4" xr3:uid="{672B5426-47F1-4A46-A9D5-8D3588E5602A}" name="Amount purchased" totalsRowDxfId="408" totalsRowCellStyle="Content bold"/>
    <tableColumn id="6" xr3:uid="{8160EC86-4851-4C3F-93A4-9DEABFF30ECA}" name="Amount unit" totalsRowDxfId="407" dataCellStyle="Input number general calculated" totalsRowCellStyle="Input text calculated"/>
    <tableColumn id="5" xr3:uid="{402F1FB9-9C1A-4F70-982B-3459D1E0F357}" name="Percent consumed" totalsRowDxfId="406" totalsRowCellStyle="Input percent">
      <calculatedColumnFormula>1</calculatedColumnFormula>
    </tableColumn>
    <tableColumn id="1" xr3:uid="{2B07F3FE-F80D-448C-8A4D-4B88D785C35F}" name="Amount consumed" totalsRowFunction="custom" totalsRowDxfId="40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B7D51D41-F39A-4DB0-9187-4830EDE5D832}" name="Amount consumed unit" totalsRowDxfId="40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FAE0B6E-0C9E-400D-A9CF-E98466A6A6A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A06E2E5E-269E-463A-A497-0D3C5C30D8ED}" name="Description"/>
    <tableColumn id="5" xr3:uid="{CEAE63AA-9951-4B40-85CE-B5398DA1F1DF}" name="Source (select)" dataCellStyle="Input select"/>
    <tableColumn id="2" xr3:uid="{500A4C7D-5FCA-4BD2-A779-A18C564962ED}" name="Generation date" dataDxfId="403"/>
    <tableColumn id="3" xr3:uid="{F419AD7A-B963-49E6-A1EA-6E93B8D13F80}" name="Number of certificates"/>
    <tableColumn id="4" xr3:uid="{69DE237D-5099-490A-A4F9-C5F3CE3B321C}" name="MWh" dataCellStyle="Input number general calculated">
      <calculatedColumnFormula>Table_Input_RECSurrendered[[#This Row],[Number of certificates]]</calculatedColumnFormula>
    </tableColumn>
    <tableColumn id="7" xr3:uid="{4F7FA726-58C4-470E-9E11-87B14D23D153}"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C0BEC4D-2245-4986-93CD-B699CD430E58}"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8CEAF6CC-63EF-4E78-8F3B-E18E158F2507}" name="Description"/>
    <tableColumn id="5" xr3:uid="{AB5BC882-073D-4B2B-802C-AD5C6913FD2B}" name="Source" dataCellStyle="Input text calculated">
      <calculatedColumnFormula>"Issued for generated electricity"</calculatedColumnFormula>
    </tableColumn>
    <tableColumn id="2" xr3:uid="{514F4107-F256-4ADD-B03F-2196DE062122}" name="Generation date" dataDxfId="402"/>
    <tableColumn id="3" xr3:uid="{A23C730E-4A4A-4301-AD72-9D5D8A3ECF2B}" name="Number of certificates"/>
    <tableColumn id="4" xr3:uid="{E3E75060-C709-4482-BC8A-F1490441BBC9}" name="MWh" dataCellStyle="Input number general calculated">
      <calculatedColumnFormula>Table_Input_RECConsumedByEntity[[#This Row],[Number of certificates]]</calculatedColumnFormula>
    </tableColumn>
    <tableColumn id="7" xr3:uid="{66BA5467-8574-431E-A09D-E12F702FD0C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7ED9F6F0-C061-4A37-84B7-B95B49C609A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DAEA3E81-214F-4126-8740-9FC72CDDE754}" name="Product name" dataCellStyle="Input text"/>
    <tableColumn id="1" xr3:uid="{6E6BF85C-B370-4FF8-8F58-7892EBB7FB37}" name="Type (select)" dataCellStyle="Input select"/>
    <tableColumn id="2" xr3:uid="{279ADD51-C88F-4D6B-BFB9-27EA0F3A3B8E}"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DC479394-96EA-43C9-8304-7C716838C1B6}"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3F38C013-A6A7-4C25-A6B1-103D094FC7E0}" name="Product / service name" dataCellStyle="Input text"/>
    <tableColumn id="2" xr3:uid="{D6E1CFE0-CEC5-49DB-8244-0ABEFFA82DAD}" name="Amount" dataCellStyle="Input number general"/>
    <tableColumn id="3" xr3:uid="{12D63A77-B90B-42E2-AFF5-E4E6F7619801}"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B97FF5E2-232F-4662-BD90-C0ED74A72F6D}"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F24B449-18DA-4D32-9D84-B73D7977E17A}" name="Service provider / contractor" dataCellStyle="Input text"/>
    <tableColumn id="4" xr3:uid="{E5AD1787-898C-44A1-846A-5927958FA1E5}" name="Activity" dataCellStyle="Input text"/>
    <tableColumn id="2" xr3:uid="{039B4524-9133-4334-88F5-67B6DC328CAA}" name="Total amount" dataCellStyle="Input number general"/>
    <tableColumn id="3" xr3:uid="{5D479E70-A317-4A69-9746-5E5C3CC45246}"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654E7842-8D85-4AEF-BA9F-537B67764765}" name="Table_Input_FeedBlends" displayName="Table_Input_FeedBlends" ref="D18:Q28" totalsRowShown="0">
  <autoFilter ref="D18:Q28" xr:uid="{6EC3622A-9CA1-4931-8AAA-6FC289090D20}"/>
  <tableColumns count="14">
    <tableColumn id="1" xr3:uid="{EECB0762-D75F-43E7-A7A3-FC486F1F5678}" name="Feed blend name" dataCellStyle="Input text"/>
    <tableColumn id="2" xr3:uid="{CB32DABC-6515-4152-B9FC-7C4E1EBCF7E3}" name="Amount fed (kg)"/>
    <tableColumn id="4" xr3:uid="{118F77D2-63B3-4340-9DCB-BCEB8A1718DE}" name="Ingredient 1 (select)" dataCellStyle="Input select"/>
    <tableColumn id="3" xr3:uid="{4A2521A1-0484-4FB7-B3EA-5ECB042595C1}" name="Ingredient 1 source region" dataCellStyle="Input select"/>
    <tableColumn id="5" xr3:uid="{24A736E6-2D61-479B-9F96-E6DE03761925}" name="Ingredient 1 percent"/>
    <tableColumn id="6" xr3:uid="{C39642B4-7574-4406-8190-B53F5AD5FF8B}" name="Ingredient 2 (select)" dataCellStyle="Input select"/>
    <tableColumn id="14" xr3:uid="{00C5055B-E4EC-44B7-8838-31251DC4CB17}" name="Ingredient 2 source region" dataCellStyle="Input select"/>
    <tableColumn id="7" xr3:uid="{A3CC3EC1-EE05-4130-9118-A9F4D174DF2A}" name="Ingredient 2 percent"/>
    <tableColumn id="8" xr3:uid="{35824B81-C4D3-47CA-96F4-FE59D5DA8191}" name="Ingredient 3 (select)" dataCellStyle="Input select"/>
    <tableColumn id="15" xr3:uid="{0D1B1660-FD9D-48FF-8BE9-2FD7DF51077C}" name="Ingredient 3 source region" dataCellStyle="Input select"/>
    <tableColumn id="9" xr3:uid="{BDD765D7-8BE2-4E30-AFA6-57163E4184B9}" name="Ingredient 3 percent"/>
    <tableColumn id="10" xr3:uid="{F49F0430-31F1-49CD-A51A-504A0C9F1182}" name="Ingredient 4 (select)" dataCellStyle="Input select"/>
    <tableColumn id="16" xr3:uid="{53C1D201-4C78-4AC5-84A3-B91A9814CC67}" name="Ingredient 4 source region" dataCellStyle="Input select"/>
    <tableColumn id="11" xr3:uid="{DBC25A0E-1ADB-468A-82FE-FEDC299BED3F}"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31C5A5D-63E4-4C7C-B6A4-5CEC0F1A63CB}" name="Table_Input_ChemicalsPharmacy" displayName="Table_Input_ChemicalsPharmacy" ref="D32:F42" totalsRowShown="0" headerRowCellStyle="Input table column header">
  <autoFilter ref="D32:F42" xr:uid="{F7DA8543-C7DE-49A8-A739-D82C85B7B828}"/>
  <tableColumns count="3">
    <tableColumn id="3" xr3:uid="{F2599B42-06ED-4805-B9CB-ED5C2435D697}" name="Product name" dataCellStyle="Input text"/>
    <tableColumn id="1" xr3:uid="{4A96FDDB-462E-458F-B436-F3D096D1B832}" name="Type (select)" dataDxfId="401" dataCellStyle="Input select"/>
    <tableColumn id="2" xr3:uid="{0D51A2B4-01EE-4CB1-89E8-1FDE985818D9}" name="Number of head treated" dataDxfId="400"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7F34AD9A-576E-4670-8164-7E5902AF83F8}"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B3B4EF3F-D5B0-4202-B269-239D7CAD66C5}" name="Route name" dataCellStyle="Input text"/>
    <tableColumn id="2" xr3:uid="{2C7E81DB-E2A5-4256-92DF-E4050BD5B784}" name="Freight type (select)" dataCellStyle="Input select"/>
    <tableColumn id="3" xr3:uid="{84594238-DE7F-4950-BF53-A882C3A1B048}" name="Route distance (km)"/>
    <tableColumn id="4" xr3:uid="{24357BC3-6E12-4685-B60A-891B4A8FD58C}" name="Average weight of freight per trip (t)"/>
    <tableColumn id="5" xr3:uid="{82694235-2400-4386-B04C-607F0269F7B8}"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B0E0D415-18E2-415A-9A9C-684613D1C5CB}"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6E0A9F71-7634-4FB4-BA4E-21C05C32D524}" name="Route name" dataCellStyle="Input text"/>
    <tableColumn id="2" xr3:uid="{49931870-429A-4D51-8A7B-392F0B3DAFA5}" name="Freight type (select)" dataCellStyle="Input select"/>
    <tableColumn id="3" xr3:uid="{5BDFD0A7-B266-4D3B-845D-4B19A49E8C60}" name="Route distance (km)"/>
    <tableColumn id="4" xr3:uid="{00D8666C-0A77-4A01-8A38-A76BD1F4403B}" name="Average weight of freight per trip (t)"/>
    <tableColumn id="5" xr3:uid="{FCC4D8B4-8405-4BF6-964B-E53FBEC2F3BF}"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F1A6A74-0FDF-4C86-9278-81914358537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3622AE07-FD27-4CBC-9AE2-7792116FCFE3}" name="Description" dataCellStyle="Input text"/>
    <tableColumn id="5" xr3:uid="{594FD963-8FF7-4573-ADA9-B56E462DA649}" name="Treatment type (select)" dataCellStyle="Input select"/>
    <tableColumn id="2" xr3:uid="{B66494D2-70A6-42FB-9C16-9AD52FFB89B9}" name="Waste type (select)" dataCellStyle="Input select"/>
    <tableColumn id="3" xr3:uid="{A6B6709F-DC76-4D3E-B122-B50B8CB025F2}" name="Treatment location (select)" dataCellStyle="Input select"/>
    <tableColumn id="4" xr3:uid="{F040D890-FB98-4400-B0E5-CB3EB9D27D86}" name="Amount" dataCellStyle="Input number general"/>
    <tableColumn id="7" xr3:uid="{0F8449E0-8D0E-4C0B-971F-25674EC6F57E}"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399"/>
    <tableColumn id="6" xr3:uid="{1219F6AC-7C79-4EDD-8C55-F7A78277AE3F}" name="Evidence files" dataDxfId="398"/>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397"/>
    <tableColumn id="6" xr3:uid="{73F97399-8A3B-4EFB-9481-CBD7CB1C44EB}" name="Evidence files" dataDxfId="396"/>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9" totalsRowShown="0" headerRowCellStyle="Input table column header">
  <autoFilter ref="D28:J39"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395"/>
    <tableColumn id="6" xr3:uid="{865FA280-4A36-4101-BD09-20356916B4D5}" name="Evidence files" dataDxfId="394"/>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393"/>
    <tableColumn id="6" xr3:uid="{690D112F-6792-478E-99EE-B77B520B2164}" name="Evidence files" dataDxfId="392"/>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391"/>
    <tableColumn id="6" xr3:uid="{16D79CDB-80AA-4F28-B5E0-282205F97C41}" name="Evidence files" dataDxfId="390"/>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05A3D4-09D7-4542-9AB8-DA19E18DA469}"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E500BE4-5424-4250-97A3-BCA592D54AA8}" name="Treatment stage T">
      <calculatedColumnFormula array="1">Common_InputFunctions.Utility_DisplayArrayInTable(SourceData_Feedlot.SourceData_Feedlot_MCF_Data(), Table_SourceData_Feedlot_MCF[[#Headers],[Treatment stage T]], 0)</calculatedColumnFormula>
    </tableColumn>
    <tableColumn id="2" xr3:uid="{315BB17B-BA11-4F6C-9277-37B766CBE38B}" name="MMS m" dataDxfId="389" dataCellStyle="Content normal">
      <calculatedColumnFormula array="1">Common_InputFunctions.Utility_DisplayArrayInTable(SourceData_Feedlot.SourceData_Feedlot_MCF_Data(), Table_SourceData_Feedlot_MCF[[#Headers],[Treatment stage T]], 0)</calculatedColumnFormula>
    </tableColumn>
    <tableColumn id="3" xr3:uid="{4FC7CB35-F91E-4CCF-8AD2-098061CB6368}" name="NSW" dataDxfId="388" dataCellStyle="Content normal">
      <calculatedColumnFormula array="1">Common_InputFunctions.Utility_DisplayArrayInTable(SourceData_Feedlot.SourceData_Feedlot_MCF_Data(), Table_SourceData_Feedlot_MCF[[#Headers],[Treatment stage T]], 0)</calculatedColumnFormula>
    </tableColumn>
    <tableColumn id="4" xr3:uid="{954A27A4-3A00-4111-B065-678335522096}" name="ACT" dataDxfId="387" dataCellStyle="Content normal">
      <calculatedColumnFormula array="1">Common_InputFunctions.Utility_DisplayArrayInTable(SourceData_Feedlot.SourceData_Feedlot_MCF_Data(), Table_SourceData_Feedlot_MCF[[#Headers],[Treatment stage T]], 0)</calculatedColumnFormula>
    </tableColumn>
    <tableColumn id="5" xr3:uid="{A4ADD5BB-2680-4635-AD77-14F514272B9F}" name="QLD" dataDxfId="386" dataCellStyle="Content normal">
      <calculatedColumnFormula array="1">Common_InputFunctions.Utility_DisplayArrayInTable(SourceData_Feedlot.SourceData_Feedlot_MCF_Data(), Table_SourceData_Feedlot_MCF[[#Headers],[Treatment stage T]], 0)</calculatedColumnFormula>
    </tableColumn>
    <tableColumn id="6" xr3:uid="{1BD7E2BF-C01C-4A72-8A91-5A9E63D85EA6}" name="NT" dataDxfId="385" dataCellStyle="Content normal">
      <calculatedColumnFormula array="1">Common_InputFunctions.Utility_DisplayArrayInTable(SourceData_Feedlot.SourceData_Feedlot_MCF_Data(), Table_SourceData_Feedlot_MCF[[#Headers],[Treatment stage T]], 0)</calculatedColumnFormula>
    </tableColumn>
    <tableColumn id="7" xr3:uid="{012CCDFF-9A71-432E-84D2-33B77A36AE05}" name="SA" dataDxfId="384" dataCellStyle="Content normal">
      <calculatedColumnFormula array="1">Common_InputFunctions.Utility_DisplayArrayInTable(SourceData_Feedlot.SourceData_Feedlot_MCF_Data(), Table_SourceData_Feedlot_MCF[[#Headers],[Treatment stage T]], 0)</calculatedColumnFormula>
    </tableColumn>
    <tableColumn id="8" xr3:uid="{1A7B25A3-40E2-4923-A460-33A481A27314}" name="VIC" dataDxfId="383" dataCellStyle="Content normal">
      <calculatedColumnFormula array="1">Common_InputFunctions.Utility_DisplayArrayInTable(SourceData_Feedlot.SourceData_Feedlot_MCF_Data(), Table_SourceData_Feedlot_MCF[[#Headers],[Treatment stage T]], 0)</calculatedColumnFormula>
    </tableColumn>
    <tableColumn id="9" xr3:uid="{642E7531-C1B9-41BB-9AD2-848707C7C18C}" name="WA" dataDxfId="382" dataCellStyle="Content normal">
      <calculatedColumnFormula array="1">Common_InputFunctions.Utility_DisplayArrayInTable(SourceData_Feedlot.SourceData_Feedlot_MCF_Data(), Table_SourceData_Feedlot_MCF[[#Headers],[Treatment stage T]], 0)</calculatedColumnFormula>
    </tableColumn>
    <tableColumn id="10" xr3:uid="{440BE664-9ABE-429B-AC63-AB8DC18C5AFE}" name="TAS" dataDxfId="381" dataCellStyle="Content normal">
      <calculatedColumnFormula array="1">Common_InputFunctions.Utility_DisplayArrayInTable(SourceData_Feedlot.SourceData_Feedlot_MCF_Data(), Table_SourceData_Feedlot_MCF[[#Headers],[Treatment stage T]], 0)</calculatedColumnFormula>
    </tableColumn>
    <tableColumn id="11" xr3:uid="{705C48EC-A82D-4A5C-B812-F09B71B36E8E}" name="NIR definition" dataDxfId="380"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4BA14D-08F2-4B64-B0F8-284A52DCC640}" name="Table_SourceData_FeedlotMMS" displayName="Table_SourceData_FeedlotMMS" ref="D27:E32" totalsRowShown="0">
  <autoFilter ref="D27:E32" xr:uid="{D5C443B2-EDE2-4250-B2EE-016878D19AD9}">
    <filterColumn colId="0" hiddenButton="1"/>
    <filterColumn colId="1" hiddenButton="1"/>
  </autoFilter>
  <tableColumns count="2">
    <tableColumn id="1" xr3:uid="{80477E8B-78CA-4D86-A8EA-8ED768E976E4}" name="MMS"/>
    <tableColumn id="2" xr3:uid="{D387EB04-900F-4BBD-B592-FEBC81389E74}" name="Symbol and MMS" dataDxfId="37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1979711-9FE8-4C9D-96A8-CC1BE80B7D49}"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5FEAEA-A29D-4A07-91C7-D6E76E2650F6}" name="Feedlot type">
      <calculatedColumnFormula array="1">Common_InputFunctions.Utility_DisplayArrayInTable(SourceData_Feedlot.SourceData_Feedlot_DietProperties_Data(), Table_SourceData_Feedlot_DietProperties[[#Headers],[Feedlot type]], 0)</calculatedColumnFormula>
    </tableColumn>
    <tableColumn id="2" xr3:uid="{0878687C-3DCD-440B-9BB6-9DF6178C4E82}" name="Nutrient analysis" dataDxfId="378"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1C8D5050-235F-44BF-84DB-F6C81F6D83FF}" name="Unit" dataDxfId="377"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ED2AA18A-A7A4-4CF2-B143-8FE8A2A99E90}" name="2010-2014" dataDxfId="376"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7816B6E4-CD76-4F63-AB20-C05E36D6FDE3}" name="2015-2019" dataDxfId="375"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C6CFF7A1-4F49-448E-857B-65D1A243648A}" name="2020-2023" dataDxfId="374"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6936B029-8766-4342-AEA1-19CCF7261B9E}" name="2020-2023 Converted to fraction" dataDxfId="373"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1748A9-8D6B-4DE7-BDEB-2141D0D4FC45}"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22516A-9230-4BD7-BA19-E8F7CD527E6D}"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F3156ED4-49E3-4DDC-8E79-3AD9C06F2225}" name="Characteristic" dataDxfId="37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9E5C5818-6557-4177-9183-E4E8326CF5A2}" name="Unit" dataDxfId="37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62FE0E82-577C-48DD-ABEA-E5F03CFB87CC}" name="2005-2009" dataDxfId="37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262A8C11-D9D5-4A84-BEEF-ED0DF0472480}" name="2010-2014" dataDxfId="36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F62EC268-3F5C-4AA9-88CE-EDDF31BB31A6}" name="2015-2019" dataDxfId="36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E89F307E-78CF-42FB-A733-081257CA7754}" name="2020-2023" dataDxfId="36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CC84577-BD41-436C-A7AF-00DA42E524BB}"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2776A0EF-427F-48B4-A065-C524173E06C2}" name="Feedlot type">
      <calculatedColumnFormula array="1">Common_InputFunctions.Utility_DisplayArrayInTable(SourceData_Feedlot.SourceData_Feedlot_DurationOfStay_Data(), Table_SourceData_Feedlot_LengthOfStay[[#Headers],[Feedlot type]], 0)</calculatedColumnFormula>
    </tableColumn>
    <tableColumn id="2" xr3:uid="{8499F901-351B-4D9F-B6DD-681BE081945E}" name="Length of stay" dataDxfId="366"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E4A4E10-9688-425D-921F-BD5C62F76D6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2EA4E84B-F86D-45FD-AD9B-95CF7C450352}" name="Treatment stage T">
      <calculatedColumnFormula array="1">Common_InputFunctions.Utility_DisplayArrayInTable(SourceData_Feedlot.SourceData_Feedlot_NitrousOxideEFs_Data(), Table_SourceData_Feedlot_NO2EFs[[#Headers],[Treatment stage T]], 0)</calculatedColumnFormula>
    </tableColumn>
    <tableColumn id="2" xr3:uid="{13AF287B-22A3-4A69-BAA5-3BCAA03687B5}" name="MMS m" dataDxfId="365"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E9C39962-4E6F-42C9-97E2-20C0B130E06D}" name="EF mT" dataDxfId="364"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ACD350F2-4686-4F8A-B70D-ECB1F58F3A1B}" name="NIR definition" dataDxfId="363"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8EB1D78-85EC-4FF9-81DE-817EE83BCEFA}" name="Table_SourceData_Feedlot_FracGASMmT" displayName="Table_SourceData_Feedlot_FracGASMmT" ref="D112:G117" totalsRowShown="0" headerRowDxfId="362"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4A328A21-5F66-4CF3-8C30-59C2B82C8796}"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8E56AEDC-D4D2-4EE5-AE32-672327FFE084}"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6DC62A3-C66B-4B28-9FFD-13181B4EB085}"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63641004-20E1-4458-9211-36B61DFBFA94}"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82B4A8B-BAC7-4E27-92E1-F312536EBCD7}" name="Table_SourceData_Feedlot_CropProdSystems" displayName="Table_SourceData_Feedlot_CropProdSystems" ref="G27:G29" totalsRowShown="0">
  <autoFilter ref="G27:G29" xr:uid="{B6F3FE3A-A0B5-47E7-85B2-8426FB75A7C8}">
    <filterColumn colId="0" hiddenButton="1"/>
  </autoFilter>
  <tableColumns count="1">
    <tableColumn id="1" xr3:uid="{201D0EEA-C746-4FB9-BB4E-B8666CC8E03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83F96E-D154-4F16-B865-B9C6CD55FD1B}" name="Table_SourceData_Feedlot_IrrigationMethods" displayName="Table_SourceData_Feedlot_IrrigationMethods" ref="J27:J32" totalsRowShown="0">
  <autoFilter ref="J27:J32" xr:uid="{FE172B77-CEA3-430C-84BC-392A64D0B8FF}">
    <filterColumn colId="0" hiddenButton="1"/>
  </autoFilter>
  <tableColumns count="1">
    <tableColumn id="1" xr3:uid="{FAA5FE85-5799-465C-B4C2-FACD1060F101}"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726E09-20B3-4432-94CE-1C3B7D1C24A2}" name="Table_LivestockClasses_Feedlot" displayName="Table_LivestockClasses_Feedlot" ref="L27:L30" totalsRowShown="0">
  <autoFilter ref="L27:L30" xr:uid="{92BBAD58-C03F-403E-8210-DBAB7DC4CCCB}">
    <filterColumn colId="0" hiddenButton="1"/>
  </autoFilter>
  <tableColumns count="1">
    <tableColumn id="1" xr3:uid="{44ECE0CF-2C5E-4C04-A72A-F9C871C0BD2D}" name="Livestock class"/>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69F3269C-27F9-4179-B47E-480F4F01AB60}"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D04AD55-54AE-4B33-9789-B199AE0CCE28}" name="Symbol">
      <calculatedColumnFormula array="1">Common_InputFunctions.Utility_DisplayArrayInTable(CommonLivestock_SourceData.SourceData_Livestock_Common_SymbolsMMS_Data(), Table_Data_MMSSymbols[[#Headers],[Symbol]], 0)</calculatedColumnFormula>
    </tableColumn>
    <tableColumn id="2" xr3:uid="{5A202254-8394-4087-A38D-81991BFE219E}" name="Manure management system">
      <calculatedColumnFormula array="1">Common_InputFunctions.Utility_DisplayArrayInTable(CommonLivestock_SourceData.SourceData_Livestock_Common_SymbolsMMS_Data(), Table_Data_MMSSymbols[[#Headers],[Symbol]], 0)</calculatedColumnFormula>
    </tableColumn>
    <tableColumn id="3" xr3:uid="{3A7C1BD8-6195-4C0A-9178-BC6BC99C1CA0}"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D58442-B79F-4BA2-A696-C9485D6087D6}" name="Table_SourceData_ElectricityEFs" displayName="Table_SourceData_ElectricityEFs" ref="D9:F19" totalsRowShown="0" headerRowDxfId="361">
  <autoFilter ref="D9:F19" xr:uid="{3144A982-7A4D-4CF2-8790-1A30DAE3E0A4}">
    <filterColumn colId="0" hiddenButton="1"/>
    <filterColumn colId="1" hiddenButton="1"/>
    <filterColumn colId="2" hiddenButton="1"/>
  </autoFilter>
  <tableColumns count="3">
    <tableColumn id="1" xr3:uid="{C4771B43-0531-4F28-89A7-AF3BEFFBB50A}"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64DE1C49-8A82-4EB5-9ACD-7EFDDAF5426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C457F663-A9E6-4B92-919F-B56A5A0DB02E}"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93B8173-8E80-4705-B270-DFA26FC3464F}"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E999C47-D42A-4F89-AB2B-D765EE9AF6DD}" name="State, Territory or grid description"/>
    <tableColumn id="2" xr3:uid="{235F4167-405E-4DC5-9BAF-73076B8C9A20}" name="Scope 2 EF (kg CO2-e/kWh)"/>
    <tableColumn id="3" xr3:uid="{C6312673-EDC8-4880-A16E-5148DBB8D7B7}" name="Scope 2 EF (kg CO2-e/GJ)"/>
    <tableColumn id="4" xr3:uid="{7969D74C-136D-4A33-8603-626FEFD06FA8}" name="Scope 3 EF (kg CO2-e/kWh)"/>
    <tableColumn id="5" xr3:uid="{9A348CE9-40ED-4378-AF4B-3EB9213D3472}" name="Scope 3 EF (kg CO2-e/GJ)"/>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55589EB-FA35-453E-AF1B-77A8BAE5752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75A523C-C42C-424D-A73E-8257DDBEE85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120E0908-3106-44F0-A804-45E664D0974A}" name="FNinorganic f">
      <calculatedColumnFormula array="1">Common_InputFunctions.Utility_DisplayArrayInTable(Fertiliser_SourceData.Fertiliser_ChemicalCompoundElements_Data(),Table_Fertiliser_ChemicalCompounds[[#Headers],[Fertiliser type f]], 0)</calculatedColumnFormula>
    </tableColumn>
    <tableColumn id="3" xr3:uid="{F95ABEF4-91D0-4031-A11F-6C6A52DACAB3}" name="FU f">
      <calculatedColumnFormula array="1">Common_InputFunctions.Utility_DisplayArrayInTable(Fertiliser_SourceData.Fertiliser_ChemicalCompoundElements_Data(),Table_Fertiliser_ChemicalCompounds[[#Headers],[Fertiliser type f]], 0)</calculatedColumnFormula>
    </tableColumn>
    <tableColumn id="4" xr3:uid="{D8AAE259-76DD-41FD-99FC-93F3AFB9B0F5}" name="Basis">
      <calculatedColumnFormula array="1">Common_InputFunctions.Utility_DisplayArrayInTable(Fertiliser_SourceData.Fertiliser_ChemicalCompoundElements_Data(),Table_Fertiliser_ChemicalCompounds[[#Headers],[Fertiliser type f]], 0)</calculatedColumnFormula>
    </tableColumn>
    <tableColumn id="5" xr3:uid="{1910D567-A9D5-4ECF-8F6D-F09A19F5660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3039ECF6-6A27-4622-9D76-FA0C7DBA76DD}"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E5D085C8-FB1A-488D-9351-95F5321BEDFF}"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8AE636FC-4731-4083-92BD-9379D107A566}" name="Company" totalsRowFunction="custom" totalsRowDxfId="360">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1FBF191-C4DA-40A8-9FE7-BEA867BFB14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E7F30833-80A0-428F-A831-7DA569694A65}"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CFCFCD7-56F2-456D-B194-22EEB1A5AF2C}"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A1A6D79D-EA01-44BC-9553-BB778F2775AA}"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D25BD9DC-60BF-4D7A-8900-2ED9DFB14BED}"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764FD6AB-BF61-4D70-8F42-96A21BE26368}"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58899AD6-3D57-46F5-A96F-31CF461BC619}"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461AFC1-769E-4DED-AA40-A712DAF094E7}"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E48C485-FB44-438B-9786-7858D0C297A1}"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EDD91E91-5D5D-4B0B-854E-1732DAA6202F}"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9ED42980-FB8B-407E-B88B-18C28E387581}" name="Ingredient 1" totalsRowFunction="custom" totalsRowCellStyle="Content normal">
      <totalsRowFormula array="1">Common_InputFunctions.Utility_DisplayArrayInTable(Fertiliser_SourceData.Fertiliser_Products_Data3(), FertiliserProducts[[#Headers],[Company]],61)</totalsRowFormula>
    </tableColumn>
    <tableColumn id="22" xr3:uid="{C3686C84-B25E-4BA0-BFCB-230D86EB22A0}"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B9AE3CCB-D5CC-4455-87AD-90D4A181D6BB}"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CB1C5964-C3B8-4F3C-97CC-870551798A78}"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2B1BD9E6-421A-4226-9CEC-00594EFFCA4B}"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935DE064-B50D-405C-A8BA-4AFA91D4E878}"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9D1B06C8-2916-47B8-AD8B-46962DFC44AF}"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55630EF1-B797-4F53-B88B-F8EAC06F41BC}"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11F120D3-0BB6-46DD-BD13-2CD028B77CEF}"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D5B2E3F4-5F1A-474B-9DEB-FC6D7E80C321}"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B9CEF1BF-41B2-4174-B91E-9D0C554A61C2}"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29628F77-4074-4984-BFAB-484F832F9C2E}"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77836D14-41D0-4DA9-983F-A0C39ABEB183}"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92D9DF5A-B4D6-4CF6-87CD-61C5D9107CCD}"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B2F4303E-C0CF-4C9B-AD7A-80D238188493}"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541787A7-CE32-4B54-A6B6-79237997B001}"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21DF0135-0791-4E7C-9B8B-34A1A0EF6328}"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CBC04E0A-5325-4353-9927-C11C472AD2C7}"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B27CCC39-BF1B-4476-BE77-C71BEBD20482}"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2B9A4CB5-B73C-4319-80E9-0757770DD7AE}" name="Ingredient 10 percent" totalsRowCellStyle="Content normal"/>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C44A5D9-3E68-4570-B283-A66F72383ED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F16EC82D-C1C1-41AE-BCA8-B1DCA0858EE3}" name="Fertiliser type f">
      <calculatedColumnFormula array="1">Common_InputFunctions.Utility_DisplayArrayInTable(Fertiliser_SourceData.Fertiliser_FracGASF_Data(), Table_SourceData_Fertiliser_FracGASF[[#Headers],[Fertiliser type f]], 0)</calculatedColumnFormula>
    </tableColumn>
    <tableColumn id="2" xr3:uid="{07CE936C-28E9-4C09-AD39-9AE6F8B1DF35}" name="FracGASF f" dataDxfId="35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6D3BC31-39B1-4460-AEAD-B6EE9FD83172}" name="Table_SourceData_Fertiliser_CropProdSystems" displayName="Table_SourceData_Fertiliser_CropProdSystems" ref="D41:D43" totalsRowShown="0">
  <autoFilter ref="D41:D43" xr:uid="{24F3A11E-40F5-4BB9-BFF4-A71FA2ADA0EF}">
    <filterColumn colId="0" hiddenButton="1"/>
  </autoFilter>
  <tableColumns count="1">
    <tableColumn id="1" xr3:uid="{35167B83-4FB5-4816-985E-12D75897FEEC}" name="Production system">
      <calculatedColumnFormula>#REF!</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3AA5256-18DE-4254-8D8C-5EA94085E7FC}"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52ABED38-322F-4D5A-871B-CED3843EDD57}" name="Irrigation method"/>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CAA2092-B739-45A7-98F0-35739489CACC}" name="Table_SourceData_Fertiliser_CropTypes" displayName="Table_SourceData_Fertiliser_CropTypes" ref="F41:F45" totalsRowShown="0">
  <autoFilter ref="F41:F45" xr:uid="{CB5044B5-FA3C-4AA2-B1AB-72F7E61D072F}">
    <filterColumn colId="0" hiddenButton="1"/>
  </autoFilter>
  <tableColumns count="1">
    <tableColumn id="1" xr3:uid="{E65EE4F1-9714-4128-AB0F-C827AB8C1B80}" name="Production system"/>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6F37852-901C-4156-9FDD-0AB17672CDAA}" name="Table_SourceData_OrganicFertiliserTypes" displayName="Table_SourceData_OrganicFertiliserTypes" ref="J41:J46" totalsRowShown="0">
  <autoFilter ref="J41:J46" xr:uid="{B44627B1-537E-4ABC-92C3-57282CEE5B40}">
    <filterColumn colId="0" hiddenButton="1"/>
  </autoFilter>
  <tableColumns count="1">
    <tableColumn id="1" xr3:uid="{AFB29DA1-5CF4-4D74-9531-10E8E5C80A2A}" name="Organic fertiliser type"/>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E5B78D2-BA37-4145-872A-461211CF4553}"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E37A8BB4-DC28-4C72-A14A-9B6B92751150}"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1F48878-69D5-45F1-A1B4-9E20EB4BE1FE}" name="P" dataDxfId="35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5CC5E46C-DBCE-4057-860A-5B2F1519EE9D}" name="EF" dataDxfId="35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8C766D3F-AD83-414B-B577-0FD0D538FC62}" name="Table2" displayName="Table2" ref="K19:L28" totalsRowShown="0" dataDxfId="356" dataCellStyle="Content normal">
  <autoFilter ref="K19:L28" xr:uid="{27B93029-EB1F-4C4A-A946-CD673A8A6C46}">
    <filterColumn colId="0" hiddenButton="1"/>
    <filterColumn colId="1" hiddenButton="1"/>
  </autoFilter>
  <tableColumns count="2">
    <tableColumn id="1" xr3:uid="{8DB3DBE5-156E-453A-B1E6-09CCD6FA5C0C}" name="Fertiliser type f" dataDxfId="355" dataCellStyle="Content normal">
      <calculatedColumnFormula array="1">Common_InputFunctions.Utility_DisplayArrayInTable(Fertiliser_SourceData.Fertiliser_FractionNCommonFertilisers_Data(), Table2[[#Headers],[Fertiliser type f]], 0)</calculatedColumnFormula>
    </tableColumn>
    <tableColumn id="2" xr3:uid="{F96246AF-E6DD-42C6-BB3D-A7D70EA17676}" name="FNinorganic f" dataDxfId="35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A0C1BB4-9BFA-4A89-9C18-180FBE5A16D1}" name="Table28" displayName="Table28" ref="Q19:R28" totalsRowShown="0" dataDxfId="353" dataCellStyle="Content normal">
  <autoFilter ref="Q19:R28" xr:uid="{791CEA59-796C-47AB-86BC-41E8F699030C}">
    <filterColumn colId="0" hiddenButton="1"/>
    <filterColumn colId="1" hiddenButton="1"/>
  </autoFilter>
  <tableColumns count="2">
    <tableColumn id="1" xr3:uid="{CE5F66CA-35D8-4821-8467-6DCF853C33DE}" name="Fertiliser type f" dataDxfId="352" dataCellStyle="Content normal">
      <calculatedColumnFormula array="1">Common_InputFunctions.Utility_DisplayArrayInTable(Fertiliser_SourceData.Fertiliser_FractionUreaCommonFertilisers_Data(), Table28[[#Headers],[Fertiliser type f]], 0)</calculatedColumnFormula>
    </tableColumn>
    <tableColumn id="2" xr3:uid="{22FDA1A7-9223-4562-986E-5EB6919A814C}" name="FNinorganic f" dataDxfId="35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3FC8E37-6A28-491A-90E7-D953B54A6E60}"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DC7D78C1-8C00-4518-B9A5-AA548F06AE62}"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EF8D4A-CFC7-4E5F-A8E0-ECF8B1D41BBC}" name="Table_Fuel_EFs_StationaryLiquid" displayName="Table_Fuel_EFs_StationaryLiquid" ref="D53:K77" totalsRowShown="0" headerRowDxfId="350" dataDxfId="34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CE9988A-6AFD-4A95-A2B6-8C0761BC6285}" name="Fuel combusted" dataDxfId="348">
      <calculatedColumnFormula array="1">Common_InputFunctions.Utility_DisplayArrayInTable(Fuel_SourceData.Fuel_Scope1Scope3EmissionFactorsStationaryLiquid_Data(), Table_Fuel_EFs_StationaryLiquid[[#Headers],[Fuel combusted]],0)</calculatedColumnFormula>
    </tableColumn>
    <tableColumn id="2" xr3:uid="{1AD780FC-F224-4067-8F85-0403F8830640}" name="Energy Content Factor (GJ per unit of fuel)" dataDxfId="347">
      <calculatedColumnFormula array="1">Common_InputFunctions.Utility_DisplayArrayInTable(Fuel_SourceData.Fuel_Scope1Scope3EmissionFactorsStationaryLiquid_Data(), Table_Fuel_EFs_StationaryLiquid[[#Headers],[Fuel combusted]],0)</calculatedColumnFormula>
    </tableColumn>
    <tableColumn id="3" xr3:uid="{4C0BA533-6E6F-435C-BEDF-C72D07E563D4}" name="Fuel unit" dataDxfId="346">
      <calculatedColumnFormula array="1">Common_InputFunctions.Utility_DisplayArrayInTable(Fuel_SourceData.Fuel_Scope1Scope3EmissionFactorsStationaryLiquid_Data(), Table_Fuel_EFs_StationaryLiquid[[#Headers],[Fuel combusted]],0)</calculatedColumnFormula>
    </tableColumn>
    <tableColumn id="4" xr3:uid="{ACC874D3-6AAB-4DE5-A4F2-E6FC9192B36C}" name="Scope 1 Emission Factor (kg CO2 - e / GJ) CO2" dataDxfId="345">
      <calculatedColumnFormula array="1">Common_InputFunctions.Utility_DisplayArrayInTable(Fuel_SourceData.Fuel_Scope1Scope3EmissionFactorsStationaryLiquid_Data(), Table_Fuel_EFs_StationaryLiquid[[#Headers],[Fuel combusted]],0)</calculatedColumnFormula>
    </tableColumn>
    <tableColumn id="5" xr3:uid="{495E1302-DF6B-4686-876A-A878578AB440}" name="Scope 1 Emission Factor (kg CO2 - e / GJ) CH4" dataDxfId="344">
      <calculatedColumnFormula array="1">Common_InputFunctions.Utility_DisplayArrayInTable(Fuel_SourceData.Fuel_Scope1Scope3EmissionFactorsStationaryLiquid_Data(), Table_Fuel_EFs_StationaryLiquid[[#Headers],[Fuel combusted]],0)</calculatedColumnFormula>
    </tableColumn>
    <tableColumn id="6" xr3:uid="{0C1D8F5F-76F7-4401-A6CA-C52FF24D8848}" name="Scope 1 Emission Factor (kg CO2 - e / GJ) N2O" dataDxfId="343">
      <calculatedColumnFormula array="1">Common_InputFunctions.Utility_DisplayArrayInTable(Fuel_SourceData.Fuel_Scope1Scope3EmissionFactorsStationaryLiquid_Data(), Table_Fuel_EFs_StationaryLiquid[[#Headers],[Fuel combusted]],0)</calculatedColumnFormula>
    </tableColumn>
    <tableColumn id="7" xr3:uid="{9CC0C3E0-60B6-487F-A521-18301EC45EF9}" name="Scope 1 Emission Factor (kg CO2 - e / GJ) Combined gases" dataDxfId="342">
      <calculatedColumnFormula array="1">Common_InputFunctions.Utility_DisplayArrayInTable(Fuel_SourceData.Fuel_Scope1Scope3EmissionFactorsStationaryLiquid_Data(), Table_Fuel_EFs_StationaryLiquid[[#Headers],[Fuel combusted]],0)</calculatedColumnFormula>
    </tableColumn>
    <tableColumn id="8" xr3:uid="{E53B510B-B09D-4272-923E-AA09C304E583}" name="Scope 3 Emission Factor (kg CO2 - e / GJ)" dataDxfId="34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FFF9FE4-F291-4CCA-AF8B-CDC196339958}" name="Table_Fuel_EFs_Transport" displayName="Table_Fuel_EFs_Transport" ref="D9:L34" totalsRowShown="0" headerRowDxfId="340" dataDxfId="33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CD6B5D8-D40C-4346-887B-CF61CD9CED4D}" name="Transport type" dataDxfId="338">
      <calculatedColumnFormula array="1">Common_InputFunctions.Utility_DisplayArrayInTable(Fuel_SourceData.Fuel_Scope1Scope3EmissionFactorsTransport_Data(), Table_Fuel_EFs_Transport[[#Headers],[Transport type]], 0)</calculatedColumnFormula>
    </tableColumn>
    <tableColumn id="2" xr3:uid="{6C532D01-A2E5-4446-8CD3-77240F3A66A9}" name="Fuel combusted" dataDxfId="337">
      <calculatedColumnFormula array="1">Common_InputFunctions.Utility_DisplayArrayInTable(Fuel_SourceData.Fuel_Scope1Scope3EmissionFactorsTransport_Data(), Table_Fuel_EFs_Transport[[#Headers],[Transport type]], 0)</calculatedColumnFormula>
    </tableColumn>
    <tableColumn id="3" xr3:uid="{9D5FDCAC-D722-48AE-A820-2F030A03F227}" name="Energy Content Factor (GJ per unit of fuel)" dataDxfId="336">
      <calculatedColumnFormula array="1">Common_InputFunctions.Utility_DisplayArrayInTable(Fuel_SourceData.Fuel_Scope1Scope3EmissionFactorsTransport_Data(), Table_Fuel_EFs_Transport[[#Headers],[Transport type]], 0)</calculatedColumnFormula>
    </tableColumn>
    <tableColumn id="4" xr3:uid="{5FD2A41A-3B83-4802-863C-E36FB29660F6}" name="Fuel unit" dataDxfId="335">
      <calculatedColumnFormula array="1">Common_InputFunctions.Utility_DisplayArrayInTable(Fuel_SourceData.Fuel_Scope1Scope3EmissionFactorsTransport_Data(), Table_Fuel_EFs_Transport[[#Headers],[Transport type]], 0)</calculatedColumnFormula>
    </tableColumn>
    <tableColumn id="8" xr3:uid="{CCC432ED-A2DB-4CEB-ABD7-B99E727AB0E0}" name="Scope 1 Emission Factor (kg CO2 - e / GJ) CO2" dataDxfId="334">
      <calculatedColumnFormula array="1">Common_InputFunctions.Utility_DisplayArrayInTable(Fuel_SourceData.Fuel_Scope1Scope3EmissionFactorsTransport_Data(), Table_Fuel_EFs_Transport[[#Headers],[Transport type]], 0)</calculatedColumnFormula>
    </tableColumn>
    <tableColumn id="9" xr3:uid="{04FDB28A-C6D4-47C3-BFB3-FF45BBDCD733}" name="Scope 1 Emission Factor (kg CO2 - e / GJ) CH4" dataDxfId="333">
      <calculatedColumnFormula array="1">Common_InputFunctions.Utility_DisplayArrayInTable(Fuel_SourceData.Fuel_Scope1Scope3EmissionFactorsTransport_Data(), Table_Fuel_EFs_Transport[[#Headers],[Transport type]], 0)</calculatedColumnFormula>
    </tableColumn>
    <tableColumn id="10" xr3:uid="{35312FBD-8EC4-403D-A433-90EF62081D53}" name="Scope 1 Emission Factor (kg CO2 - e / GJ) N2O" dataDxfId="332">
      <calculatedColumnFormula array="1">Common_InputFunctions.Utility_DisplayArrayInTable(Fuel_SourceData.Fuel_Scope1Scope3EmissionFactorsTransport_Data(), Table_Fuel_EFs_Transport[[#Headers],[Transport type]], 0)</calculatedColumnFormula>
    </tableColumn>
    <tableColumn id="11" xr3:uid="{A4B910F8-A031-49B9-956B-A0690EE0C227}" name="Scope 1 Emission Factor (kg CO2 - e / GJ) Combined gases" dataDxfId="331">
      <calculatedColumnFormula array="1">Common_InputFunctions.Utility_DisplayArrayInTable(Fuel_SourceData.Fuel_Scope1Scope3EmissionFactorsTransport_Data(), Table_Fuel_EFs_Transport[[#Headers],[Transport type]], 0)</calculatedColumnFormula>
    </tableColumn>
    <tableColumn id="12" xr3:uid="{C795962C-8FD4-45E6-87E5-C0B9CEBB5E09}" name="Scope 3 Emission Factor (kg CO2 - e / GJ)" dataDxfId="33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314CE9DC-0588-4AE8-8564-591B7A7BF94B}" name="Table_FuelTypesPerUse" displayName="Table_FuelTypesPerUse" ref="D130:I139" totalsRowShown="0" headerRowDxfId="329" dataDxfId="32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3382584E-B918-4FD7-A436-5C5B32632A71}" name="Generators" dataDxfId="327"/>
    <tableColumn id="2" xr3:uid="{713B77B9-F223-4A6E-8067-DE28CB74DAF0}" name="Power standalone machinery or heating" dataDxfId="326"/>
    <tableColumn id="3" xr3:uid="{3831B839-C336-4E47-83D9-ABC051A6D492}" name="Aviation" dataDxfId="325"/>
    <tableColumn id="5" xr3:uid="{9F3FE027-5A85-44B4-BA4A-AB687ED1163D}" name="Cars and light commercial vehicles" dataDxfId="324"/>
    <tableColumn id="7" xr3:uid="{08A8FCC6-8506-4C29-9CAD-996AB694124B}" name="Off-road Agriculture and forestry equipment" dataDxfId="323" dataCellStyle="Content bold"/>
    <tableColumn id="8" xr3:uid="{5ED53886-3B11-44CD-8C36-3E012032D729}" name="Vessels" dataDxfId="322" dataCellStyle="Content bol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0848E72-EE96-4483-9E6A-32DEBCFE2001}" name="Table_Fuel_EFs_StationaryGaseous" displayName="Table_Fuel_EFs_StationaryGaseous" ref="D86:J104" totalsRowShown="0" headerRowDxfId="321" dataDxfId="32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BD9C308-FA1C-47DB-94B7-D8AAB0F5741C}" name="Fuel combusted" dataDxfId="319">
      <calculatedColumnFormula array="1">Common_InputFunctions.Utility_DisplayArrayInTable(Fuel_SourceData.Fuel_Scope1EmissionFactorsStationaryGaseous_Data(), Table_Fuel_EFs_StationaryGaseous[[#Headers],[Fuel combusted]],0)</calculatedColumnFormula>
    </tableColumn>
    <tableColumn id="2" xr3:uid="{F42622D7-547C-4416-831D-1B19990B349E}" name="Energy Content Factor (GJ per unit of fuel)" dataDxfId="318">
      <calculatedColumnFormula array="1">Common_InputFunctions.Utility_DisplayArrayInTable(Fuel_SourceData.Fuel_Scope1EmissionFactorsStationaryGaseous_Data(), Table_Fuel_EFs_StationaryGaseous[[#Headers],[Fuel combusted]],0)</calculatedColumnFormula>
    </tableColumn>
    <tableColumn id="3" xr3:uid="{2F5677E6-DA68-4D4B-AC1A-7EBC554C222F}" name="Fuel unit" dataDxfId="317">
      <calculatedColumnFormula array="1">Common_InputFunctions.Utility_DisplayArrayInTable(Fuel_SourceData.Fuel_Scope1EmissionFactorsStationaryGaseous_Data(), Table_Fuel_EFs_StationaryGaseous[[#Headers],[Fuel combusted]],0)</calculatedColumnFormula>
    </tableColumn>
    <tableColumn id="4" xr3:uid="{4266C9E4-7F32-443D-89B0-26E21907F7D0}" name="Scope 1 Emission Factor (kg CO2 - e / GJ) CO2" dataDxfId="316">
      <calculatedColumnFormula array="1">Common_InputFunctions.Utility_DisplayArrayInTable(Fuel_SourceData.Fuel_Scope1EmissionFactorsStationaryGaseous_Data(), Table_Fuel_EFs_StationaryGaseous[[#Headers],[Fuel combusted]],0)</calculatedColumnFormula>
    </tableColumn>
    <tableColumn id="5" xr3:uid="{1FA4344A-2ABA-46B3-9F85-173CD26932AB}" name="Scope 1 Emission Factor (kg CO2 - e / GJ) CH4" dataDxfId="315">
      <calculatedColumnFormula array="1">Common_InputFunctions.Utility_DisplayArrayInTable(Fuel_SourceData.Fuel_Scope1EmissionFactorsStationaryGaseous_Data(), Table_Fuel_EFs_StationaryGaseous[[#Headers],[Fuel combusted]],0)</calculatedColumnFormula>
    </tableColumn>
    <tableColumn id="6" xr3:uid="{96A21F42-D3D7-4839-B5AD-086556EBEFEF}" name="Scope 1 Emission Factor (kg CO2 - e / GJ) N2O" dataDxfId="314">
      <calculatedColumnFormula array="1">Common_InputFunctions.Utility_DisplayArrayInTable(Fuel_SourceData.Fuel_Scope1EmissionFactorsStationaryGaseous_Data(), Table_Fuel_EFs_StationaryGaseous[[#Headers],[Fuel combusted]],0)</calculatedColumnFormula>
    </tableColumn>
    <tableColumn id="7" xr3:uid="{1639A19F-1EBD-491B-AEDD-774B09F73E3A}" name="Scope 1 Emission Factor (kg CO2 - e / GJ) Combined gases" dataDxfId="31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63F2ED4-99AF-4BAE-B36C-4042AA2ABB47}" name="Table_Fuel_EFs_StationaryGaseous34" displayName="Table_Fuel_EFs_StationaryGaseous34" ref="D112:G120" headerRowDxfId="312" totalsRowDxfId="311">
  <autoFilter ref="D112:G120" xr:uid="{7D6CE29D-2354-4FAC-9965-9A66FFA42416}">
    <filterColumn colId="0" hiddenButton="1"/>
    <filterColumn colId="1" hiddenButton="1"/>
    <filterColumn colId="2" hiddenButton="1"/>
    <filterColumn colId="3" hiddenButton="1"/>
  </autoFilter>
  <tableColumns count="4">
    <tableColumn id="1" xr3:uid="{18CACA13-D656-4AC3-9984-951E9418F844}" name="State or territory" totalsRowDxfId="310">
      <calculatedColumnFormula array="1">Common_InputFunctions.Utility_DisplayArrayInTable(Fuel_SourceData.Fuel_Scope3EmissionFactorsStationaryGaseous_Data(), Table_Fuel_EFs_StationaryGaseous34[[#Headers],[State or territory]],0)</calculatedColumnFormula>
    </tableColumn>
    <tableColumn id="2" xr3:uid="{9A5FAC9F-6E32-4AE9-B521-7D4734429933}" name="Metro" totalsRowDxfId="309">
      <calculatedColumnFormula array="1">Common_InputFunctions.Utility_DisplayArrayInTable(Fuel_SourceData.Fuel_Scope3EmissionFactorsStationaryGaseous_Data(), Table_Fuel_EFs_StationaryGaseous34[[#Headers],[State or territory]],0)</calculatedColumnFormula>
    </tableColumn>
    <tableColumn id="3" xr3:uid="{86B7B663-1DFF-415E-9059-5E2EC8E6D27D}" name="Non-metro" totalsRowDxfId="308">
      <calculatedColumnFormula array="1">Common_InputFunctions.Utility_DisplayArrayInTable(Fuel_SourceData.Fuel_Scope3EmissionFactorsStationaryGaseous_Data(), Table_Fuel_EFs_StationaryGaseous34[[#Headers],[State or territory]],0)</calculatedColumnFormula>
    </tableColumn>
    <tableColumn id="4" xr3:uid="{252A3B85-2BDD-4F2C-B299-84B5EAE38EDD}" name="Column1" dataDxfId="0" totalsRowDxfId="1" data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3AB86C8-0334-425A-A9D2-31958DCE39C4}"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895E1947-DEF3-4B07-9E16-C5657003AD56}" name="Fuel type"/>
    <tableColumn id="2" xr3:uid="{76DCDB6B-9D47-432A-BB6C-171EC380E102}" name="Unit"/>
    <tableColumn id="3" xr3:uid="{0422023C-F09B-4ACC-9188-D0D35E8BE34C}" name="Input Unit" dataDxfId="307"/>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BE5AE4F-40F8-469D-8742-9598C637E705}"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BC286A-B7E2-4BB8-A45A-4C7B1A3A928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60E82BB-D425-4DA7-AE26-EC9BE73C0F47}" name="Fuel type q" dataDxfId="30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679F03E0-56F4-4D0D-8986-552934A1264B}" name="ECTrans,q (GJ/kL)" dataDxfId="30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DA55D-D36C-4639-8616-80E6A796A193}" name="Scope 1 CO2 EFTran,1,tqg (kg CO2-e/GJ)" dataDxfId="30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54C976A9-F631-446B-AB32-6C70D7BD1816}" name="Scope 1 CH4 EFTran,1,tgg (kg CO2-e/GJ)" dataDxfId="30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86F095BE-6A9E-4796-BAA5-BEE364B28D06}" name="Scope 1 N2O EFTran,1,tgg (kg CO2-e/GJ)" dataDxfId="30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B403BFA0-8D36-4F57-A7ED-9C7B3112DBF4}" name="Scope 3 EFTrans,3,q (kg CO2-e/GJ)" dataDxfId="30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3F0D9DA3-159A-4094-8DD8-15D62E070F86}"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246B87-A682-408D-B95A-BE24B394D445}" name="Category" dataDxfId="300" dataCellStyle="Content normal">
      <calculatedColumnFormula array="1">Common_InputFunctions.Utility_DisplayArrayInTable(Scope3_SourceData.Scope3_Livestock_Data(), Table_SourceData_Scope3_Animals[[#Headers],[Category]], 0, 2)</calculatedColumnFormula>
    </tableColumn>
    <tableColumn id="2" xr3:uid="{59443A11-3DEB-43CF-8762-DA49F3E8C735}" name="Product" dataDxfId="299" dataCellStyle="Content normal">
      <calculatedColumnFormula array="1">Common_InputFunctions.Utility_DisplayArrayInTable(Scope3_SourceData.Scope3_Livestock_Data(), Table_SourceData_Scope3_Animals[[#Headers],[Category]], 0, 2)</calculatedColumnFormula>
    </tableColumn>
    <tableColumn id="3" xr3:uid="{C1FA1DC9-EF8F-4FC4-8F74-C4A96B84115B}" name="Region of origin" dataDxfId="298" dataCellStyle="Content normal">
      <calculatedColumnFormula array="1">Common_InputFunctions.Utility_DisplayArrayInTable(Scope3_SourceData.Scope3_Livestock_Data(), Table_SourceData_Scope3_Animals[[#Headers],[Category]], 0, 2)</calculatedColumnFormula>
    </tableColumn>
    <tableColumn id="8" xr3:uid="{FB8059D7-8632-47E0-B006-BED0A74F712C}" name="Quantity Unit" dataDxfId="297" dataCellStyle="Content normal">
      <calculatedColumnFormula array="1">Common_InputFunctions.Utility_DisplayArrayInTable(Scope3_SourceData.Scope3_Livestock_Data(), Table_SourceData_Scope3_Animals[[#Headers],[Category]], 0, 2)</calculatedColumnFormula>
    </tableColumn>
    <tableColumn id="9" xr3:uid="{3BBBA611-32AA-47BA-B608-1CD78B1DC616}" name="Emissions intensity" dataDxfId="296" dataCellStyle="Content normal">
      <calculatedColumnFormula array="1">Common_InputFunctions.Utility_DisplayArrayInTable(Scope3_SourceData.Scope3_Livestock_Data(), Table_SourceData_Scope3_Animals[[#Headers],[Category]], 0, 2)</calculatedColumnFormula>
    </tableColumn>
    <tableColumn id="10" xr3:uid="{D4576C94-FD40-4717-86C5-CB180C1837FA}" name="System boundary" dataDxfId="295" dataCellStyle="Content normal">
      <calculatedColumnFormula array="1">Common_InputFunctions.Utility_DisplayArrayInTable(Scope3_SourceData.Scope3_Livestock_Data(), Table_SourceData_Scope3_Animals[[#Headers],[Category]], 0, 2)</calculatedColumnFormula>
    </tableColumn>
    <tableColumn id="4" xr3:uid="{FE3FAC5A-FC8A-4C85-A800-3521A6962EBD}" name="Source" dataDxfId="294"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35F3FA20-A73D-4966-8A4D-32493F011935}"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9C60C7-4CFA-4E79-AE93-F60CA475BCA6}" name="Category" dataDxfId="293" dataCellStyle="Content normal">
      <calculatedColumnFormula array="1">Common_InputFunctions.Utility_DisplayArrayInTable(Scope3_SourceData.Scope3_Chemicals_Data(), Table_SourceData_Scope3_ChemicalsCleaning[[#Headers],[Category]], 0, 2)</calculatedColumnFormula>
    </tableColumn>
    <tableColumn id="2" xr3:uid="{54A1364F-1B6C-4C1B-92A2-2022A025B4A2}" name="Product" dataDxfId="292" dataCellStyle="Content normal">
      <calculatedColumnFormula array="1">Common_InputFunctions.Utility_DisplayArrayInTable(Scope3_SourceData.Scope3_Chemicals_Data(), Table_SourceData_Scope3_ChemicalsCleaning[[#Headers],[Category]], 0, 2)</calculatedColumnFormula>
    </tableColumn>
    <tableColumn id="3" xr3:uid="{2D9D9443-497D-4D1C-BCD0-7BEFFF7AD89A}" name="Region of origin" dataDxfId="291" dataCellStyle="Content normal">
      <calculatedColumnFormula array="1">Common_InputFunctions.Utility_DisplayArrayInTable(Scope3_SourceData.Scope3_Chemicals_Data(), Table_SourceData_Scope3_ChemicalsCleaning[[#Headers],[Category]], 0, 2)</calculatedColumnFormula>
    </tableColumn>
    <tableColumn id="8" xr3:uid="{26CA0841-4E7B-4FC6-B9CC-581510CF0B87}" name="Quantity Unit" dataDxfId="290" dataCellStyle="Content normal">
      <calculatedColumnFormula array="1">Common_InputFunctions.Utility_DisplayArrayInTable(Scope3_SourceData.Scope3_Chemicals_Data(), Table_SourceData_Scope3_ChemicalsCleaning[[#Headers],[Category]], 0, 2)</calculatedColumnFormula>
    </tableColumn>
    <tableColumn id="9" xr3:uid="{26F00DBE-992F-4F42-BA7D-48A326B1C817}" name="Emissions intensity" dataDxfId="289" dataCellStyle="Content normal">
      <calculatedColumnFormula array="1">Common_InputFunctions.Utility_DisplayArrayInTable(Scope3_SourceData.Scope3_Chemicals_Data(), Table_SourceData_Scope3_ChemicalsCleaning[[#Headers],[Category]], 0, 2)</calculatedColumnFormula>
    </tableColumn>
    <tableColumn id="10" xr3:uid="{AC29A88C-510B-4225-AB47-8C058F7A761C}" name="System boundary" dataDxfId="288" dataCellStyle="Content normal">
      <calculatedColumnFormula array="1">Common_InputFunctions.Utility_DisplayArrayInTable(Scope3_SourceData.Scope3_Chemicals_Data(), Table_SourceData_Scope3_ChemicalsCleaning[[#Headers],[Category]], 0, 2)</calculatedColumnFormula>
    </tableColumn>
    <tableColumn id="4" xr3:uid="{9C6CCFB0-0B64-4C6D-A220-C236E5BE7254}" name="Source" dataDxfId="287"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DBA1E6B3-9DDC-4EE9-BBAD-4B73C51CC9AD}" name="Table_SourceData_Scope3_Feed" displayName="Table_SourceData_Scope3_Feed" ref="D89:J158" dataDxfId="286"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E385B2-20E8-45B2-B96F-153175594982}" name="Category" totalsRowFunction="custom" dataDxfId="285" totalsRowDxfId="28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71BB2ED7-B1AB-4700-8D09-45AC2746C5B9}" name="Product" totalsRowFunction="custom" dataDxfId="283" totalsRowDxfId="28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EC3D5857-E970-4F30-95D6-89E4BFE4AAEB}" name="Region of origin" totalsRowFunction="custom" dataDxfId="281" totalsRowDxfId="28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534FFE40-8820-4624-A9AB-C7FBE6B79AB5}" name="Quantity Unit" totalsRowFunction="custom" dataDxfId="279" totalsRowDxfId="27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9FD85D86-BE75-4567-B627-0D258612EEF5}" name="Emissions intensity" totalsRowFunction="custom" dataDxfId="277" totalsRowDxfId="27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80F5700A-699D-47C2-8B3C-162FD195B97F}" name="System boundary" totalsRowFunction="custom" dataDxfId="275" totalsRowDxfId="27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0C2C8558-25BF-4D80-BB84-F4153F60A4D6}" name="Source" totalsRowLabel="GHGEI-MIAFF" dataDxfId="273" totalsRowDxfId="272"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DE53FC16-67D6-4FF9-959D-A4CCF2B7BC8F}"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844AEA8-FF37-4869-8797-47A6451D77BC}" name="Category">
      <calculatedColumnFormula array="1">Common_InputFunctions.Utility_DisplayArrayInTable(Scope3_SourceData.Scope3_InorganicFertilisers_Data(), Table_SourceData_Scope3_InorganicFertiliser[[#Headers],[Category]], 0, 2)</calculatedColumnFormula>
    </tableColumn>
    <tableColumn id="2" xr3:uid="{8E6F1276-44A8-4684-BE61-136CE92EDB47}" name="Product">
      <calculatedColumnFormula array="1">Common_InputFunctions.Utility_DisplayArrayInTable(Scope3_SourceData.Scope3_InorganicFertilisers_Data(), Table_SourceData_Scope3_InorganicFertiliser[[#Headers],[Category]], 0, 2)</calculatedColumnFormula>
    </tableColumn>
    <tableColumn id="3" xr3:uid="{0DA914FE-C6ED-42DB-812B-505D0C00A77D}" name="Region of origin">
      <calculatedColumnFormula array="1">Common_InputFunctions.Utility_DisplayArrayInTable(Scope3_SourceData.Scope3_InorganicFertilisers_Data(), Table_SourceData_Scope3_InorganicFertiliser[[#Headers],[Category]], 0, 2)</calculatedColumnFormula>
    </tableColumn>
    <tableColumn id="4" xr3:uid="{4BE6C4C5-3A27-4401-B3D5-4C08E451CF82}" name="Chemical compound"/>
    <tableColumn id="5" xr3:uid="{05B84560-FA8A-40FF-A539-59CABFF39B24}" name="Urea source"/>
    <tableColumn id="6" xr3:uid="{C79CEA9A-AAFE-416C-99AF-E427ABD1EBCD}" name="Ammonia source"/>
    <tableColumn id="7" xr3:uid="{5AA166A7-CB72-42CC-AABA-4D1495DEB84E}" name="Quantity"/>
    <tableColumn id="8" xr3:uid="{05D7D6F4-638C-4B90-A42D-CF67F3687F8D}" name="Quantity Unit">
      <calculatedColumnFormula array="1">Common_InputFunctions.Utility_DisplayArrayInTable(Scope3_SourceData.Scope3_InorganicFertilisers_Data(), Table_SourceData_Scope3_InorganicFertiliser[[#Headers],[Category]], 0, -2)</calculatedColumnFormula>
    </tableColumn>
    <tableColumn id="9" xr3:uid="{EDAE4D93-7465-4C3F-8B6F-3BA5D7384C03}" name="Emissions intensity">
      <calculatedColumnFormula array="1">Common_InputFunctions.Utility_DisplayArrayInTable(Scope3_SourceData.Scope3_InorganicFertilisers_Data(), Table_SourceData_Scope3_InorganicFertiliser[[#Headers],[Category]], 0, -2)</calculatedColumnFormula>
    </tableColumn>
    <tableColumn id="10" xr3:uid="{81DD3C79-127A-41CC-9DCA-ABB5C9A5E6C5}" name="System boundary" dataDxfId="271" dataCellStyle="Content normal">
      <calculatedColumnFormula array="1">Common_InputFunctions.Utility_DisplayArrayInTable(Scope3_SourceData.Scope3_InorganicFertilisers_Data(), Table_SourceData_Scope3_InorganicFertiliser[[#Headers],[Category]], 0, -2)</calculatedColumnFormula>
    </tableColumn>
    <tableColumn id="11" xr3:uid="{0F7CDFDF-7476-4B7E-9562-AD9274565936}" name="Source" dataDxfId="270"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A76B735B-0BDC-4538-A2BB-218EDE58AE5F}" name="Table_SourceData_Scope3_Other" displayName="Table_SourceData_Scope3_Other" ref="D201:J209" totalsRowShown="0" dataDxfId="269"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5AF1BED-BADD-42E0-A094-A0419A2C3DFA}" name="Category" dataDxfId="268" dataCellStyle="Content normal">
      <calculatedColumnFormula array="1">Common_InputFunctions.Utility_DisplayArrayInTable(Scope3_SourceData.Scope3_Other_Data(), Table_SourceData_Scope3_Other[[#Headers],[Category]], 0, 2)</calculatedColumnFormula>
    </tableColumn>
    <tableColumn id="2" xr3:uid="{BF5A5156-37AD-4ACC-87A4-82DBFE5EE49B}" name="Product" dataDxfId="267" dataCellStyle="Content normal">
      <calculatedColumnFormula array="1">Common_InputFunctions.Utility_DisplayArrayInTable(Scope3_SourceData.Scope3_Other_Data(), Table_SourceData_Scope3_Other[[#Headers],[Category]], 0, 2)</calculatedColumnFormula>
    </tableColumn>
    <tableColumn id="3" xr3:uid="{0D6FE639-9A3E-4108-B988-EFE7B61AD667}" name="Region of origin" dataDxfId="266" dataCellStyle="Content normal">
      <calculatedColumnFormula array="1">Common_InputFunctions.Utility_DisplayArrayInTable(Scope3_SourceData.Scope3_Other_Data(), Table_SourceData_Scope3_Other[[#Headers],[Category]], 0, 2)</calculatedColumnFormula>
    </tableColumn>
    <tableColumn id="8" xr3:uid="{7C6A530E-E913-4D10-8F3F-1172F018484F}" name="Quantity Unit" dataDxfId="265" dataCellStyle="Content normal">
      <calculatedColumnFormula array="1">Common_InputFunctions.Utility_DisplayArrayInTable(Scope3_SourceData.Scope3_Other_Data(), Table_SourceData_Scope3_Other[[#Headers],[Category]], 0, 2)</calculatedColumnFormula>
    </tableColumn>
    <tableColumn id="9" xr3:uid="{E05313FF-13A5-4463-B4A2-BF00ECAAB054}" name="Emissions intensity" dataDxfId="264" dataCellStyle="Content normal">
      <calculatedColumnFormula array="1">Common_InputFunctions.Utility_DisplayArrayInTable(Scope3_SourceData.Scope3_Other_Data(), Table_SourceData_Scope3_Other[[#Headers],[Category]], 0, 2)</calculatedColumnFormula>
    </tableColumn>
    <tableColumn id="10" xr3:uid="{266679D7-E2DC-49F2-97DE-6DCC2F2E1A1A}" name="System boundary" dataDxfId="263" dataCellStyle="Content normal">
      <calculatedColumnFormula array="1">Common_InputFunctions.Utility_DisplayArrayInTable(Scope3_SourceData.Scope3_Other_Data(), Table_SourceData_Scope3_Other[[#Headers],[Category]], 0, 2)</calculatedColumnFormula>
    </tableColumn>
    <tableColumn id="4" xr3:uid="{0171058E-78C8-41D0-80EC-531C08F75603}" name="Source" dataDxfId="262" dataCellStyle="Content normal"/>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9C36BC3-D979-4D70-B36E-14CA7DDEE583}" name="Table_SourceData_Scope3_Packaging" displayName="Table_SourceData_Scope3_Packaging" ref="D212:J216" totalsRowShown="0" dataDxfId="261"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0D0EDC-E729-42D7-B92E-63AE475F0112}" name="Category" dataDxfId="260" dataCellStyle="Content normal">
      <calculatedColumnFormula array="1">Common_InputFunctions.Utility_DisplayArrayInTable(Scope3_SourceData.Scope3_Packaging_Data(), Table_SourceData_Scope3_Packaging[[#Headers],[Category]], 0, 2)</calculatedColumnFormula>
    </tableColumn>
    <tableColumn id="2" xr3:uid="{CB7C5F4D-FBEF-4FC1-BC5F-A7ACFBD0BE36}" name="Product" dataDxfId="259" dataCellStyle="Content normal">
      <calculatedColumnFormula array="1">Common_InputFunctions.Utility_DisplayArrayInTable(Scope3_SourceData.Scope3_Packaging_Data(), Table_SourceData_Scope3_Packaging[[#Headers],[Category]], 0, 2)</calculatedColumnFormula>
    </tableColumn>
    <tableColumn id="3" xr3:uid="{7DCC0833-0E0B-4DC7-9B5D-D4B947C5AF9C}" name="Region of origin" dataDxfId="258" dataCellStyle="Content normal">
      <calculatedColumnFormula array="1">Common_InputFunctions.Utility_DisplayArrayInTable(Scope3_SourceData.Scope3_Packaging_Data(), Table_SourceData_Scope3_Packaging[[#Headers],[Category]], 0, 2)</calculatedColumnFormula>
    </tableColumn>
    <tableColumn id="8" xr3:uid="{0A4CDBF5-2F8B-4B81-B83E-B6247C3C6388}" name="Quantity Unit" dataDxfId="257" dataCellStyle="Content normal">
      <calculatedColumnFormula array="1">Common_InputFunctions.Utility_DisplayArrayInTable(Scope3_SourceData.Scope3_Packaging_Data(), Table_SourceData_Scope3_Packaging[[#Headers],[Category]], 0, 2)</calculatedColumnFormula>
    </tableColumn>
    <tableColumn id="9" xr3:uid="{B04BF190-BF06-424B-A9B2-B43E951BC3A4}" name="Emissions intensity" dataDxfId="256" dataCellStyle="Content normal">
      <calculatedColumnFormula array="1">Common_InputFunctions.Utility_DisplayArrayInTable(Scope3_SourceData.Scope3_Packaging_Data(), Table_SourceData_Scope3_Packaging[[#Headers],[Category]], 0, 2)</calculatedColumnFormula>
    </tableColumn>
    <tableColumn id="10" xr3:uid="{CD4FB549-022E-4433-9386-C3DD97E12449}" name="System boundary" dataDxfId="255" dataCellStyle="Content normal">
      <calculatedColumnFormula array="1">Common_InputFunctions.Utility_DisplayArrayInTable(Scope3_SourceData.Scope3_Packaging_Data(), Table_SourceData_Scope3_Packaging[[#Headers],[Category]], 0, 2)</calculatedColumnFormula>
    </tableColumn>
    <tableColumn id="4" xr3:uid="{DB26A5E6-60B1-4A01-B8BA-0B62F1EA076D}" name="Source" dataDxfId="254"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7952E463-F7EA-46E3-9ED3-CE47911072FE}" name="Table_SourceData_Scope3_Pesticides" displayName="Table_SourceData_Scope3_Pesticides" ref="D219:J231" totalsRowShown="0" dataDxfId="253"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3F5F91F-F152-4764-9B3D-19136403D37E}" name="Category" dataDxfId="252" dataCellStyle="Content normal">
      <calculatedColumnFormula array="1">Common_InputFunctions.Utility_DisplayArrayInTable(Scope3_SourceData.Scope3_Pesticides_Data(), Table_SourceData_Scope3_Pesticides[[#Headers],[Category]], 0, 2)</calculatedColumnFormula>
    </tableColumn>
    <tableColumn id="2" xr3:uid="{46C232AB-7DC7-4B76-B037-B4D14D658DED}" name="Product" dataDxfId="251" dataCellStyle="Content normal">
      <calculatedColumnFormula array="1">Common_InputFunctions.Utility_DisplayArrayInTable(Scope3_SourceData.Scope3_Pesticides_Data(), Table_SourceData_Scope3_Pesticides[[#Headers],[Category]], 0, 2)</calculatedColumnFormula>
    </tableColumn>
    <tableColumn id="3" xr3:uid="{30E3A87D-F337-4E1A-BA17-6E89A393FFF6}" name="Region of origin" dataDxfId="250" dataCellStyle="Content normal">
      <calculatedColumnFormula array="1">Common_InputFunctions.Utility_DisplayArrayInTable(Scope3_SourceData.Scope3_Pesticides_Data(), Table_SourceData_Scope3_Pesticides[[#Headers],[Category]], 0, 2)</calculatedColumnFormula>
    </tableColumn>
    <tableColumn id="8" xr3:uid="{D3030655-605A-496C-ABF8-6072B7302663}" name="Quantity Unit" dataDxfId="249" dataCellStyle="Content normal">
      <calculatedColumnFormula array="1">Common_InputFunctions.Utility_DisplayArrayInTable(Scope3_SourceData.Scope3_Pesticides_Data(), Table_SourceData_Scope3_Pesticides[[#Headers],[Category]], 0, 2)</calculatedColumnFormula>
    </tableColumn>
    <tableColumn id="9" xr3:uid="{811C8992-2EDA-4AA2-AFF6-08DF4CA8E0AB}" name="Emissions intensity" dataDxfId="248" dataCellStyle="Content normal">
      <calculatedColumnFormula array="1">Common_InputFunctions.Utility_DisplayArrayInTable(Scope3_SourceData.Scope3_Pesticides_Data(), Table_SourceData_Scope3_Pesticides[[#Headers],[Category]], 0, 2)</calculatedColumnFormula>
    </tableColumn>
    <tableColumn id="10" xr3:uid="{12DB1DC1-D20B-40C8-B28D-4F2244C964CD}" name="System boundary" dataDxfId="247" dataCellStyle="Content normal">
      <calculatedColumnFormula array="1">Common_InputFunctions.Utility_DisplayArrayInTable(Scope3_SourceData.Scope3_Pesticides_Data(), Table_SourceData_Scope3_Pesticides[[#Headers],[Category]], 0, 2)</calculatedColumnFormula>
    </tableColumn>
    <tableColumn id="4" xr3:uid="{8777378B-B1F6-475C-A272-E8F09E034D48}" name="Source" dataDxfId="246"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CA6CD951-D8ED-4BEC-BF46-76745D411090}" name="Table_SourceData_Scope3_SoilAmeliorants" displayName="Table_SourceData_Scope3_SoilAmeliorants" ref="D234:J237" totalsRowShown="0" dataDxfId="245"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8239E0-EC3B-44DB-83E5-5939186EB62C}" name="Category" dataDxfId="244" dataCellStyle="Content normal">
      <calculatedColumnFormula array="1">Common_InputFunctions.Utility_DisplayArrayInTable(Scope3_SourceData.Scope3_SoilAmendments_Data(), Table_SourceData_Scope3_SoilAmeliorants[[#Headers],[Category]], 0, 2)</calculatedColumnFormula>
    </tableColumn>
    <tableColumn id="2" xr3:uid="{9F2CECD3-BF0F-46AD-BB24-2EA25E62B1F6}" name="Product" dataDxfId="243" dataCellStyle="Content normal">
      <calculatedColumnFormula array="1">Common_InputFunctions.Utility_DisplayArrayInTable(Scope3_SourceData.Scope3_SoilAmendments_Data(), Table_SourceData_Scope3_SoilAmeliorants[[#Headers],[Category]], 0, 2)</calculatedColumnFormula>
    </tableColumn>
    <tableColumn id="3" xr3:uid="{09F54B39-53DA-40EA-A30F-7614164EE0A9}" name="Region of origin" dataDxfId="242" dataCellStyle="Content normal">
      <calculatedColumnFormula array="1">Common_InputFunctions.Utility_DisplayArrayInTable(Scope3_SourceData.Scope3_SoilAmendments_Data(), Table_SourceData_Scope3_SoilAmeliorants[[#Headers],[Category]], 0, 2)</calculatedColumnFormula>
    </tableColumn>
    <tableColumn id="8" xr3:uid="{853793D0-2512-4B85-A75F-0473ADFD32AD}" name="Quantity Unit" dataDxfId="241" dataCellStyle="Content normal">
      <calculatedColumnFormula array="1">Common_InputFunctions.Utility_DisplayArrayInTable(Scope3_SourceData.Scope3_SoilAmendments_Data(), Table_SourceData_Scope3_SoilAmeliorants[[#Headers],[Category]], 0, 2)</calculatedColumnFormula>
    </tableColumn>
    <tableColumn id="9" xr3:uid="{E785B7E1-7D44-430C-9EAE-BF8F07D7F58F}" name="Emissions intensity" dataDxfId="240" dataCellStyle="Content normal">
      <calculatedColumnFormula array="1">Common_InputFunctions.Utility_DisplayArrayInTable(Scope3_SourceData.Scope3_SoilAmendments_Data(), Table_SourceData_Scope3_SoilAmeliorants[[#Headers],[Category]], 0, 2)</calculatedColumnFormula>
    </tableColumn>
    <tableColumn id="10" xr3:uid="{1B6F10B3-400D-4DEF-935E-F183143B012B}" name="System boundary" dataDxfId="239" dataCellStyle="Content normal">
      <calculatedColumnFormula array="1">Common_InputFunctions.Utility_DisplayArrayInTable(Scope3_SourceData.Scope3_SoilAmendments_Data(), Table_SourceData_Scope3_SoilAmeliorants[[#Headers],[Category]], 0, 2)</calculatedColumnFormula>
    </tableColumn>
    <tableColumn id="4" xr3:uid="{9A145A33-9B4D-4FA1-945C-67EEDF52F8B5}" name="Source" dataDxfId="238"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C68FF5D5-B1EA-4959-AE12-548BEF42B0A9}" name="Table_SourceData_Scope3_ChemicalsPharmacy" displayName="Table_SourceData_Scope3_ChemicalsPharmacy" ref="D82:J86" totalsRowShown="0" dataDxfId="237"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5AAFFC-8E85-44FC-9B74-EC9C756633D8}" name="Category" dataDxfId="236" dataCellStyle="Content normal">
      <calculatedColumnFormula array="1">Common_InputFunctions.Utility_DisplayArrayInTable(Scope3_SourceData.Scope3_Chemicals_Data(), Table_SourceData_Scope3_ChemicalsPharmacy[[#Headers],[Category]], -3, 2)</calculatedColumnFormula>
    </tableColumn>
    <tableColumn id="2" xr3:uid="{0702A64B-6E5F-4A82-8FC2-EA2E9175656D}" name="Product" dataDxfId="235" dataCellStyle="Content normal">
      <calculatedColumnFormula array="1">Common_InputFunctions.Utility_DisplayArrayInTable(Scope3_SourceData.Scope3_Chemicals_Data(), Table_SourceData_Scope3_ChemicalsPharmacy[[#Headers],[Category]], -3, 2)</calculatedColumnFormula>
    </tableColumn>
    <tableColumn id="3" xr3:uid="{0F28753E-1D21-42FB-BB46-C15DD7844D91}" name="Region of origin" dataDxfId="234" dataCellStyle="Content normal">
      <calculatedColumnFormula array="1">Common_InputFunctions.Utility_DisplayArrayInTable(Scope3_SourceData.Scope3_Chemicals_Data(), Table_SourceData_Scope3_ChemicalsPharmacy[[#Headers],[Category]], -3, 2)</calculatedColumnFormula>
    </tableColumn>
    <tableColumn id="8" xr3:uid="{DC5E88D6-C9DE-46D4-8CB9-06385B0C6A3A}" name="Quantity Unit" dataDxfId="233" dataCellStyle="Content normal">
      <calculatedColumnFormula array="1">Common_InputFunctions.Utility_DisplayArrayInTable(Scope3_SourceData.Scope3_Chemicals_Data(), Table_SourceData_Scope3_ChemicalsPharmacy[[#Headers],[Category]], -3, 2)</calculatedColumnFormula>
    </tableColumn>
    <tableColumn id="9" xr3:uid="{5BA39116-1297-48F1-8733-C221E034A2F0}" name="Emissions intensity" dataDxfId="232" dataCellStyle="Content normal">
      <calculatedColumnFormula array="1">Common_InputFunctions.Utility_DisplayArrayInTable(Scope3_SourceData.Scope3_Chemicals_Data(), Table_SourceData_Scope3_ChemicalsPharmacy[[#Headers],[Category]], -3, 2)</calculatedColumnFormula>
    </tableColumn>
    <tableColumn id="10" xr3:uid="{F8683B46-C80D-4A7A-80FA-71EC4C92D4EA}" name="System boundary" dataDxfId="231" dataCellStyle="Content normal">
      <calculatedColumnFormula array="1">Common_InputFunctions.Utility_DisplayArrayInTable(Scope3_SourceData.Scope3_Chemicals_Data(), Table_SourceData_Scope3_ChemicalsPharmacy[[#Headers],[Category]], -3, 2)</calculatedColumnFormula>
    </tableColumn>
    <tableColumn id="4" xr3:uid="{8FA8BEA9-416E-45D6-AE46-B6EF9F258EDA}" name="Source" dataDxfId="230"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4719666-A089-4A39-BB3C-C79098E26226}" name="Table_SourceData_Scope3_LickBlocks" displayName="Table_SourceData_Scope3_LickBlocks" ref="D167:J170" totalsRowShown="0" headerRowDxfId="229"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4059F2-9A91-46EC-9B3C-61F1694FB6E6}" name="Category" dataDxfId="228" dataCellStyle="Content normal">
      <calculatedColumnFormula array="1">Common_InputFunctions.Utility_DisplayArrayInTable(Scope3_SourceData.Scope3_Feed_Data(), Table_SourceData_Scope3_LickBlocks[[#Headers],[Category]], -73, 2)</calculatedColumnFormula>
    </tableColumn>
    <tableColumn id="2" xr3:uid="{053C37ED-E65D-44BD-8655-4B0CC1F03934}" name="Product" dataDxfId="227" dataCellStyle="Content normal">
      <calculatedColumnFormula array="1">Common_InputFunctions.Utility_DisplayArrayInTable(Scope3_SourceData.Scope3_Feed_Data(), Table_SourceData_Scope3_LickBlocks[[#Headers],[Category]], -73, 2)</calculatedColumnFormula>
    </tableColumn>
    <tableColumn id="3" xr3:uid="{D4EB32B6-3085-431F-A680-87095EC41D4D}" name="Region of origin" dataDxfId="226" dataCellStyle="Content normal">
      <calculatedColumnFormula array="1">Common_InputFunctions.Utility_DisplayArrayInTable(Scope3_SourceData.Scope3_Feed_Data(), Table_SourceData_Scope3_LickBlocks[[#Headers],[Category]], -73, 2)</calculatedColumnFormula>
    </tableColumn>
    <tableColumn id="4" xr3:uid="{6C22021D-D3EF-43B9-9AB5-F22F339121DA}" name="Quantity Unit" dataDxfId="225" dataCellStyle="Content normal">
      <calculatedColumnFormula array="1">Common_InputFunctions.Utility_DisplayArrayInTable(Scope3_SourceData.Scope3_Feed_Data(), Table_SourceData_Scope3_LickBlocks[[#Headers],[Category]], -73, 2)</calculatedColumnFormula>
    </tableColumn>
    <tableColumn id="5" xr3:uid="{A4D373C1-4F8A-4C06-BD43-2ACAB3097B96}" name="Emissions intensity" dataDxfId="224" dataCellStyle="Content normal">
      <calculatedColumnFormula array="1">Common_InputFunctions.Utility_DisplayArrayInTable(Scope3_SourceData.Scope3_Feed_Data(), Table_SourceData_Scope3_LickBlocks[[#Headers],[Category]], -73, 2)</calculatedColumnFormula>
    </tableColumn>
    <tableColumn id="6" xr3:uid="{A5456BD5-9132-45DD-BAEE-57758EEB2B40}" name="System boundary" dataDxfId="223" dataCellStyle="Content normal">
      <calculatedColumnFormula array="1">Common_InputFunctions.Utility_DisplayArrayInTable(Scope3_SourceData.Scope3_Feed_Data(), Table_SourceData_Scope3_LickBlocks[[#Headers],[Category]], -73, 2)</calculatedColumnFormula>
    </tableColumn>
    <tableColumn id="7" xr3:uid="{23E62619-E777-4391-B020-D6E6773E306C}" name="Source" dataDxfId="222"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C0F72994-C78D-4D8E-A4A7-13B57153861B}" name="Table_SourceData_Scope3_MixedRations" displayName="Table_SourceData_Scope3_MixedRations" ref="D161:J165" totalsRowShown="0" headerRowDxfId="221"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7333674-31FC-4127-8DE3-1019FD633871}" name="Category" dataDxfId="220" dataCellStyle="Content normal">
      <calculatedColumnFormula array="1">Common_InputFunctions.Utility_DisplayArrayInTable(Scope3_SourceData.Scope3_Feed_Data(), Table_SourceData_Scope3_MixedRations[[#Headers],[Category]], -66, 2)</calculatedColumnFormula>
    </tableColumn>
    <tableColumn id="2" xr3:uid="{9767271F-8EEF-44C6-AEA6-3134402666FE}" name="Product" dataDxfId="219" dataCellStyle="Content normal">
      <calculatedColumnFormula array="1">Common_InputFunctions.Utility_DisplayArrayInTable(Scope3_SourceData.Scope3_Feed_Data(), Table_SourceData_Scope3_MixedRations[[#Headers],[Category]], -66, 2)</calculatedColumnFormula>
    </tableColumn>
    <tableColumn id="3" xr3:uid="{6E6A35EA-7E9A-402E-BFC0-11AABABB5684}" name="Region of origin" dataDxfId="218" dataCellStyle="Content normal">
      <calculatedColumnFormula array="1">Common_InputFunctions.Utility_DisplayArrayInTable(Scope3_SourceData.Scope3_Feed_Data(), Table_SourceData_Scope3_MixedRations[[#Headers],[Category]], -66, 2)</calculatedColumnFormula>
    </tableColumn>
    <tableColumn id="4" xr3:uid="{56E0754C-960A-4E39-BCA8-517475635149}" name="Quantity Unit" dataDxfId="217" dataCellStyle="Content normal">
      <calculatedColumnFormula array="1">Common_InputFunctions.Utility_DisplayArrayInTable(Scope3_SourceData.Scope3_Feed_Data(), Table_SourceData_Scope3_MixedRations[[#Headers],[Category]], -66, 2)</calculatedColumnFormula>
    </tableColumn>
    <tableColumn id="5" xr3:uid="{58CAC8BF-8C39-410D-9A7A-7712C6B48E10}" name="Emissions intensity" dataDxfId="216" dataCellStyle="Content normal">
      <calculatedColumnFormula array="1">Common_InputFunctions.Utility_DisplayArrayInTable(Scope3_SourceData.Scope3_Feed_Data(), Table_SourceData_Scope3_MixedRations[[#Headers],[Category]], -66, 2)</calculatedColumnFormula>
    </tableColumn>
    <tableColumn id="6" xr3:uid="{BD4525E0-B3C3-47E5-BEAF-332913E5758E}" name="System boundary" dataDxfId="215" dataCellStyle="Content normal">
      <calculatedColumnFormula array="1">Common_InputFunctions.Utility_DisplayArrayInTable(Scope3_SourceData.Scope3_Feed_Data(), Table_SourceData_Scope3_MixedRations[[#Headers],[Category]], -66, 2)</calculatedColumnFormula>
    </tableColumn>
    <tableColumn id="7" xr3:uid="{33E273E0-6113-4145-9DE2-87FA29886350}" name="Source" dataDxfId="214"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28556EF-20F1-4345-8D72-FEA90B25D3C3}"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F9EA53CA-5BD2-4A8A-B572-B2C9F2D8B2E3}" name="Product">
      <calculatedColumnFormula>Table_SourceData_Scope3_FishFeedAndBait[[#This Row],[Product]]</calculatedColumnFormula>
    </tableColumn>
    <tableColumn id="2" xr3:uid="{92C7F9C5-5FCB-4120-B32B-7B111F1BF239}"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730E9858-AE35-4270-804B-D716FFE49364}"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FB573842-9FC1-497D-98B4-2BF54FE515F4}" name="Product">
      <calculatedColumnFormula>Table_SourceData_Scope3_Feed[[#This Row],[Product]]</calculatedColumnFormula>
    </tableColumn>
    <tableColumn id="2" xr3:uid="{324D79A6-D374-464F-B6FD-156CF5EB0700}"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BB440596-CA11-44CD-8138-1F05B7E498C0}" name="Table_ProductRegions_Maizegrain" displayName="Table_ProductRegions_Maizegrain" ref="L97:M104" totalsRowShown="0" headerRowDxfId="213" headerRowCellStyle="Content normal">
  <autoFilter ref="L97:M104" xr:uid="{70F320A7-5DBE-4A83-91E4-C9B3BDA564BD}">
    <filterColumn colId="0" hiddenButton="1"/>
    <filterColumn colId="1" hiddenButton="1"/>
  </autoFilter>
  <tableColumns count="2">
    <tableColumn id="1" xr3:uid="{5EE2CF07-2D90-4E59-9B69-50E5C2FD7EA3}" name="Product">
      <calculatedColumnFormula>Table_SourceData_Scope3_Feed[[#This Row],[Product]]</calculatedColumnFormula>
    </tableColumn>
    <tableColumn id="2" xr3:uid="{E0BE2634-3D57-49BE-894B-5D696F637A7B}"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E566BC1-F68B-4925-99F6-616B3B167838}" name="Table_ProductRegions_Sorghumgrain" displayName="Table_ProductRegions_Sorghumgrain" ref="O104:P109" totalsRowShown="0" headerRowDxfId="212" headerRowCellStyle="Content normal">
  <autoFilter ref="O104:P109" xr:uid="{90205417-8A77-41A3-A4E2-624BD92B7269}">
    <filterColumn colId="0" hiddenButton="1"/>
    <filterColumn colId="1" hiddenButton="1"/>
  </autoFilter>
  <tableColumns count="2">
    <tableColumn id="1" xr3:uid="{4A29606E-DD7E-4899-B3A6-7F150248A6E6}" name="Product">
      <calculatedColumnFormula>Table_SourceData_Scope3_Feed[[#This Row],[Product]]</calculatedColumnFormula>
    </tableColumn>
    <tableColumn id="2" xr3:uid="{2BB6D94C-8F1B-446B-B4E4-E1D516B40FEA}" name="Region">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65F3BA98-0A62-4AEB-BBA3-01EC9CA5E19E}" name="Table_ProductRegions_Wheatgrain" displayName="Table_ProductRegions_Wheatgrain" ref="L109:M117" totalsRowShown="0" headerRowDxfId="211" headerRowCellStyle="Content normal">
  <autoFilter ref="L109:M117" xr:uid="{9DD7D3AD-59A1-48FC-B80D-99C25A2A79F5}">
    <filterColumn colId="0" hiddenButton="1"/>
    <filterColumn colId="1" hiddenButton="1"/>
  </autoFilter>
  <tableColumns count="2">
    <tableColumn id="1" xr3:uid="{CC87922F-9F9E-457E-8377-AFBF1F36EF7B}" name="Product">
      <calculatedColumnFormula>Table_SourceData_Scope3_Feed[[#This Row],[Product]]</calculatedColumnFormula>
    </tableColumn>
    <tableColumn id="2" xr3:uid="{CFF653D0-EB1E-4326-B944-07908233E024}"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E4169670-9A9F-4AC9-A85B-29AE9B64FDC1}"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E0BA18D9-AB9D-4E53-9C8C-9B3879C90E6F}" name="Product">
      <calculatedColumnFormula>Table_SourceData_Scope3_Feed[[#This Row],[Product]]</calculatedColumnFormula>
    </tableColumn>
    <tableColumn id="2" xr3:uid="{358AD778-553F-4983-8289-43E8FDA58555}"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B5EB2FF5-3BF8-4DF9-9A29-5A3BD2AEC399}"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5C136BF6-D20C-47BA-A7CB-C56BBDA2D306}" name="Product">
      <calculatedColumnFormula>Table_SourceData_Scope3_Feed[[#This Row],[Product]]</calculatedColumnFormula>
    </tableColumn>
    <tableColumn id="2" xr3:uid="{52D6A89E-97DD-47F6-8B04-55C9D2E50AF5}"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8ACD661D-F0E4-40D1-8EB6-7D6F617B4C84}"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C62624CD-5BE5-4619-B7C6-858CA2B01A61}" name="Product">
      <calculatedColumnFormula>Table_SourceData_Scope3_Feed[[#This Row],[Product]]</calculatedColumnFormula>
    </tableColumn>
    <tableColumn id="2" xr3:uid="{AE7D68EB-586D-401E-BCD2-82FC3D6D3762}"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93C9BDF-B60E-4FC5-8B76-0AC6AEFF33BF}"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E773804D-085C-4830-8210-0671F689EB26}" name="Product">
      <calculatedColumnFormula>Table_SourceData_Scope3_Feed[[#This Row],[Product]]</calculatedColumnFormula>
    </tableColumn>
    <tableColumn id="2" xr3:uid="{589E3D14-E606-42A9-8165-60BA42AB9D7B}"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8C33E4D2-3E7E-437B-86D4-51666A54A62E}"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CC681C30-C9DA-4E9E-A609-EB4708C7D087}" name="Product">
      <calculatedColumnFormula>Table_SourceData_Scope3_Feed[[#This Row],[Product]]</calculatedColumnFormula>
    </tableColumn>
    <tableColumn id="2" xr3:uid="{4526B4E3-487D-44FD-9F04-B4FD634F914C}"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D2610D1-5C00-4557-B80C-D61E677B28BD}" name="Table_ProductRegions_Canolameal" displayName="Table_ProductRegions_Canolameal" ref="L150:M151" totalsRowShown="0" headerRowDxfId="210" headerRowCellStyle="Content normal" dataCellStyle="Content normal">
  <autoFilter ref="L150:M151" xr:uid="{58F78B6F-294E-4D4E-8E3B-BFE4FA85583E}">
    <filterColumn colId="0" hiddenButton="1"/>
    <filterColumn colId="1" hiddenButton="1"/>
  </autoFilter>
  <tableColumns count="2">
    <tableColumn id="1" xr3:uid="{9BE02223-CE85-44E4-8DD4-133934D053B4}" name="Product" dataCellStyle="Content normal">
      <calculatedColumnFormula>Table_SourceData_Scope3_Feed[[#This Row],[Product]]</calculatedColumnFormula>
    </tableColumn>
    <tableColumn id="2" xr3:uid="{A1EEABE8-F963-4BCF-9427-9B08D4691E91}"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40C27C2-6690-4B86-9FD2-EB3FE4B8DB6E}"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029A8160-D34D-464A-AD20-9EDFF878B7BE}" name="Product">
      <calculatedColumnFormula>Table_SourceData_Scope3_Feed[[#This Row],[Product]]</calculatedColumnFormula>
    </tableColumn>
    <tableColumn id="2" xr3:uid="{913986C3-E9D9-4C12-A9D2-864A3EF9381A}"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8D7203D4-8EC5-4971-B083-8E15AA152F2A}"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79239E9E-3297-4ACD-B71D-70B6BDF26B38}" name="Product">
      <calculatedColumnFormula>Table_SourceData_Scope3_Feed[[#This Row],[Product]]</calculatedColumnFormula>
    </tableColumn>
    <tableColumn id="2" xr3:uid="{09B090FF-1552-4609-BBAC-E1CA74ABF346}"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6D6CC7E-1296-4825-8675-C4E0463DE148}"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636D87F1-532B-4E11-A0D3-EA9867AB3ED6}" name="Product">
      <calculatedColumnFormula>Table_SourceData_Scope3_Feed[[#This Row],[Product]]</calculatedColumnFormula>
    </tableColumn>
    <tableColumn id="2" xr3:uid="{0A764EAB-5BFD-4551-A147-3D579A9000A9}"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487650A4-0707-4179-92B2-6DE8AA79336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7B5D25D4-A81C-434A-8B04-0ADFD06469BA}" name="Product">
      <calculatedColumnFormula>Table_SourceData_Scope3_Feed[[#This Row],[Product]]</calculatedColumnFormula>
    </tableColumn>
    <tableColumn id="2" xr3:uid="{9CF4FD9C-697E-4FA0-B871-BDF12EEF4319}"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9579AF9-0118-4F85-84BD-12AD92422D20}"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309B1CD6-6865-434B-B12F-3A1F19BDA083}" name="Product">
      <calculatedColumnFormula>Table_SourceData_Scope3_Feed[[#This Row],[Product]]</calculatedColumnFormula>
    </tableColumn>
    <tableColumn id="2" xr3:uid="{8BCCFCED-70E7-4CFF-8043-ECFD49A4B190}"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323CA2DC-505F-4198-BBD8-B5554AC790BF}"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63B69048-E2AF-49B3-83F1-9FEA3BE44CCE}" name="Product">
      <calculatedColumnFormula>Table_SourceData_Scope3_Feed[[#This Row],[Product]]</calculatedColumnFormula>
    </tableColumn>
    <tableColumn id="2" xr3:uid="{071BBB09-C960-4638-9ACC-7E3AD2D76D33}"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1B263FBE-4882-4D99-B30F-197FDB2A2412}"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400EFAB-23B3-43EE-A81C-4FB3396DF84E}" name="Product">
      <calculatedColumnFormula>Table_SourceData_Scope3_Feed[[#This Row],[Product]]</calculatedColumnFormula>
    </tableColumn>
    <tableColumn id="2" xr3:uid="{40E0062F-A87D-4DFC-9F90-37BDC18B064C}"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DE4D9EF-8546-4C21-93AF-6C050A7FE0F9}"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2BD9CB33-1FB6-498B-8523-8BDE569F9BA0}" name="Region"/>
    <tableColumn id="2" xr3:uid="{3A666F67-18B7-42A5-BF05-BD8BA6A40EB4}" name="Scope3 regio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656F7021-5285-4FAE-91CA-5FDF5BFF356E}" name="Table_SourceData_Scope3_FishFeedAndBait" displayName="Table_SourceData_Scope3_FishFeedAndBait" ref="D241:J247" totalsRowShown="0" dataDxfId="209"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6A566A0C-706F-48CA-8953-C6AE79899CC6}" name="Category" dataDxfId="208" dataCellStyle="Content normal">
      <calculatedColumnFormula array="1">Common_InputFunctions.Utility_DisplayArrayInTable(Scope3_SourceData.Scope3_FishFeedAndBait_Data(), Table_SourceData_Scope3_FishFeedAndBait[[#Headers],[Category]], 0, 1)</calculatedColumnFormula>
    </tableColumn>
    <tableColumn id="1" xr3:uid="{7791B2FC-05AC-488C-9264-EA927599D711}" name="Product" dataDxfId="207" dataCellStyle="Content normal">
      <calculatedColumnFormula array="1">Common_InputFunctions.Utility_DisplayArrayInTable(Scope3_SourceData.Scope3_FishFeedAndBait_Data(), Table_SourceData_Scope3_FishFeedAndBait[[#Headers],[Category]], 0, 1)</calculatedColumnFormula>
    </tableColumn>
    <tableColumn id="2" xr3:uid="{F280D8F5-6C9D-4259-AF3E-A00D0F3CC8D7}" name="Region of origin" dataDxfId="206" dataCellStyle="Content normal">
      <calculatedColumnFormula array="1">Common_InputFunctions.Utility_DisplayArrayInTable(Scope3_SourceData.Scope3_FishFeedAndBait_Data(), Table_SourceData_Scope3_FishFeedAndBait[[#Headers],[Category]], 0, 1)</calculatedColumnFormula>
    </tableColumn>
    <tableColumn id="3" xr3:uid="{0CCE3AD4-60CD-45A2-8C28-E24BE49F6567}" name="Quantity Unit" dataDxfId="205" dataCellStyle="Content normal">
      <calculatedColumnFormula array="1">Common_InputFunctions.Utility_DisplayArrayInTable(Scope3_SourceData.Scope3_FishFeedAndBait_Data(), Table_SourceData_Scope3_FishFeedAndBait[[#Headers],[Category]], 0, 1)</calculatedColumnFormula>
    </tableColumn>
    <tableColumn id="4" xr3:uid="{8F44ED2D-DC4A-4809-ACCE-8128DC918460}" name="Emissions intensity" dataDxfId="204" dataCellStyle="Content normal">
      <calculatedColumnFormula array="1">Common_InputFunctions.Utility_DisplayArrayInTable(Scope3_SourceData.Scope3_FishFeedAndBait_Data(), Table_SourceData_Scope3_FishFeedAndBait[[#Headers],[Category]], 0, 1)</calculatedColumnFormula>
    </tableColumn>
    <tableColumn id="5" xr3:uid="{4CD65A18-3ECC-46CA-8DCF-F0B55732B023}" name="System boundary" dataDxfId="203" dataCellStyle="Content normal">
      <calculatedColumnFormula array="1">Common_InputFunctions.Utility_DisplayArrayInTable(Scope3_SourceData.Scope3_FishFeedAndBait_Data(), Table_SourceData_Scope3_FishFeedAndBait[[#Headers],[Category]], 0, 1)</calculatedColumnFormula>
    </tableColumn>
    <tableColumn id="8" xr3:uid="{4238ECE6-77F2-4A43-8A66-5FD0D862E0B8}" name="Source" dataDxfId="202" dataCellStyle="Content normal"/>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90120F8-EF3F-4727-B951-8740FA62A68E}"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CD7FD0C2-1935-4554-BE01-D07497DFCF40}"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D12EF789-18C9-4CBC-A7D2-02D0EC4684F3}" name="Waste type w" dataDxfId="20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406CBBC7-FE54-4CE9-B2BF-1E2C766645F0}" name="EFwt" dataDxfId="20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86E11D98-D3DE-4E48-9277-CEE9DA2300DF}" name="EF source" dataDxfId="19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49663225-4DDB-44A2-B321-61244BA8B9BB}"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6654B999-6C4F-4F6E-9B3A-DBCABA6C20B4}"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E592AE5-5C1F-46BF-A529-1EDCB534DE56}" name="VTMw" dataDxfId="19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178DF392-8F53-4519-830E-E2B0C03E4A28}" name="Table_WasteTypes_Landfill" displayName="Table_WasteTypes_Landfill" ref="I16:I27" totalsRowShown="0">
  <autoFilter ref="I16:I27" xr:uid="{99B942E3-1D24-4166-921C-DCC10960718D}">
    <filterColumn colId="0" hiddenButton="1"/>
  </autoFilter>
  <tableColumns count="1">
    <tableColumn id="1" xr3:uid="{7751BB92-1AC7-443A-8D96-8793950CD965}"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AAFA9A7-B7FE-4AB8-861D-6BECDED34533}" name="Table_WasteTypes_Incineration" displayName="Table_WasteTypes_Incineration" ref="K16:K26" totalsRowShown="0" headerRowDxfId="197" headerRowCellStyle="Content normal" dataCellStyle="Content normal">
  <autoFilter ref="K16:K26" xr:uid="{9A900595-7035-4239-9059-ACC16835BF72}">
    <filterColumn colId="0" hiddenButton="1"/>
  </autoFilter>
  <tableColumns count="1">
    <tableColumn id="1" xr3:uid="{DC659F34-B93F-4833-896B-0F1601C71333}" name="Waste type w" dataCellStyle="Content normal">
      <calculatedColumnFormula>E29</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6CF1A050-CD40-444B-A89D-EF71342C44FE}" name="Table_WasteTypes_Composting" displayName="Table_WasteTypes_Composting" ref="M16:M21" totalsRowShown="0" headerRowDxfId="196" headerRowCellStyle="Content normal" dataCellStyle="Content normal">
  <autoFilter ref="M16:M21" xr:uid="{5C8D39D3-1330-49EB-B431-1B2B8C8238DC}">
    <filterColumn colId="0" hiddenButton="1"/>
  </autoFilter>
  <tableColumns count="1">
    <tableColumn id="1" xr3:uid="{FBD97A55-31E7-4129-854A-3F92DAD26E3C}" name="Waste type w" totalsRowDxfId="195" dataCellStyle="Content normal">
      <calculatedColumnFormula>E40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A96B923-39A2-40EC-ACF4-24C8A038E16C}" name="Table_WasteTypes_Anaerobicdigestion" displayName="Table_WasteTypes_Anaerobicdigestion" ref="O16:O21" totalsRowShown="0" headerRowDxfId="194" headerRowCellStyle="Content normal" dataCellStyle="Content normal">
  <autoFilter ref="O16:O21" xr:uid="{331EC43E-DF68-429F-A2A4-58BFE6216EC3}">
    <filterColumn colId="0" hiddenButton="1"/>
  </autoFilter>
  <tableColumns count="1">
    <tableColumn id="1" xr3:uid="{7F018E2D-6ABA-4F9A-9584-F8E7CB72B32E}" name="Waste type w" totalsRowDxfId="193" dataCellStyle="Content normal">
      <calculatedColumnFormula>E46</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92"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91"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90"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89"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88"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87"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86"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85"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84"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83"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82"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81"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80"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79"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7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7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7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7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7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7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5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56" dataCellStyle="Content normal"/>
    <tableColumn id="2" xr3:uid="{A467D3D2-FAE8-4B4F-AD2F-273B449008EF}" name="Description" dataDxfId="155"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54"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53"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52"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9FD6798-C302-478E-A23E-2144317D6369}" name="Table_Input_InorganicFertiliser_Brands" displayName="Table_Input_InorganicFertiliser_Brands" ref="D11:Z21" headerRowDxfId="151" dataDxfId="150" totalsRowDxfId="149">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382F6D53-8BE6-48A4-BDD7-C703321936EF}" name="Product (select)" dataDxfId="148" totalsRowDxfId="147" dataCellStyle="Input select"/>
    <tableColumn id="23" xr3:uid="{036029E9-2443-4222-881A-7C7BAADA2428}" name="Amount applied per hectare" totalsRowFunction="custom" dataDxfId="146" totalsRowDxfId="145">
      <totalsRowFormula>SUM(Table_Input_InorganicFertiliser_Brands[[#Headers],[#Data],[Amount applied per hectare]])</totalsRowFormula>
    </tableColumn>
    <tableColumn id="12" xr3:uid="{786C4C32-2537-49A6-B320-934423E4DF0E}" name="Application unit" dataDxfId="144" totalsRowDxfId="143" dataCellStyle="Input number 2 decimal places"/>
    <tableColumn id="6" xr3:uid="{B28D74A5-EA51-4756-93FE-0D7BA17AEE29}" name="Application area (ha)" dataDxfId="142" totalsRowDxfId="141">
      <calculatedColumnFormula>X_Cell_Fertiliser_AreaUnderCropping</calculatedColumnFormula>
    </tableColumn>
    <tableColumn id="9" xr3:uid="{3C373038-BCAF-42A1-A158-664CD4064586}" name="Density" dataDxfId="140" totalsRowDxfId="139" dataCellStyle="Input number general calculated"/>
    <tableColumn id="1" xr3:uid="{C19FA329-D632-4EF0-BFB3-93EC257F821D}" name="Total applied (kg)" dataDxfId="138" totalsRowDxfId="13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39221D51-C62F-4973-8919-D3AAEC7F9A25}" name="Ingredient 1" dataDxfId="136" totalsRowDxfId="135" dataCellStyle="Input number general calculated"/>
    <tableColumn id="4" xr3:uid="{6E95095E-EBC6-4749-BF19-2CB56C7C756F}" name="Ingredient 1 percent" dataDxfId="134" dataCellStyle="Input number general calculated"/>
    <tableColumn id="7" xr3:uid="{72EDE046-9175-415E-9828-6C8E3E886ED8}" name="Ingredient 2" dataDxfId="133" dataCellStyle="Input number general calculated"/>
    <tableColumn id="8" xr3:uid="{36D48423-EF85-4B7D-8AC4-3FF1339AD7E5}" name="Ingredient 2 percent" dataDxfId="132" totalsRowDxfId="131" dataCellStyle="Input number general calculated"/>
    <tableColumn id="10" xr3:uid="{DF54F1ED-6436-4D23-BDBA-AFCF401DDEF2}" name="Ingredient 3" dataDxfId="130" totalsRowDxfId="129" dataCellStyle="Input number general calculated"/>
    <tableColumn id="11" xr3:uid="{56299D0A-5C37-4A55-83C8-A76C02A3CDF7}" name="Ingredient 3 percent" dataDxfId="128" totalsRowDxfId="127" dataCellStyle="Input number general calculated"/>
    <tableColumn id="13" xr3:uid="{1D1D5EF4-1CE5-41EC-995A-1191A51DEF53}" name="Ingredient 4" dataDxfId="126" totalsRowDxfId="125" dataCellStyle="Input number general calculated"/>
    <tableColumn id="14" xr3:uid="{5AB8D756-FD6F-433D-949B-ACBBA318BC5B}" name="Ingredient 4 percent" dataDxfId="124" dataCellStyle="Input number general calculated"/>
    <tableColumn id="16" xr3:uid="{B331E5B4-72FD-4856-8FC7-65070B9DF312}" name="Ingredient 5" dataDxfId="123" dataCellStyle="Input number general calculated"/>
    <tableColumn id="17" xr3:uid="{E2969BDC-7C99-4819-AF4F-8A167B4BEB37}" name="Ingredient 5 percent" dataDxfId="122" dataCellStyle="Input number general calculated"/>
    <tableColumn id="19" xr3:uid="{1B4E65E7-D622-421A-8C80-4712C9C8EF64}" name="Ingredient 6" dataDxfId="121" dataCellStyle="Input number general calculated"/>
    <tableColumn id="20" xr3:uid="{73E67FD5-3230-4EBD-8349-12FE7294B044}" name="Ingredient 6 percent" dataDxfId="120" dataCellStyle="Input number general calculated"/>
    <tableColumn id="21" xr3:uid="{B76E49BA-E6F7-4202-8192-F442F3D52714}" name="% N (Ingredients)" dataDxfId="119" dataCellStyle="Input number general calculated"/>
    <tableColumn id="22" xr3:uid="{ED07DF3A-7F3B-4D59-9890-D327C54137BA}" name="% N (declared)" dataDxfId="118" dataCellStyle="Content normal"/>
    <tableColumn id="5" xr3:uid="{022D996B-95C8-49EC-85E0-069BB2A1C1A7}" name="N application rate (kg/ha)" dataDxfId="117" totalsRowDxfId="116"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A63B3FCA-C957-4278-BF7C-FC469D6E6D6D}" name="Urea source" dataDxfId="115" totalsRowDxfId="114" dataCellStyle="Input number general calculated"/>
    <tableColumn id="18" xr3:uid="{5F59BBA3-16A0-4DAB-A33D-E53E62FC07F1}" name="Ammonia source" dataDxfId="113" totalsRowDxfId="112" dataCellStyle="Input number general calculated"/>
  </tableColumns>
  <tableStyleInfo name="Editable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E36CBC9-0CBD-4913-9943-2EA78B22FE55}" name="Table_Input_InorganicFertiliser_Custom" displayName="Table_Input_InorganicFertiliser_Custom" ref="D24:R34" totalsRowShown="0" headerRowDxfId="111" dataDxfId="110">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597D0BD-932D-4B41-872F-B8557448944A}" name="Custom blend name" dataCellStyle="Input text"/>
    <tableColumn id="2" xr3:uid="{38F7C712-F7EB-44C5-BB66-33B275E709AD}" name="Amount applied (kg / ha)" dataDxfId="109"/>
    <tableColumn id="3" xr3:uid="{060A3261-8F26-41BC-96DA-9FAB285B3378}" name="Application area (ha)" dataDxfId="108" dataCellStyle="Input number 2 decimal places">
      <calculatedColumnFormula>X_Cell_Fertiliser_AreaUnderCropping</calculatedColumnFormula>
    </tableColumn>
    <tableColumn id="4" xr3:uid="{6FC2C25C-4082-4C71-967F-A175383EF4D2}" name="Total applied (kg)" dataDxfId="107" dataCellStyle="Input number general calculated">
      <calculatedColumnFormula>Table_Input_InorganicFertiliser_Custom[[#This Row],[Amount applied (kg / ha)]]*Table_Input_InorganicFertiliser_Custom[[#This Row],[Application area (ha)]]</calculatedColumnFormula>
    </tableColumn>
    <tableColumn id="5" xr3:uid="{418B6C07-7B74-4C81-96CD-10ACA6F52093}" name="Ingredient 1 (select)" dataDxfId="106" dataCellStyle="Input select"/>
    <tableColumn id="6" xr3:uid="{5B8981BC-10CC-4A8A-898E-3106E29DBF1C}" name="Ingredient 1 percent" dataDxfId="105"/>
    <tableColumn id="8" xr3:uid="{119FF93C-8065-4171-B507-34B65F8A6306}" name="Ingredient 2" dataDxfId="104" dataCellStyle="Input select"/>
    <tableColumn id="9" xr3:uid="{41677A37-3D20-4A57-8D17-089320319287}" name="Ingredient 2 percent" dataDxfId="103"/>
    <tableColumn id="11" xr3:uid="{1D59879E-4614-4A4E-B76C-1B7079CFCF30}" name="Ingredient 3" dataDxfId="102" dataCellStyle="Input select"/>
    <tableColumn id="12" xr3:uid="{6DAE4EB9-7682-4AAF-8D17-B80358603569}" name="Ingredient 3 percent" dataDxfId="101"/>
    <tableColumn id="14" xr3:uid="{8A5EA921-BC44-4239-99E5-65A09AD049BB}" name="Ingredient 4" dataDxfId="100" dataCellStyle="Input select"/>
    <tableColumn id="15" xr3:uid="{1D8C773B-7276-4DED-9072-B5988A89A830}" name="Ingredient 4 percent" dataCellStyle="Input percent"/>
    <tableColumn id="7" xr3:uid="{9B81110F-249A-41F4-9B04-579E5CD17FAE}" name="N application rate (kg/ha)" dataDxfId="99" dataCellStyle="Input number general calculated"/>
    <tableColumn id="10" xr3:uid="{8B76B966-F016-4EF1-925A-0725BC512CCB}" name="Urea source (Select)" dataCellStyle="Input select"/>
    <tableColumn id="13" xr3:uid="{DE6640AF-7D88-458B-AE44-C7AAC1FDE172}" name="Ammonia source (select)" dataCellStyle="Input select"/>
  </tableColumns>
  <tableStyleInfo name="Editable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E391FEA-1C33-4FD7-90A6-185E14DAE4AD}" name="Table_Input_Lime" displayName="Table_Input_Lime" ref="D41:K44" totalsRowShown="0" headerRowDxfId="98" dataDxfId="97"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E5D9313-DD64-47B2-B334-4A486D5D7E39}" name="Product" dataDxfId="96"/>
    <tableColumn id="2" xr3:uid="{8631907D-C49B-4090-A7E6-D32A39B32D8E}" name="Amount applied (t/hectare)" dataDxfId="95"/>
    <tableColumn id="4" xr3:uid="{1C78A553-B225-4584-A479-254A4B693DA6}" name="Application area (ha)" dataDxfId="94" dataCellStyle="Input number 2 decimal places">
      <calculatedColumnFormula>X_Cell_Fertiliser_AreaUnderCropping</calculatedColumnFormula>
    </tableColumn>
    <tableColumn id="3" xr3:uid="{C4E3B2C1-42F2-48DD-B75A-901801438C2B}" name="Total amount applied (t)" dataDxfId="93" dataCellStyle="Input number general calculated">
      <calculatedColumnFormula>IFERROR(Table_Input_Lime[[#This Row],[Amount applied (t/hectare)]]*Table_Input_Lime[[#This Row],[Application area (ha)]], 0)</calculatedColumnFormula>
    </tableColumn>
    <tableColumn id="6" xr3:uid="{DB70BB24-8DA1-4540-BE25-DBDA9B998C96}" name="Percent Lime CaCO3" dataDxfId="92"/>
    <tableColumn id="8" xr3:uid="{5D97730E-50F1-440D-BD60-58D0B9AC242C}" name="Percent Dolomite CaMg(CO3)2" dataDxfId="91"/>
    <tableColumn id="7" xr3:uid="{EEC68C01-4B73-419D-A89A-F8CA75E19C4B}" name="Percent Gypsum" dataDxfId="90"/>
    <tableColumn id="10" xr3:uid="{9DF62C6B-5F3F-4118-8D0B-5C41DA1FE1D1}" name="Total" dataDxfId="8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3EA21BD-2B4B-4EDD-A431-8C08FF29B40B}" name="Table_Input_OrganicFertiliser" displayName="Table_Input_OrganicFertiliser" ref="D53:J56" totalsRowShown="0" headerRowDxfId="88" dataDxfId="87"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DC1FEDF-D0DC-4BE2-A2E4-EB0BFCD2EF53}" name="Organic fertiliser type (select)" dataDxfId="86" dataCellStyle="Input select"/>
    <tableColumn id="5" xr3:uid="{C42DEA01-8D45-4001-B20E-0CCC213091A2}" name="Percentage of N in fertiliser" dataDxfId="85"/>
    <tableColumn id="2" xr3:uid="{1DDE8126-A271-471B-B023-5D1910D5C768}" name="Amount applied (kg/hectare)" dataDxfId="84"/>
    <tableColumn id="11" xr3:uid="{63195F39-4106-41F3-BF5D-4FB15DDCB5B4}" name="Amount N applied (kg/hectare)" dataDxfId="83" dataCellStyle="Input number general calculated">
      <calculatedColumnFormula>Table_Input_OrganicFertiliser[[#This Row],[Amount applied (kg/hectare)]]*Table_Input_OrganicFertiliser[[#This Row],[Percentage of N in fertiliser]]</calculatedColumnFormula>
    </tableColumn>
    <tableColumn id="4" xr3:uid="{0877BBD0-AAAF-4C3E-A167-CDCEAF6D8529}" name="Application area (ha)" dataDxfId="82" dataCellStyle="Input number 2 decimal places">
      <calculatedColumnFormula>X_Cell_Fertiliser_AreaUnderCropping</calculatedColumnFormula>
    </tableColumn>
    <tableColumn id="7" xr3:uid="{86C4B857-3B9A-4F2D-B7A3-B0789AAF4FCB}" name="Total organic fertliser applied" dataDxfId="81" dataCellStyle="Input number general calculated">
      <calculatedColumnFormula>Table_Input_OrganicFertiliser[[#This Row],[Amount applied (kg/hectare)]]*Table_Input_OrganicFertiliser[[#This Row],[Application area (ha)]]</calculatedColumnFormula>
    </tableColumn>
    <tableColumn id="3" xr3:uid="{3E95D8CB-D05A-4850-9E26-F5FDC4DE6476}" name="Total nitrogen applied (kg)" dataDxfId="8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39.xml"/><Relationship Id="rId3" Type="http://schemas.openxmlformats.org/officeDocument/2006/relationships/table" Target="../tables/table34.xml"/><Relationship Id="rId7" Type="http://schemas.openxmlformats.org/officeDocument/2006/relationships/table" Target="../tables/table38.xml"/><Relationship Id="rId12" Type="http://schemas.openxmlformats.org/officeDocument/2006/relationships/table" Target="../tables/table43.xml"/><Relationship Id="rId2" Type="http://schemas.openxmlformats.org/officeDocument/2006/relationships/table" Target="../tables/table33.xml"/><Relationship Id="rId1" Type="http://schemas.openxmlformats.org/officeDocument/2006/relationships/printerSettings" Target="../printerSettings/printerSettings17.bin"/><Relationship Id="rId6" Type="http://schemas.openxmlformats.org/officeDocument/2006/relationships/table" Target="../tables/table37.xml"/><Relationship Id="rId11" Type="http://schemas.openxmlformats.org/officeDocument/2006/relationships/table" Target="../tables/table42.xml"/><Relationship Id="rId5" Type="http://schemas.openxmlformats.org/officeDocument/2006/relationships/table" Target="../tables/table36.xml"/><Relationship Id="rId10" Type="http://schemas.openxmlformats.org/officeDocument/2006/relationships/table" Target="../tables/table41.xml"/><Relationship Id="rId4" Type="http://schemas.openxmlformats.org/officeDocument/2006/relationships/table" Target="../tables/table35.xml"/><Relationship Id="rId9"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table" Target="../tables/table44.xml"/><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58.xml"/><Relationship Id="rId13" Type="http://schemas.openxmlformats.org/officeDocument/2006/relationships/table" Target="../tables/table63.xml"/><Relationship Id="rId18" Type="http://schemas.openxmlformats.org/officeDocument/2006/relationships/table" Target="../tables/table68.xml"/><Relationship Id="rId26" Type="http://schemas.openxmlformats.org/officeDocument/2006/relationships/table" Target="../tables/table76.xml"/><Relationship Id="rId3" Type="http://schemas.openxmlformats.org/officeDocument/2006/relationships/table" Target="../tables/table53.xml"/><Relationship Id="rId21" Type="http://schemas.openxmlformats.org/officeDocument/2006/relationships/table" Target="../tables/table71.xml"/><Relationship Id="rId7" Type="http://schemas.openxmlformats.org/officeDocument/2006/relationships/table" Target="../tables/table57.xml"/><Relationship Id="rId12" Type="http://schemas.openxmlformats.org/officeDocument/2006/relationships/table" Target="../tables/table62.xml"/><Relationship Id="rId17" Type="http://schemas.openxmlformats.org/officeDocument/2006/relationships/table" Target="../tables/table67.xml"/><Relationship Id="rId25" Type="http://schemas.openxmlformats.org/officeDocument/2006/relationships/table" Target="../tables/table75.xml"/><Relationship Id="rId2" Type="http://schemas.openxmlformats.org/officeDocument/2006/relationships/table" Target="../tables/table52.xml"/><Relationship Id="rId16" Type="http://schemas.openxmlformats.org/officeDocument/2006/relationships/table" Target="../tables/table66.xml"/><Relationship Id="rId20" Type="http://schemas.openxmlformats.org/officeDocument/2006/relationships/table" Target="../tables/table70.xml"/><Relationship Id="rId29" Type="http://schemas.openxmlformats.org/officeDocument/2006/relationships/table" Target="../tables/table79.xml"/><Relationship Id="rId1" Type="http://schemas.openxmlformats.org/officeDocument/2006/relationships/table" Target="../tables/table51.xml"/><Relationship Id="rId6" Type="http://schemas.openxmlformats.org/officeDocument/2006/relationships/table" Target="../tables/table56.xml"/><Relationship Id="rId11" Type="http://schemas.openxmlformats.org/officeDocument/2006/relationships/table" Target="../tables/table61.xml"/><Relationship Id="rId24" Type="http://schemas.openxmlformats.org/officeDocument/2006/relationships/table" Target="../tables/table74.xml"/><Relationship Id="rId5" Type="http://schemas.openxmlformats.org/officeDocument/2006/relationships/table" Target="../tables/table55.xml"/><Relationship Id="rId15" Type="http://schemas.openxmlformats.org/officeDocument/2006/relationships/table" Target="../tables/table65.xml"/><Relationship Id="rId23" Type="http://schemas.openxmlformats.org/officeDocument/2006/relationships/table" Target="../tables/table73.xml"/><Relationship Id="rId28" Type="http://schemas.openxmlformats.org/officeDocument/2006/relationships/table" Target="../tables/table78.xml"/><Relationship Id="rId10" Type="http://schemas.openxmlformats.org/officeDocument/2006/relationships/table" Target="../tables/table60.xml"/><Relationship Id="rId19" Type="http://schemas.openxmlformats.org/officeDocument/2006/relationships/table" Target="../tables/table69.xml"/><Relationship Id="rId31" Type="http://schemas.openxmlformats.org/officeDocument/2006/relationships/table" Target="../tables/table81.xml"/><Relationship Id="rId4" Type="http://schemas.openxmlformats.org/officeDocument/2006/relationships/table" Target="../tables/table54.xml"/><Relationship Id="rId9" Type="http://schemas.openxmlformats.org/officeDocument/2006/relationships/table" Target="../tables/table59.xml"/><Relationship Id="rId14" Type="http://schemas.openxmlformats.org/officeDocument/2006/relationships/table" Target="../tables/table64.xml"/><Relationship Id="rId22" Type="http://schemas.openxmlformats.org/officeDocument/2006/relationships/table" Target="../tables/table72.xml"/><Relationship Id="rId27" Type="http://schemas.openxmlformats.org/officeDocument/2006/relationships/table" Target="../tables/table77.xml"/><Relationship Id="rId30" Type="http://schemas.openxmlformats.org/officeDocument/2006/relationships/table" Target="../tables/table80.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printerSettings" Target="../printerSettings/printerSettings18.bin"/><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94.xml"/><Relationship Id="rId13" Type="http://schemas.openxmlformats.org/officeDocument/2006/relationships/table" Target="../tables/table99.xml"/><Relationship Id="rId18" Type="http://schemas.openxmlformats.org/officeDocument/2006/relationships/table" Target="../tables/table104.xml"/><Relationship Id="rId3" Type="http://schemas.openxmlformats.org/officeDocument/2006/relationships/table" Target="../tables/table89.xml"/><Relationship Id="rId21" Type="http://schemas.openxmlformats.org/officeDocument/2006/relationships/table" Target="../tables/table107.xml"/><Relationship Id="rId7" Type="http://schemas.openxmlformats.org/officeDocument/2006/relationships/table" Target="../tables/table93.xml"/><Relationship Id="rId12" Type="http://schemas.openxmlformats.org/officeDocument/2006/relationships/table" Target="../tables/table98.xml"/><Relationship Id="rId17" Type="http://schemas.openxmlformats.org/officeDocument/2006/relationships/table" Target="../tables/table103.xml"/><Relationship Id="rId2" Type="http://schemas.openxmlformats.org/officeDocument/2006/relationships/table" Target="../tables/table88.xml"/><Relationship Id="rId16" Type="http://schemas.openxmlformats.org/officeDocument/2006/relationships/table" Target="../tables/table102.xml"/><Relationship Id="rId20" Type="http://schemas.openxmlformats.org/officeDocument/2006/relationships/table" Target="../tables/table106.xml"/><Relationship Id="rId1" Type="http://schemas.openxmlformats.org/officeDocument/2006/relationships/printerSettings" Target="../printerSettings/printerSettings19.bin"/><Relationship Id="rId6" Type="http://schemas.openxmlformats.org/officeDocument/2006/relationships/table" Target="../tables/table92.xml"/><Relationship Id="rId11" Type="http://schemas.openxmlformats.org/officeDocument/2006/relationships/table" Target="../tables/table97.xml"/><Relationship Id="rId5" Type="http://schemas.openxmlformats.org/officeDocument/2006/relationships/table" Target="../tables/table91.xml"/><Relationship Id="rId15" Type="http://schemas.openxmlformats.org/officeDocument/2006/relationships/table" Target="../tables/table101.xml"/><Relationship Id="rId10" Type="http://schemas.openxmlformats.org/officeDocument/2006/relationships/table" Target="../tables/table96.xml"/><Relationship Id="rId19" Type="http://schemas.openxmlformats.org/officeDocument/2006/relationships/table" Target="../tables/table105.xml"/><Relationship Id="rId4" Type="http://schemas.openxmlformats.org/officeDocument/2006/relationships/table" Target="../tables/table90.xml"/><Relationship Id="rId9" Type="http://schemas.openxmlformats.org/officeDocument/2006/relationships/table" Target="../tables/table95.xml"/><Relationship Id="rId14" Type="http://schemas.openxmlformats.org/officeDocument/2006/relationships/table" Target="../tables/table100.xml"/><Relationship Id="rId22" Type="http://schemas.openxmlformats.org/officeDocument/2006/relationships/table" Target="../tables/table108.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10.xml"/><Relationship Id="rId2" Type="http://schemas.openxmlformats.org/officeDocument/2006/relationships/table" Target="../tables/table109.xml"/><Relationship Id="rId1" Type="http://schemas.openxmlformats.org/officeDocument/2006/relationships/printerSettings" Target="../printerSettings/printerSettings20.bin"/><Relationship Id="rId5" Type="http://schemas.openxmlformats.org/officeDocument/2006/relationships/table" Target="../tables/table112.xml"/><Relationship Id="rId4" Type="http://schemas.openxmlformats.org/officeDocument/2006/relationships/table" Target="../tables/table111.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5"/>
  <sheetViews>
    <sheetView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3"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Feedlot'!A1", "Feedlot")</f>
        <v>Feedlot</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0" t="s">
        <v>256</v>
      </c>
      <c r="D1" s="90"/>
      <c r="E1" s="90"/>
      <c r="F1" s="90"/>
      <c r="G1" s="90"/>
      <c r="H1" s="90"/>
      <c r="I1" s="90"/>
      <c r="J1" s="90"/>
      <c r="K1" s="90"/>
    </row>
    <row r="2" spans="1:11" ht="20.100000000000001" customHeight="1" x14ac:dyDescent="0.2">
      <c r="C2" s="3"/>
      <c r="D2" s="3"/>
      <c r="E2" s="3"/>
      <c r="F2" s="3"/>
      <c r="G2" s="3"/>
      <c r="H2" s="3"/>
      <c r="I2" s="3"/>
      <c r="J2" s="3"/>
      <c r="K2" s="3"/>
    </row>
    <row r="3" spans="1:11" ht="20.100000000000001" customHeight="1" x14ac:dyDescent="0.2">
      <c r="A3" s="5" t="str">
        <f>HYPERLINK("#'Home'!A1", "Home")</f>
        <v>Home</v>
      </c>
      <c r="C3" s="91"/>
      <c r="D3" s="91"/>
      <c r="E3" s="91"/>
      <c r="F3" s="91"/>
      <c r="G3" s="91"/>
      <c r="H3" s="91"/>
      <c r="I3" s="91"/>
      <c r="J3" s="91"/>
      <c r="K3" s="91"/>
    </row>
    <row r="4" spans="1:11" ht="20.100000000000001" customHeight="1" x14ac:dyDescent="0.2">
      <c r="A4" s="253"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283</v>
      </c>
      <c r="E9" s="1" cm="1">
        <f t="array" aca="1" ref="E9" ca="1">VEERG_3_1_1_1__1_TotalAnnualMethaneFromEntericFermentation_Result_Method1</f>
        <v>37.952380000000005</v>
      </c>
      <c r="F9" s="1" cm="1">
        <f t="array" aca="1" ref="F9" ca="1">VEERG_3_1_1_1__1_TotalAnnualMethaneFromEntericFermentation_Result_Method2</f>
        <v>37.952380000000005</v>
      </c>
      <c r="G9" s="9" t="s">
        <v>6</v>
      </c>
      <c r="H9" s="1" cm="1">
        <f t="array" aca="1" ref="H9" ca="1">Common_Equations.Common_ConvertCH4ToCO2e(E9,_xlfn.XLOOKUP("CH4", Table_GWPData[Gas],Table_GWPData[CO2-e factor]))</f>
        <v>1062.6666400000001</v>
      </c>
      <c r="I9" s="1" cm="1">
        <f t="array" aca="1" ref="I9" ca="1">Common_Equations.Common_ConvertCH4ToCO2e(F9,_xlfn.XLOOKUP("CH4", Table_GWPData[Gas],Table_GWPData[CO2-e factor]))</f>
        <v>1062.6666400000001</v>
      </c>
      <c r="J9" s="9" t="s">
        <v>7</v>
      </c>
    </row>
    <row r="10" spans="1:11" ht="20.100000000000001" customHeight="1" x14ac:dyDescent="0.2">
      <c r="A10" s="5" t="str">
        <f>HYPERLINK("#'Input - Site'!A1", "Site")</f>
        <v>Site</v>
      </c>
      <c r="D10" s="1" t="s">
        <v>282</v>
      </c>
      <c r="E10" s="1" cm="1">
        <f t="array" aca="1" ref="E10" ca="1">VEERG_4_1_1_1__1_TotalAnnualMethaneEmissions_Result_Method1</f>
        <v>2.6279077661491193</v>
      </c>
      <c r="F10" s="1" cm="1">
        <f t="array" aca="1" ref="F10" ca="1">VEERG_4_1_1_1__1_TotalAnnualMethaneEmissions_Result_Method2</f>
        <v>2.6279077661491193</v>
      </c>
      <c r="G10" s="9" t="s">
        <v>6</v>
      </c>
      <c r="H10" s="1" cm="1">
        <f t="array" aca="1" ref="H10" ca="1">Common_Equations.Common_ConvertCH4ToCO2e(E10,_xlfn.XLOOKUP("CH4", Table_GWPData[Gas],Table_GWPData[CO2-e factor]))</f>
        <v>73.581417452175344</v>
      </c>
      <c r="I10" s="1" cm="1">
        <f t="array" aca="1" ref="I10" ca="1">Common_Equations.Common_ConvertCH4ToCO2e(F10,_xlfn.XLOOKUP("CH4", Table_GWPData[Gas],Table_GWPData[CO2-e factor]))</f>
        <v>73.581417452175344</v>
      </c>
      <c r="J10" s="9" t="s">
        <v>7</v>
      </c>
    </row>
    <row r="11" spans="1:11" ht="20.100000000000001" customHeight="1" x14ac:dyDescent="0.2">
      <c r="A11" s="5" t="str">
        <f>HYPERLINK("#'Input - Feedlot'!A1", "Feedlot")</f>
        <v>Feedlot</v>
      </c>
      <c r="D11" s="1" t="s">
        <v>284</v>
      </c>
      <c r="E11" s="1" cm="1">
        <f t="array" aca="1" ref="E11" ca="1">VEERG_4_1_1_3__1_TotalAnnualDirectNitrousOxideEmissions_Result_Method1</f>
        <v>0.80616789491492569</v>
      </c>
      <c r="F11" s="1" cm="1">
        <f t="array" aca="1" ref="F11" ca="1">VEERG_4_1_1_3__1_TotalAnnualDirectNitrousOxideEmissions_Result_Method2</f>
        <v>0.80616789491492569</v>
      </c>
      <c r="G11" s="9" t="s">
        <v>12</v>
      </c>
      <c r="H11" s="1" cm="1">
        <f t="array" aca="1" ref="H11" ca="1">Common_Equations.Common_ConvertN2OToCO2e(E11,_xlfn.XLOOKUP("N2O", Table_GWPData[Gas],Table_GWPData[CO2-e factor]))</f>
        <v>213.63449215245529</v>
      </c>
      <c r="I11" s="1" cm="1">
        <f t="array" aca="1" ref="I11" ca="1">Common_Equations.Common_ConvertN2OToCO2e(F11,_xlfn.XLOOKUP("N2O", Table_GWPData[Gas],Table_GWPData[CO2-e factor]))</f>
        <v>213.63449215245529</v>
      </c>
      <c r="J11" s="9" t="s">
        <v>7</v>
      </c>
    </row>
    <row r="12" spans="1:11" ht="20.100000000000001" customHeight="1" x14ac:dyDescent="0.2">
      <c r="A12" s="5" t="str">
        <f>HYPERLINK("#'Input - Livestock sales'!A1", "Livestock sales")</f>
        <v>Livestock sales</v>
      </c>
      <c r="D12" s="1" t="s">
        <v>285</v>
      </c>
      <c r="E12" s="1" cm="1">
        <f t="array" aca="1" ref="E12" ca="1">VEERG_4_1_1_5__1_TotalAnnualAtmosphericDepositionEmissions_Result_Method1</f>
        <v>0.1458482506281413</v>
      </c>
      <c r="F12" s="1" cm="1">
        <f t="array" aca="1" ref="F12" ca="1">VEERG_4_1_1_5__1_TotalAnnualAtmosphericDepositionEmissions_Result_Method1</f>
        <v>0.1458482506281413</v>
      </c>
      <c r="G12" s="9" t="s">
        <v>12</v>
      </c>
      <c r="H12" s="1" cm="1">
        <f t="array" aca="1" ref="H12" ca="1">Common_Equations.Common_ConvertN2OToCO2e(E12,_xlfn.XLOOKUP("N2O", Table_GWPData[Gas],Table_GWPData[CO2-e factor]))</f>
        <v>38.649786416457445</v>
      </c>
      <c r="I12" s="1" cm="1">
        <f t="array" aca="1" ref="I12" ca="1">Common_Equations.Common_ConvertN2OToCO2e(F12,_xlfn.XLOOKUP("N2O", Table_GWPData[Gas],Table_GWPData[CO2-e factor]))</f>
        <v>38.649786416457445</v>
      </c>
      <c r="J12" s="9" t="s">
        <v>7</v>
      </c>
    </row>
    <row r="13" spans="1:11" ht="20.100000000000001" customHeight="1" x14ac:dyDescent="0.2">
      <c r="A13" s="5" t="str">
        <f>HYPERLINK("#'Input - Beef cattle purchases'!A1", "Beef cattle purchases")</f>
        <v>Beef cattle purchases</v>
      </c>
      <c r="D13" s="1" t="s">
        <v>133</v>
      </c>
      <c r="E13" s="1" cm="1">
        <f t="array" ref="E13">VEERG_8_1_1_1__1_FuelCombustionTransport_Result_CO2</f>
        <v>83.182000000000002</v>
      </c>
      <c r="F13" s="1">
        <f>E13</f>
        <v>83.182000000000002</v>
      </c>
      <c r="G13" s="9" t="s">
        <v>127</v>
      </c>
      <c r="H13" s="1">
        <f>E13</f>
        <v>83.182000000000002</v>
      </c>
      <c r="I13" s="1">
        <f>F13</f>
        <v>83.182000000000002</v>
      </c>
      <c r="J13" s="9" t="s">
        <v>7</v>
      </c>
    </row>
    <row r="14" spans="1:11" ht="20.100000000000001" customHeight="1" x14ac:dyDescent="0.2">
      <c r="A14" s="5" t="str">
        <f>HYPERLINK("#'Input - Fuel'!A1", "Fuel")</f>
        <v>Fuel</v>
      </c>
      <c r="D14" s="1" t="s">
        <v>135</v>
      </c>
      <c r="E14" s="1" cm="1">
        <f t="array" ref="E14">VEERG_8_1_1_1__1_FuelCombustionTransport_Result_CH4</f>
        <v>0.19906000000000001</v>
      </c>
      <c r="F14" s="1">
        <f t="shared" ref="F14:F18" si="0">E14</f>
        <v>0.19906000000000001</v>
      </c>
      <c r="G14" s="9" t="s">
        <v>6</v>
      </c>
      <c r="H14" s="1" cm="1">
        <f t="array" ref="H14">Common_Equations.Common_ConvertCH4ToCO2e(E14,_xlfn.XLOOKUP("CH4", Table_GWPData[Gas],Table_GWPData[CO2-e factor]))</f>
        <v>5.5736800000000004</v>
      </c>
      <c r="I14" s="1" cm="1">
        <f t="array" ref="I14">Common_Equations.Common_ConvertCH4ToCO2e(F14,_xlfn.XLOOKUP("CH4", Table_GWPData[Gas],Table_GWPData[CO2-e factor]))</f>
        <v>5.5736800000000004</v>
      </c>
      <c r="J14" s="9" t="s">
        <v>7</v>
      </c>
    </row>
    <row r="15" spans="1:11" ht="20.100000000000001" customHeight="1" x14ac:dyDescent="0.2">
      <c r="A15" s="5" t="str">
        <f>HYPERLINK("#'Input - Electricity'!A1", "Electricity")</f>
        <v>Electricity</v>
      </c>
      <c r="D15" s="1" t="s">
        <v>134</v>
      </c>
      <c r="E15" s="1" cm="1">
        <f t="array" ref="E15">VEERG_8_1_1_1__1_FuelCombustionTransport_Result_N2O</f>
        <v>0.58450000000000002</v>
      </c>
      <c r="F15" s="1">
        <f t="shared" si="0"/>
        <v>0.58450000000000002</v>
      </c>
      <c r="G15" s="9" t="s">
        <v>12</v>
      </c>
      <c r="H15" s="1" cm="1">
        <f t="array" ref="H15">Common_Equations.Common_ConvertN2OToCO2e(E15,_xlfn.XLOOKUP("N2O", Table_GWPData[Gas],Table_GWPData[CO2-e factor]))</f>
        <v>154.89250000000001</v>
      </c>
      <c r="I15" s="1" cm="1">
        <f t="array" ref="I15">Common_Equations.Common_ConvertN2OToCO2e(F15,_xlfn.XLOOKUP("N2O", Table_GWPData[Gas],Table_GWPData[CO2-e factor]))</f>
        <v>154.89250000000001</v>
      </c>
      <c r="J15" s="9" t="s">
        <v>7</v>
      </c>
    </row>
    <row r="16" spans="1:11" ht="20.100000000000001" customHeight="1" x14ac:dyDescent="0.2">
      <c r="A16" s="5" t="str">
        <f>HYPERLINK("#'Input - Common farm inputs'!A1", "Common farm inputs")</f>
        <v>Common farm inputs</v>
      </c>
      <c r="D16" s="1" t="s">
        <v>136</v>
      </c>
      <c r="E16" s="1" cm="1">
        <f t="array" ref="E16">VEERG_8_2_1_1__1_FuelCombustionStationary_Result_CO2</f>
        <v>29.070800000000002</v>
      </c>
      <c r="F16" s="1">
        <f t="shared" si="0"/>
        <v>29.070800000000002</v>
      </c>
      <c r="G16" s="9" t="s">
        <v>127</v>
      </c>
      <c r="H16" s="1">
        <f>E16</f>
        <v>29.070800000000002</v>
      </c>
      <c r="I16" s="1">
        <f>F16</f>
        <v>29.070800000000002</v>
      </c>
      <c r="J16" s="9" t="s">
        <v>7</v>
      </c>
    </row>
    <row r="17" spans="1:10" ht="20.100000000000001" customHeight="1" x14ac:dyDescent="0.2">
      <c r="A17" s="5" t="str">
        <f>HYPERLINK("#'Input - Livestock farm Inputs'!A1", "Livestock farm Inputs")</f>
        <v>Livestock farm Inputs</v>
      </c>
      <c r="D17" s="1" t="s">
        <v>137</v>
      </c>
      <c r="E17" s="1" cm="1">
        <f t="array" ref="E17">VEERG_8_2_1_1__1_FuelCombustionStationary_Result_CH4</f>
        <v>7.2400000000000006E-2</v>
      </c>
      <c r="F17" s="1">
        <f t="shared" si="0"/>
        <v>7.2400000000000006E-2</v>
      </c>
      <c r="G17" s="9" t="s">
        <v>6</v>
      </c>
      <c r="H17" s="1" cm="1">
        <f t="array" ref="H17">Common_Equations.Common_ConvertCH4ToCO2e(E17,_xlfn.XLOOKUP("CH4", Table_GWPData[Gas],Table_GWPData[CO2-e factor]))</f>
        <v>2.0272000000000001</v>
      </c>
      <c r="I17" s="1" cm="1">
        <f t="array" ref="I17">Common_Equations.Common_ConvertCH4ToCO2e(F17,_xlfn.XLOOKUP("CH4", Table_GWPData[Gas],Table_GWPData[CO2-e factor]))</f>
        <v>2.0272000000000001</v>
      </c>
      <c r="J17" s="9" t="s">
        <v>7</v>
      </c>
    </row>
    <row r="18" spans="1:10" ht="20.100000000000001" customHeight="1" x14ac:dyDescent="0.2">
      <c r="A18" s="5" t="str">
        <f>HYPERLINK("#'Input - Freight'!A1", "Freight")</f>
        <v>Freight</v>
      </c>
      <c r="D18" s="1" t="s">
        <v>138</v>
      </c>
      <c r="E18" s="1" cm="1">
        <f t="array" ref="E18">VEERG_8_2_1_1__1_FuelCombustionStationary_Result_N2O</f>
        <v>7.1400000000000005E-2</v>
      </c>
      <c r="F18" s="1">
        <f t="shared" si="0"/>
        <v>7.1400000000000005E-2</v>
      </c>
      <c r="G18" s="9" t="s">
        <v>12</v>
      </c>
      <c r="H18" s="1" cm="1">
        <f t="array" ref="H18">Common_Equations.Common_ConvertN2OToCO2e(E18,_xlfn.XLOOKUP("N2O", Table_GWPData[Gas],Table_GWPData[CO2-e factor]))</f>
        <v>18.921000000000003</v>
      </c>
      <c r="I18" s="1" cm="1">
        <f t="array" ref="I18">Common_Equations.Common_ConvertN2OToCO2e(F18,_xlfn.XLOOKUP("N2O", Table_GWPData[Gas],Table_GWPData[CO2-e factor]))</f>
        <v>18.921000000000003</v>
      </c>
      <c r="J18" s="9" t="s">
        <v>7</v>
      </c>
    </row>
    <row r="19" spans="1:10" ht="20.100000000000001" customHeight="1" x14ac:dyDescent="0.2">
      <c r="A19" s="5" t="str">
        <f>HYPERLINK("#'Input - Solid waste'!A1", "Solid waste")</f>
        <v>Solid waste</v>
      </c>
      <c r="D19" s="1" t="s">
        <v>267</v>
      </c>
      <c r="E19" s="1" cm="1">
        <f t="array" ref="E19">VEERG_10_1_1_1__1_EmissionsFromWasteManagement_Scope1_Result_Method1</f>
        <v>438.82805000000002</v>
      </c>
      <c r="F19" s="1">
        <f>E19</f>
        <v>438.82805000000002</v>
      </c>
      <c r="G19" s="9" t="s">
        <v>251</v>
      </c>
      <c r="H19" s="1">
        <f>E19</f>
        <v>438.82805000000002</v>
      </c>
      <c r="I19" s="1">
        <f>F19</f>
        <v>438.82805000000002</v>
      </c>
      <c r="J19" s="9" t="s">
        <v>7</v>
      </c>
    </row>
    <row r="20" spans="1:10" ht="20.100000000000001" customHeight="1" x14ac:dyDescent="0.2">
      <c r="A20" s="5" t="str">
        <f>HYPERLINK("#'Input - Manure sent off-site'!A1", "Manure sent off-site")</f>
        <v>Manure sent off-site</v>
      </c>
      <c r="D20" s="85" t="s">
        <v>4</v>
      </c>
      <c r="E20" s="86"/>
      <c r="F20" s="86"/>
      <c r="G20" s="86"/>
      <c r="H20" s="85">
        <f ca="1">SUM(H9:H19)</f>
        <v>2121.0275660210882</v>
      </c>
      <c r="I20" s="85">
        <f ca="1">SUM(I9:I19)</f>
        <v>2121.0275660210882</v>
      </c>
      <c r="J20" s="95" t="s">
        <v>7</v>
      </c>
    </row>
    <row r="21" spans="1:10" ht="20.100000000000001" customHeight="1" x14ac:dyDescent="0.2">
      <c r="A21" s="5" t="str">
        <f>HYPERLINK("#'Input - Data quality'!A1", "Data quality")</f>
        <v>Data quality</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c r="D23" s="77" t="s">
        <v>236</v>
      </c>
    </row>
    <row r="25" spans="1:10" ht="20.100000000000001" customHeight="1" x14ac:dyDescent="0.2">
      <c r="D25" s="11" t="s">
        <v>237</v>
      </c>
      <c r="E25" s="11" t="s">
        <v>8</v>
      </c>
      <c r="F25" s="11" t="s">
        <v>9</v>
      </c>
      <c r="G25" s="11" t="s">
        <v>5</v>
      </c>
      <c r="H25" s="11" t="s">
        <v>10</v>
      </c>
      <c r="I25" s="11" t="s">
        <v>11</v>
      </c>
      <c r="J25" s="11"/>
    </row>
    <row r="26" spans="1:10" ht="20.100000000000001" customHeight="1" x14ac:dyDescent="0.2">
      <c r="A26" s="6" t="s">
        <v>2</v>
      </c>
      <c r="D26" s="1" t="str" cm="1">
        <f t="array" ref="D26">"14.1.1-2 Purchased electricity " &amp; IF(X_Cell_Electricity_CalculationMethod="Location-based (simpler)", "(Location-based)", "(Market-based)")</f>
        <v>14.1.1-2 Purchased electricity (Location-based)</v>
      </c>
      <c r="E26" s="1" cm="1">
        <f t="array" ref="E26">IF(X_Cell_Electricity_CalculationMethod="Location-based (simpler)", VEERG_14_1_1__1_LocationBasedScopeElectricityEmissions_Result_Method1, VEERG_14_1_2__1_MarketBasedScopeElectricityEmissionsVariation_Result_Method1)</f>
        <v>16.8</v>
      </c>
      <c r="F26" s="1">
        <f>E26</f>
        <v>16.8</v>
      </c>
      <c r="G26" s="9" t="s">
        <v>7</v>
      </c>
      <c r="H26" s="1">
        <f>E26</f>
        <v>16.8</v>
      </c>
      <c r="I26" s="1">
        <f>F26</f>
        <v>16.8</v>
      </c>
      <c r="J26" s="9" t="s">
        <v>7</v>
      </c>
    </row>
    <row r="27" spans="1:10" ht="20.100000000000001" customHeight="1" x14ac:dyDescent="0.2">
      <c r="A27" s="5" t="str">
        <f>HYPERLINK("#'3.1.1.1-2 Enteric Methane'!A1", "3.1.1.1-2 Enteric Methane")</f>
        <v>3.1.1.1-2 Enteric Methane</v>
      </c>
      <c r="D27" s="85" t="s">
        <v>238</v>
      </c>
      <c r="E27" s="86"/>
      <c r="F27" s="86"/>
      <c r="G27" s="86"/>
      <c r="H27" s="85">
        <f>SUM(H26:H26)</f>
        <v>16.8</v>
      </c>
      <c r="I27" s="85">
        <f>SUM(I26:I26)</f>
        <v>16.8</v>
      </c>
      <c r="J27" s="95" t="s">
        <v>7</v>
      </c>
    </row>
    <row r="28" spans="1:10" ht="20.100000000000001" customHeight="1" x14ac:dyDescent="0.2">
      <c r="A28" s="5" t="str">
        <f>HYPERLINK("#'4.1.1.1-2 Methane'!A1", "4.1.1.1-2 Manure Methane")</f>
        <v>4.1.1.1-2 Manure Methane</v>
      </c>
    </row>
    <row r="29" spans="1:10" ht="20.100000000000001" customHeight="1" x14ac:dyDescent="0.2">
      <c r="A29" s="5" t="str">
        <f>HYPERLINK("#'4.1.1.3-4 Direct N20'!A1", "4.1.1.3-4 Manure Direct N2O")</f>
        <v>4.1.1.3-4 Manure Direct N2O</v>
      </c>
    </row>
    <row r="30" spans="1:10" ht="20.100000000000001" customHeight="1" x14ac:dyDescent="0.2">
      <c r="A30" s="5" t="str">
        <f>HYPERLINK("#'4.1.1.5-6 Atmos Deposition'!A1", "4.1.1.5-6 Manure Atmos Dep")</f>
        <v>4.1.1.5-6 Manure Atmos Dep</v>
      </c>
      <c r="D30" s="77" t="s">
        <v>239</v>
      </c>
    </row>
    <row r="31" spans="1:10" ht="20.100000000000001" customHeight="1" x14ac:dyDescent="0.2">
      <c r="A31" s="5" t="str">
        <f>HYPERLINK("#'4.1.1.9 Manure applied to soils'!A1", "4.1.1.9 Manure applied to soils")</f>
        <v>4.1.1.9 Manure applied to soils</v>
      </c>
    </row>
    <row r="32" spans="1:10" ht="20.100000000000001" customHeight="1" x14ac:dyDescent="0.2">
      <c r="A32" s="5" t="str">
        <f>HYPERLINK("#'8.1.1.1-2 Transport fuel'!A1", "8.1.1.1-2 Transport fuel")</f>
        <v>8.1.1.1-2 Transport fuel</v>
      </c>
      <c r="D32" s="11" t="s">
        <v>240</v>
      </c>
      <c r="E32" s="11" t="s">
        <v>8</v>
      </c>
      <c r="F32" s="11" t="s">
        <v>9</v>
      </c>
      <c r="G32" s="11" t="s">
        <v>5</v>
      </c>
      <c r="H32" s="11" t="s">
        <v>10</v>
      </c>
      <c r="I32" s="11" t="s">
        <v>11</v>
      </c>
      <c r="J32" s="11"/>
    </row>
    <row r="33" spans="1:10" ht="20.100000000000001" customHeight="1" x14ac:dyDescent="0.2">
      <c r="A33" s="5" t="str">
        <f>HYPERLINK("#'8.2.1.1-2 Stationary fuel'!A1", "8.2.1.1-2 Stationary fuel")</f>
        <v>8.2.1.1-2 Stationary fuel</v>
      </c>
      <c r="D33" s="1" t="s">
        <v>286</v>
      </c>
      <c r="E33" s="1" cm="1">
        <f t="array" ref="E33">VEERG_15_1_1_1__1_EmissionsFromPurchasedLivestock_Pigs_Result_Method1</f>
        <v>0</v>
      </c>
      <c r="F33" s="1" cm="1">
        <f t="array" ref="F33">VEERG_15_1_1_1__1_EmissionsFromPurchasedLivestock_Pigs_Result_Method2</f>
        <v>0</v>
      </c>
      <c r="G33" s="9" t="s">
        <v>7</v>
      </c>
      <c r="H33" s="1">
        <f t="shared" ref="H33:I34" si="1">E33</f>
        <v>0</v>
      </c>
      <c r="I33" s="1">
        <f t="shared" si="1"/>
        <v>0</v>
      </c>
      <c r="J33" s="9" t="s">
        <v>7</v>
      </c>
    </row>
    <row r="34" spans="1:10" ht="20.100000000000001" customHeight="1" x14ac:dyDescent="0.2">
      <c r="A34" s="5" t="str">
        <f>HYPERLINK("#'10.1.1-2 Solid waste treatment'!A1", "10.1.1.1-2 Solid waste")</f>
        <v>10.1.1.1-2 Solid waste</v>
      </c>
      <c r="D34" s="1" t="s">
        <v>268</v>
      </c>
      <c r="E34" s="1" cm="1">
        <f t="array" ref="E34">VEERG_15_2_1_1__1_EmissionsFromPurchasedFeed_Result_Method1</f>
        <v>0.78505200000000008</v>
      </c>
      <c r="F34" s="1" cm="1">
        <f t="array" ref="F34">VEERG_15_2_1_1__1_EmissionsFromPurchasedFeed_Result_Method1</f>
        <v>0.78505200000000008</v>
      </c>
      <c r="G34" s="9" t="s">
        <v>7</v>
      </c>
      <c r="H34" s="1">
        <f t="shared" si="1"/>
        <v>0.78505200000000008</v>
      </c>
      <c r="I34" s="1">
        <f t="shared" si="1"/>
        <v>0.78505200000000008</v>
      </c>
      <c r="J34" s="9" t="s">
        <v>7</v>
      </c>
    </row>
    <row r="35" spans="1:10" ht="20.100000000000001" customHeight="1" x14ac:dyDescent="0.2">
      <c r="A35" s="5" t="str">
        <f>HYPERLINK("#'14.1.1-2 Purchased electricity'!A1", "14.1.1-2 Purchased electricity")</f>
        <v>14.1.1-2 Purchased electricity</v>
      </c>
      <c r="D35" s="1" t="s">
        <v>241</v>
      </c>
      <c r="E35" s="1" t="str" cm="1">
        <f t="array" ref="E35">VEERG_15_7_1_1__1_EmissionsFromPurchasedServices_Result_Method1</f>
        <v>No data</v>
      </c>
      <c r="F35" s="1" cm="1">
        <f t="array" ref="F35">VEERG_15_7_1_1__1_EmissionsFromPurchasedServices_Result_Method2</f>
        <v>42</v>
      </c>
      <c r="G35" s="9" t="s">
        <v>7</v>
      </c>
      <c r="H35" s="1" t="str">
        <f t="shared" ref="H35:H43" si="2">E35</f>
        <v>No data</v>
      </c>
      <c r="I35" s="1">
        <f t="shared" ref="I35:I43" si="3">F35</f>
        <v>42</v>
      </c>
      <c r="J35" s="9" t="s">
        <v>7</v>
      </c>
    </row>
    <row r="36" spans="1:10" ht="20.100000000000001" customHeight="1" x14ac:dyDescent="0.2">
      <c r="A36" s="5" t="str">
        <f>HYPERLINK("#'15 Scope 3'!A1", "15 Scope 3")</f>
        <v>15 Scope 3</v>
      </c>
      <c r="D36" s="1" t="s">
        <v>242</v>
      </c>
      <c r="E36" s="1" cm="1">
        <f t="array" ref="E36">VEERG_15_10_1_1__1_OtherPurchasedGoodsAndServices_CleaningChemicals_Result_Method1</f>
        <v>0.50509999999999999</v>
      </c>
      <c r="F36" s="1" cm="1">
        <f t="array" ref="F36">VEERG_15_10_1_1__1_OtherPurchasedGoodsAndServices_CleaningChemicals_Result_Method2</f>
        <v>2.73</v>
      </c>
      <c r="G36" s="9" t="s">
        <v>7</v>
      </c>
      <c r="H36" s="1">
        <f t="shared" si="2"/>
        <v>0.50509999999999999</v>
      </c>
      <c r="I36" s="1">
        <f t="shared" si="3"/>
        <v>2.73</v>
      </c>
      <c r="J36" s="9" t="s">
        <v>7</v>
      </c>
    </row>
    <row r="37" spans="1:10" ht="20.100000000000001" customHeight="1" x14ac:dyDescent="0.2">
      <c r="A37" s="5" t="str">
        <f>HYPERLINK("#'Calcs - Manure sent off-site'!A1", "Calcs - Manure sent off-site")</f>
        <v>Calcs - Manure sent off-site</v>
      </c>
      <c r="D37" s="1" t="s">
        <v>269</v>
      </c>
      <c r="E37" s="1" cm="1">
        <f t="array" ref="E37">VEERG_15_10_1_1__1_OtherPurchasedGoodsAndServices_PharmacyChemicals_Result_Method1</f>
        <v>1.5636000000000001E-2</v>
      </c>
      <c r="F37" s="1" cm="1">
        <f t="array" ref="F37">VEERG_15_10_1_1__1_OtherPurchasedGoodsAndServices_PharmacyChemicals_Result_Method1</f>
        <v>1.5636000000000001E-2</v>
      </c>
      <c r="G37" s="9" t="s">
        <v>7</v>
      </c>
      <c r="H37" s="1">
        <f t="shared" si="2"/>
        <v>1.5636000000000001E-2</v>
      </c>
      <c r="I37" s="1">
        <f t="shared" si="3"/>
        <v>1.5636000000000001E-2</v>
      </c>
      <c r="J37" s="9" t="s">
        <v>7</v>
      </c>
    </row>
    <row r="38" spans="1:10" ht="20.100000000000001" customHeight="1" x14ac:dyDescent="0.2">
      <c r="A38" s="5" t="str">
        <f>HYPERLINK("#'5.1.1.1-2 Inorganic fert N2O'!A1", "5.1.1.1-2 Inorganic fert N2O")</f>
        <v>5.1.1.1-2 Inorganic fert N2O</v>
      </c>
      <c r="D38" s="1" t="s">
        <v>243</v>
      </c>
      <c r="E38" s="1" t="str" cm="1">
        <f t="array" ref="E38">VEERG_15_10_1_1__1_OtherPurchasedGoodsAndServices_Uncategorised_Result_Method1</f>
        <v>No data</v>
      </c>
      <c r="F38" s="1" cm="1">
        <f t="array" ref="F38">VEERG_15_10_1_1__1_OtherPurchasedGoodsAndServices_Uncategorised_Result_Method2</f>
        <v>4000</v>
      </c>
      <c r="G38" s="9" t="s">
        <v>7</v>
      </c>
      <c r="H38" s="1" t="str">
        <f t="shared" si="2"/>
        <v>No data</v>
      </c>
      <c r="I38" s="1">
        <f t="shared" si="3"/>
        <v>4000</v>
      </c>
      <c r="J38" s="9" t="s">
        <v>7</v>
      </c>
    </row>
    <row r="39" spans="1:10" ht="20.100000000000001" customHeight="1" x14ac:dyDescent="0.2">
      <c r="A39" s="5" t="str">
        <f>HYPERLINK("#'5.1.1.3-4 Inorganic fert CO2'!A1", "5.1.1.3-4 Inorganic fert CO2")</f>
        <v>5.1.1.3-4 Inorganic fert CO2</v>
      </c>
      <c r="D39" s="1" t="s">
        <v>244</v>
      </c>
      <c r="E39" s="1" cm="1">
        <f t="array" ref="E39">VEERG_15_11_1_1__1_TotalUpstreamEmissionsFromFuel_Result</f>
        <v>26.794</v>
      </c>
      <c r="F39" s="1">
        <f>E39</f>
        <v>26.794</v>
      </c>
      <c r="G39" s="9" t="s">
        <v>7</v>
      </c>
      <c r="H39" s="1">
        <f t="shared" si="2"/>
        <v>26.794</v>
      </c>
      <c r="I39" s="1">
        <f t="shared" si="3"/>
        <v>26.794</v>
      </c>
      <c r="J39" s="9" t="s">
        <v>7</v>
      </c>
    </row>
    <row r="40" spans="1:10" ht="20.100000000000001" customHeight="1" x14ac:dyDescent="0.2">
      <c r="A40" s="5" t="str">
        <f>HYPERLINK("#'5.2.1.1-2 Organic Fert N2O'!A1", "5.2.1.1-2 Organic Fert N2O")</f>
        <v>5.2.1.1-2 Organic Fert N2O</v>
      </c>
      <c r="D40" s="1" t="str" cm="1">
        <f t="array" ref="D40">"15.12.1.1 Purchased electricity " &amp; IF(X_Cell_Electricity_CalculationMethod="Location-based (simpler)", "(Location-based)", "(Market-based)")</f>
        <v>15.12.1.1 Purchased electricity (Location-based)</v>
      </c>
      <c r="E40" s="1" cm="1">
        <f t="array" ref="E40">IF(X_Cell_Electricity_CalculationMethod="Location-based (simpler)", VEERG_15_12_1_1__1_UpstreamPurchasedElectricityLocationBased_Result, VEERG_15_12_1_1__1_UpstreamPurchasedElectricityMarketBased_Result)</f>
        <v>2.7</v>
      </c>
      <c r="F40" s="1">
        <f>E40</f>
        <v>2.7</v>
      </c>
      <c r="G40" s="9" t="s">
        <v>7</v>
      </c>
      <c r="H40" s="1">
        <f t="shared" si="2"/>
        <v>2.7</v>
      </c>
      <c r="I40" s="1">
        <f t="shared" si="3"/>
        <v>2.7</v>
      </c>
      <c r="J40" s="9" t="s">
        <v>7</v>
      </c>
    </row>
    <row r="41" spans="1:10" ht="20.100000000000001" customHeight="1" x14ac:dyDescent="0.2">
      <c r="A41" s="5" t="str">
        <f>HYPERLINK("#'5.3.1.1-2 Lime CO2'!A1", "5.3.1.1-2 Lime CO2")</f>
        <v>5.3.1.1-2 Lime CO2</v>
      </c>
      <c r="D41" s="1" t="s">
        <v>246</v>
      </c>
      <c r="E41" s="1" cm="1">
        <f t="array" ref="E41">VEERG_10_1_1_1__1_EmissionsFromWasteManagement_Scope3_Result_Method1</f>
        <v>441.15000000000003</v>
      </c>
      <c r="F41" s="1">
        <f>E41</f>
        <v>441.15000000000003</v>
      </c>
      <c r="G41" s="9" t="s">
        <v>7</v>
      </c>
      <c r="H41" s="1">
        <f t="shared" si="2"/>
        <v>441.15000000000003</v>
      </c>
      <c r="I41" s="1">
        <f t="shared" si="3"/>
        <v>441.15000000000003</v>
      </c>
      <c r="J41" s="9" t="s">
        <v>7</v>
      </c>
    </row>
    <row r="42" spans="1:10" ht="20.100000000000001" customHeight="1" x14ac:dyDescent="0.2">
      <c r="A42" s="5" t="str">
        <f>HYPERLINK("#'5.4.1.1-4 Atmos deposition'!A1", "5.4.1.1-4 Atmos deposition")</f>
        <v>5.4.1.1-4 Atmos deposition</v>
      </c>
      <c r="D42" s="1" t="s">
        <v>245</v>
      </c>
      <c r="E42" s="1" t="str" cm="1">
        <f t="array" ref="E42">VEERG_15_14_1_1__1_EmbeddedEmissionsFromUpstreamFreight_Incoming_Result_Method1</f>
        <v>No data</v>
      </c>
      <c r="F42" s="1" cm="1">
        <f t="array" ref="F42">VEERG_15_14_1_1__1_EmbeddedEmissionsFromUpstreamFreight_Incoming_Result_Method2</f>
        <v>5146700</v>
      </c>
      <c r="G42" s="9" t="s">
        <v>7</v>
      </c>
      <c r="H42" s="1" t="str">
        <f t="shared" si="2"/>
        <v>No data</v>
      </c>
      <c r="I42" s="1">
        <f t="shared" si="3"/>
        <v>5146700</v>
      </c>
      <c r="J42" s="9" t="s">
        <v>7</v>
      </c>
    </row>
    <row r="43" spans="1:10" ht="20.100000000000001" customHeight="1" x14ac:dyDescent="0.2">
      <c r="A43" s="5" t="str">
        <f>HYPERLINK("#'5.5.1.1-2 Leaching and runoff'!A1", "5.5.1.1-2 Leaching and runoff")</f>
        <v>5.5.1.1-2 Leaching and runoff</v>
      </c>
      <c r="D43" s="1" t="s">
        <v>247</v>
      </c>
      <c r="E43" s="1" t="str" cm="1">
        <f t="array" ref="E43">VEERG_15_14_1_1__1_EmbeddedEmissionsFromUpstreamFreight_Outgoing_Result_Method1</f>
        <v>No data</v>
      </c>
      <c r="F43" s="1" cm="1">
        <f t="array" ref="F43">VEERG_15_14_1_1__1_EmbeddedEmissionsFromUpstreamFreight_Outgoing_Result_Method2</f>
        <v>432640</v>
      </c>
      <c r="G43" s="9" t="s">
        <v>7</v>
      </c>
      <c r="H43" s="1" t="str">
        <f t="shared" si="2"/>
        <v>No data</v>
      </c>
      <c r="I43" s="1">
        <f t="shared" si="3"/>
        <v>432640</v>
      </c>
      <c r="J43" s="9" t="s">
        <v>7</v>
      </c>
    </row>
    <row r="44" spans="1:10" ht="20.100000000000001" customHeight="1" x14ac:dyDescent="0.2">
      <c r="D44" s="85" t="s">
        <v>248</v>
      </c>
      <c r="E44" s="86"/>
      <c r="F44" s="86"/>
      <c r="G44" s="86"/>
      <c r="H44" s="85">
        <f>SUM(H33:H43)</f>
        <v>471.94978800000001</v>
      </c>
      <c r="I44" s="85">
        <f>SUM(I33:I43)</f>
        <v>5583856.1746880002</v>
      </c>
      <c r="J44" s="95" t="s">
        <v>7</v>
      </c>
    </row>
    <row r="46" spans="1:10" ht="20.100000000000001" customHeight="1" x14ac:dyDescent="0.2">
      <c r="A46" s="80" t="s">
        <v>1</v>
      </c>
    </row>
    <row r="47" spans="1:10" ht="20.100000000000001" customHeight="1" x14ac:dyDescent="0.2">
      <c r="A47" s="5" t="str">
        <f>HYPERLINK("#'Constants - Feedlot'!A1", "Constants - Feedlot")</f>
        <v>Constants - Feedlot</v>
      </c>
      <c r="D47" s="77" t="str">
        <f>"Carbon removals from plantings for the activity period " &amp; TEXT(X_Cell_Site_StartDate, "d mmmm yyyy") &amp; " and " &amp; TEXT(X_Cell_Site_EndDate, "d mmmm yyyy")</f>
        <v>Carbon removals from plantings for the activity period 1 January 2025 and 31 December 2025</v>
      </c>
    </row>
    <row r="48" spans="1:10" ht="20.100000000000001" customHeight="1" x14ac:dyDescent="0.2">
      <c r="A48" s="5" t="str">
        <f>HYPERLINK("#'Constants - Common livestock'!A1", "Constants - Common Livestock")</f>
        <v>Constants - Common Livestock</v>
      </c>
    </row>
    <row r="49" spans="1:7" ht="20.100000000000001" customHeight="1" x14ac:dyDescent="0.2">
      <c r="A49" s="5" t="str">
        <f>HYPERLINK("#'Constants - Electricity'!A1", "Constants - Electricity")</f>
        <v>Constants - Electricity</v>
      </c>
      <c r="D49" s="85" t="s">
        <v>249</v>
      </c>
      <c r="E49" s="86">
        <f>SUM(Table_Input_Enterprise_PlantingRemovals[Removal allocated to this enterprise])</f>
        <v>0</v>
      </c>
      <c r="F49" s="95" t="s">
        <v>127</v>
      </c>
    </row>
    <row r="50" spans="1:7" ht="20.100000000000001" customHeight="1" x14ac:dyDescent="0.2">
      <c r="A50" s="5" t="str">
        <f>HYPERLINK("#'Constants - Fertiliser'!A1", "Constants - Fertiliser")</f>
        <v>Constants - Fertiliser</v>
      </c>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77" t="str">
        <f>"Net emissions for the activity period " &amp; TEXT(X_Cell_Site_StartDate, "d mmmm yyyy") &amp; " and " &amp; TEXT(X_Cell_Site_EndDate, "d mmmm yyyy")</f>
        <v>Net emissions for the activity period 1 January 2025 and 31 December 2025</v>
      </c>
    </row>
    <row r="53" spans="1:7" ht="20.100000000000001" customHeight="1" x14ac:dyDescent="0.2">
      <c r="A53" s="5" t="str">
        <f>HYPERLINK("#'Constants - Solid Waste'!A1", "Constants - Solid Waste")</f>
        <v>Constants - Solid Waste</v>
      </c>
    </row>
    <row r="54" spans="1:7" ht="20.100000000000001" customHeight="1" x14ac:dyDescent="0.2">
      <c r="A54" s="5" t="str">
        <f>HYPERLINK("#'Constants - Common'!A1", "Constants - Common")</f>
        <v>Constants - Common</v>
      </c>
      <c r="D54" s="11"/>
      <c r="E54" s="11" t="s">
        <v>130</v>
      </c>
      <c r="F54" s="11" t="s">
        <v>131</v>
      </c>
      <c r="G54" s="11"/>
    </row>
    <row r="55" spans="1:7" ht="20.100000000000001" customHeight="1" x14ac:dyDescent="0.2">
      <c r="A55" s="5" t="str">
        <f>HYPERLINK("#'Acknowledgements'!A1", "Acknowledgements")</f>
        <v>Acknowledgements</v>
      </c>
      <c r="D55" s="94" t="s">
        <v>250</v>
      </c>
      <c r="E55" s="92">
        <f ca="1">Result_Enterprise_Scope1_Method1+Result_Enterprise_Scope2_Method1+Result_Enterprise_Scope3_Method1</f>
        <v>2609.7773540210883</v>
      </c>
      <c r="F55" s="92">
        <f ca="1">Result_Enterprise_Scope1_Method2+Result_Enterprise_Scope2_Method2+Result_Enterprise_Scope3_Method2</f>
        <v>5585994.0022540214</v>
      </c>
      <c r="G55" s="93" t="s">
        <v>251</v>
      </c>
    </row>
    <row r="56" spans="1:7" ht="20.100000000000001" customHeight="1" x14ac:dyDescent="0.2">
      <c r="D56" s="94" t="s">
        <v>252</v>
      </c>
      <c r="E56" s="92">
        <f ca="1">Result_Enterprise_Gross_Method1-Result_Enterprise_Removals</f>
        <v>2609.7773540210883</v>
      </c>
      <c r="F56" s="92">
        <f ca="1">Result_Enterprise_Gross_Method2-Result_Enterprise_Removals</f>
        <v>5585994.0022540214</v>
      </c>
      <c r="G56" s="93"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6" width="9.140625" style="1"/>
  </cols>
  <sheetData>
    <row r="1" spans="1:16" s="90" customFormat="1" ht="30" customHeight="1" x14ac:dyDescent="0.35">
      <c r="A1" s="10" t="e" vm="1">
        <v>#VALUE!</v>
      </c>
      <c r="C1" s="90" t="s">
        <v>255</v>
      </c>
    </row>
    <row r="2" spans="1:16" s="3" customFormat="1" ht="20.100000000000001" customHeight="1" x14ac:dyDescent="0.2">
      <c r="A2"/>
    </row>
    <row r="3" spans="1:16" ht="20.100000000000001" customHeight="1" x14ac:dyDescent="0.2">
      <c r="A3" s="5" t="str">
        <f>HYPERLINK("#'Home'!A1", "Home")</f>
        <v>Home</v>
      </c>
      <c r="C3" s="91"/>
      <c r="D3" s="91"/>
      <c r="E3" s="91"/>
      <c r="F3" s="91"/>
      <c r="G3" s="91"/>
      <c r="H3" s="91"/>
      <c r="I3" s="91"/>
      <c r="J3" s="91"/>
      <c r="K3" s="91"/>
      <c r="L3" s="91"/>
      <c r="M3" s="91"/>
      <c r="N3" s="91"/>
      <c r="O3" s="91"/>
      <c r="P3" s="91"/>
    </row>
    <row r="4" spans="1:16" ht="20.100000000000001" customHeight="1" x14ac:dyDescent="0.2">
      <c r="A4" s="5" t="str">
        <f>HYPERLINK("#'Results - Activity period'!A1", "Results - Activity period")</f>
        <v>Results - Activity period</v>
      </c>
    </row>
    <row r="5" spans="1:16" ht="20.100000000000001" customHeight="1" x14ac:dyDescent="0.2">
      <c r="A5" s="253" t="str">
        <f>HYPERLINK("#'Results - Product EI'!A1", "Results - Product Emissions Intensity")</f>
        <v>Results - Product Emissions Intensity</v>
      </c>
    </row>
    <row r="8" spans="1:16" ht="20.100000000000001" customHeight="1" x14ac:dyDescent="0.2">
      <c r="A8" s="7" t="s">
        <v>0</v>
      </c>
    </row>
    <row r="9" spans="1:16" ht="20.100000000000001" customHeight="1" x14ac:dyDescent="0.2">
      <c r="A9" s="5" t="str">
        <f>HYPERLINK("#'Input - Enterprise'!A1", "Enterprise")</f>
        <v>Enterprise</v>
      </c>
    </row>
    <row r="10" spans="1:16" ht="20.100000000000001" customHeight="1" x14ac:dyDescent="0.2">
      <c r="A10" s="5" t="str">
        <f>HYPERLINK("#'Input - Site'!A1", "Site")</f>
        <v>Site</v>
      </c>
    </row>
    <row r="11" spans="1:16" ht="20.100000000000001" customHeight="1" x14ac:dyDescent="0.2">
      <c r="A11" s="5" t="str">
        <f>HYPERLINK("#'Input - Feedlot'!A1", "Feedlot")</f>
        <v>Feedlot</v>
      </c>
    </row>
    <row r="12" spans="1:16" ht="20.100000000000001" customHeight="1" x14ac:dyDescent="0.2">
      <c r="A12" s="5" t="str">
        <f>HYPERLINK("#'Input - Livestock sales'!A1", "Livestock sales")</f>
        <v>Livestock sales</v>
      </c>
    </row>
    <row r="13" spans="1:16" ht="20.100000000000001" customHeight="1" x14ac:dyDescent="0.2">
      <c r="A13" s="5" t="str">
        <f>HYPERLINK("#'Input - Beef cattle purchases'!A1", "Beef cattle purchases")</f>
        <v>Beef cattle purchases</v>
      </c>
    </row>
    <row r="14" spans="1:16" ht="20.100000000000001" customHeight="1" x14ac:dyDescent="0.2">
      <c r="A14" s="5" t="str">
        <f>HYPERLINK("#'Input - Fuel'!A1", "Fuel")</f>
        <v>Fuel</v>
      </c>
    </row>
    <row r="15" spans="1:16" ht="20.100000000000001" customHeight="1" x14ac:dyDescent="0.2">
      <c r="A15" s="5" t="str">
        <f>HYPERLINK("#'Input - Electricity'!A1", "Electricity")</f>
        <v>Electricity</v>
      </c>
    </row>
    <row r="16" spans="1:1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HYPERLINK("#'3.1.1.1-2 Enteric Methane'!A1", "3.1.1.1-2 Enteric Methane")</f>
        <v>3.1.1.1-2 Enteric Methane</v>
      </c>
    </row>
    <row r="28" spans="1:4" ht="20.100000000000001" customHeight="1" x14ac:dyDescent="0.2">
      <c r="A28" s="5" t="str">
        <f>HYPERLINK("#'4.1.1.1-2 Methane'!A1", "4.1.1.1-2 Manure Methane")</f>
        <v>4.1.1.1-2 Manure Methane</v>
      </c>
    </row>
    <row r="29" spans="1:4" ht="20.100000000000001" customHeight="1" x14ac:dyDescent="0.2">
      <c r="A29" s="5" t="str">
        <f>HYPERLINK("#'4.1.1.3-4 Direct N20'!A1", "4.1.1.3-4 Manure Direct N2O")</f>
        <v>4.1.1.3-4 Manure Direct N2O</v>
      </c>
    </row>
    <row r="30" spans="1:4" ht="20.100000000000001" customHeight="1" x14ac:dyDescent="0.2">
      <c r="A30" s="5" t="str">
        <f>HYPERLINK("#'4.1.1.5-6 Atmos Deposition'!A1", "4.1.1.5-6 Manure Atmos Dep")</f>
        <v>4.1.1.5-6 Manure Atmos Dep</v>
      </c>
    </row>
    <row r="31" spans="1:4" ht="20.100000000000001" customHeight="1" x14ac:dyDescent="0.2">
      <c r="A31" s="5" t="str">
        <f>HYPERLINK("#'4.1.1.9 Manure applied to soils'!A1", "4.1.1.9 Manure applied to soils")</f>
        <v>4.1.1.9 Manure applied to soils</v>
      </c>
    </row>
    <row r="32" spans="1:4" ht="20.100000000000001" customHeight="1" x14ac:dyDescent="0.2">
      <c r="A32" s="5" t="str">
        <f>HYPERLINK("#'8.1.1.1-2 Transport fuel'!A1", "8.1.1.1-2 Transport fuel")</f>
        <v>8.1.1.1-2 Transport fuel</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11"/>
      <c r="E35" s="11" t="s">
        <v>130</v>
      </c>
      <c r="F35" s="11" t="s">
        <v>131</v>
      </c>
      <c r="G35" s="11"/>
    </row>
    <row r="36" spans="1:10" ht="20.100000000000001" customHeight="1" x14ac:dyDescent="0.2">
      <c r="A36" s="5" t="str">
        <f>HYPERLINK("#'15 Scope 3'!A1", "15 Scope 3")</f>
        <v>15 Scope 3</v>
      </c>
      <c r="D36" s="75" t="s">
        <v>253</v>
      </c>
      <c r="E36" s="1">
        <f ca="1">Result_EmissionsForWholeProductionCycle_Gross_Method1</f>
        <v>2609.7773540210883</v>
      </c>
      <c r="F36" s="1">
        <f ca="1">Result_EmissionsForWholeProductionCycle_Gross_Method2</f>
        <v>5585994.0022540214</v>
      </c>
      <c r="G36" s="9" t="s">
        <v>7</v>
      </c>
    </row>
    <row r="37" spans="1:10" ht="20.100000000000001" customHeight="1" x14ac:dyDescent="0.2">
      <c r="A37" s="5" t="str">
        <f>HYPERLINK("#'Calcs - Manure sent off-site'!A1", "Calcs - Manure sent off-site")</f>
        <v>Calcs - Manure sent off-site</v>
      </c>
      <c r="D37" s="75" t="s">
        <v>254</v>
      </c>
      <c r="E37" s="1">
        <f ca="1">Result_EmissionsForWholeProductionCycle_Net_Method1</f>
        <v>2609.7773540210883</v>
      </c>
      <c r="F37" s="1">
        <f ca="1">Result_EmissionsForWholeProductionCycle_Net_Method2</f>
        <v>5585994.0022540214</v>
      </c>
      <c r="G37" s="9" t="s">
        <v>7</v>
      </c>
    </row>
    <row r="38" spans="1:10" ht="20.100000000000001" customHeight="1" x14ac:dyDescent="0.2">
      <c r="A38" s="5" t="str">
        <f>HYPERLINK("#'5.1.1.1-2 Inorganic fert N2O'!A1", "5.1.1.1-2 Inorganic fert N2O")</f>
        <v>5.1.1.1-2 Inorganic fert N2O</v>
      </c>
    </row>
    <row r="39" spans="1:10" ht="20.100000000000001" customHeight="1" x14ac:dyDescent="0.2">
      <c r="A39" s="5" t="str">
        <f>HYPERLINK("#'5.1.1.3-4 Inorganic fert CO2'!A1", "5.1.1.3-4 Inorganic fert CO2")</f>
        <v>5.1.1.3-4 Inorganic fert CO2</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HYPERLINK("#'5.2.1.1-2 Organic Fert N2O'!A1", "5.2.1.1-2 Organic Fert N2O")</f>
        <v>5.2.1.1-2 Organic Fert N2O</v>
      </c>
    </row>
    <row r="41" spans="1:10" ht="20.100000000000001" customHeight="1" x14ac:dyDescent="0.2">
      <c r="A41" s="5" t="str">
        <f>HYPERLINK("#'5.3.1.1-2 Lime CO2'!A1", "5.3.1.1-2 Lime CO2")</f>
        <v>5.3.1.1-2 Lime CO2</v>
      </c>
    </row>
    <row r="42" spans="1:10" ht="20.100000000000001" customHeight="1" x14ac:dyDescent="0.2">
      <c r="A42" s="5" t="str">
        <f>HYPERLINK("#'5.4.1.1-4 Atmos deposition'!A1", "5.4.1.1-4 Atmos deposition")</f>
        <v>5.4.1.1-4 Atmos deposition</v>
      </c>
      <c r="D42" s="77" t="s">
        <v>145</v>
      </c>
    </row>
    <row r="43" spans="1:10" ht="20.100000000000001" customHeight="1" x14ac:dyDescent="0.2">
      <c r="A43" s="5" t="str">
        <f>HYPERLINK("#'5.5.1.1-2 Leaching and runoff'!A1", "5.5.1.1-2 Leaching and runoff")</f>
        <v>5.5.1.1-2 Leaching and runoff</v>
      </c>
      <c r="D43" s="11" t="s">
        <v>132</v>
      </c>
      <c r="E43" s="11" t="s">
        <v>121</v>
      </c>
      <c r="F43" s="11" t="s">
        <v>117</v>
      </c>
      <c r="G43" s="11" t="s">
        <v>142</v>
      </c>
      <c r="H43" s="11" t="s">
        <v>119</v>
      </c>
      <c r="I43" s="11" t="s">
        <v>120</v>
      </c>
      <c r="J43" s="11" t="s">
        <v>118</v>
      </c>
    </row>
    <row r="44" spans="1:10" ht="20.100000000000001" customHeight="1" x14ac:dyDescent="0.2">
      <c r="D44" s="1" t="s">
        <v>274</v>
      </c>
      <c r="E44" s="1" t="s">
        <v>122</v>
      </c>
      <c r="F44" s="1">
        <f>X_Cell_Enterprise_LiveweightSold</f>
        <v>5</v>
      </c>
      <c r="G44" s="1">
        <f>F44/(F44+F46)</f>
        <v>0.83333333333333337</v>
      </c>
      <c r="H44" s="1">
        <f ca="1">(E36/F44)*G44</f>
        <v>434.96289233684803</v>
      </c>
      <c r="I44" s="1">
        <f ca="1">(F36/F44)*G44</f>
        <v>930999.00037567015</v>
      </c>
      <c r="J44" s="9" t="s">
        <v>279</v>
      </c>
    </row>
    <row r="45" spans="1:10" ht="20.100000000000001" customHeight="1" x14ac:dyDescent="0.2">
      <c r="D45" s="1" t="s">
        <v>275</v>
      </c>
      <c r="E45" s="1" t="s">
        <v>122</v>
      </c>
      <c r="F45" s="1">
        <f>F44</f>
        <v>5</v>
      </c>
      <c r="G45" s="1">
        <f>G44</f>
        <v>0.83333333333333337</v>
      </c>
      <c r="H45" s="1">
        <f ca="1">(E37/F45)*G45</f>
        <v>434.96289233684803</v>
      </c>
      <c r="I45" s="1">
        <f ca="1">(F37/F45)*G45</f>
        <v>930999.00037567015</v>
      </c>
      <c r="J45" s="9" t="s">
        <v>279</v>
      </c>
    </row>
    <row r="46" spans="1:10" ht="20.100000000000001" customHeight="1" x14ac:dyDescent="0.2">
      <c r="A46" s="80" t="s">
        <v>1</v>
      </c>
      <c r="D46" s="1" t="s">
        <v>276</v>
      </c>
      <c r="E46" s="1" t="s">
        <v>123</v>
      </c>
      <c r="F46" s="1">
        <f>X_Cell_Enterprise_ManureProduced*X_Cell_Enterprise_PercentManureSold</f>
        <v>1</v>
      </c>
      <c r="G46" s="1">
        <f>F46/(F44+F46)</f>
        <v>0.16666666666666666</v>
      </c>
      <c r="H46" s="1">
        <f ca="1">(E36/F46)*G46</f>
        <v>434.96289233684803</v>
      </c>
      <c r="I46" s="1">
        <f ca="1">(F36/F46)*G46</f>
        <v>930999.00037567015</v>
      </c>
      <c r="J46" s="9" t="s">
        <v>280</v>
      </c>
    </row>
    <row r="47" spans="1:10" ht="20.100000000000001" customHeight="1" x14ac:dyDescent="0.2">
      <c r="A47" s="5" t="str">
        <f>HYPERLINK("#'Constants - Feedlot'!A1", "Constants - Feedlot")</f>
        <v>Constants - Feedlot</v>
      </c>
      <c r="D47" s="1" t="s">
        <v>277</v>
      </c>
      <c r="E47" s="1" t="s">
        <v>123</v>
      </c>
      <c r="F47" s="1">
        <f>F46</f>
        <v>1</v>
      </c>
      <c r="G47" s="1">
        <f>G46</f>
        <v>0.16666666666666666</v>
      </c>
      <c r="H47" s="96">
        <f ca="1">(E37/F47)*G47</f>
        <v>434.96289233684803</v>
      </c>
      <c r="I47" s="96">
        <f ca="1">(F37/F47)*G47</f>
        <v>930999.00037567015</v>
      </c>
      <c r="J47" s="9" t="s">
        <v>280</v>
      </c>
    </row>
    <row r="48" spans="1:10" ht="20.100000000000001" customHeight="1" x14ac:dyDescent="0.2">
      <c r="A48" s="5" t="str">
        <f>HYPERLINK("#'Constants - Common livestock'!A1", "Constants - Common Livestock")</f>
        <v>Constants - Common Livestock</v>
      </c>
      <c r="D48" s="1" t="s">
        <v>278</v>
      </c>
      <c r="E48" s="1" t="s">
        <v>125</v>
      </c>
      <c r="F48" s="1">
        <f>X_Cell_Enterprise_ManureProduced*X_Cell_Enterprise_PercentManureFertiliserOwnFarm</f>
        <v>1</v>
      </c>
      <c r="G48" s="1" t="s">
        <v>124</v>
      </c>
      <c r="H48" s="1" t="s">
        <v>124</v>
      </c>
      <c r="I48" s="1" t="s">
        <v>124</v>
      </c>
      <c r="J48" s="9"/>
    </row>
    <row r="49" spans="1:10" ht="20.100000000000001" customHeight="1" x14ac:dyDescent="0.2">
      <c r="A49" s="5" t="str">
        <f>HYPERLINK("#'Constants - Electricity'!A1", "Constants - Electricity")</f>
        <v>Constants - Electricity</v>
      </c>
    </row>
    <row r="50" spans="1:10" ht="20.100000000000001" customHeight="1" x14ac:dyDescent="0.2">
      <c r="A50" s="5" t="str">
        <f>HYPERLINK("#'Constants - Fertiliser'!A1", "Constants - Fertiliser")</f>
        <v>Constants - Fertiliser</v>
      </c>
      <c r="D50" s="77" t="s">
        <v>146</v>
      </c>
    </row>
    <row r="51" spans="1:10" ht="20.100000000000001" customHeight="1" x14ac:dyDescent="0.2">
      <c r="A51" s="5" t="str">
        <f>HYPERLINK("#'Constants - Fuel'!A1", "Constants - Fuel")</f>
        <v>Constants - Fuel</v>
      </c>
      <c r="D51" s="11" t="s">
        <v>132</v>
      </c>
      <c r="E51" s="11" t="s">
        <v>121</v>
      </c>
      <c r="F51" s="11" t="s">
        <v>117</v>
      </c>
      <c r="G51" s="11" t="s">
        <v>141</v>
      </c>
      <c r="H51" s="11" t="s">
        <v>143</v>
      </c>
      <c r="I51" s="11" t="s">
        <v>144</v>
      </c>
      <c r="J51" s="11" t="s">
        <v>118</v>
      </c>
    </row>
    <row r="52" spans="1:10" ht="20.100000000000001" customHeight="1" x14ac:dyDescent="0.2">
      <c r="A52" s="5" t="str">
        <f>HYPERLINK("#'Constants - Scope 3'!A1", "Constants - Scope 3")</f>
        <v>Constants - Scope 3</v>
      </c>
      <c r="D52" s="1" t="s">
        <v>274</v>
      </c>
      <c r="E52" s="1" t="s">
        <v>122</v>
      </c>
      <c r="F52" s="1">
        <f>X_Cell_Enterprise_LiveweightSold</f>
        <v>5</v>
      </c>
      <c r="G52" s="1">
        <f>X_Cell_Enterprise_PercentIncomeFromLiveweightSold</f>
        <v>0.8</v>
      </c>
      <c r="H52" s="1">
        <f ca="1">E36*G52/F52</f>
        <v>417.5643766433742</v>
      </c>
      <c r="I52" s="1">
        <f ca="1">F36*G52/F52</f>
        <v>893759.04036064353</v>
      </c>
      <c r="J52" s="9" t="s">
        <v>279</v>
      </c>
    </row>
    <row r="53" spans="1:10" ht="20.100000000000001" customHeight="1" x14ac:dyDescent="0.2">
      <c r="A53" s="5" t="str">
        <f>HYPERLINK("#'Constants - Solid Waste'!A1", "Constants - Solid Waste")</f>
        <v>Constants - Solid Waste</v>
      </c>
      <c r="D53" s="1" t="s">
        <v>275</v>
      </c>
      <c r="E53" s="1" t="s">
        <v>122</v>
      </c>
      <c r="F53" s="1">
        <f>F52</f>
        <v>5</v>
      </c>
      <c r="G53" s="1">
        <f>G52</f>
        <v>0.8</v>
      </c>
      <c r="H53" s="1">
        <f ca="1">E37*G53/F53</f>
        <v>417.5643766433742</v>
      </c>
      <c r="I53" s="1">
        <f ca="1">F37*G53/F53</f>
        <v>893759.04036064353</v>
      </c>
      <c r="J53" s="9" t="s">
        <v>279</v>
      </c>
    </row>
    <row r="54" spans="1:10" ht="20.100000000000001" customHeight="1" x14ac:dyDescent="0.2">
      <c r="A54" s="5" t="str">
        <f>HYPERLINK("#'Constants - Common'!A1", "Constants - Common")</f>
        <v>Constants - Common</v>
      </c>
      <c r="D54" s="1" t="s">
        <v>276</v>
      </c>
      <c r="E54" s="1" t="s">
        <v>123</v>
      </c>
      <c r="F54" s="1">
        <f>X_Cell_Enterprise_ManureProduced*X_Cell_Enterprise_PercentManureSold</f>
        <v>1</v>
      </c>
      <c r="G54" s="1">
        <f>X_Cell_Enterprise_PercentIncomeFromManureSold</f>
        <v>0.2</v>
      </c>
      <c r="H54" s="1">
        <f ca="1">E36*G54/F54</f>
        <v>521.95547080421773</v>
      </c>
      <c r="I54" s="1">
        <f ca="1">F36*G54/F54</f>
        <v>1117198.8004508044</v>
      </c>
      <c r="J54" s="9" t="s">
        <v>280</v>
      </c>
    </row>
    <row r="55" spans="1:10" ht="20.100000000000001" customHeight="1" x14ac:dyDescent="0.2">
      <c r="A55" s="5" t="str">
        <f>HYPERLINK("#'Acknowledgements'!A1", "Acknowledgements")</f>
        <v>Acknowledgements</v>
      </c>
      <c r="D55" s="1" t="s">
        <v>277</v>
      </c>
      <c r="E55" s="1" t="s">
        <v>123</v>
      </c>
      <c r="F55" s="1">
        <f>F54</f>
        <v>1</v>
      </c>
      <c r="G55" s="1">
        <f>G54</f>
        <v>0.2</v>
      </c>
      <c r="H55" s="1">
        <f ca="1">E37*G55/F55</f>
        <v>521.95547080421773</v>
      </c>
      <c r="I55" s="1">
        <f ca="1">F37*G55/F55</f>
        <v>1117198.8004508044</v>
      </c>
      <c r="J55" s="9" t="s">
        <v>280</v>
      </c>
    </row>
    <row r="56" spans="1:10" ht="20.100000000000001" customHeight="1" x14ac:dyDescent="0.2">
      <c r="D56" s="1" t="s">
        <v>278</v>
      </c>
      <c r="E56" s="1" t="s">
        <v>125</v>
      </c>
      <c r="F56" s="1">
        <f>X_Cell_Enterprise_ManureProduced*X_Cell_Enterprise_PercentManureFertiliserOwnFarm</f>
        <v>1</v>
      </c>
      <c r="G56" s="1" t="s">
        <v>124</v>
      </c>
      <c r="H56" s="1" t="s">
        <v>124</v>
      </c>
      <c r="I56" s="1" t="s">
        <v>124</v>
      </c>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8"/>
  <sheetViews>
    <sheetView showGridLines="0" zoomScaleNormal="100" workbookViewId="0">
      <pane xSplit="1" topLeftCell="B1" activePane="topRight" state="frozenSplit"/>
      <selection pane="topRight" activeCell="A54" sqref="A54"/>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101"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Feedlot'!A1", "Feedlot")</f>
        <v>Feedlot</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Beef cattle purchases'!A1", "Beef cattle purchases")</f>
        <v>Beef cattle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265</v>
      </c>
      <c r="E22" s="76">
        <f>SUM(Table_Input_LivestockSales[Total liveweight sold])*10^-3</f>
        <v>5</v>
      </c>
      <c r="F22" s="16" t="s">
        <v>19</v>
      </c>
    </row>
    <row r="23" spans="1:6" ht="20.100000000000001" customHeight="1" x14ac:dyDescent="0.2">
      <c r="A23" s="5" t="str">
        <f>HYPERLINK("#'Input - Fertiliser'!A1", "Fertiliser")</f>
        <v>Fertiliser</v>
      </c>
      <c r="D23" s="1" t="s">
        <v>266</v>
      </c>
      <c r="E23" s="74">
        <v>10</v>
      </c>
      <c r="F23" s="16" t="s">
        <v>19</v>
      </c>
    </row>
    <row r="24" spans="1:6" ht="20.100000000000001" customHeight="1" x14ac:dyDescent="0.2">
      <c r="D24" s="1" t="s">
        <v>272</v>
      </c>
      <c r="E24" s="18">
        <v>0.1</v>
      </c>
      <c r="F24" s="16" t="s">
        <v>140</v>
      </c>
    </row>
    <row r="25" spans="1:6" ht="20.100000000000001" customHeight="1" x14ac:dyDescent="0.2">
      <c r="D25" s="1" t="s">
        <v>273</v>
      </c>
      <c r="E25" s="18">
        <v>0.1</v>
      </c>
      <c r="F25" s="16" t="s">
        <v>140</v>
      </c>
    </row>
    <row r="26" spans="1:6" ht="20.100000000000001" customHeight="1" x14ac:dyDescent="0.2">
      <c r="A26" s="6" t="s">
        <v>2</v>
      </c>
    </row>
    <row r="27" spans="1:6" ht="20.100000000000001" customHeight="1" x14ac:dyDescent="0.2">
      <c r="A27" s="5" t="str">
        <f>HYPERLINK("#'3.1.1.1-2 Enteric Methane'!A1", "3.1.1.1-2 Enteric Methane")</f>
        <v>3.1.1.1-2 Enteric Methane</v>
      </c>
      <c r="D27" s="1" t="s">
        <v>270</v>
      </c>
      <c r="E27" s="18">
        <v>0.8</v>
      </c>
      <c r="F27" s="16" t="s">
        <v>140</v>
      </c>
    </row>
    <row r="28" spans="1:6" ht="20.100000000000001" customHeight="1" x14ac:dyDescent="0.2">
      <c r="A28" s="5" t="str">
        <f>HYPERLINK("#'4.1.1.1-2 Methane'!A1", "4.1.1.1-2 Manure Methane")</f>
        <v>4.1.1.1-2 Manure Methane</v>
      </c>
      <c r="D28" s="1" t="s">
        <v>271</v>
      </c>
      <c r="E28" s="18">
        <v>0.2</v>
      </c>
      <c r="F28" s="16" t="s">
        <v>140</v>
      </c>
    </row>
    <row r="29" spans="1:6" ht="20.100000000000001" customHeight="1" x14ac:dyDescent="0.2">
      <c r="A29" s="5" t="str">
        <f>HYPERLINK("#'4.1.1.3-4 Direct N20'!A1", "4.1.1.3-4 Manure Direct N2O")</f>
        <v>4.1.1.3-4 Manure Direct N2O</v>
      </c>
    </row>
    <row r="30" spans="1:6" ht="20.100000000000001" customHeight="1" x14ac:dyDescent="0.2">
      <c r="A30" s="5" t="str">
        <f>HYPERLINK("#'4.1.1.5-6 Atmos Deposition'!A1", "4.1.1.5-6 Manure Atmos Dep")</f>
        <v>4.1.1.5-6 Manure Atmos Dep</v>
      </c>
    </row>
    <row r="31" spans="1:6" ht="20.100000000000001" customHeight="1" x14ac:dyDescent="0.2">
      <c r="A31" s="5" t="str">
        <f>HYPERLINK("#'4.1.1.9 Manure applied to soils'!A1", "4.1.1.9 Manure applied to soils")</f>
        <v>4.1.1.9 Manure applied to soils</v>
      </c>
      <c r="D31" s="2" t="s">
        <v>228</v>
      </c>
    </row>
    <row r="32" spans="1:6" ht="20.100000000000001" customHeight="1" x14ac:dyDescent="0.2">
      <c r="A32" s="5" t="str">
        <f>HYPERLINK("#'8.1.1.1-2 Transport fuel'!A1", "8.1.1.1-2 Transport fuel")</f>
        <v>8.1.1.1-2 Transport fuel</v>
      </c>
    </row>
    <row r="33" spans="1:7" ht="20.100000000000001" customHeight="1" x14ac:dyDescent="0.2">
      <c r="A33" s="5" t="str">
        <f>HYPERLINK("#'8.2.1.1-2 Stationary fuel'!A1", "8.2.1.1-2 Stationary fuel")</f>
        <v>8.2.1.1-2 Stationary fuel</v>
      </c>
    </row>
    <row r="34" spans="1:7" ht="20.100000000000001" customHeight="1" x14ac:dyDescent="0.2">
      <c r="A34" s="5" t="str">
        <f>HYPERLINK("#'10.1.1-2 Solid waste treatment'!A1", "10.1.1.1-2 Solid waste")</f>
        <v>10.1.1.1-2 Solid waste</v>
      </c>
      <c r="D34" s="77" t="str">
        <f>"Carbon captured from " &amp; TEXT(X_Cell_Site_StartDate, "d mmmm yyyy") &amp; " to " &amp; TEXT(X_Cell_Site_EndDate, "d, mmmm, yyyy") &amp; " from environmental plantings"</f>
        <v>Carbon captured from 1 January 2025 to 31, December, 2025 from environmental plantings</v>
      </c>
    </row>
    <row r="35" spans="1:7" ht="20.100000000000001" customHeight="1" x14ac:dyDescent="0.2">
      <c r="A35" s="5" t="str">
        <f>HYPERLINK("#'14.1.1-2 Purchased electricity'!A1", "14.1.1-2 Purchased electricity")</f>
        <v>14.1.1-2 Purchased electricity</v>
      </c>
    </row>
    <row r="36" spans="1:7" ht="20.100000000000001" customHeight="1" x14ac:dyDescent="0.2">
      <c r="A36" s="5" t="str">
        <f>HYPERLINK("#'15 Scope 3'!A1", "15 Scope 3")</f>
        <v>15 Scope 3</v>
      </c>
      <c r="D36" s="19" t="s">
        <v>229</v>
      </c>
      <c r="E36" s="19" t="s">
        <v>230</v>
      </c>
      <c r="F36" s="19" t="s">
        <v>231</v>
      </c>
      <c r="G36" s="78" t="s">
        <v>232</v>
      </c>
    </row>
    <row r="37" spans="1:7" ht="20.100000000000001" customHeight="1" x14ac:dyDescent="0.2">
      <c r="A37" s="5" t="str">
        <f>HYPERLINK("#'Calcs - Manure sent off-site'!A1", "Calcs - Manure sent off-site")</f>
        <v>Calcs - Manure sent off-site</v>
      </c>
      <c r="D37" s="33"/>
      <c r="E37" s="74"/>
      <c r="F37" s="18"/>
      <c r="G37" s="1">
        <f>Table_Input_Enterprise_PlantingRemovals[[#This Row],[Total removed CO2]]*Table_Input_Enterprise_PlantingRemovals[[#This Row],[Percent allocated to this enterprise]]</f>
        <v>0</v>
      </c>
    </row>
    <row r="38" spans="1:7" ht="20.100000000000001" customHeight="1" x14ac:dyDescent="0.2">
      <c r="A38" s="5" t="str">
        <f>HYPERLINK("#'5.1.1.1-2 Inorganic fert N2O'!A1", "5.1.1.1-2 Inorganic fert N2O")</f>
        <v>5.1.1.1-2 Inorganic fert N2O</v>
      </c>
    </row>
    <row r="39" spans="1:7" ht="20.100000000000001" customHeight="1" x14ac:dyDescent="0.2">
      <c r="A39" s="5" t="str">
        <f>HYPERLINK("#'5.1.1.3-4 Inorganic fert CO2'!A1", "5.1.1.3-4 Inorganic fert CO2")</f>
        <v>5.1.1.3-4 Inorganic fert CO2</v>
      </c>
    </row>
    <row r="40" spans="1:7" ht="20.100000000000001" customHeight="1" x14ac:dyDescent="0.2">
      <c r="A40" s="5" t="str">
        <f>HYPERLINK("#'5.2.1.1-2 Organic Fert N2O'!A1", "5.2.1.1-2 Organic Fert N2O")</f>
        <v>5.2.1.1-2 Organic Fert N2O</v>
      </c>
    </row>
    <row r="41" spans="1:7" ht="20.100000000000001" customHeight="1" x14ac:dyDescent="0.2">
      <c r="A41" s="5" t="str">
        <f>HYPERLINK("#'5.3.1.1-2 Lime CO2'!A1", "5.3.1.1-2 Lime CO2")</f>
        <v>5.3.1.1-2 Lime CO2</v>
      </c>
      <c r="D41" s="2" t="s">
        <v>233</v>
      </c>
    </row>
    <row r="42" spans="1:7" ht="20.100000000000001" customHeight="1" x14ac:dyDescent="0.2">
      <c r="A42" s="5" t="str">
        <f>HYPERLINK("#'5.4.1.1-4 Atmos deposition'!A1", "5.4.1.1-4 Atmos deposition")</f>
        <v>5.4.1.1-4 Atmos deposition</v>
      </c>
    </row>
    <row r="43" spans="1:7" ht="20.100000000000001" customHeight="1" x14ac:dyDescent="0.2">
      <c r="A43" s="5" t="str">
        <f>HYPERLINK("#'5.5.1.1-2 Leaching and runoff'!A1", "5.5.1.1-2 Leaching and runoff")</f>
        <v>5.5.1.1-2 Leaching and runoff</v>
      </c>
      <c r="D43"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5" spans="1:7" ht="20.100000000000001" customHeight="1" x14ac:dyDescent="0.2">
      <c r="D45" s="87"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1:7" ht="20.100000000000001" customHeight="1" x14ac:dyDescent="0.2">
      <c r="A46" s="80" t="s">
        <v>1</v>
      </c>
      <c r="D46" s="1" t="s">
        <v>234</v>
      </c>
    </row>
    <row r="47" spans="1:7" ht="20.100000000000001" customHeight="1" x14ac:dyDescent="0.2">
      <c r="A47" s="5" t="str">
        <f>HYPERLINK("#'Constants - Feedlot'!A1", "Constants - Feedlot")</f>
        <v>Constants - Feedlot</v>
      </c>
    </row>
    <row r="48" spans="1:7" ht="20.100000000000001" customHeight="1" x14ac:dyDescent="0.2">
      <c r="A48" s="5" t="str">
        <f>HYPERLINK("#'Constants - Common livestock'!A1", "Constants - Common Livestock")</f>
        <v>Constants - Common Livestock</v>
      </c>
      <c r="D48" s="78" t="s">
        <v>115</v>
      </c>
      <c r="E48" s="78" t="s">
        <v>10</v>
      </c>
      <c r="F48" s="78" t="s">
        <v>11</v>
      </c>
    </row>
    <row r="49" spans="1:7" ht="20.100000000000001" customHeight="1" x14ac:dyDescent="0.2">
      <c r="A49" s="5" t="str">
        <f>HYPERLINK("#'Constants - Electricity'!A1", "Constants - Electricity")</f>
        <v>Constants - Electricity</v>
      </c>
      <c r="D49" s="1" t="str" cm="1">
        <f t="array" ref="D49:D50">Common_InputFunctions.getOverlappingReportingPeriods(X_Cell_Enterprise_ProductionTimeframeStart,X_Cell_Enterprise_ProductionTimeframeEnd,X_Cell_Site_StartDate)</f>
        <v>01 Jan 2025 to 31 Dec 2025 (This reporting cycle)</v>
      </c>
      <c r="E49" s="74">
        <f ca="1">IF(ISBLANK($D49), 0, IF(ISNUMBER(SEARCH("reporting", $D49)), Result_Enterprise_Gross_Method1, "Enter value"))</f>
        <v>2609.7773540210883</v>
      </c>
      <c r="F49" s="74">
        <f ca="1">IF(ISBLANK($D49), 0, IF(ISNUMBER(SEARCH("reporting", $D49)), Result_Enterprise_Gross_Method2, "Enter value"))</f>
        <v>5585994.0022540214</v>
      </c>
      <c r="G49" s="9" t="s">
        <v>7</v>
      </c>
    </row>
    <row r="50" spans="1:7" ht="20.100000000000001" customHeight="1" x14ac:dyDescent="0.2">
      <c r="A50" s="5" t="str">
        <f>HYPERLINK("#'Constants - Fertiliser'!A1", "Constants - Fertiliser")</f>
        <v>Constants - Fertiliser</v>
      </c>
      <c r="D50" s="1" t="str">
        <v>01 Jan 2026 to 31 Dec 2026</v>
      </c>
      <c r="E50" s="74" t="str">
        <f>IF(ISBLANK($D50), 0, IF(ISNUMBER(SEARCH("reporting", $D50)), Result_Enterprise_Gross_Method1, "Enter value"))</f>
        <v>Enter value</v>
      </c>
      <c r="F50" s="74" t="str">
        <f>IF(ISBLANK($D50), 0, IF(ISNUMBER(SEARCH("reporting", $D50)), Result_Enterprise_Gross_Method2, "Enter value"))</f>
        <v>Enter value</v>
      </c>
      <c r="G50" s="9" t="s">
        <v>7</v>
      </c>
    </row>
    <row r="51" spans="1:7" ht="20.100000000000001" customHeight="1" x14ac:dyDescent="0.2">
      <c r="A51" s="5" t="str">
        <f>HYPERLINK("#'Constants - Fuel'!A1", "Constants - Fuel")</f>
        <v>Constants - Fuel</v>
      </c>
      <c r="E51" s="74">
        <f>IF(ISBLANK($D51), 0, IF(ISNUMBER(SEARCH("reporting", $D51)), Result_Enterprise_Gross_Method1, "Enter value"))</f>
        <v>0</v>
      </c>
      <c r="F51" s="74">
        <f>IF(ISBLANK($D51), 0, IF(ISNUMBER(SEARCH("reporting", $D51)), Result_Enterprise_Gross_Method2, "Enter value"))</f>
        <v>0</v>
      </c>
      <c r="G51" s="9" t="s">
        <v>7</v>
      </c>
    </row>
    <row r="52" spans="1:7" ht="20.100000000000001" customHeight="1" x14ac:dyDescent="0.2">
      <c r="A52" s="5" t="str">
        <f>HYPERLINK("#'Constants - Scope 3'!A1", "Constants - Scope 3")</f>
        <v>Constants - Scope 3</v>
      </c>
      <c r="E52" s="74">
        <f>IF(ISBLANK($D52), 0, IF(ISNUMBER(SEARCH("reporting", $D52)), Result_Enterprise_Gross_Method1, "Enter value"))</f>
        <v>0</v>
      </c>
      <c r="F52" s="74">
        <f>IF(ISBLANK($D52), 0, IF(ISNUMBER(SEARCH("reporting", $D52)), Result_Enterprise_Gross_Method2, "Enter value"))</f>
        <v>0</v>
      </c>
      <c r="G52" s="9" t="s">
        <v>7</v>
      </c>
    </row>
    <row r="53" spans="1:7" ht="20.100000000000001" customHeight="1" x14ac:dyDescent="0.2">
      <c r="A53" s="5" t="str">
        <f>HYPERLINK("#'Constants - Solid Waste'!A1", "Constants - Solid Waste")</f>
        <v>Constants - Solid Waste</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Common'!A1", "Constants - Common")</f>
        <v>Constants - Common</v>
      </c>
      <c r="D54" s="88" t="s">
        <v>128</v>
      </c>
      <c r="E54" s="83">
        <f ca="1">SUM(E49:E53)</f>
        <v>2609.7773540210883</v>
      </c>
      <c r="F54" s="83">
        <f ca="1">SUM(F49:F53)</f>
        <v>5585994.0022540214</v>
      </c>
      <c r="G54" s="89" t="s">
        <v>7</v>
      </c>
    </row>
    <row r="55" spans="1:7" ht="20.100000000000001" customHeight="1" x14ac:dyDescent="0.2">
      <c r="A55" s="5" t="str">
        <f>HYPERLINK("#'Acknowledgements'!A1", "Acknowledgements")</f>
        <v>Acknowledgements</v>
      </c>
    </row>
    <row r="59" spans="1:7" ht="20.100000000000001" customHeight="1" x14ac:dyDescent="0.2">
      <c r="D59"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1:7" ht="20.100000000000001" customHeight="1" x14ac:dyDescent="0.2">
      <c r="D61" s="78" t="s">
        <v>115</v>
      </c>
      <c r="E61" s="78" t="s">
        <v>126</v>
      </c>
      <c r="F61" s="78"/>
    </row>
    <row r="62" spans="1:7" ht="20.100000000000001" customHeight="1" x14ac:dyDescent="0.2">
      <c r="D62" s="1" t="str" cm="1">
        <f t="array" ref="D62:D63">Common_InputFunctions.getOverlappingReportingPeriods(X_Cell_Enterprise_ProductionTimeframeStart,X_Cell_Enterprise_ProductionTimeframeEnd,X_Cell_Site_StartDate)</f>
        <v>01 Jan 2025 to 31 Dec 2025 (This reporting cycle)</v>
      </c>
      <c r="E62" s="74">
        <f>IF(ISBLANK($D62), 0, IF(ISNUMBER(SEARCH("reporting", $D62)), SUM(Table_Input_Enterprise_PlantingRemovals[Removal allocated to this enterprise]), "Enter value"))</f>
        <v>0</v>
      </c>
      <c r="F62" s="9" t="s">
        <v>127</v>
      </c>
    </row>
    <row r="63" spans="1:7" ht="20.100000000000001" customHeight="1" x14ac:dyDescent="0.2">
      <c r="D63" s="1" t="str">
        <v>01 Jan 2026 to 31 Dec 2026</v>
      </c>
      <c r="E63" s="74" t="str">
        <f>IF(ISBLANK($D63), 0, IF(ISNUMBER(SEARCH("reporting", $D63)), SUM(Table_Input_Enterprise_PlantingRemovals[Removal allocated to this enterprise]), "Enter value"))</f>
        <v>Enter value</v>
      </c>
      <c r="F63" s="9" t="s">
        <v>127</v>
      </c>
    </row>
    <row r="64" spans="1:7" ht="20.100000000000001" customHeight="1" x14ac:dyDescent="0.2">
      <c r="E64" s="74">
        <f>IF(ISBLANK($D64), 0, IF(ISNUMBER(SEARCH("reporting", $D64)), SUM(Table_Input_Enterprise_PlantingRemovals[Removal allocated to this enterprise]), "Enter value"))</f>
        <v>0</v>
      </c>
      <c r="F64" s="9" t="s">
        <v>127</v>
      </c>
    </row>
    <row r="65" spans="1:7" ht="20.100000000000001" customHeight="1" x14ac:dyDescent="0.2">
      <c r="E65" s="74">
        <f>IF(ISBLANK($D65), 0, IF(ISNUMBER(SEARCH("reporting", $D65)), SUM(Table_Input_Enterprise_PlantingRemovals[Removal allocated to this enterprise]), "Enter value"))</f>
        <v>0</v>
      </c>
      <c r="F65" s="9" t="s">
        <v>127</v>
      </c>
    </row>
    <row r="66" spans="1:7" ht="20.100000000000001" customHeight="1" x14ac:dyDescent="0.2">
      <c r="A66" s="79" t="str">
        <f>HYPERLINK("#A1", "▲ Back to top")</f>
        <v>▲ Back to top</v>
      </c>
      <c r="E66" s="74">
        <f>IF(ISBLANK($D66), 0, IF(ISNUMBER(SEARCH("reporting", $D66)), SUM(Table_Input_Enterprise_PlantingRemovals[Removal allocated to this enterprise]), "Enter value"))</f>
        <v>0</v>
      </c>
      <c r="F66" s="9" t="s">
        <v>127</v>
      </c>
    </row>
    <row r="67" spans="1:7" ht="20.100000000000001" customHeight="1" x14ac:dyDescent="0.2">
      <c r="D67" s="88" t="s">
        <v>129</v>
      </c>
      <c r="E67" s="83">
        <f>SUM(E62:E66)</f>
        <v>0</v>
      </c>
      <c r="F67" s="89" t="s">
        <v>127</v>
      </c>
    </row>
    <row r="70" spans="1:7" ht="20.100000000000001" customHeight="1" x14ac:dyDescent="0.2">
      <c r="D70"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1:7" ht="20.100000000000001" customHeight="1" x14ac:dyDescent="0.2">
      <c r="D72" s="78" t="s">
        <v>115</v>
      </c>
      <c r="E72" s="78" t="s">
        <v>10</v>
      </c>
      <c r="F72" s="78" t="s">
        <v>11</v>
      </c>
    </row>
    <row r="73" spans="1:7" ht="20.100000000000001" customHeight="1" x14ac:dyDescent="0.2">
      <c r="D73" s="1" t="str" cm="1">
        <f t="array" ref="D73:D74">Common_InputFunctions.getOverlappingReportingPeriods(X_Cell_Enterprise_ProductionTimeframeStart,X_Cell_Enterprise_ProductionTimeframeEnd,X_Cell_Site_StartDate)</f>
        <v>01 Jan 2025 to 31 Dec 2025 (This reporting cycle)</v>
      </c>
      <c r="E73" s="74">
        <f t="shared" ref="E73" ca="1" si="0">IF(ISBLANK($D73), 0, IF(ISNUMBER(SEARCH("reporting", $D73)), E49-$E$62, "Enter value"))</f>
        <v>2609.7773540210883</v>
      </c>
      <c r="F73" s="74">
        <f ca="1">IF(ISBLANK($D73), 0, IF(ISNUMBER(SEARCH("reporting", $D73)), F49-$E$62, "Enter value"))</f>
        <v>5585994.0022540214</v>
      </c>
      <c r="G73" s="9" t="s">
        <v>7</v>
      </c>
    </row>
    <row r="74" spans="1:7" ht="20.100000000000001" customHeight="1" x14ac:dyDescent="0.2">
      <c r="D74" s="1" t="str">
        <v>01 Jan 2026 to 31 Dec 2026</v>
      </c>
      <c r="E74" s="74" t="str">
        <f>IF(ISBLANK($D74), 0, IF(ISNUMBER(SEARCH("reporting", $D74)), E50-$E$63, "Enter value"))</f>
        <v>Enter value</v>
      </c>
      <c r="F74" s="74" t="str">
        <f>IF(ISBLANK($D74), 0, IF(ISNUMBER(SEARCH("reporting", $D74)), F50-$E$63, "Enter value"))</f>
        <v>Enter value</v>
      </c>
      <c r="G74" s="9" t="s">
        <v>7</v>
      </c>
    </row>
    <row r="75" spans="1:7" ht="20.100000000000001" customHeight="1" x14ac:dyDescent="0.2">
      <c r="E75" s="74">
        <f>IF(ISBLANK($D75), 0, IF(ISNUMBER(SEARCH("reporting", $D75)), E51-$E$64, "Enter value"))</f>
        <v>0</v>
      </c>
      <c r="F75" s="74">
        <f>IF(ISBLANK($D75), 0, IF(ISNUMBER(SEARCH("reporting", $D75)), F51-$E$64, "Enter value"))</f>
        <v>0</v>
      </c>
      <c r="G75" s="9" t="s">
        <v>7</v>
      </c>
    </row>
    <row r="76" spans="1:7" ht="20.100000000000001" customHeight="1" x14ac:dyDescent="0.2">
      <c r="E76" s="74">
        <f>IF(ISBLANK($D76), 0, IF(ISNUMBER(SEARCH("reporting", $D76)), E52-$E$65, "Enter value"))</f>
        <v>0</v>
      </c>
      <c r="F76" s="74">
        <f>IF(ISBLANK($D76), 0, IF(ISNUMBER(SEARCH("reporting", $D76)), F52-$E$65, "Enter value"))</f>
        <v>0</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D78" s="88" t="s">
        <v>128</v>
      </c>
      <c r="E78" s="83">
        <f ca="1">SUM(E73:E77)</f>
        <v>2609.7773540210883</v>
      </c>
      <c r="F78" s="83">
        <f ca="1">SUM(F73:F77)</f>
        <v>5585994.0022540214</v>
      </c>
      <c r="G78" s="8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4" sqref="A54"/>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101" t="str">
        <f>HYPERLINK("#'Input - Site'!A1", "Site")</f>
        <v>Site</v>
      </c>
      <c r="D10" s="1" t="s">
        <v>98</v>
      </c>
      <c r="E10" s="13" t="s">
        <v>99</v>
      </c>
      <c r="F10" s="16" t="s">
        <v>100</v>
      </c>
      <c r="N10" s="34"/>
    </row>
    <row r="11" spans="1:24" ht="20.100000000000001" customHeight="1" x14ac:dyDescent="0.2">
      <c r="A11" s="5" t="str">
        <f>HYPERLINK("#'Input - Feedlot'!A1", "Feedlot")</f>
        <v>Feedlot</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Beef cattle purchases'!A1", "Beef cattle purchases")</f>
        <v>Beef cattle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HYPERLINK("#'3.1.1.1-2 Enteric Methane'!A1", "3.1.1.1-2 Enteric Methane")</f>
        <v>3.1.1.1-2 Enteric Methane</v>
      </c>
    </row>
    <row r="28" spans="1:25" ht="20.100000000000001" customHeight="1" x14ac:dyDescent="0.2">
      <c r="A28" s="5" t="str">
        <f>HYPERLINK("#'4.1.1.1-2 Methane'!A1", "4.1.1.1-2 Manure Methane")</f>
        <v>4.1.1.1-2 Manure Methane</v>
      </c>
    </row>
    <row r="29" spans="1:25" ht="20.100000000000001" customHeight="1" x14ac:dyDescent="0.2">
      <c r="A29" s="5" t="str">
        <f>HYPERLINK("#'4.1.1.3-4 Direct N20'!A1", "4.1.1.3-4 Manure Direct N2O")</f>
        <v>4.1.1.3-4 Manure Direct N2O</v>
      </c>
    </row>
    <row r="30" spans="1:25" ht="20.100000000000001" customHeight="1" x14ac:dyDescent="0.2">
      <c r="A30" s="5" t="str">
        <f>HYPERLINK("#'4.1.1.5-6 Atmos Deposition'!A1", "4.1.1.5-6 Manure Atmos Dep")</f>
        <v>4.1.1.5-6 Manure Atmos Dep</v>
      </c>
      <c r="L30" s="50"/>
      <c r="M30" s="50"/>
      <c r="N30" s="50"/>
      <c r="O30" s="50"/>
      <c r="P30" s="50"/>
      <c r="Q30" s="50"/>
      <c r="R30" s="50"/>
      <c r="S30" s="50"/>
      <c r="T30" s="50"/>
      <c r="U30" s="50"/>
      <c r="V30" s="50"/>
      <c r="W30" s="50"/>
      <c r="X30" s="50"/>
      <c r="Y30" s="50"/>
    </row>
    <row r="31" spans="1:25" ht="20.100000000000001" customHeight="1" x14ac:dyDescent="0.2">
      <c r="A31" s="5" t="str">
        <f>HYPERLINK("#'4.1.1.9 Manure applied to soils'!A1", "4.1.1.9 Manure applied to soils")</f>
        <v>4.1.1.9 Manure applied to soils</v>
      </c>
      <c r="L31" s="51"/>
      <c r="M31" s="51"/>
      <c r="N31" s="51"/>
      <c r="O31" s="51"/>
      <c r="P31" s="51"/>
      <c r="Q31" s="51"/>
      <c r="R31" s="51"/>
      <c r="S31" s="51"/>
      <c r="T31" s="51"/>
      <c r="U31" s="51"/>
      <c r="V31" s="51"/>
      <c r="W31" s="51"/>
      <c r="X31" s="51"/>
      <c r="Y31" s="51"/>
    </row>
    <row r="32" spans="1:25" ht="20.100000000000001" customHeight="1" x14ac:dyDescent="0.2">
      <c r="A32" s="5" t="str">
        <f>HYPERLINK("#'8.1.1.1-2 Transport fuel'!A1", "8.1.1.1-2 Transport fuel")</f>
        <v>8.1.1.1-2 Transport fuel</v>
      </c>
      <c r="L32" s="51"/>
      <c r="M32" s="51"/>
      <c r="N32" s="51"/>
      <c r="O32" s="51"/>
      <c r="P32" s="51"/>
      <c r="Q32" s="51"/>
      <c r="R32" s="51"/>
      <c r="S32" s="51"/>
      <c r="T32" s="51"/>
      <c r="U32" s="51"/>
      <c r="V32" s="51"/>
      <c r="W32" s="51"/>
      <c r="X32" s="51"/>
      <c r="Y32" s="51"/>
    </row>
    <row r="33" spans="1:25" ht="20.100000000000001" customHeight="1" x14ac:dyDescent="0.2">
      <c r="A33" s="5" t="str">
        <f>HYPERLINK("#'8.2.1.1-2 Stationary fuel'!A1", "8.2.1.1-2 Stationary fuel")</f>
        <v>8.2.1.1-2 Stationary fuel</v>
      </c>
      <c r="L33" s="51"/>
      <c r="M33" s="51"/>
      <c r="N33" s="51"/>
      <c r="O33" s="51"/>
      <c r="P33" s="51"/>
      <c r="Q33" s="51"/>
      <c r="R33" s="51"/>
      <c r="S33" s="51"/>
      <c r="T33" s="51"/>
      <c r="U33" s="51"/>
      <c r="V33" s="51"/>
      <c r="W33" s="51"/>
      <c r="X33" s="51"/>
      <c r="Y33" s="51"/>
    </row>
    <row r="34" spans="1:25" ht="20.100000000000001" customHeight="1" x14ac:dyDescent="0.2">
      <c r="A34" s="5" t="str">
        <f>HYPERLINK("#'10.1.1-2 Solid waste treatment'!A1", "10.1.1.1-2 Solid waste")</f>
        <v>10.1.1.1-2 Solid waste</v>
      </c>
      <c r="J34" s="53"/>
      <c r="K34" s="54"/>
      <c r="L34" s="51"/>
      <c r="M34" s="51"/>
      <c r="N34" s="51"/>
      <c r="O34" s="51"/>
      <c r="P34" s="51"/>
      <c r="Q34" s="51"/>
      <c r="R34" s="51"/>
      <c r="S34" s="51"/>
      <c r="T34" s="51"/>
      <c r="U34" s="51"/>
      <c r="V34" s="51"/>
      <c r="W34" s="51"/>
      <c r="X34" s="51"/>
      <c r="Y34" s="51"/>
    </row>
    <row r="35" spans="1:25" ht="20.100000000000001" customHeight="1" x14ac:dyDescent="0.2">
      <c r="A35" s="5" t="str">
        <f>HYPERLINK("#'14.1.1-2 Purchased electricity'!A1", "14.1.1-2 Purchased electricity")</f>
        <v>14.1.1-2 Purchased electricity</v>
      </c>
      <c r="J35" s="53"/>
      <c r="K35" s="54"/>
      <c r="L35" s="51"/>
      <c r="M35" s="51"/>
      <c r="N35" s="51"/>
      <c r="O35" s="51"/>
      <c r="P35" s="51"/>
      <c r="Q35" s="51"/>
      <c r="R35" s="51"/>
      <c r="S35" s="51"/>
      <c r="T35" s="51"/>
      <c r="U35" s="51"/>
      <c r="V35" s="51"/>
      <c r="W35" s="51"/>
      <c r="X35" s="51"/>
      <c r="Y35" s="51"/>
    </row>
    <row r="36" spans="1:25" ht="20.100000000000001" customHeight="1" x14ac:dyDescent="0.2">
      <c r="A36" s="5" t="str">
        <f>HYPERLINK("#'15 Scope 3'!A1", "15 Scope 3")</f>
        <v>15 Scope 3</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HYPERLINK("#'Calcs - Manure sent off-site'!A1", "Calcs - Manure sent off-site")</f>
        <v>Calcs - Manure sent off-site</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HYPERLINK("#'5.1.1.1-2 Inorganic fert N2O'!A1", "5.1.1.1-2 Inorganic fert N2O")</f>
        <v>5.1.1.1-2 Inorganic fert N2O</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HYPERLINK("#'5.1.1.3-4 Inorganic fert CO2'!A1", "5.1.1.3-4 Inorganic fert CO2")</f>
        <v>5.1.1.3-4 Inorganic fert CO2</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HYPERLINK("#'5.2.1.1-2 Organic Fert N2O'!A1", "5.2.1.1-2 Organic Fert N2O")</f>
        <v>5.2.1.1-2 Organic Fert N2O</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HYPERLINK("#'5.3.1.1-2 Lime CO2'!A1", "5.3.1.1-2 Lime CO2")</f>
        <v>5.3.1.1-2 Lime CO2</v>
      </c>
    </row>
    <row r="42" spans="1:25" ht="20.100000000000001" customHeight="1" x14ac:dyDescent="0.2">
      <c r="A42" s="5" t="str">
        <f>HYPERLINK("#'5.4.1.1-4 Atmos deposition'!A1", "5.4.1.1-4 Atmos deposition")</f>
        <v>5.4.1.1-4 Atmos deposition</v>
      </c>
    </row>
    <row r="43" spans="1:25" ht="20.100000000000001" customHeight="1" x14ac:dyDescent="0.2">
      <c r="A43" s="5" t="str">
        <f>HYPERLINK("#'5.5.1.1-2 Leaching and runoff'!A1", "5.5.1.1-2 Leaching and runoff")</f>
        <v>5.5.1.1-2 Leaching and runoff</v>
      </c>
    </row>
    <row r="44" spans="1:25" ht="20.100000000000001" customHeight="1" x14ac:dyDescent="0.2">
      <c r="A44"/>
    </row>
    <row r="45" spans="1:25" ht="20.100000000000001" customHeight="1" x14ac:dyDescent="0.2">
      <c r="A45"/>
      <c r="D45" s="2"/>
    </row>
    <row r="46" spans="1:25" ht="20.100000000000001" customHeight="1" x14ac:dyDescent="0.2">
      <c r="A46" s="80" t="s">
        <v>1</v>
      </c>
      <c r="D46" s="2"/>
    </row>
    <row r="47" spans="1:25" ht="20.100000000000001" customHeight="1" x14ac:dyDescent="0.2">
      <c r="A47" s="5" t="str">
        <f>HYPERLINK("#'Constants - Feedlot'!A1", "Constants - Feedlot")</f>
        <v>Constants - Feedlot</v>
      </c>
      <c r="D47" s="62"/>
      <c r="E47" s="62"/>
      <c r="F47" s="62"/>
      <c r="G47" s="62"/>
      <c r="H47" s="62"/>
    </row>
    <row r="48" spans="1:25" ht="20.100000000000001" customHeight="1" x14ac:dyDescent="0.2">
      <c r="A48" s="5" t="str">
        <f>HYPERLINK("#'Constants - Common livestock'!A1", "Constants - Common Livestock")</f>
        <v>Constants - Common Livestock</v>
      </c>
      <c r="D48" s="63"/>
      <c r="E48" s="63"/>
      <c r="F48" s="64"/>
      <c r="G48" s="64"/>
      <c r="H48" s="63"/>
    </row>
    <row r="49" spans="1:8" ht="20.100000000000001" customHeight="1" x14ac:dyDescent="0.2">
      <c r="A49" s="5" t="str">
        <f>HYPERLINK("#'Constants - Electricity'!A1", "Constants - Electricity")</f>
        <v>Constants - Electricity</v>
      </c>
      <c r="D49" s="63"/>
      <c r="E49" s="63"/>
      <c r="F49" s="64"/>
      <c r="G49" s="64"/>
      <c r="H49" s="63"/>
    </row>
    <row r="50" spans="1:8" ht="20.100000000000001" customHeight="1" x14ac:dyDescent="0.2">
      <c r="A50" s="5" t="str">
        <f>HYPERLINK("#'Constants - Fertiliser'!A1", "Constants - Fertiliser")</f>
        <v>Constants - Fertiliser</v>
      </c>
      <c r="D50" s="63"/>
      <c r="E50" s="63"/>
      <c r="F50" s="64"/>
      <c r="G50" s="64"/>
      <c r="H50" s="63"/>
    </row>
    <row r="51" spans="1:8" ht="20.100000000000001" customHeight="1" x14ac:dyDescent="0.2">
      <c r="A51" s="5" t="str">
        <f>HYPERLINK("#'Constants - Fuel'!A1", "Constants - Fuel")</f>
        <v>Constants - Fuel</v>
      </c>
      <c r="D51" s="65"/>
      <c r="E51" s="66"/>
      <c r="F51" s="66"/>
      <c r="G51" s="66"/>
      <c r="H51" s="67"/>
    </row>
    <row r="52" spans="1:8" ht="20.100000000000001" customHeight="1" x14ac:dyDescent="0.2">
      <c r="A52" s="5" t="str">
        <f>HYPERLINK("#'Constants - Scope 3'!A1", "Constants - Scope 3")</f>
        <v>Constants - Scope 3</v>
      </c>
    </row>
    <row r="53" spans="1:8" ht="20.100000000000001" customHeight="1" x14ac:dyDescent="0.2">
      <c r="A53" s="5" t="str">
        <f>HYPERLINK("#'Constants - Solid Waste'!A1", "Constants - Solid Waste")</f>
        <v>Constants - Solid Waste</v>
      </c>
    </row>
    <row r="54" spans="1:8" ht="20.100000000000001" customHeight="1" x14ac:dyDescent="0.2">
      <c r="A54" s="5" t="str">
        <f>HYPERLINK("#'Constants - Common'!A1", "Constants - Common")</f>
        <v>Constants - Common</v>
      </c>
      <c r="G54" s="68"/>
    </row>
    <row r="55" spans="1:8" ht="20.100000000000001" customHeight="1" x14ac:dyDescent="0.2">
      <c r="A55" s="5" t="str">
        <f>HYPERLINK("#'Acknowledgements'!A1", "Acknowledgements")</f>
        <v>Acknowledgements</v>
      </c>
      <c r="D55" s="2"/>
    </row>
    <row r="56" spans="1:8" ht="20.100000000000001" customHeight="1" x14ac:dyDescent="0.2">
      <c r="A56"/>
    </row>
    <row r="57" spans="1:8" ht="20.100000000000001" customHeight="1" x14ac:dyDescent="0.2">
      <c r="A57"/>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A2E8-4B36-40A5-A67F-16C3B520EF08}">
  <sheetPr>
    <tabColor theme="5" tint="-0.249977111117893"/>
  </sheetPr>
  <dimension ref="A1:U5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98" customWidth="1"/>
    <col min="15" max="20" width="30.7109375" style="98" customWidth="1"/>
    <col min="21" max="21" width="4.7109375" style="98" customWidth="1"/>
  </cols>
  <sheetData>
    <row r="1" spans="1:21" s="10" customFormat="1" ht="30" customHeight="1" x14ac:dyDescent="0.35">
      <c r="A1" s="10" t="e" vm="1">
        <v>#VALUE!</v>
      </c>
      <c r="C1" s="10" t="s">
        <v>287</v>
      </c>
      <c r="N1" s="98"/>
      <c r="O1" s="98"/>
      <c r="P1" s="98"/>
      <c r="Q1" s="98"/>
      <c r="R1" s="98"/>
      <c r="S1" s="98"/>
      <c r="T1" s="98"/>
      <c r="U1" s="98"/>
    </row>
    <row r="2" spans="1:21" s="3" customFormat="1" ht="20.100000000000001" customHeight="1" x14ac:dyDescent="0.2">
      <c r="A2"/>
      <c r="N2" s="98"/>
      <c r="O2" s="98"/>
      <c r="P2" s="98"/>
      <c r="Q2" s="98"/>
      <c r="R2" s="98"/>
      <c r="S2" s="98"/>
      <c r="T2" s="98"/>
      <c r="U2" s="98"/>
    </row>
    <row r="3" spans="1:21" ht="20.100000000000001" customHeight="1" x14ac:dyDescent="0.2">
      <c r="A3" s="5" t="str">
        <f>HYPERLINK("#'Home'!A1", "Home")</f>
        <v>Home</v>
      </c>
      <c r="C3" s="28"/>
      <c r="D3" s="28"/>
      <c r="E3" s="28"/>
      <c r="F3" s="28"/>
      <c r="G3" s="28"/>
      <c r="H3" s="28"/>
      <c r="I3" s="28"/>
      <c r="J3" s="28"/>
      <c r="K3" s="28"/>
      <c r="L3" s="28"/>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288</v>
      </c>
    </row>
    <row r="7" spans="1:21" ht="20.100000000000001" customHeight="1" x14ac:dyDescent="0.2">
      <c r="D7" s="99"/>
      <c r="E7" s="78" t="s">
        <v>289</v>
      </c>
      <c r="F7" s="78" t="s">
        <v>290</v>
      </c>
      <c r="G7" s="78" t="s">
        <v>291</v>
      </c>
    </row>
    <row r="8" spans="1:21" ht="20.100000000000001" customHeight="1" x14ac:dyDescent="0.2">
      <c r="A8" s="7" t="s">
        <v>0</v>
      </c>
      <c r="D8" s="1" t="str">
        <f>"Average number of head between " &amp; TEXT(X_Cell_Site_StartDate, "dd mmm yy") &amp; " and " &amp; TEXT(X_Cell_Site_EndDate, "dd mmm yy")</f>
        <v>Average number of head between 01 Jan 25 and 31 Dec 25</v>
      </c>
      <c r="E8" s="100">
        <v>1000</v>
      </c>
      <c r="F8" s="100">
        <v>1000</v>
      </c>
      <c r="G8" s="100">
        <v>1000</v>
      </c>
      <c r="H8" s="16" t="s">
        <v>292</v>
      </c>
      <c r="I8" s="16"/>
      <c r="J8" s="16"/>
      <c r="K8" s="16"/>
    </row>
    <row r="9" spans="1:21" ht="20.100000000000001" customHeight="1" x14ac:dyDescent="0.2">
      <c r="A9" s="5" t="str">
        <f>HYPERLINK("#'Input - Enterprise'!A1", "Enterprise")</f>
        <v>Enterprise</v>
      </c>
      <c r="D9" s="1" t="str">
        <f>"Average duration of stay between " &amp; TEXT(X_Cell_Site_StartDate, "dd mmm yy") &amp; " and " &amp; TEXT(X_Cell_Site_EndDate, "dd mmm yy")</f>
        <v>Average duration of stay between 01 Jan 25 and 31 Dec 25</v>
      </c>
      <c r="E9" s="100">
        <v>90</v>
      </c>
      <c r="F9" s="100">
        <v>140</v>
      </c>
      <c r="G9" s="100">
        <v>250</v>
      </c>
      <c r="H9" s="16" t="s">
        <v>293</v>
      </c>
      <c r="I9" s="16"/>
      <c r="J9" s="16"/>
      <c r="K9" s="16"/>
    </row>
    <row r="10" spans="1:21" ht="20.100000000000001" customHeight="1" x14ac:dyDescent="0.2">
      <c r="A10" s="5" t="str">
        <f>HYPERLINK("#'Input - Site'!A1", "Site")</f>
        <v>Site</v>
      </c>
    </row>
    <row r="11" spans="1:21" ht="20.100000000000001" customHeight="1" x14ac:dyDescent="0.2">
      <c r="A11" s="101" t="str">
        <f>HYPERLINK("#'Input - Feedlot'!A1", "Feedlot")</f>
        <v>Feedlot</v>
      </c>
      <c r="D11" s="2" t="s">
        <v>294</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99" t="s">
        <v>295</v>
      </c>
      <c r="E13" s="78" t="s">
        <v>289</v>
      </c>
      <c r="F13" s="78" t="s">
        <v>290</v>
      </c>
      <c r="G13" s="78" t="s">
        <v>291</v>
      </c>
    </row>
    <row r="14" spans="1:21" ht="20.100000000000001" customHeight="1" x14ac:dyDescent="0.2">
      <c r="A14" s="5" t="str">
        <f>HYPERLINK("#'Input - Fuel'!A1", "Fuel")</f>
        <v>Fuel</v>
      </c>
      <c r="D14" s="1" t="s">
        <v>296</v>
      </c>
      <c r="E14" s="15" cm="1">
        <f t="array" ref="E14">_xlfn.XLOOKUP(1, (Table_SourceData_Feedlot_AnimalCharacteristics[Feedlot type] = E$13) * (Table_SourceData_Feedlot_AnimalCharacteristics[Characteristic] = $D$14), Table_SourceData_Feedlot_AnimalCharacteristics[2020-2023], "Not Found")</f>
        <v>10.4</v>
      </c>
      <c r="F14" s="15" cm="1">
        <f t="array" ref="F14">_xlfn.XLOOKUP(1, (Table_SourceData_Feedlot_AnimalCharacteristics[Feedlot type] = F$13) * (Table_SourceData_Feedlot_AnimalCharacteristics[Characteristic] = $D$14), Table_SourceData_Feedlot_AnimalCharacteristics[2020-2023], "Not Found")</f>
        <v>10.8</v>
      </c>
      <c r="G14" s="15" cm="1">
        <f t="array" ref="G14">_xlfn.XLOOKUP(1, (Table_SourceData_Feedlot_AnimalCharacteristics[Feedlot type] = G$13) * (Table_SourceData_Feedlot_AnimalCharacteristics[Characteristic] = $D$14), Table_SourceData_Feedlot_AnimalCharacteristics[2020-2023], "Not Found")</f>
        <v>8.1999999999999993</v>
      </c>
      <c r="H14" s="16" t="s">
        <v>297</v>
      </c>
      <c r="I14" s="16"/>
      <c r="J14" s="16"/>
      <c r="K14" s="16"/>
    </row>
    <row r="15" spans="1:21" ht="20.100000000000001" customHeight="1" x14ac:dyDescent="0.2">
      <c r="A15" s="5" t="str">
        <f>HYPERLINK("#'Input - Electricity'!A1", "Electricity")</f>
        <v>Electricity</v>
      </c>
      <c r="D15" s="1" t="s">
        <v>298</v>
      </c>
      <c r="E15" s="15" cm="1">
        <f t="array" ref="E15">_xlfn.XLOOKUP(1, (Table_SourceData_Feedlot_DietProperties[Feedlot type] = E$13) * (Table_SourceData_Feedlot_DietProperties[Nutrient analysis] = $D$15), Table_SourceData_Feedlot_DietProperties[2020-2023 Converted to fraction], "Not Found")</f>
        <v>4.8</v>
      </c>
      <c r="F15" s="15" cm="1">
        <f t="array" ref="F15">_xlfn.XLOOKUP(1, (Table_SourceData_Feedlot_DietProperties[Feedlot type] = F$13) * (Table_SourceData_Feedlot_DietProperties[Nutrient analysis] = $D$15), Table_SourceData_Feedlot_DietProperties[2020-2023 Converted to fraction], "Not Found")</f>
        <v>5</v>
      </c>
      <c r="G15" s="15" cm="1">
        <f t="array" ref="G15">_xlfn.XLOOKUP(1, (Table_SourceData_Feedlot_DietProperties[Feedlot type] = G$13) * (Table_SourceData_Feedlot_DietProperties[Nutrient analysis] = $D$15), Table_SourceData_Feedlot_DietProperties[2020-2023 Converted to fraction], "Not Found")</f>
        <v>5.5</v>
      </c>
      <c r="H15" s="16" t="s">
        <v>299</v>
      </c>
    </row>
    <row r="16" spans="1:21" ht="20.100000000000001" customHeight="1" x14ac:dyDescent="0.2">
      <c r="A16" s="5" t="str">
        <f>HYPERLINK("#'Input - Common farm inputs'!A1", "Common farm inputs")</f>
        <v>Common farm inputs</v>
      </c>
      <c r="D16" s="1" t="s">
        <v>300</v>
      </c>
      <c r="E16" s="15" cm="1">
        <f t="array" ref="E16">_xlfn.XLOOKUP(1, (Table_SourceData_Feedlot_DietProperties[Feedlot type] = E$13) * (Table_SourceData_Feedlot_DietProperties[Nutrient analysis] = $D$16), Table_SourceData_Feedlot_DietProperties[2020-2023 Converted to fraction], "Not Found")</f>
        <v>22</v>
      </c>
      <c r="F16" s="15" cm="1">
        <f t="array" ref="F16">_xlfn.XLOOKUP(1, (Table_SourceData_Feedlot_DietProperties[Feedlot type] = F$13) * (Table_SourceData_Feedlot_DietProperties[Nutrient analysis] = $D$16), Table_SourceData_Feedlot_DietProperties[2020-2023 Converted to fraction], "Not Found")</f>
        <v>22</v>
      </c>
      <c r="G16" s="15" cm="1">
        <f t="array" ref="G16">_xlfn.XLOOKUP(1, (Table_SourceData_Feedlot_DietProperties[Feedlot type] = G$13) * (Table_SourceData_Feedlot_DietProperties[Nutrient analysis] = $D$16), Table_SourceData_Feedlot_DietProperties[2020-2023 Converted to fraction], "Not Found")</f>
        <v>24</v>
      </c>
      <c r="H16" s="16" t="s">
        <v>299</v>
      </c>
    </row>
    <row r="17" spans="1:11" ht="20.100000000000001" customHeight="1" x14ac:dyDescent="0.2">
      <c r="A17" s="5" t="str">
        <f>HYPERLINK("#'Input - Livestock farm Inputs'!A1", "Livestock farm Inputs")</f>
        <v>Livestock farm Inputs</v>
      </c>
      <c r="D17" s="1" t="s">
        <v>301</v>
      </c>
      <c r="E17" s="15" cm="1">
        <f t="array" ref="E17">_xlfn.XLOOKUP(1, (Table_SourceData_Feedlot_DietProperties[Feedlot type] = E$13) * (Table_SourceData_Feedlot_DietProperties[Nutrient analysis] = $D$17), Table_SourceData_Feedlot_DietProperties[2020-2023 Converted to fraction], "Not Found")</f>
        <v>0.81</v>
      </c>
      <c r="F17" s="15" cm="1">
        <f t="array" ref="F17">_xlfn.XLOOKUP(1, (Table_SourceData_Feedlot_DietProperties[Feedlot type] = F$13) * (Table_SourceData_Feedlot_DietProperties[Nutrient analysis] = $D$17), Table_SourceData_Feedlot_DietProperties[2020-2023 Converted to fraction], "Not Found")</f>
        <v>0.81</v>
      </c>
      <c r="G17" s="15" cm="1">
        <f t="array" ref="G17">_xlfn.XLOOKUP(1, (Table_SourceData_Feedlot_DietProperties[Feedlot type] = G$13) * (Table_SourceData_Feedlot_DietProperties[Nutrient analysis] = $D$17), Table_SourceData_Feedlot_DietProperties[2020-2023 Converted to fraction], "Not Found")</f>
        <v>0.81</v>
      </c>
      <c r="H17" s="16" t="s">
        <v>299</v>
      </c>
      <c r="I17" s="16"/>
      <c r="J17" s="16"/>
      <c r="K17" s="16"/>
    </row>
    <row r="18" spans="1:11" ht="20.100000000000001" customHeight="1" x14ac:dyDescent="0.2">
      <c r="A18" s="5" t="str">
        <f>HYPERLINK("#'Input - Freight'!A1", "Freight")</f>
        <v>Freight</v>
      </c>
      <c r="D18" s="1" t="s">
        <v>302</v>
      </c>
      <c r="E18" s="15" cm="1">
        <f t="array" ref="E18">_xlfn.XLOOKUP(1, (Table_SourceData_Feedlot_DietProperties[Feedlot type] = E$13) * (Table_SourceData_Feedlot_DietProperties[Nutrient analysis] = $D$18), Table_SourceData_Feedlot_DietProperties[2020-2023 Converted to fraction], "Not Found")</f>
        <v>0.14000000000000001</v>
      </c>
      <c r="F18" s="15" cm="1">
        <f t="array" ref="F18">_xlfn.XLOOKUP(1, (Table_SourceData_Feedlot_DietProperties[Feedlot type] = F$13) * (Table_SourceData_Feedlot_DietProperties[Nutrient analysis] = $D$18), Table_SourceData_Feedlot_DietProperties[2020-2023 Converted to fraction], "Not Found")</f>
        <v>0.12</v>
      </c>
      <c r="G18" s="15" cm="1">
        <f t="array" ref="G18">_xlfn.XLOOKUP(1, (Table_SourceData_Feedlot_DietProperties[Feedlot type] = G$13) * (Table_SourceData_Feedlot_DietProperties[Nutrient analysis] = $D$18), Table_SourceData_Feedlot_DietProperties[2020-2023 Converted to fraction], "Not Found")</f>
        <v>0.12</v>
      </c>
      <c r="H18" s="16" t="s">
        <v>299</v>
      </c>
      <c r="I18" s="16"/>
      <c r="J18" s="16"/>
      <c r="K18" s="16"/>
    </row>
    <row r="19" spans="1:11" ht="20.100000000000001" customHeight="1" x14ac:dyDescent="0.2">
      <c r="A19" s="5" t="str">
        <f>HYPERLINK("#'Input - Solid waste'!A1", "Solid waste")</f>
        <v>Solid waste</v>
      </c>
      <c r="D19" s="1" t="s">
        <v>303</v>
      </c>
      <c r="E19" s="15" cm="1">
        <f t="array" ref="E19">_xlfn.XLOOKUP(1, (Table_SourceData_Feedlot_AnimalCharacteristics[Feedlot type] = E$13) * (Table_SourceData_Feedlot_AnimalCharacteristics[Characteristic] = $D$19), Table_SourceData_Feedlot_AnimalCharacteristics[2020-2023], "Not Found")</f>
        <v>20.399999999999999</v>
      </c>
      <c r="F19" s="15" cm="1">
        <f t="array" ref="F19">_xlfn.XLOOKUP(1, (Table_SourceData_Feedlot_AnimalCharacteristics[Feedlot type] = F$13) * (Table_SourceData_Feedlot_AnimalCharacteristics[Characteristic] = $D$19), Table_SourceData_Feedlot_AnimalCharacteristics[2020-2023], "Not Found")</f>
        <v>12.7</v>
      </c>
      <c r="G19" s="15" cm="1">
        <f t="array" ref="G19">_xlfn.XLOOKUP(1, (Table_SourceData_Feedlot_AnimalCharacteristics[Feedlot type] = G$13) * (Table_SourceData_Feedlot_AnimalCharacteristics[Characteristic] = $D$19), Table_SourceData_Feedlot_AnimalCharacteristics[2020-2023], "Not Found")</f>
        <v>7</v>
      </c>
      <c r="H19" s="16" t="s">
        <v>304</v>
      </c>
      <c r="I19" s="16"/>
      <c r="J19" s="16"/>
      <c r="K19" s="16"/>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D21" s="99" t="s">
        <v>305</v>
      </c>
      <c r="E21" s="78" t="s">
        <v>289</v>
      </c>
      <c r="F21" s="78" t="s">
        <v>290</v>
      </c>
      <c r="G21" s="78" t="s">
        <v>291</v>
      </c>
    </row>
    <row r="22" spans="1:11" ht="20.100000000000001" customHeight="1" x14ac:dyDescent="0.2">
      <c r="A22" s="5" t="str">
        <f>HYPERLINK("#'Input - Fert Prod System'!A1", "Fert Prod System")</f>
        <v>Fert Prod System</v>
      </c>
      <c r="D22" s="1" t="s">
        <v>296</v>
      </c>
      <c r="E22" s="74" cm="1">
        <f t="array" ref="E22">_xlfn.XLOOKUP(1, (Table_SourceData_Feedlot_AnimalCharacteristics[Feedlot type] = E$21) * (Table_SourceData_Feedlot_AnimalCharacteristics[Characteristic] = $D$22), Table_SourceData_Feedlot_AnimalCharacteristics[2020-2023], "Not Found")</f>
        <v>10.4</v>
      </c>
      <c r="F22" s="74" cm="1">
        <f t="array" ref="F22">_xlfn.XLOOKUP(1, (Table_SourceData_Feedlot_AnimalCharacteristics[Feedlot type] = F$21) * (Table_SourceData_Feedlot_AnimalCharacteristics[Characteristic] = $D$22), Table_SourceData_Feedlot_AnimalCharacteristics[2020-2023], "Not Found")</f>
        <v>10.8</v>
      </c>
      <c r="G22" s="74" cm="1">
        <f t="array" ref="G22">_xlfn.XLOOKUP(1, (Table_SourceData_Feedlot_AnimalCharacteristics[Feedlot type] = G$21) * (Table_SourceData_Feedlot_AnimalCharacteristics[Characteristic] = $D$22), Table_SourceData_Feedlot_AnimalCharacteristics[2020-2023], "Not Found")</f>
        <v>8.1999999999999993</v>
      </c>
      <c r="H22" s="16" t="s">
        <v>297</v>
      </c>
      <c r="I22" s="16"/>
      <c r="J22" s="16"/>
      <c r="K22" s="16"/>
    </row>
    <row r="23" spans="1:11" ht="20.100000000000001" customHeight="1" x14ac:dyDescent="0.2">
      <c r="A23" s="5" t="str">
        <f>HYPERLINK("#'Input - Fertiliser'!A1", "Fertiliser")</f>
        <v>Fertiliser</v>
      </c>
      <c r="D23" s="1" t="s">
        <v>298</v>
      </c>
      <c r="E23" s="74" cm="1">
        <f t="array" ref="E23">_xlfn.XLOOKUP(1, (Table_SourceData_Feedlot_DietProperties[Feedlot type] = E$21) * (Table_SourceData_Feedlot_DietProperties[Nutrient analysis] = $D$23), Table_SourceData_Feedlot_DietProperties[2020-2023 Converted to fraction], "Not Found")</f>
        <v>4.8</v>
      </c>
      <c r="F23" s="74" cm="1">
        <f t="array" ref="F23">_xlfn.XLOOKUP(1, (Table_SourceData_Feedlot_DietProperties[Feedlot type] = F$21) * (Table_SourceData_Feedlot_DietProperties[Nutrient analysis] = $D$23), Table_SourceData_Feedlot_DietProperties[2020-2023 Converted to fraction], "Not Found")</f>
        <v>5</v>
      </c>
      <c r="G23" s="74" cm="1">
        <f t="array" ref="G23">_xlfn.XLOOKUP(1, (Table_SourceData_Feedlot_DietProperties[Feedlot type] = G$21) * (Table_SourceData_Feedlot_DietProperties[Nutrient analysis] = $D$23), Table_SourceData_Feedlot_DietProperties[2020-2023 Converted to fraction], "Not Found")</f>
        <v>5.5</v>
      </c>
      <c r="H23" s="16" t="s">
        <v>299</v>
      </c>
    </row>
    <row r="24" spans="1:11" ht="20.100000000000001" customHeight="1" x14ac:dyDescent="0.2">
      <c r="D24" s="1" t="s">
        <v>300</v>
      </c>
      <c r="E24" s="74" cm="1">
        <f t="array" ref="E24">_xlfn.XLOOKUP(1, (Table_SourceData_Feedlot_DietProperties[Feedlot type] = E$21) * (Table_SourceData_Feedlot_DietProperties[Nutrient analysis] = $D$24), Table_SourceData_Feedlot_DietProperties[2020-2023 Converted to fraction], "Not Found")</f>
        <v>22</v>
      </c>
      <c r="F24" s="74" cm="1">
        <f t="array" ref="F24">_xlfn.XLOOKUP(1, (Table_SourceData_Feedlot_DietProperties[Feedlot type] = F$21) * (Table_SourceData_Feedlot_DietProperties[Nutrient analysis] = $D$24), Table_SourceData_Feedlot_DietProperties[2020-2023 Converted to fraction], "Not Found")</f>
        <v>22</v>
      </c>
      <c r="G24" s="74" cm="1">
        <f t="array" ref="G24">_xlfn.XLOOKUP(1, (Table_SourceData_Feedlot_DietProperties[Feedlot type] = G$21) * (Table_SourceData_Feedlot_DietProperties[Nutrient analysis] = $D$24), Table_SourceData_Feedlot_DietProperties[2020-2023 Converted to fraction], "Not Found")</f>
        <v>24</v>
      </c>
      <c r="H24" s="16" t="s">
        <v>299</v>
      </c>
    </row>
    <row r="25" spans="1:11" ht="20.100000000000001" customHeight="1" x14ac:dyDescent="0.2">
      <c r="D25" s="1" t="s">
        <v>301</v>
      </c>
      <c r="E25" s="74" cm="1">
        <f t="array" ref="E25">_xlfn.XLOOKUP(1, (Table_SourceData_Feedlot_DietProperties[Feedlot type] = E$21) * (Table_SourceData_Feedlot_DietProperties[Nutrient analysis] = $D$25), Table_SourceData_Feedlot_DietProperties[2020-2023 Converted to fraction], "Not Found")</f>
        <v>0.81</v>
      </c>
      <c r="F25" s="74" cm="1">
        <f t="array" ref="F25">_xlfn.XLOOKUP(1, (Table_SourceData_Feedlot_DietProperties[Feedlot type] = F$21) * (Table_SourceData_Feedlot_DietProperties[Nutrient analysis] = $D$25), Table_SourceData_Feedlot_DietProperties[2020-2023 Converted to fraction], "Not Found")</f>
        <v>0.81</v>
      </c>
      <c r="G25" s="74" cm="1">
        <f t="array" ref="G25">_xlfn.XLOOKUP(1, (Table_SourceData_Feedlot_DietProperties[Feedlot type] = G$21) * (Table_SourceData_Feedlot_DietProperties[Nutrient analysis] = $D$25), Table_SourceData_Feedlot_DietProperties[2020-2023 Converted to fraction], "Not Found")</f>
        <v>0.81</v>
      </c>
      <c r="H25" s="16" t="s">
        <v>299</v>
      </c>
      <c r="I25" s="16"/>
      <c r="J25" s="16"/>
      <c r="K25" s="16"/>
    </row>
    <row r="26" spans="1:11" ht="20.100000000000001" customHeight="1" x14ac:dyDescent="0.2">
      <c r="A26" s="6" t="s">
        <v>2</v>
      </c>
      <c r="D26" s="1" t="s">
        <v>302</v>
      </c>
      <c r="E26" s="74" cm="1">
        <f t="array" ref="E26">_xlfn.XLOOKUP(1, (Table_SourceData_Feedlot_DietProperties[Feedlot type] = E$21) * (Table_SourceData_Feedlot_DietProperties[Nutrient analysis] = $D$26), Table_SourceData_Feedlot_DietProperties[2020-2023 Converted to fraction], "Not Found")</f>
        <v>0.14000000000000001</v>
      </c>
      <c r="F26" s="74" cm="1">
        <f t="array" ref="F26">_xlfn.XLOOKUP(1, (Table_SourceData_Feedlot_DietProperties[Feedlot type] = F$21) * (Table_SourceData_Feedlot_DietProperties[Nutrient analysis] = $D$26), Table_SourceData_Feedlot_DietProperties[2020-2023 Converted to fraction], "Not Found")</f>
        <v>0.12</v>
      </c>
      <c r="G26" s="74" cm="1">
        <f t="array" ref="G26">_xlfn.XLOOKUP(1, (Table_SourceData_Feedlot_DietProperties[Feedlot type] = G$21) * (Table_SourceData_Feedlot_DietProperties[Nutrient analysis] = $D$26), Table_SourceData_Feedlot_DietProperties[2020-2023 Converted to fraction], "Not Found")</f>
        <v>0.12</v>
      </c>
      <c r="H26" s="16" t="s">
        <v>299</v>
      </c>
      <c r="I26" s="16"/>
      <c r="J26" s="16"/>
      <c r="K26" s="16"/>
    </row>
    <row r="27" spans="1:11" ht="20.100000000000001" customHeight="1" x14ac:dyDescent="0.2">
      <c r="A27" s="5" t="str">
        <f>HYPERLINK("#'3.1.1.1-2 Enteric Methane'!A1", "3.1.1.1-2 Enteric Methane")</f>
        <v>3.1.1.1-2 Enteric Methane</v>
      </c>
      <c r="D27" s="1" t="s">
        <v>303</v>
      </c>
      <c r="E27" s="74" cm="1">
        <f t="array" ref="E27">_xlfn.XLOOKUP(1, (Table_SourceData_Feedlot_AnimalCharacteristics[Feedlot type] = E$21) * (Table_SourceData_Feedlot_AnimalCharacteristics[Characteristic] = $D$27), Table_SourceData_Feedlot_AnimalCharacteristics[2020-2023], "Not Found")</f>
        <v>20.399999999999999</v>
      </c>
      <c r="F27" s="74" cm="1">
        <f t="array" ref="F27">_xlfn.XLOOKUP(1, (Table_SourceData_Feedlot_AnimalCharacteristics[Feedlot type] = F$21) * (Table_SourceData_Feedlot_AnimalCharacteristics[Characteristic] = $D$27), Table_SourceData_Feedlot_AnimalCharacteristics[2020-2023], "Not Found")</f>
        <v>12.7</v>
      </c>
      <c r="G27" s="74" cm="1">
        <f t="array" ref="G27">_xlfn.XLOOKUP(1, (Table_SourceData_Feedlot_AnimalCharacteristics[Feedlot type] = G$21) * (Table_SourceData_Feedlot_AnimalCharacteristics[Characteristic] = $D$27), Table_SourceData_Feedlot_AnimalCharacteristics[2020-2023], "Not Found")</f>
        <v>7</v>
      </c>
      <c r="H27" s="16" t="s">
        <v>304</v>
      </c>
      <c r="I27" s="16"/>
      <c r="J27" s="16"/>
      <c r="K27" s="16"/>
    </row>
    <row r="28" spans="1:11" ht="20.100000000000001" customHeight="1" x14ac:dyDescent="0.2">
      <c r="A28" s="5" t="str">
        <f>HYPERLINK("#'4.1.1.1-2 Methane'!A1", "4.1.1.1-2 Manure Methane")</f>
        <v>4.1.1.1-2 Manure Methane</v>
      </c>
    </row>
    <row r="29" spans="1:11" ht="20.100000000000001" customHeight="1" x14ac:dyDescent="0.2">
      <c r="A29" s="5" t="str">
        <f>HYPERLINK("#'4.1.1.3-4 Direct N20'!A1", "4.1.1.3-4 Manure Direct N2O")</f>
        <v>4.1.1.3-4 Manure Direct N2O</v>
      </c>
      <c r="D29" s="2" t="s">
        <v>306</v>
      </c>
    </row>
    <row r="30" spans="1:11" ht="20.100000000000001" customHeight="1" x14ac:dyDescent="0.2">
      <c r="A30" s="5" t="str">
        <f>HYPERLINK("#'4.1.1.5-6 Atmos Deposition'!A1", "4.1.1.5-6 Manure Atmos Dep")</f>
        <v>4.1.1.5-6 Manure Atmos Dep</v>
      </c>
    </row>
    <row r="31" spans="1:11" ht="20.100000000000001" customHeight="1" x14ac:dyDescent="0.2">
      <c r="A31" s="5" t="str">
        <f>HYPERLINK("#'4.1.1.9 Manure applied to soils'!A1", "4.1.1.9 Manure applied to soils")</f>
        <v>4.1.1.9 Manure applied to soils</v>
      </c>
      <c r="D31" s="99" t="s">
        <v>307</v>
      </c>
      <c r="E31" s="102" t="s">
        <v>289</v>
      </c>
      <c r="F31" s="102" t="s">
        <v>290</v>
      </c>
      <c r="G31" s="102" t="s">
        <v>291</v>
      </c>
    </row>
    <row r="32" spans="1:11" ht="20.100000000000001" customHeight="1" x14ac:dyDescent="0.2">
      <c r="A32" s="5" t="str">
        <f>HYPERLINK("#'8.1.1.1-2 Transport fuel'!A1", "8.1.1.1-2 Transport fuel")</f>
        <v>8.1.1.1-2 Transport fuel</v>
      </c>
      <c r="D32" s="103" t="s">
        <v>308</v>
      </c>
      <c r="E32" s="104">
        <v>1</v>
      </c>
      <c r="F32" s="104">
        <v>1</v>
      </c>
      <c r="G32" s="104">
        <v>1</v>
      </c>
      <c r="H32" s="16" t="s">
        <v>140</v>
      </c>
      <c r="I32" s="16"/>
      <c r="J32" s="16"/>
      <c r="K32" s="16"/>
    </row>
    <row r="33" spans="1:11" ht="20.100000000000001" customHeight="1" x14ac:dyDescent="0.2">
      <c r="A33" s="5" t="str">
        <f>HYPERLINK("#'8.2.1.1-2 Stationary fuel'!A1", "8.2.1.1-2 Stationary fuel")</f>
        <v>8.2.1.1-2 Stationary fuel</v>
      </c>
      <c r="D33" s="105" t="s">
        <v>309</v>
      </c>
    </row>
    <row r="34" spans="1:11" ht="20.100000000000001" customHeight="1" x14ac:dyDescent="0.2">
      <c r="A34" s="5" t="str">
        <f>HYPERLINK("#'10.1.1-2 Solid waste treatment'!A1", "10.1.1.1-2 Solid waste")</f>
        <v>10.1.1.1-2 Solid waste</v>
      </c>
      <c r="D34" s="106" t="s">
        <v>310</v>
      </c>
      <c r="E34" s="102" t="s">
        <v>289</v>
      </c>
      <c r="F34" s="102" t="s">
        <v>290</v>
      </c>
      <c r="G34" s="102" t="s">
        <v>291</v>
      </c>
      <c r="H34" s="107" t="s">
        <v>311</v>
      </c>
      <c r="I34" s="99" t="s">
        <v>312</v>
      </c>
      <c r="J34" s="99"/>
      <c r="K34" s="99"/>
    </row>
    <row r="35" spans="1:11" ht="20.100000000000001" customHeight="1" x14ac:dyDescent="0.2">
      <c r="A35" s="5" t="str">
        <f>HYPERLINK("#'14.1.1-2 Purchased electricity'!A1", "14.1.1-2 Purchased electricity")</f>
        <v>14.1.1-2 Purchased electricity</v>
      </c>
      <c r="D35" s="108" t="str">
        <f>"From Stage 1: " &amp; $D$32 &amp; " to:"</f>
        <v>From Stage 1: Drylot (feed pad) to:</v>
      </c>
      <c r="E35" s="25"/>
      <c r="I35" s="109" t="s">
        <v>313</v>
      </c>
      <c r="J35" s="109" t="s">
        <v>314</v>
      </c>
      <c r="K35" s="109" t="s">
        <v>315</v>
      </c>
    </row>
    <row r="36" spans="1:11" ht="20.100000000000001" customHeight="1" x14ac:dyDescent="0.2">
      <c r="A36" s="5" t="str">
        <f>HYPERLINK("#'15 Scope 3'!A1", "15 Scope 3")</f>
        <v>15 Scope 3</v>
      </c>
      <c r="D36" s="110" t="str">
        <f>'Constants - Feedlot'!D29</f>
        <v>Solid storage</v>
      </c>
      <c r="E36" s="18">
        <v>0.2</v>
      </c>
      <c r="F36" s="18">
        <v>0.2</v>
      </c>
      <c r="G36" s="18">
        <v>0.2</v>
      </c>
      <c r="H36" s="16" t="s">
        <v>140</v>
      </c>
      <c r="I36" s="18">
        <v>0.25</v>
      </c>
      <c r="J36" s="18">
        <v>0.25</v>
      </c>
      <c r="K36" s="104">
        <f t="shared" ref="K36:K38" si="0">1-SUM(I36:J36)</f>
        <v>0.5</v>
      </c>
    </row>
    <row r="37" spans="1:11" ht="20.100000000000001" customHeight="1" x14ac:dyDescent="0.2">
      <c r="A37" s="5" t="str">
        <f>HYPERLINK("#'Calcs - Manure sent off-site'!A1", "Calcs - Manure sent off-site")</f>
        <v>Calcs - Manure sent off-site</v>
      </c>
      <c r="D37" s="110" t="str">
        <f>'Constants - Feedlot'!D30</f>
        <v>Composting (passive windrow)</v>
      </c>
      <c r="E37" s="18">
        <v>0.2</v>
      </c>
      <c r="F37" s="18">
        <v>0.2</v>
      </c>
      <c r="G37" s="18">
        <v>0.2</v>
      </c>
      <c r="H37" s="16" t="s">
        <v>140</v>
      </c>
      <c r="I37" s="18">
        <v>0.25</v>
      </c>
      <c r="J37" s="18">
        <v>0.25</v>
      </c>
      <c r="K37" s="104">
        <f t="shared" si="0"/>
        <v>0.5</v>
      </c>
    </row>
    <row r="38" spans="1:11" ht="20.100000000000001" customHeight="1" x14ac:dyDescent="0.2">
      <c r="A38" s="5" t="str">
        <f>HYPERLINK("#'5.1.1.1-2 Inorganic fert N2O'!A1", "5.1.1.1-2 Inorganic fert N2O")</f>
        <v>5.1.1.1-2 Inorganic fert N2O</v>
      </c>
      <c r="D38" s="110" t="s">
        <v>81</v>
      </c>
      <c r="E38" s="104">
        <f>1-SUM(E36, E37)</f>
        <v>0.6</v>
      </c>
      <c r="F38" s="104">
        <f t="shared" ref="F38:G38" si="1">1-SUM(F36, F37)</f>
        <v>0.6</v>
      </c>
      <c r="G38" s="104">
        <f t="shared" si="1"/>
        <v>0.6</v>
      </c>
      <c r="H38" s="16" t="s">
        <v>140</v>
      </c>
      <c r="I38" s="104">
        <v>0</v>
      </c>
      <c r="J38" s="104">
        <v>0</v>
      </c>
      <c r="K38" s="104">
        <f t="shared" si="0"/>
        <v>1</v>
      </c>
    </row>
    <row r="39" spans="1:11" ht="20.100000000000001" customHeight="1" x14ac:dyDescent="0.2">
      <c r="A39" s="5" t="str">
        <f>HYPERLINK("#'5.1.1.3-4 Inorganic fert CO2'!A1", "5.1.1.3-4 Inorganic fert CO2")</f>
        <v>5.1.1.3-4 Inorganic fert CO2</v>
      </c>
    </row>
    <row r="40" spans="1:11" ht="20.100000000000001" customHeight="1" x14ac:dyDescent="0.2">
      <c r="A40" s="5" t="str">
        <f>HYPERLINK("#'5.2.1.1-2 Organic Fert N2O'!A1", "5.2.1.1-2 Organic Fert N2O")</f>
        <v>5.2.1.1-2 Organic Fert N2O</v>
      </c>
      <c r="D40" s="111" t="s">
        <v>316</v>
      </c>
      <c r="E40" s="102" t="s">
        <v>289</v>
      </c>
      <c r="F40" s="102" t="s">
        <v>290</v>
      </c>
      <c r="G40" s="102" t="s">
        <v>291</v>
      </c>
      <c r="H40" s="107" t="s">
        <v>311</v>
      </c>
      <c r="I40" s="99" t="s">
        <v>317</v>
      </c>
      <c r="J40" s="99"/>
      <c r="K40" s="99"/>
    </row>
    <row r="41" spans="1:11" ht="20.100000000000001" customHeight="1" x14ac:dyDescent="0.2">
      <c r="A41" s="5" t="str">
        <f>HYPERLINK("#'5.3.1.1-2 Lime CO2'!A1", "5.3.1.1-2 Lime CO2")</f>
        <v>5.3.1.1-2 Lime CO2</v>
      </c>
      <c r="D41" s="108" t="str">
        <f>"From Stage 1: " &amp; $D$32 &amp; " to:"</f>
        <v>From Stage 1: Drylot (feed pad) to:</v>
      </c>
      <c r="I41" s="109" t="s">
        <v>313</v>
      </c>
      <c r="J41" s="109" t="s">
        <v>314</v>
      </c>
      <c r="K41" s="109" t="s">
        <v>315</v>
      </c>
    </row>
    <row r="42" spans="1:11" ht="20.100000000000001" customHeight="1" x14ac:dyDescent="0.2">
      <c r="A42" s="5" t="str">
        <f>HYPERLINK("#'5.4.1.1-4 Atmos deposition'!A1", "5.4.1.1-4 Atmos deposition")</f>
        <v>5.4.1.1-4 Atmos deposition</v>
      </c>
      <c r="D42" s="110" t="str">
        <f>'Constants - Feedlot'!$D$32</f>
        <v>Anaerobic lagoon</v>
      </c>
      <c r="E42" s="104">
        <f>SourceData_Feedlot_MMSm1T3_Data</f>
        <v>0.02</v>
      </c>
      <c r="F42" s="104">
        <f>SourceData_Feedlot_MMSm1T3_Data</f>
        <v>0.02</v>
      </c>
      <c r="G42" s="104">
        <f>SourceData_Feedlot_MMSm1T3_Data</f>
        <v>0.02</v>
      </c>
      <c r="H42" s="16" t="s">
        <v>140</v>
      </c>
      <c r="I42" s="18">
        <v>0.25</v>
      </c>
      <c r="J42" s="18">
        <v>0.25</v>
      </c>
      <c r="K42" s="104">
        <f>1-SUM(I42:J42)</f>
        <v>0.5</v>
      </c>
    </row>
    <row r="43" spans="1:11" ht="20.100000000000001" customHeight="1" x14ac:dyDescent="0.2">
      <c r="A43" s="5" t="str">
        <f>HYPERLINK("#'5.5.1.1-2 Leaching and runoff'!A1", "5.5.1.1-2 Leaching and runoff")</f>
        <v>5.5.1.1-2 Leaching and runoff</v>
      </c>
    </row>
    <row r="45" spans="1:11" ht="20.100000000000001" customHeight="1" x14ac:dyDescent="0.2">
      <c r="D45" s="1" t="s">
        <v>318</v>
      </c>
      <c r="E45" s="13" t="s">
        <v>319</v>
      </c>
      <c r="F45" s="16" t="s">
        <v>100</v>
      </c>
    </row>
    <row r="46" spans="1:11" ht="20.100000000000001" customHeight="1" x14ac:dyDescent="0.2">
      <c r="A46" s="80" t="s">
        <v>1</v>
      </c>
      <c r="E46" s="13" t="s">
        <v>320</v>
      </c>
      <c r="F46" s="16" t="s">
        <v>100</v>
      </c>
    </row>
    <row r="47" spans="1:11" ht="20.100000000000001" customHeight="1" x14ac:dyDescent="0.2">
      <c r="A47" s="5" t="str">
        <f>HYPERLINK("#'Constants - Feedlot'!A1", "Constants - Feedlot")</f>
        <v>Constants - Feedlot</v>
      </c>
      <c r="I47" s="16"/>
      <c r="J47" s="16"/>
      <c r="K47" s="16"/>
    </row>
    <row r="48" spans="1:11" ht="20.100000000000001" customHeight="1" x14ac:dyDescent="0.2">
      <c r="A48" s="5" t="str">
        <f>HYPERLINK("#'Constants - Common livestock'!A1", "Constants - Common Livestock")</f>
        <v>Constants - Common Livestock</v>
      </c>
      <c r="I48" s="16"/>
      <c r="J48" s="16"/>
      <c r="K48" s="16"/>
    </row>
    <row r="49" spans="1:11" ht="20.100000000000001" customHeight="1" x14ac:dyDescent="0.2">
      <c r="A49" s="5" t="str">
        <f>HYPERLINK("#'Constants - Electricity'!A1", "Constants - Electricity")</f>
        <v>Constants - Electricity</v>
      </c>
      <c r="I49" s="16"/>
      <c r="J49" s="16"/>
      <c r="K49" s="16"/>
    </row>
    <row r="50" spans="1:11" ht="20.100000000000001" customHeight="1" x14ac:dyDescent="0.2">
      <c r="A50" s="5" t="str">
        <f>HYPERLINK("#'Constants - Fertiliser'!A1", "Constants - Fertiliser")</f>
        <v>Constants - Fertiliser</v>
      </c>
    </row>
    <row r="51" spans="1:11" ht="20.100000000000001" customHeight="1" x14ac:dyDescent="0.2">
      <c r="A51" s="5" t="str">
        <f>HYPERLINK("#'Constants - Fuel'!A1", "Constants - Fuel")</f>
        <v>Constants - Fuel</v>
      </c>
    </row>
    <row r="52" spans="1:11" ht="20.100000000000001" customHeight="1" x14ac:dyDescent="0.2">
      <c r="A52" s="5" t="str">
        <f>HYPERLINK("#'Constants - Scope 3'!A1", "Constants - Scope 3")</f>
        <v>Constants - Scope 3</v>
      </c>
      <c r="I52" s="16"/>
      <c r="J52" s="16"/>
      <c r="K52" s="16"/>
    </row>
    <row r="53" spans="1:11" ht="20.100000000000001" customHeight="1" x14ac:dyDescent="0.2">
      <c r="A53" s="5" t="str">
        <f>HYPERLINK("#'Constants - Solid Waste'!A1", "Constants - Solid Waste")</f>
        <v>Constants - Solid Waste</v>
      </c>
      <c r="I53" s="16"/>
      <c r="J53" s="16"/>
      <c r="K53" s="16"/>
    </row>
    <row r="54" spans="1:11" ht="20.100000000000001" customHeight="1" x14ac:dyDescent="0.2">
      <c r="A54" s="5" t="str">
        <f>HYPERLINK("#'Constants - Common'!A1", "Constants - Common")</f>
        <v>Constants - Common</v>
      </c>
    </row>
    <row r="55" spans="1:11" ht="20.100000000000001" customHeight="1" x14ac:dyDescent="0.2">
      <c r="A55" s="5" t="str">
        <f>HYPERLINK("#'Acknowledgements'!A1", "Acknowledgements")</f>
        <v>Acknowledgements</v>
      </c>
      <c r="I55" s="16"/>
      <c r="J55" s="16"/>
      <c r="K55" s="16"/>
    </row>
    <row r="56" spans="1:11" ht="20.100000000000001" customHeight="1" x14ac:dyDescent="0.2">
      <c r="I56" s="16"/>
      <c r="J56" s="16"/>
      <c r="K56" s="16"/>
    </row>
    <row r="57" spans="1:11" ht="20.100000000000001" customHeight="1" x14ac:dyDescent="0.2">
      <c r="D57" s="87"/>
    </row>
  </sheetData>
  <dataValidations count="4">
    <dataValidation type="list" allowBlank="1" showInputMessage="1" showErrorMessage="1" sqref="E46" xr:uid="{8F0107A9-8945-4B55-B9D7-F709E97522A2}">
      <formula1>INDIRECT("Table_SourceData_Feedlot_IrrigationMethods[Irrigation method]")</formula1>
    </dataValidation>
    <dataValidation type="list" allowBlank="1" showInputMessage="1" showErrorMessage="1" sqref="E45" xr:uid="{47412503-3589-4FE9-B9BA-84D9B526E9A3}">
      <formula1>INDIRECT("Table_SourceData_Feedlot_CropProdSystems[Production system]")</formula1>
    </dataValidation>
    <dataValidation operator="equal" allowBlank="1" showInputMessage="1" showErrorMessage="1" sqref="E42:G42" xr:uid="{C093B33F-7908-4375-8CEE-A2A64791EBFB}"/>
    <dataValidation type="whole" operator="equal" allowBlank="1" showInputMessage="1" showErrorMessage="1" sqref="E32:G32" xr:uid="{D4CB45D7-C98B-4060-8737-7F8973D9C823}">
      <formula1>1</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7"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c r="F7" s="97">
        <v>45566</v>
      </c>
      <c r="G7" s="19">
        <v>10</v>
      </c>
      <c r="H7" s="19">
        <v>500</v>
      </c>
      <c r="I7" s="15">
        <f t="shared" ref="I7:I16" si="0">G7*H7</f>
        <v>5000</v>
      </c>
    </row>
    <row r="8" spans="1:13" ht="20.100000000000001" customHeight="1" x14ac:dyDescent="0.2">
      <c r="A8" s="7" t="s">
        <v>0</v>
      </c>
      <c r="D8" s="33"/>
      <c r="E8" s="13"/>
      <c r="F8" s="97"/>
      <c r="G8" s="19"/>
      <c r="H8" s="19"/>
      <c r="I8" s="15">
        <f t="shared" si="0"/>
        <v>0</v>
      </c>
    </row>
    <row r="9" spans="1:13" ht="20.100000000000001" customHeight="1" x14ac:dyDescent="0.2">
      <c r="A9" s="5" t="str">
        <f>HYPERLINK("#'Input - Enterprise'!A1", "Enterprise")</f>
        <v>Enterprise</v>
      </c>
      <c r="D9" s="33"/>
      <c r="E9" s="13"/>
      <c r="F9" s="97"/>
      <c r="G9" s="19"/>
      <c r="H9" s="19"/>
      <c r="I9" s="15">
        <f t="shared" si="0"/>
        <v>0</v>
      </c>
    </row>
    <row r="10" spans="1:13" ht="20.100000000000001" customHeight="1" x14ac:dyDescent="0.2">
      <c r="A10" s="5" t="str">
        <f>HYPERLINK("#'Input - Site'!A1", "Site")</f>
        <v>Site</v>
      </c>
      <c r="D10" s="33"/>
      <c r="E10" s="13"/>
      <c r="F10" s="97"/>
      <c r="G10" s="19"/>
      <c r="H10" s="19"/>
      <c r="I10" s="15">
        <f t="shared" si="0"/>
        <v>0</v>
      </c>
    </row>
    <row r="11" spans="1:13" ht="20.100000000000001" customHeight="1" x14ac:dyDescent="0.2">
      <c r="A11" s="5" t="str">
        <f>HYPERLINK("#'Input - Feedlot'!A1", "Feedlot")</f>
        <v>Feedlot</v>
      </c>
      <c r="D11" s="33"/>
      <c r="E11" s="13"/>
      <c r="F11" s="97"/>
      <c r="G11" s="19"/>
      <c r="H11" s="19"/>
      <c r="I11" s="15">
        <f t="shared" si="0"/>
        <v>0</v>
      </c>
    </row>
    <row r="12" spans="1:13" ht="20.100000000000001" customHeight="1" x14ac:dyDescent="0.2">
      <c r="A12" s="101" t="str">
        <f>HYPERLINK("#'Input - Livestock sales'!A1", "Livestock sales")</f>
        <v>Livestock sales</v>
      </c>
      <c r="D12" s="33"/>
      <c r="E12" s="13"/>
      <c r="F12" s="97"/>
      <c r="G12" s="19"/>
      <c r="H12" s="19"/>
      <c r="I12" s="15">
        <f t="shared" si="0"/>
        <v>0</v>
      </c>
    </row>
    <row r="13" spans="1:13" ht="20.100000000000001" customHeight="1" x14ac:dyDescent="0.2">
      <c r="A13" s="5" t="str">
        <f>HYPERLINK("#'Input - Beef cattle purchases'!A1", "Beef cattle purchases")</f>
        <v>Beef cattle purchases</v>
      </c>
      <c r="D13" s="33"/>
      <c r="E13" s="13"/>
      <c r="F13" s="97"/>
      <c r="G13" s="19"/>
      <c r="H13" s="19"/>
      <c r="I13" s="15">
        <f t="shared" si="0"/>
        <v>0</v>
      </c>
    </row>
    <row r="14" spans="1:13" ht="20.100000000000001" customHeight="1" x14ac:dyDescent="0.2">
      <c r="A14" s="5" t="str">
        <f>HYPERLINK("#'Input - Fuel'!A1", "Fuel")</f>
        <v>Fuel</v>
      </c>
      <c r="D14" s="33"/>
      <c r="E14" s="13"/>
      <c r="F14" s="97"/>
      <c r="G14" s="19"/>
      <c r="H14" s="19"/>
      <c r="I14" s="15">
        <f t="shared" si="0"/>
        <v>0</v>
      </c>
    </row>
    <row r="15" spans="1:13" ht="20.100000000000001" customHeight="1" x14ac:dyDescent="0.2">
      <c r="A15" s="5" t="str">
        <f>HYPERLINK("#'Input - Electricity'!A1", "Electricity")</f>
        <v>Electricity</v>
      </c>
      <c r="D15" s="33"/>
      <c r="E15" s="13"/>
      <c r="F15" s="97"/>
      <c r="G15" s="19"/>
      <c r="H15" s="19"/>
      <c r="I15" s="15">
        <f t="shared" si="0"/>
        <v>0</v>
      </c>
    </row>
    <row r="16" spans="1:13" ht="20.100000000000001" customHeight="1" x14ac:dyDescent="0.2">
      <c r="A16" s="5" t="str">
        <f>HYPERLINK("#'Input - Common farm inputs'!A1", "Common farm inputs")</f>
        <v>Common farm inputs</v>
      </c>
      <c r="D16" s="33"/>
      <c r="E16" s="13"/>
      <c r="F16" s="97"/>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1">
    <dataValidation type="list" allowBlank="1" showInputMessage="1" showErrorMessage="1" sqref="E7:E16" xr:uid="{083DF14A-00E2-452A-8599-A053B3BDEC80}">
      <formula1>INDIRECT("Table_LivestockClasses_Feedlot[Livestock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AAC8-B471-4E75-ACDB-D76FDA067493}">
  <sheetPr>
    <tabColor theme="5" tint="-0.249977111117893"/>
  </sheetPr>
  <dimension ref="A1:L6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1" width="30.5703125" style="1" customWidth="1"/>
    <col min="12" max="12" width="4.5703125" style="1" customWidth="1"/>
    <col min="13" max="16" width="30.5703125" customWidth="1"/>
  </cols>
  <sheetData>
    <row r="1" spans="1:12" ht="30" customHeight="1" x14ac:dyDescent="0.35">
      <c r="A1" s="10" t="e" vm="1">
        <v>#VALUE!</v>
      </c>
      <c r="B1" s="236"/>
      <c r="C1" s="10" t="s">
        <v>930</v>
      </c>
      <c r="D1" s="10"/>
      <c r="E1" s="10"/>
      <c r="F1" s="10"/>
      <c r="G1" s="10"/>
      <c r="H1" s="10"/>
      <c r="I1" s="10"/>
      <c r="J1" s="10"/>
      <c r="K1" s="10"/>
      <c r="L1" s="10"/>
    </row>
    <row r="2" spans="1:12" ht="20.100000000000001" customHeight="1" x14ac:dyDescent="0.2">
      <c r="C2" s="3"/>
      <c r="D2" s="3"/>
      <c r="E2" s="3"/>
      <c r="F2" s="3"/>
      <c r="G2" s="3"/>
      <c r="H2" s="3"/>
      <c r="I2" s="3"/>
      <c r="J2" s="3"/>
      <c r="K2" s="3"/>
      <c r="L2" s="3"/>
    </row>
    <row r="3" spans="1:12" ht="20.100000000000001" customHeight="1" x14ac:dyDescent="0.2">
      <c r="A3" s="5" t="str">
        <f>HYPERLINK("#'Home'!A1", "Home")</f>
        <v>Home</v>
      </c>
      <c r="C3" s="28"/>
      <c r="D3" s="28"/>
      <c r="E3" s="28"/>
      <c r="F3" s="28"/>
      <c r="G3" s="28"/>
      <c r="H3" s="28"/>
      <c r="I3" s="28"/>
      <c r="J3" s="28"/>
      <c r="K3" s="28"/>
      <c r="L3" s="28"/>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87" t="s">
        <v>931</v>
      </c>
      <c r="E5" s="237"/>
      <c r="F5" s="237"/>
      <c r="G5" s="237"/>
      <c r="H5" s="237"/>
      <c r="I5" s="237"/>
      <c r="J5" s="237"/>
    </row>
    <row r="6" spans="1:12" ht="20.100000000000001" customHeight="1" x14ac:dyDescent="0.2">
      <c r="D6" s="19" t="s">
        <v>259</v>
      </c>
      <c r="E6" s="19" t="s">
        <v>932</v>
      </c>
      <c r="F6" s="19" t="s">
        <v>260</v>
      </c>
      <c r="G6" s="19" t="s">
        <v>933</v>
      </c>
      <c r="H6" s="19" t="s">
        <v>934</v>
      </c>
      <c r="I6" s="19" t="s">
        <v>935</v>
      </c>
      <c r="J6" s="238" t="s">
        <v>936</v>
      </c>
      <c r="K6" s="238" t="s">
        <v>937</v>
      </c>
    </row>
    <row r="7" spans="1:12" ht="20.100000000000001" customHeight="1" x14ac:dyDescent="0.2">
      <c r="D7" s="33" t="s">
        <v>938</v>
      </c>
      <c r="E7" s="239">
        <v>45547</v>
      </c>
      <c r="F7" s="13" t="s">
        <v>939</v>
      </c>
      <c r="G7" s="196" t="s">
        <v>940</v>
      </c>
      <c r="H7" s="13" t="s">
        <v>941</v>
      </c>
      <c r="I7" s="74">
        <v>100</v>
      </c>
      <c r="J7" s="15"/>
      <c r="K7" s="74">
        <v>205</v>
      </c>
    </row>
    <row r="8" spans="1:12" ht="20.100000000000001" customHeight="1" x14ac:dyDescent="0.2">
      <c r="A8" s="7" t="s">
        <v>0</v>
      </c>
      <c r="D8" s="33"/>
      <c r="E8" s="239">
        <v>45292</v>
      </c>
      <c r="F8" s="84" t="s">
        <v>942</v>
      </c>
      <c r="G8" s="196" t="s">
        <v>943</v>
      </c>
      <c r="H8" s="13" t="s">
        <v>944</v>
      </c>
      <c r="I8" s="74">
        <v>100</v>
      </c>
      <c r="J8" s="15"/>
      <c r="K8" s="74">
        <v>465</v>
      </c>
    </row>
    <row r="9" spans="1:12" ht="20.100000000000001" customHeight="1" x14ac:dyDescent="0.2">
      <c r="A9" s="5" t="str">
        <f>HYPERLINK("#'Input - Enterprise'!A1", "Enterprise")</f>
        <v>Enterprise</v>
      </c>
      <c r="D9" s="33"/>
      <c r="E9" s="33"/>
      <c r="F9" s="84"/>
      <c r="G9" s="196"/>
      <c r="H9" s="13"/>
      <c r="I9" s="74"/>
      <c r="J9" s="15"/>
      <c r="K9" s="74"/>
    </row>
    <row r="10" spans="1:12" ht="20.100000000000001" customHeight="1" x14ac:dyDescent="0.2">
      <c r="A10" s="5" t="str">
        <f>HYPERLINK("#'Input - Site'!A1", "Site")</f>
        <v>Site</v>
      </c>
      <c r="D10" s="33"/>
      <c r="E10" s="33"/>
      <c r="F10" s="84"/>
      <c r="G10" s="196"/>
      <c r="H10" s="13"/>
      <c r="I10" s="74"/>
      <c r="J10" s="15"/>
      <c r="K10" s="74"/>
    </row>
    <row r="11" spans="1:12" ht="20.100000000000001" customHeight="1" x14ac:dyDescent="0.2">
      <c r="A11" s="5" t="str">
        <f>HYPERLINK("#'Input - Feedlot'!A1", "Feedlot")</f>
        <v>Feedlot</v>
      </c>
      <c r="D11" s="33"/>
      <c r="E11" s="33"/>
      <c r="F11" s="84"/>
      <c r="G11" s="196"/>
      <c r="H11" s="13"/>
      <c r="I11" s="74"/>
      <c r="J11" s="15"/>
      <c r="K11" s="74"/>
    </row>
    <row r="12" spans="1:12" ht="20.100000000000001" customHeight="1" x14ac:dyDescent="0.2">
      <c r="A12" s="5" t="str">
        <f>HYPERLINK("#'Input - Livestock sales'!A1", "Livestock sales")</f>
        <v>Livestock sales</v>
      </c>
      <c r="D12" s="33"/>
      <c r="E12" s="33"/>
      <c r="F12" s="84"/>
      <c r="G12" s="196"/>
      <c r="H12" s="13"/>
      <c r="I12" s="74"/>
      <c r="J12" s="15"/>
      <c r="K12" s="74"/>
    </row>
    <row r="13" spans="1:12" ht="20.100000000000001" customHeight="1" x14ac:dyDescent="0.2">
      <c r="A13" s="101" t="str">
        <f>HYPERLINK("#'Input - Beef cattle purchases'!A1", "Beef cattle purchases")</f>
        <v>Beef cattle purchases</v>
      </c>
      <c r="D13" s="33"/>
      <c r="E13" s="33"/>
      <c r="F13" s="84"/>
      <c r="G13" s="196"/>
      <c r="H13" s="13"/>
      <c r="I13" s="74"/>
      <c r="J13" s="15"/>
      <c r="K13" s="74"/>
    </row>
    <row r="14" spans="1:12" ht="20.100000000000001" customHeight="1" x14ac:dyDescent="0.2">
      <c r="A14" s="5" t="str">
        <f>HYPERLINK("#'Input - Fuel'!A1", "Fuel")</f>
        <v>Fuel</v>
      </c>
      <c r="D14" s="33"/>
      <c r="E14" s="33"/>
      <c r="F14" s="84"/>
      <c r="G14" s="196"/>
      <c r="H14" s="13"/>
      <c r="I14" s="74"/>
      <c r="J14" s="15"/>
      <c r="K14" s="74"/>
    </row>
    <row r="15" spans="1:12" ht="20.100000000000001" customHeight="1" x14ac:dyDescent="0.2">
      <c r="A15" s="5" t="str">
        <f>HYPERLINK("#'Input - Electricity'!A1", "Electricity")</f>
        <v>Electricity</v>
      </c>
      <c r="D15" s="33"/>
      <c r="E15" s="33"/>
      <c r="F15" s="84"/>
      <c r="G15" s="196"/>
      <c r="H15" s="13"/>
      <c r="I15" s="74"/>
      <c r="J15" s="15"/>
      <c r="K15" s="74"/>
    </row>
    <row r="16" spans="1:12" ht="20.100000000000001" customHeight="1" x14ac:dyDescent="0.2">
      <c r="A16" s="5" t="str">
        <f>HYPERLINK("#'Input - Common farm inputs'!A1", "Common farm inputs")</f>
        <v>Common farm inputs</v>
      </c>
      <c r="D16" s="33"/>
      <c r="E16" s="33"/>
      <c r="F16" s="84"/>
      <c r="G16" s="196"/>
      <c r="H16" s="13"/>
      <c r="I16" s="74"/>
      <c r="J16" s="15"/>
      <c r="K16" s="74"/>
    </row>
    <row r="17" spans="1:10" ht="20.100000000000001" customHeight="1" x14ac:dyDescent="0.2">
      <c r="A17" s="5" t="str">
        <f>HYPERLINK("#'Input - Livestock farm Inputs'!A1", "Livestock farm Inputs")</f>
        <v>Livestock farm Inputs</v>
      </c>
    </row>
    <row r="18" spans="1:10" ht="20.100000000000001" customHeight="1" x14ac:dyDescent="0.2">
      <c r="A18" s="5" t="str">
        <f>HYPERLINK("#'Input - Freight'!A1", "Freight")</f>
        <v>Freight</v>
      </c>
      <c r="D18" s="237"/>
      <c r="E18" s="237"/>
      <c r="F18" s="237"/>
      <c r="G18" s="237"/>
      <c r="H18" s="237"/>
      <c r="I18" s="237"/>
      <c r="J18" s="237"/>
    </row>
    <row r="19" spans="1:10" ht="20.100000000000001" customHeight="1" x14ac:dyDescent="0.2">
      <c r="A19" s="5" t="str">
        <f>HYPERLINK("#'Input - Solid waste'!A1", "Solid waste")</f>
        <v>Solid waste</v>
      </c>
      <c r="J19" s="237"/>
    </row>
    <row r="20" spans="1:10" ht="20.100000000000001" customHeight="1" x14ac:dyDescent="0.2">
      <c r="A20" s="5" t="str">
        <f>HYPERLINK("#'Input - Manure sent off-site'!A1", "Manure sent off-site")</f>
        <v>Manure sent off-site</v>
      </c>
      <c r="J20" s="237"/>
    </row>
    <row r="21" spans="1:10" ht="20.100000000000001" customHeight="1" x14ac:dyDescent="0.2">
      <c r="A21" s="5" t="str">
        <f>HYPERLINK("#'Input - Data quality'!A1", "Data quality")</f>
        <v>Data quality</v>
      </c>
      <c r="J21" s="237"/>
    </row>
    <row r="22" spans="1:10" ht="20.100000000000001" customHeight="1" x14ac:dyDescent="0.2">
      <c r="A22" s="5" t="str">
        <f>HYPERLINK("#'Input - Fert Prod System'!A1", "Fert Prod System")</f>
        <v>Fert Prod System</v>
      </c>
      <c r="J22" s="237"/>
    </row>
    <row r="23" spans="1:10" ht="20.100000000000001" customHeight="1" x14ac:dyDescent="0.2">
      <c r="A23" s="5" t="str">
        <f>HYPERLINK("#'Input - Fertiliser'!A1", "Fertiliser")</f>
        <v>Fertiliser</v>
      </c>
      <c r="J23" s="237"/>
    </row>
    <row r="24" spans="1:10" ht="20.100000000000001" customHeight="1" x14ac:dyDescent="0.2">
      <c r="J24" s="237"/>
    </row>
    <row r="25" spans="1:10" ht="20.100000000000001" customHeight="1" x14ac:dyDescent="0.2">
      <c r="J25" s="237"/>
    </row>
    <row r="26" spans="1:10" ht="20.100000000000001" customHeight="1" x14ac:dyDescent="0.2">
      <c r="A26" s="6" t="s">
        <v>2</v>
      </c>
      <c r="J26" s="237"/>
    </row>
    <row r="27" spans="1:10" ht="20.100000000000001" customHeight="1" x14ac:dyDescent="0.2">
      <c r="A27" s="5" t="str">
        <f>HYPERLINK("#'3.1.1.1-2 Enteric Methane'!A1", "3.1.1.1-2 Enteric Methane")</f>
        <v>3.1.1.1-2 Enteric Methane</v>
      </c>
      <c r="J27" s="237"/>
    </row>
    <row r="28" spans="1:10" ht="20.100000000000001" customHeight="1" x14ac:dyDescent="0.2">
      <c r="A28" s="5" t="str">
        <f>HYPERLINK("#'4.1.1.1-2 Methane'!A1", "4.1.1.1-2 Manure Methane")</f>
        <v>4.1.1.1-2 Manure Methane</v>
      </c>
      <c r="J28" s="237"/>
    </row>
    <row r="29" spans="1:10" ht="20.100000000000001" customHeight="1" x14ac:dyDescent="0.2">
      <c r="A29" s="5" t="str">
        <f>HYPERLINK("#'4.1.1.3-4 Direct N20'!A1", "4.1.1.3-4 Manure Direct N2O")</f>
        <v>4.1.1.3-4 Manure Direct N2O</v>
      </c>
      <c r="J29" s="237"/>
    </row>
    <row r="30" spans="1:10" ht="20.100000000000001" customHeight="1" x14ac:dyDescent="0.2">
      <c r="A30" s="5" t="str">
        <f>HYPERLINK("#'4.1.1.5-6 Atmos Deposition'!A1", "4.1.1.5-6 Manure Atmos Dep")</f>
        <v>4.1.1.5-6 Manure Atmos Dep</v>
      </c>
      <c r="J30" s="237"/>
    </row>
    <row r="31" spans="1:10" ht="20.100000000000001" customHeight="1" x14ac:dyDescent="0.2">
      <c r="A31" s="5" t="str">
        <f>HYPERLINK("#'4.1.1.9 Manure applied to soils'!A1", "4.1.1.9 Manure applied to soils")</f>
        <v>4.1.1.9 Manure applied to soils</v>
      </c>
      <c r="D31" s="237"/>
      <c r="E31" s="237"/>
      <c r="F31" s="237"/>
      <c r="G31" s="237"/>
      <c r="H31" s="237"/>
      <c r="I31" s="237"/>
      <c r="J31" s="237"/>
    </row>
    <row r="32" spans="1:10" ht="20.100000000000001" customHeight="1" x14ac:dyDescent="0.2">
      <c r="A32" s="5" t="str">
        <f>HYPERLINK("#'8.1.1.1-2 Transport fuel'!A1", "8.1.1.1-2 Transport fuel")</f>
        <v>8.1.1.1-2 Transport fuel</v>
      </c>
      <c r="I32" s="237"/>
      <c r="J32" s="237"/>
    </row>
    <row r="33" spans="1:10" ht="20.100000000000001" customHeight="1" x14ac:dyDescent="0.2">
      <c r="A33" s="5" t="str">
        <f>HYPERLINK("#'8.2.1.1-2 Stationary fuel'!A1", "8.2.1.1-2 Stationary fuel")</f>
        <v>8.2.1.1-2 Stationary fuel</v>
      </c>
      <c r="I33" s="237"/>
      <c r="J33" s="237"/>
    </row>
    <row r="34" spans="1:10" ht="20.100000000000001" customHeight="1" x14ac:dyDescent="0.2">
      <c r="A34" s="5" t="str">
        <f>HYPERLINK("#'10.1.1-2 Solid waste treatment'!A1", "10.1.1.1-2 Solid waste")</f>
        <v>10.1.1.1-2 Solid waste</v>
      </c>
      <c r="I34" s="237"/>
      <c r="J34" s="237"/>
    </row>
    <row r="35" spans="1:10" ht="20.100000000000001" customHeight="1" x14ac:dyDescent="0.2">
      <c r="A35" s="5" t="str">
        <f>HYPERLINK("#'14.1.1-2 Purchased electricity'!A1", "14.1.1-2 Purchased electricity")</f>
        <v>14.1.1-2 Purchased electricity</v>
      </c>
      <c r="I35" s="237"/>
      <c r="J35" s="237"/>
    </row>
    <row r="36" spans="1:10" ht="20.100000000000001" customHeight="1" x14ac:dyDescent="0.2">
      <c r="A36" s="5" t="str">
        <f>HYPERLINK("#'15 Scope 3'!A1", "15 Scope 3")</f>
        <v>15 Scope 3</v>
      </c>
      <c r="I36" s="237"/>
      <c r="J36" s="237"/>
    </row>
    <row r="37" spans="1:10" ht="20.100000000000001" customHeight="1" x14ac:dyDescent="0.2">
      <c r="A37" s="5" t="str">
        <f>HYPERLINK("#'Calcs - Manure sent off-site'!A1", "Calcs - Manure sent off-site")</f>
        <v>Calcs - Manure sent off-site</v>
      </c>
      <c r="I37" s="237"/>
      <c r="J37" s="237"/>
    </row>
    <row r="38" spans="1:10" ht="20.100000000000001" customHeight="1" x14ac:dyDescent="0.2">
      <c r="A38" s="5" t="str">
        <f>HYPERLINK("#'5.1.1.1-2 Inorganic fert N2O'!A1", "5.1.1.1-2 Inorganic fert N2O")</f>
        <v>5.1.1.1-2 Inorganic fert N2O</v>
      </c>
      <c r="I38" s="237"/>
      <c r="J38" s="237"/>
    </row>
    <row r="39" spans="1:10" ht="20.100000000000001" customHeight="1" x14ac:dyDescent="0.2">
      <c r="A39" s="5" t="str">
        <f>HYPERLINK("#'5.1.1.3-4 Inorganic fert CO2'!A1", "5.1.1.3-4 Inorganic fert CO2")</f>
        <v>5.1.1.3-4 Inorganic fert CO2</v>
      </c>
      <c r="I39" s="237"/>
      <c r="J39" s="237"/>
    </row>
    <row r="40" spans="1:10" ht="20.100000000000001" customHeight="1" x14ac:dyDescent="0.2">
      <c r="A40" s="5" t="str">
        <f>HYPERLINK("#'5.2.1.1-2 Organic Fert N2O'!A1", "5.2.1.1-2 Organic Fert N2O")</f>
        <v>5.2.1.1-2 Organic Fert N2O</v>
      </c>
      <c r="I40" s="237"/>
      <c r="J40" s="237"/>
    </row>
    <row r="41" spans="1:10" ht="20.100000000000001" customHeight="1" x14ac:dyDescent="0.2">
      <c r="A41" s="5" t="str">
        <f>HYPERLINK("#'5.3.1.1-2 Lime CO2'!A1", "5.3.1.1-2 Lime CO2")</f>
        <v>5.3.1.1-2 Lime CO2</v>
      </c>
      <c r="I41" s="237"/>
      <c r="J41" s="237"/>
    </row>
    <row r="42" spans="1:10" ht="20.100000000000001" customHeight="1" x14ac:dyDescent="0.2">
      <c r="A42" s="5" t="str">
        <f>HYPERLINK("#'5.4.1.1-4 Atmos deposition'!A1", "5.4.1.1-4 Atmos deposition")</f>
        <v>5.4.1.1-4 Atmos deposition</v>
      </c>
      <c r="I42" s="237"/>
      <c r="J42" s="237"/>
    </row>
    <row r="43" spans="1:10" ht="20.100000000000001" customHeight="1" x14ac:dyDescent="0.2">
      <c r="A43" s="5" t="str">
        <f>HYPERLINK("#'5.5.1.1-2 Leaching and runoff'!A1", "5.5.1.1-2 Leaching and runoff")</f>
        <v>5.5.1.1-2 Leaching and runoff</v>
      </c>
      <c r="I43" s="237"/>
      <c r="J43" s="237"/>
    </row>
    <row r="44" spans="1:10" ht="20.100000000000001" customHeight="1" x14ac:dyDescent="0.2">
      <c r="D44" s="237"/>
      <c r="E44" s="237"/>
      <c r="F44" s="237"/>
      <c r="G44" s="237"/>
      <c r="H44" s="237"/>
      <c r="I44" s="237"/>
      <c r="J44" s="237"/>
    </row>
    <row r="45" spans="1:10" ht="20.100000000000001" customHeight="1" x14ac:dyDescent="0.2">
      <c r="I45" s="237"/>
      <c r="J45" s="237"/>
    </row>
    <row r="46" spans="1:10" ht="20.100000000000001" customHeight="1" x14ac:dyDescent="0.2">
      <c r="A46" s="80" t="s">
        <v>1</v>
      </c>
      <c r="I46" s="237"/>
      <c r="J46" s="237"/>
    </row>
    <row r="47" spans="1:10" ht="20.100000000000001" customHeight="1" x14ac:dyDescent="0.2">
      <c r="A47" s="5" t="str">
        <f>HYPERLINK("#'Constants - Feedlot'!A1", "Constants - Feedlot")</f>
        <v>Constants - Feedlot</v>
      </c>
      <c r="I47" s="237"/>
      <c r="J47" s="237"/>
    </row>
    <row r="48" spans="1:10" ht="20.100000000000001" customHeight="1" x14ac:dyDescent="0.2">
      <c r="A48" s="5" t="str">
        <f>HYPERLINK("#'Constants - Common livestock'!A1", "Constants - Common Livestock")</f>
        <v>Constants - Common Livestock</v>
      </c>
      <c r="I48" s="237"/>
      <c r="J48" s="237"/>
    </row>
    <row r="49" spans="1:10" ht="20.100000000000001" customHeight="1" x14ac:dyDescent="0.2">
      <c r="A49" s="5" t="str">
        <f>HYPERLINK("#'Constants - Electricity'!A1", "Constants - Electricity")</f>
        <v>Constants - Electricity</v>
      </c>
      <c r="I49" s="237"/>
      <c r="J49" s="237"/>
    </row>
    <row r="50" spans="1:10" ht="20.100000000000001" customHeight="1" x14ac:dyDescent="0.2">
      <c r="A50" s="5" t="str">
        <f>HYPERLINK("#'Constants - Fertiliser'!A1", "Constants - Fertiliser")</f>
        <v>Constants - Fertiliser</v>
      </c>
      <c r="I50" s="237"/>
      <c r="J50" s="237"/>
    </row>
    <row r="51" spans="1:10" ht="20.100000000000001" customHeight="1" x14ac:dyDescent="0.2">
      <c r="A51" s="5" t="str">
        <f>HYPERLINK("#'Constants - Fuel'!A1", "Constants - Fuel")</f>
        <v>Constants - Fuel</v>
      </c>
      <c r="I51" s="237"/>
      <c r="J51" s="237"/>
    </row>
    <row r="52" spans="1:10" ht="20.100000000000001" customHeight="1" x14ac:dyDescent="0.2">
      <c r="A52" s="5" t="str">
        <f>HYPERLINK("#'Constants - Scope 3'!A1", "Constants - Scope 3")</f>
        <v>Constants - Scope 3</v>
      </c>
      <c r="I52" s="237"/>
      <c r="J52" s="237"/>
    </row>
    <row r="53" spans="1:10" ht="20.100000000000001" customHeight="1" x14ac:dyDescent="0.2">
      <c r="A53" s="5" t="str">
        <f>HYPERLINK("#'Constants - Solid Waste'!A1", "Constants - Solid Waste")</f>
        <v>Constants - Solid Waste</v>
      </c>
      <c r="I53" s="237"/>
      <c r="J53" s="237"/>
    </row>
    <row r="54" spans="1:10" ht="20.100000000000001" customHeight="1" x14ac:dyDescent="0.2">
      <c r="A54" s="5" t="str">
        <f>HYPERLINK("#'Constants - Common'!A1", "Constants - Common")</f>
        <v>Constants - Common</v>
      </c>
      <c r="I54" s="237"/>
      <c r="J54" s="237"/>
    </row>
    <row r="55" spans="1:10" ht="20.100000000000001" customHeight="1" x14ac:dyDescent="0.2">
      <c r="A55" s="5" t="str">
        <f>HYPERLINK("#'Acknowledgements'!A1", "Acknowledgements")</f>
        <v>Acknowledgements</v>
      </c>
      <c r="I55" s="237"/>
      <c r="J55" s="237"/>
    </row>
    <row r="56" spans="1:10" ht="20.100000000000001" customHeight="1" x14ac:dyDescent="0.2">
      <c r="I56" s="237"/>
      <c r="J56" s="237"/>
    </row>
    <row r="57" spans="1:10" ht="20.100000000000001" customHeight="1" x14ac:dyDescent="0.2">
      <c r="D57" s="237"/>
      <c r="E57" s="237"/>
      <c r="F57" s="237"/>
      <c r="G57" s="237"/>
      <c r="H57" s="237"/>
      <c r="I57" s="237"/>
      <c r="J57" s="237"/>
    </row>
    <row r="58" spans="1:10" ht="20.100000000000001" customHeight="1" x14ac:dyDescent="0.2">
      <c r="D58" s="240"/>
      <c r="E58" s="237"/>
      <c r="F58" s="237"/>
      <c r="G58" s="237"/>
      <c r="H58" s="237"/>
      <c r="I58" s="237"/>
      <c r="J58" s="237"/>
    </row>
    <row r="59" spans="1:10" ht="20.100000000000001" customHeight="1" x14ac:dyDescent="0.2">
      <c r="D59" s="237"/>
      <c r="E59" s="237"/>
      <c r="F59" s="237"/>
      <c r="G59" s="237"/>
      <c r="H59" s="237"/>
      <c r="I59" s="237"/>
      <c r="J59" s="237"/>
    </row>
    <row r="60" spans="1:10" ht="20.100000000000001" customHeight="1" x14ac:dyDescent="0.2">
      <c r="D60" s="237"/>
      <c r="E60" s="237"/>
      <c r="F60" s="237"/>
      <c r="G60" s="237"/>
      <c r="H60" s="237"/>
      <c r="I60" s="237"/>
      <c r="J60" s="237"/>
    </row>
    <row r="61" spans="1:10" ht="20.100000000000001" customHeight="1" x14ac:dyDescent="0.2">
      <c r="D61" s="237"/>
      <c r="E61" s="237"/>
      <c r="F61" s="237"/>
      <c r="G61" s="237"/>
      <c r="H61" s="237"/>
      <c r="I61" s="237"/>
      <c r="J61" s="237"/>
    </row>
    <row r="62" spans="1:10" ht="20.100000000000001" customHeight="1" x14ac:dyDescent="0.2">
      <c r="D62" s="237"/>
      <c r="E62" s="237"/>
      <c r="F62" s="237"/>
      <c r="G62" s="237"/>
      <c r="H62" s="237"/>
      <c r="I62" s="237"/>
      <c r="J62" s="237"/>
    </row>
    <row r="63" spans="1:10" ht="20.100000000000001" customHeight="1" x14ac:dyDescent="0.2">
      <c r="D63" s="237"/>
      <c r="E63" s="237"/>
      <c r="F63" s="237"/>
      <c r="G63" s="237"/>
      <c r="H63" s="237"/>
      <c r="I63" s="237"/>
      <c r="J63" s="237"/>
    </row>
  </sheetData>
  <dataValidations count="3">
    <dataValidation type="list" allowBlank="1" showInputMessage="1" showErrorMessage="1" sqref="H7:H16" xr:uid="{CAFD56EE-37E5-4D90-A5E4-7E295EC31951}">
      <formula1>INDIRECT("Table_ProductRegions_Beefcattle[Region]")</formula1>
    </dataValidation>
    <dataValidation type="list" allowBlank="1" showInputMessage="1" showErrorMessage="1" sqref="G7:G16" xr:uid="{830807C1-3F72-48FE-9277-B110B13D1BFB}">
      <formula1>INDIRECT(TRIM("Table_SourceData_LivestockProduct_Beefcattle[Product]"))</formula1>
    </dataValidation>
    <dataValidation type="list" allowBlank="1" showInputMessage="1" showErrorMessage="1" sqref="F7:F16" xr:uid="{FFA9854A-C162-41AE-BC8D-37D2E2D134F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AEC5-2038-4F4C-8BCB-E1990AA2F584}">
  <sheetPr>
    <tabColor theme="5" tint="-0.249977111117893"/>
  </sheetPr>
  <dimension ref="A1:K34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573</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574</v>
      </c>
      <c r="E5" s="24"/>
      <c r="F5" s="24"/>
      <c r="G5" s="24"/>
      <c r="H5" s="24"/>
    </row>
    <row r="6" spans="1:11" ht="20.100000000000001" customHeight="1" x14ac:dyDescent="0.2">
      <c r="D6" s="8"/>
      <c r="E6" s="8"/>
      <c r="F6" s="8"/>
      <c r="G6" s="8"/>
      <c r="H6" s="8"/>
      <c r="I6" s="8"/>
      <c r="J6" s="8"/>
    </row>
    <row r="7" spans="1:11" ht="20.100000000000001" customHeight="1" x14ac:dyDescent="0.2">
      <c r="D7" s="1" t="s">
        <v>575</v>
      </c>
    </row>
    <row r="8" spans="1:11" ht="20.100000000000001" customHeight="1" x14ac:dyDescent="0.2">
      <c r="A8" s="7" t="s">
        <v>0</v>
      </c>
      <c r="D8" s="1" t="s">
        <v>576</v>
      </c>
    </row>
    <row r="9" spans="1:11" ht="20.100000000000001" customHeight="1" x14ac:dyDescent="0.2">
      <c r="A9" s="5" t="str">
        <f>HYPERLINK("#'Input - Enterprise'!A1", "Enterprise")</f>
        <v>Enterprise</v>
      </c>
      <c r="D9" s="1" t="s">
        <v>577</v>
      </c>
    </row>
    <row r="10" spans="1:11" ht="20.100000000000001" customHeight="1" x14ac:dyDescent="0.2">
      <c r="A10" s="5" t="str">
        <f>HYPERLINK("#'Input - Site'!A1", "Site")</f>
        <v>Site</v>
      </c>
    </row>
    <row r="11" spans="1:11" ht="20.100000000000001" customHeight="1" x14ac:dyDescent="0.2">
      <c r="A11" s="5" t="str">
        <f>HYPERLINK("#'Input - Feedlot'!A1", "Feedlot")</f>
        <v>Feedlot</v>
      </c>
      <c r="D11" s="1" t="s">
        <v>578</v>
      </c>
      <c r="E11" s="13" t="s">
        <v>579</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29" t="s">
        <v>545</v>
      </c>
      <c r="E13" s="43"/>
      <c r="F13" s="43"/>
      <c r="G13" s="43"/>
      <c r="H13" s="44"/>
    </row>
    <row r="14" spans="1:11" ht="20.100000000000001" customHeight="1" x14ac:dyDescent="0.2">
      <c r="A14" s="101" t="str">
        <f>HYPERLINK("#'Input - Fuel'!A1", "Fuel")</f>
        <v>Fuel</v>
      </c>
      <c r="D14" s="45" t="s">
        <v>580</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581</v>
      </c>
      <c r="E16" s="78" t="s">
        <v>582</v>
      </c>
      <c r="F16" s="78" t="s">
        <v>583</v>
      </c>
      <c r="G16" s="78" t="s">
        <v>584</v>
      </c>
      <c r="H16" s="78" t="s">
        <v>585</v>
      </c>
      <c r="I16" s="78" t="s">
        <v>586</v>
      </c>
      <c r="J16" s="78" t="s">
        <v>587</v>
      </c>
    </row>
    <row r="17" spans="1:10" ht="20.100000000000001" customHeight="1" x14ac:dyDescent="0.2">
      <c r="A17" s="5" t="str">
        <f>HYPERLINK("#'Input - Livestock farm Inputs'!A1", "Livestock farm Inputs")</f>
        <v>Livestock farm Inputs</v>
      </c>
      <c r="D17" s="13" t="s">
        <v>588</v>
      </c>
      <c r="E17" s="13" t="s">
        <v>589</v>
      </c>
      <c r="F17" s="147">
        <v>100</v>
      </c>
      <c r="G17" s="15" t="str" cm="1">
        <f t="array" ref="G17">Common_InputFunctions.Utility_LookupValueInTable(Table_Input_Fuel[[#This Row],[Fuel type (select)]],Table_FuelTypes_Units[Fuel type], Table_FuelTypes_Units[Input Unit])</f>
        <v>GJ</v>
      </c>
      <c r="H17" s="148">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588</v>
      </c>
      <c r="E18" s="13" t="s">
        <v>590</v>
      </c>
      <c r="F18" s="147">
        <v>10000</v>
      </c>
      <c r="G18" s="15" t="str" cm="1">
        <f t="array" ref="G18">Common_InputFunctions.Utility_LookupValueInTable(Table_Input_Fuel[[#This Row],[Fuel type (select)]],Table_FuelTypes_Units[Fuel type], Table_FuelTypes_Units[Input Unit])</f>
        <v>L</v>
      </c>
      <c r="H18" s="149">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591</v>
      </c>
      <c r="E19" s="13" t="s">
        <v>592</v>
      </c>
      <c r="F19" s="147">
        <v>10000</v>
      </c>
      <c r="G19" s="15" t="str" cm="1">
        <f t="array" ref="G19">Common_InputFunctions.Utility_LookupValueInTable(Table_Input_Fuel[[#This Row],[Fuel type (select)]],Table_FuelTypes_Units[Fuel type], Table_FuelTypes_Units[Input Unit])</f>
        <v>L</v>
      </c>
      <c r="H19" s="149">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593</v>
      </c>
      <c r="E20" s="13" t="s">
        <v>592</v>
      </c>
      <c r="F20" s="147">
        <v>10000</v>
      </c>
      <c r="G20" s="15" t="str" cm="1">
        <f t="array" ref="G20">Common_InputFunctions.Utility_LookupValueInTable(Table_Input_Fuel[[#This Row],[Fuel type (select)]],Table_FuelTypes_Units[Fuel type], Table_FuelTypes_Units[Input Unit])</f>
        <v>L</v>
      </c>
      <c r="H20" s="149">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4" t="s">
        <v>594</v>
      </c>
      <c r="E21" s="84" t="s">
        <v>595</v>
      </c>
      <c r="F21" s="147">
        <v>10000</v>
      </c>
      <c r="G21" s="150" t="str" cm="1">
        <f t="array" ref="G21">Common_InputFunctions.Utility_LookupValueInTable(Table_Input_Fuel[[#This Row],[Fuel type (select)]],Table_FuelTypes_Units[Fuel type], Table_FuelTypes_Units[Input Unit])</f>
        <v>L</v>
      </c>
      <c r="H21" s="151">
        <f>1</f>
        <v>1</v>
      </c>
      <c r="I21" s="150">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HYPERLINK("#'3.1.1.1-2 Enteric Methane'!A1", "3.1.1.1-2 Enteric Methane")</f>
        <v>3.1.1.1-2 Enteric Methane</v>
      </c>
    </row>
    <row r="28" spans="1:10" ht="20.100000000000001" customHeight="1" x14ac:dyDescent="0.2">
      <c r="A28" s="5" t="str">
        <f>HYPERLINK("#'4.1.1.1-2 Methane'!A1", "4.1.1.1-2 Manure Methane")</f>
        <v>4.1.1.1-2 Manure Methane</v>
      </c>
    </row>
    <row r="29" spans="1:10" ht="20.100000000000001" customHeight="1" x14ac:dyDescent="0.2">
      <c r="A29" s="5" t="str">
        <f>HYPERLINK("#'4.1.1.3-4 Direct N20'!A1", "4.1.1.3-4 Manure Direct N2O")</f>
        <v>4.1.1.3-4 Manure Direct N2O</v>
      </c>
    </row>
    <row r="30" spans="1:10" ht="20.100000000000001" customHeight="1" x14ac:dyDescent="0.2">
      <c r="A30" s="5" t="str">
        <f>HYPERLINK("#'4.1.1.5-6 Atmos Deposition'!A1", "4.1.1.5-6 Manure Atmos Dep")</f>
        <v>4.1.1.5-6 Manure Atmos Dep</v>
      </c>
    </row>
    <row r="31" spans="1:10" ht="20.100000000000001" customHeight="1" x14ac:dyDescent="0.2">
      <c r="A31" s="5" t="str">
        <f>HYPERLINK("#'4.1.1.9 Manure applied to soils'!A1", "4.1.1.9 Manure applied to soils")</f>
        <v>4.1.1.9 Manure applied to soils</v>
      </c>
    </row>
    <row r="32" spans="1:10" ht="20.100000000000001" customHeight="1" x14ac:dyDescent="0.2">
      <c r="A32" s="5" t="str">
        <f>HYPERLINK("#'8.1.1.1-2 Transport fuel'!A1", "8.1.1.1-2 Transport fuel")</f>
        <v>8.1.1.1-2 Transport fuel</v>
      </c>
    </row>
    <row r="33" spans="1:11" ht="20.100000000000001" customHeight="1" x14ac:dyDescent="0.2">
      <c r="A33" s="5" t="str">
        <f>HYPERLINK("#'8.2.1.1-2 Stationary fuel'!A1", "8.2.1.1-2 Stationary fuel")</f>
        <v>8.2.1.1-2 Stationary fuel</v>
      </c>
    </row>
    <row r="34" spans="1:11" ht="20.100000000000001" customHeight="1" x14ac:dyDescent="0.2">
      <c r="A34" s="5" t="str">
        <f>HYPERLINK("#'10.1.1-2 Solid waste treatment'!A1", "10.1.1.1-2 Solid waste")</f>
        <v>10.1.1.1-2 Solid waste</v>
      </c>
    </row>
    <row r="35" spans="1:11" ht="20.100000000000001" customHeight="1" x14ac:dyDescent="0.2">
      <c r="A35" s="5" t="str">
        <f>HYPERLINK("#'14.1.1-2 Purchased electricity'!A1", "14.1.1-2 Purchased electricity")</f>
        <v>14.1.1-2 Purchased electricity</v>
      </c>
    </row>
    <row r="36" spans="1:11" ht="20.100000000000001" customHeight="1" x14ac:dyDescent="0.2">
      <c r="A36" s="5" t="str">
        <f>HYPERLINK("#'15 Scope 3'!A1", "15 Scope 3")</f>
        <v>15 Scope 3</v>
      </c>
    </row>
    <row r="37" spans="1:11" ht="20.100000000000001" customHeight="1" x14ac:dyDescent="0.2">
      <c r="A37" s="5" t="str">
        <f>HYPERLINK("#'Calcs - Manure sent off-site'!A1", "Calcs - Manure sent off-site")</f>
        <v>Calcs - Manure sent off-site</v>
      </c>
    </row>
    <row r="38" spans="1:11" ht="20.100000000000001" customHeight="1" x14ac:dyDescent="0.2">
      <c r="A38" s="5" t="str">
        <f>HYPERLINK("#'5.1.1.1-2 Inorganic fert N2O'!A1", "5.1.1.1-2 Inorganic fert N2O")</f>
        <v>5.1.1.1-2 Inorganic fert N2O</v>
      </c>
      <c r="C38" s="140"/>
      <c r="K38" s="140"/>
    </row>
    <row r="39" spans="1:11" ht="20.100000000000001" customHeight="1" x14ac:dyDescent="0.2">
      <c r="A39" s="5" t="str">
        <f>HYPERLINK("#'5.1.1.3-4 Inorganic fert CO2'!A1", "5.1.1.3-4 Inorganic fert CO2")</f>
        <v>5.1.1.3-4 Inorganic fert CO2</v>
      </c>
      <c r="C39" s="140"/>
      <c r="K39" s="140"/>
    </row>
    <row r="40" spans="1:11" s="138" customFormat="1" ht="20.100000000000001" customHeight="1" x14ac:dyDescent="0.2">
      <c r="A40" s="5" t="str">
        <f>HYPERLINK("#'5.2.1.1-2 Organic Fert N2O'!A1", "5.2.1.1-2 Organic Fert N2O")</f>
        <v>5.2.1.1-2 Organic Fert N2O</v>
      </c>
      <c r="C40" s="1"/>
      <c r="D40" s="1"/>
      <c r="E40" s="1"/>
      <c r="F40" s="1"/>
      <c r="G40" s="1"/>
      <c r="H40" s="1"/>
      <c r="I40" s="1"/>
      <c r="J40" s="1"/>
      <c r="K40" s="1"/>
    </row>
    <row r="41" spans="1:11" s="138" customFormat="1" ht="20.100000000000001" customHeight="1" x14ac:dyDescent="0.2">
      <c r="A41" s="5" t="str">
        <f>HYPERLINK("#'5.3.1.1-2 Lime CO2'!A1", "5.3.1.1-2 Lime CO2")</f>
        <v>5.3.1.1-2 Lime CO2</v>
      </c>
      <c r="C41" s="1"/>
      <c r="D41" s="1"/>
      <c r="E41" s="1"/>
      <c r="F41" s="1"/>
      <c r="G41" s="1"/>
      <c r="H41" s="1"/>
      <c r="I41" s="1"/>
      <c r="J41" s="1"/>
      <c r="K41" s="1"/>
    </row>
    <row r="42" spans="1:11" ht="20.100000000000001" customHeight="1" x14ac:dyDescent="0.2">
      <c r="A42" s="5" t="str">
        <f>HYPERLINK("#'5.4.1.1-4 Atmos deposition'!A1", "5.4.1.1-4 Atmos deposition")</f>
        <v>5.4.1.1-4 Atmos deposition</v>
      </c>
    </row>
    <row r="43" spans="1:11" ht="20.100000000000001" customHeight="1" x14ac:dyDescent="0.2">
      <c r="A43" s="5" t="str">
        <f>HYPERLINK("#'5.5.1.1-2 Leaching and runoff'!A1", "5.5.1.1-2 Leaching and runoff")</f>
        <v>5.5.1.1-2 Leaching and runoff</v>
      </c>
    </row>
    <row r="46" spans="1:11" ht="20.100000000000001" customHeight="1" x14ac:dyDescent="0.2">
      <c r="A46" s="80" t="s">
        <v>1</v>
      </c>
    </row>
    <row r="47" spans="1:11" ht="20.100000000000001" customHeight="1" x14ac:dyDescent="0.2">
      <c r="A47" s="5" t="str">
        <f>HYPERLINK("#'Constants - Feedlot'!A1", "Constants - Feedlot")</f>
        <v>Constants - Feedlot</v>
      </c>
    </row>
    <row r="48" spans="1: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346" spans="4:4" ht="20.100000000000001" customHeight="1" x14ac:dyDescent="0.2">
      <c r="D346" s="87"/>
    </row>
  </sheetData>
  <conditionalFormatting sqref="F32">
    <cfRule type="cellIs" dxfId="79" priority="9" operator="lessThan">
      <formula>0</formula>
    </cfRule>
  </conditionalFormatting>
  <conditionalFormatting sqref="F111:F112">
    <cfRule type="cellIs" dxfId="78" priority="8" operator="lessThan">
      <formula>0</formula>
    </cfRule>
  </conditionalFormatting>
  <conditionalFormatting sqref="F123:F124">
    <cfRule type="cellIs" dxfId="77" priority="7" operator="lessThan">
      <formula>0</formula>
    </cfRule>
  </conditionalFormatting>
  <conditionalFormatting sqref="F135:F136">
    <cfRule type="cellIs" dxfId="76" priority="6" operator="lessThan">
      <formula>0</formula>
    </cfRule>
  </conditionalFormatting>
  <conditionalFormatting sqref="F147:F148">
    <cfRule type="cellIs" dxfId="75" priority="5" operator="lessThan">
      <formula>0</formula>
    </cfRule>
  </conditionalFormatting>
  <conditionalFormatting sqref="F235:F236">
    <cfRule type="cellIs" dxfId="74" priority="17" operator="lessThan">
      <formula>0</formula>
    </cfRule>
  </conditionalFormatting>
  <conditionalFormatting sqref="F240:F241">
    <cfRule type="cellIs" dxfId="73" priority="16" operator="lessThan">
      <formula>0</formula>
    </cfRule>
  </conditionalFormatting>
  <conditionalFormatting sqref="F245:F246">
    <cfRule type="cellIs" dxfId="72" priority="15" operator="lessThan">
      <formula>0</formula>
    </cfRule>
  </conditionalFormatting>
  <conditionalFormatting sqref="F269:F270">
    <cfRule type="cellIs" dxfId="71" priority="14" operator="lessThan">
      <formula>0</formula>
    </cfRule>
  </conditionalFormatting>
  <conditionalFormatting sqref="F274:F275">
    <cfRule type="cellIs" dxfId="70" priority="13" operator="lessThan">
      <formula>0</formula>
    </cfRule>
  </conditionalFormatting>
  <conditionalFormatting sqref="F279:F280">
    <cfRule type="cellIs" dxfId="69" priority="12" operator="lessThan">
      <formula>0</formula>
    </cfRule>
  </conditionalFormatting>
  <conditionalFormatting sqref="I26:J27 H28:H30 I31:J31 I33:J35 I37:J38 I189:J189 E195:G195 I195:J195">
    <cfRule type="cellIs" dxfId="68" priority="11" operator="lessThan">
      <formula>0</formula>
    </cfRule>
  </conditionalFormatting>
  <conditionalFormatting sqref="I42:J46">
    <cfRule type="cellIs" dxfId="67" priority="4" operator="lessThan">
      <formula>0</formula>
    </cfRule>
  </conditionalFormatting>
  <conditionalFormatting sqref="I50:J50 I109:J109">
    <cfRule type="cellIs" dxfId="66" priority="10" operator="lessThan">
      <formula>0</formula>
    </cfRule>
  </conditionalFormatting>
  <conditionalFormatting sqref="I61:J63">
    <cfRule type="cellIs" dxfId="65" priority="3" operator="lessThan">
      <formula>0</formula>
    </cfRule>
  </conditionalFormatting>
  <conditionalFormatting sqref="I67:J70">
    <cfRule type="cellIs" dxfId="64" priority="2" operator="lessThan">
      <formula>0</formula>
    </cfRule>
  </conditionalFormatting>
  <conditionalFormatting sqref="I74:J78">
    <cfRule type="cellIs" dxfId="63" priority="1" operator="lessThan">
      <formula>0</formula>
    </cfRule>
  </conditionalFormatting>
  <dataValidations count="9">
    <dataValidation type="list" allowBlank="1" showInputMessage="1" showErrorMessage="1" sqref="E17:E21" xr:uid="{2D2CC90F-B5B0-4D4F-870C-7BE13615612B}">
      <formula1>_xlfn.TRIMRANGE(INDIRECT("Table_FuelTypesPerUse["&amp;D17&amp;"]"))</formula1>
    </dataValidation>
    <dataValidation type="list" allowBlank="1" showInputMessage="1" showErrorMessage="1" sqref="D17:D21" xr:uid="{8783D40E-E133-4A33-8894-E316236A7DF7}">
      <formula1>INDIRECT("Table_FuelTypesPerUse[#Headers]")</formula1>
    </dataValidation>
    <dataValidation type="list" allowBlank="1" showInputMessage="1" showErrorMessage="1" sqref="E11" xr:uid="{5CDF8893-5087-4C9A-88EA-E35D285C44D8}">
      <formula1>"Metro, Non-metro"</formula1>
    </dataValidation>
    <dataValidation type="list" allowBlank="1" showInputMessage="1" showErrorMessage="1" sqref="D29:D30" xr:uid="{94D200CD-7716-4618-A5BD-255C0F6FF23D}">
      <formula1>INDIRECT("Table_SourceData_OrganicFertiliserTypes[Organic fertiliser type]")</formula1>
    </dataValidation>
    <dataValidation type="list" allowBlank="1" showInputMessage="1" showErrorMessage="1" sqref="E49" xr:uid="{895505DE-B77E-4D07-984B-DD71C7D4D5FA}">
      <formula1>INDIRECT("Table_SourceData_Swine_CropProdSystems[Production system]")</formula1>
    </dataValidation>
    <dataValidation type="list" allowBlank="1" showInputMessage="1" showErrorMessage="1" sqref="E50" xr:uid="{583C8AFF-0CB2-4096-BF64-365796E85724}">
      <formula1>INDIRECT("Table_SourceData_Swine_IrrigationMethods[Irrigation method]")</formula1>
    </dataValidation>
    <dataValidation type="list" allowBlank="1" showInputMessage="1" showErrorMessage="1" sqref="E234 E239 E244 E278 E273 E268 E146 E134 E110 E122" xr:uid="{74B3EBF3-1A8A-4394-A43A-62E8E14FE997}">
      <formula1>"Yes, No"</formula1>
    </dataValidation>
    <dataValidation type="list" allowBlank="1" showInputMessage="1" showErrorMessage="1" sqref="E210" xr:uid="{E491A8CA-8A5F-4048-988F-55BF18077205}">
      <formula1>INDIRECT("Table_SourceData_Dairy_ProductionSystemTemplates[Area]")</formula1>
    </dataValidation>
    <dataValidation type="list" allowBlank="1" showInputMessage="1" showErrorMessage="1" sqref="D262" xr:uid="{D5804E30-0F74-4C7B-92C4-EF256F49D05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1FFA-D2C3-4E31-8297-439FA9E2550B}">
  <sheetPr>
    <tabColor theme="5" tint="-0.249977111117893"/>
  </sheetPr>
  <dimension ref="A1:L36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526</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527</v>
      </c>
      <c r="E5" s="13" t="s">
        <v>528</v>
      </c>
      <c r="F5" s="16" t="s">
        <v>100</v>
      </c>
    </row>
    <row r="6" spans="1:10" ht="20.100000000000001" customHeight="1" x14ac:dyDescent="0.2">
      <c r="E6" s="87"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3"/>
      <c r="D8" s="83"/>
      <c r="E8" s="83"/>
      <c r="F8" s="83"/>
      <c r="G8" s="83"/>
      <c r="H8" s="83"/>
      <c r="I8" s="83"/>
      <c r="J8" s="83"/>
    </row>
    <row r="9" spans="1:10" ht="20.100000000000001" customHeight="1" x14ac:dyDescent="0.2">
      <c r="A9" s="5" t="str">
        <f>HYPERLINK("#'Input - Enterprise'!A1", "Enterprise")</f>
        <v>Enterprise</v>
      </c>
      <c r="D9" s="2" t="s">
        <v>529</v>
      </c>
    </row>
    <row r="10" spans="1:10" ht="20.100000000000001" customHeight="1" x14ac:dyDescent="0.2">
      <c r="A10" s="5" t="str">
        <f>HYPERLINK("#'Input - Site'!A1", "Site")</f>
        <v>Site</v>
      </c>
    </row>
    <row r="11" spans="1:10" ht="20.100000000000001" customHeight="1" x14ac:dyDescent="0.2">
      <c r="A11" s="5" t="str">
        <f>HYPERLINK("#'Input - Feedlot'!A1", "Feedlot")</f>
        <v>Feedlot</v>
      </c>
      <c r="D11" s="77" t="s">
        <v>530</v>
      </c>
    </row>
    <row r="12" spans="1:10" ht="20.100000000000001" customHeight="1" x14ac:dyDescent="0.2">
      <c r="A12" s="5" t="str">
        <f>HYPERLINK("#'Input - Livestock sales'!A1", "Livestock sales")</f>
        <v>Livestock sales</v>
      </c>
    </row>
    <row r="13" spans="1:10" ht="20.100000000000001" customHeight="1" x14ac:dyDescent="0.2">
      <c r="A13" s="5" t="str">
        <f>HYPERLINK("#'Input - Beef cattle purchases'!A1", "Beef cattle purchases")</f>
        <v>Beef cattle purchases</v>
      </c>
      <c r="D13" s="35" t="s">
        <v>531</v>
      </c>
      <c r="E13" s="38"/>
      <c r="F13" s="8"/>
    </row>
    <row r="14" spans="1:10" ht="20.100000000000001" customHeight="1" x14ac:dyDescent="0.2">
      <c r="A14" s="5" t="str">
        <f>HYPERLINK("#'Input - Fuel'!A1", "Fuel")</f>
        <v>Fuel</v>
      </c>
      <c r="D14" s="8"/>
      <c r="E14" s="8"/>
      <c r="F14" s="8"/>
    </row>
    <row r="15" spans="1:10" ht="20.100000000000001" customHeight="1" x14ac:dyDescent="0.2">
      <c r="A15" s="101" t="str">
        <f>HYPERLINK("#'Input - Electricity'!A1", "Electricity")</f>
        <v>Electricity</v>
      </c>
      <c r="D15" s="1" t="s">
        <v>532</v>
      </c>
      <c r="E15" s="136">
        <v>30000</v>
      </c>
      <c r="F15" s="16" t="s">
        <v>533</v>
      </c>
    </row>
    <row r="16" spans="1:10" ht="20.100000000000001" customHeight="1" x14ac:dyDescent="0.2">
      <c r="A16" s="5" t="str">
        <f>HYPERLINK("#'Input - Common farm inputs'!A1", "Common farm inputs")</f>
        <v>Common farm inputs</v>
      </c>
      <c r="D16" s="1" t="s">
        <v>534</v>
      </c>
      <c r="E16" s="15" t="str">
        <f>IF(X_Cell_Site_State="Western Australia", X_Cell_Site_Region, X_Cell_Site_State)</f>
        <v>Western Australia - Outback (South)</v>
      </c>
      <c r="F16" s="8"/>
    </row>
    <row r="17" spans="1:11" ht="20.100000000000001" customHeight="1" x14ac:dyDescent="0.2">
      <c r="A17" s="5" t="str">
        <f>HYPERLINK("#'Input - Livestock farm Inputs'!A1", "Livestock farm Inputs")</f>
        <v>Livestock farm Inputs</v>
      </c>
      <c r="D17" s="1" t="s">
        <v>535</v>
      </c>
      <c r="E17" s="13" t="s">
        <v>536</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3"/>
      <c r="D20" s="83"/>
      <c r="E20" s="83"/>
      <c r="F20" s="83"/>
      <c r="G20" s="83"/>
      <c r="H20" s="83"/>
      <c r="I20" s="83"/>
      <c r="J20" s="83"/>
    </row>
    <row r="21" spans="1:11" ht="20.100000000000001" customHeight="1" x14ac:dyDescent="0.2">
      <c r="A21" s="5" t="str">
        <f>HYPERLINK("#'Input - Data quality'!A1", "Data quality")</f>
        <v>Data quality</v>
      </c>
      <c r="D21" s="2" t="s">
        <v>537</v>
      </c>
    </row>
    <row r="22" spans="1:11" ht="20.100000000000001" customHeight="1" x14ac:dyDescent="0.2">
      <c r="A22" s="5" t="str">
        <f>HYPERLINK("#'Input - Fert Prod System'!A1", "Fert Prod System")</f>
        <v>Fert Prod System</v>
      </c>
      <c r="E22" s="87"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538</v>
      </c>
      <c r="E23" s="136">
        <v>30000</v>
      </c>
      <c r="F23" s="16" t="s">
        <v>533</v>
      </c>
    </row>
    <row r="24" spans="1:11" ht="20.100000000000001" customHeight="1" x14ac:dyDescent="0.2">
      <c r="D24" s="1" t="s">
        <v>539</v>
      </c>
      <c r="E24" s="18">
        <v>0.1</v>
      </c>
      <c r="F24" s="16" t="s">
        <v>140</v>
      </c>
    </row>
    <row r="25" spans="1:11" ht="20.100000000000001" customHeight="1" x14ac:dyDescent="0.2">
      <c r="D25" s="1" t="s">
        <v>540</v>
      </c>
      <c r="E25" s="18">
        <v>0.1</v>
      </c>
      <c r="F25" s="16" t="s">
        <v>140</v>
      </c>
    </row>
    <row r="26" spans="1:11" ht="20.100000000000001" customHeight="1" x14ac:dyDescent="0.2">
      <c r="A26" s="6" t="s">
        <v>2</v>
      </c>
    </row>
    <row r="27" spans="1:11" ht="20.100000000000001" customHeight="1" x14ac:dyDescent="0.2">
      <c r="A27" s="5" t="str">
        <f>HYPERLINK("#'3.1.1.1-2 Enteric Methane'!A1", "3.1.1.1-2 Enteric Methane")</f>
        <v>3.1.1.1-2 Enteric Methane</v>
      </c>
      <c r="D27" s="1" t="s">
        <v>541</v>
      </c>
      <c r="E27" s="136">
        <v>10000</v>
      </c>
      <c r="F27" s="16" t="s">
        <v>533</v>
      </c>
    </row>
    <row r="28" spans="1:11" ht="20.100000000000001" customHeight="1" x14ac:dyDescent="0.2">
      <c r="A28" s="5" t="str">
        <f>HYPERLINK("#'4.1.1.1-2 Methane'!A1", "4.1.1.1-2 Manure Methane")</f>
        <v>4.1.1.1-2 Manure Methane</v>
      </c>
    </row>
    <row r="29" spans="1:11" ht="20.100000000000001" customHeight="1" x14ac:dyDescent="0.2">
      <c r="A29" s="5" t="str">
        <f>HYPERLINK("#'4.1.1.3-4 Direct N20'!A1", "4.1.1.3-4 Manure Direct N2O")</f>
        <v>4.1.1.3-4 Manure Direct N2O</v>
      </c>
      <c r="D29" s="1" t="s">
        <v>542</v>
      </c>
      <c r="E29" s="137" t="str">
        <f>TEXT(X_Cell_Site_StartDate, "dd mmm yyyy")</f>
        <v>01 Jan 2025</v>
      </c>
      <c r="K29" s="138"/>
    </row>
    <row r="30" spans="1:11" ht="20.100000000000001" customHeight="1" x14ac:dyDescent="0.2">
      <c r="A30" s="5" t="str">
        <f>HYPERLINK("#'4.1.1.5-6 Atmos Deposition'!A1", "4.1.1.5-6 Manure Atmos Dep")</f>
        <v>4.1.1.5-6 Manure Atmos Dep</v>
      </c>
      <c r="D30" s="1" t="s">
        <v>543</v>
      </c>
      <c r="E30" s="137" t="str">
        <f>TEXT(X_Cell_Site_EndDate, "dd mmm yyyy")</f>
        <v>31 Dec 2025</v>
      </c>
      <c r="K30" s="138"/>
    </row>
    <row r="31" spans="1:11" ht="20.100000000000001" customHeight="1" x14ac:dyDescent="0.2">
      <c r="A31" s="5" t="str">
        <f>HYPERLINK("#'4.1.1.9 Manure applied to soils'!A1", "4.1.1.9 Manure applied to soils")</f>
        <v>4.1.1.9 Manure applied to soils</v>
      </c>
      <c r="K31" s="138"/>
    </row>
    <row r="32" spans="1:11" ht="20.100000000000001" customHeight="1" x14ac:dyDescent="0.2">
      <c r="A32" s="5" t="str">
        <f>HYPERLINK("#'8.1.1.1-2 Transport fuel'!A1", "8.1.1.1-2 Transport fuel")</f>
        <v>8.1.1.1-2 Transport fuel</v>
      </c>
      <c r="D32" s="77" t="s">
        <v>544</v>
      </c>
      <c r="K32" s="138"/>
    </row>
    <row r="33" spans="1:12" ht="20.100000000000001" customHeight="1" x14ac:dyDescent="0.2">
      <c r="A33" s="5" t="str">
        <f>HYPERLINK("#'8.2.1.1-2 Stationary fuel'!A1", "8.2.1.1-2 Stationary fuel")</f>
        <v>8.2.1.1-2 Stationary fuel</v>
      </c>
      <c r="K33" s="138"/>
    </row>
    <row r="34" spans="1:12" ht="20.100000000000001" customHeight="1" x14ac:dyDescent="0.2">
      <c r="A34" s="5" t="str">
        <f>HYPERLINK("#'10.1.1-2 Solid waste treatment'!A1", "10.1.1.1-2 Solid waste")</f>
        <v>10.1.1.1-2 Solid waste</v>
      </c>
      <c r="D34" s="35" t="s">
        <v>545</v>
      </c>
      <c r="E34" s="38"/>
      <c r="K34" s="138"/>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D36" s="78" t="s">
        <v>156</v>
      </c>
      <c r="E36" s="78" t="s">
        <v>546</v>
      </c>
      <c r="F36" s="78" t="s">
        <v>547</v>
      </c>
      <c r="G36" s="78" t="s">
        <v>548</v>
      </c>
      <c r="H36" s="78" t="s">
        <v>549</v>
      </c>
      <c r="I36" s="78" t="s">
        <v>550</v>
      </c>
      <c r="L36" s="138"/>
    </row>
    <row r="37" spans="1:12" ht="20.100000000000001" customHeight="1" x14ac:dyDescent="0.2">
      <c r="A37" s="5" t="str">
        <f>HYPERLINK("#'Calcs - Manure sent off-site'!A1", "Calcs - Manure sent off-site")</f>
        <v>Calcs - Manure sent off-site</v>
      </c>
      <c r="D37" s="19" t="s">
        <v>551</v>
      </c>
      <c r="E37" s="13" t="s">
        <v>552</v>
      </c>
      <c r="F37" s="139">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38"/>
    </row>
    <row r="38" spans="1:12" ht="20.100000000000001" customHeight="1" x14ac:dyDescent="0.2">
      <c r="A38" s="5" t="str">
        <f>HYPERLINK("#'5.1.1.1-2 Inorganic fert N2O'!A1", "5.1.1.1-2 Inorganic fert N2O")</f>
        <v>5.1.1.1-2 Inorganic fert N2O</v>
      </c>
      <c r="D38" s="19" t="s">
        <v>553</v>
      </c>
      <c r="E38" s="13" t="s">
        <v>554</v>
      </c>
      <c r="F38" s="139">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5" t="str">
        <f>HYPERLINK("#'5.1.1.3-4 Inorganic fert CO2'!A1", "5.1.1.3-4 Inorganic fert CO2")</f>
        <v>5.1.1.3-4 Inorganic fert CO2</v>
      </c>
      <c r="D39" s="19" t="s">
        <v>555</v>
      </c>
      <c r="E39" s="13" t="s">
        <v>552</v>
      </c>
      <c r="F39" s="139">
        <v>45438</v>
      </c>
      <c r="G39" s="19">
        <v>5</v>
      </c>
      <c r="H39" s="15">
        <f>Table_Input_RECSurrendered[[#This Row],[Number of certificates]]</f>
        <v>5</v>
      </c>
      <c r="I39" s="15" t="str">
        <f>IF(DATEDIF(Table_Input_RECSurrendered[[#This Row],[Generation date]],DATEVALUE($E$30),"M")&gt;36,"Ineligible - older than 36 months","Elegible")</f>
        <v>Elegible</v>
      </c>
    </row>
    <row r="40" spans="1:12" s="138" customFormat="1" ht="20.100000000000001" customHeight="1" x14ac:dyDescent="0.2">
      <c r="A40" s="5" t="str">
        <f>HYPERLINK("#'5.2.1.1-2 Organic Fert N2O'!A1", "5.2.1.1-2 Organic Fert N2O")</f>
        <v>5.2.1.1-2 Organic Fert N2O</v>
      </c>
      <c r="C40" s="1"/>
      <c r="D40" s="1"/>
      <c r="E40" s="1"/>
      <c r="F40" s="1"/>
      <c r="G40" s="1"/>
      <c r="H40" s="1"/>
      <c r="I40" s="1"/>
      <c r="J40" s="1"/>
    </row>
    <row r="41" spans="1:12" s="138" customFormat="1" ht="20.100000000000001" customHeight="1" x14ac:dyDescent="0.2">
      <c r="A41" s="5" t="str">
        <f>HYPERLINK("#'5.3.1.1-2 Lime CO2'!A1", "5.3.1.1-2 Lime CO2")</f>
        <v>5.3.1.1-2 Lime CO2</v>
      </c>
      <c r="C41" s="1"/>
      <c r="D41" s="1" t="s">
        <v>556</v>
      </c>
      <c r="E41" s="15">
        <f>SUMIF(Table_Input_RECSurrendered[Elegibility], "Elegible", Table_Input_RECSurrendered[MWh])</f>
        <v>5</v>
      </c>
      <c r="F41" s="16" t="s">
        <v>549</v>
      </c>
      <c r="G41" s="1"/>
      <c r="H41" s="1"/>
      <c r="I41" s="1"/>
      <c r="J41" s="1"/>
      <c r="L41" s="138" t="s">
        <v>557</v>
      </c>
    </row>
    <row r="42" spans="1:12" ht="20.100000000000001" customHeight="1" x14ac:dyDescent="0.2">
      <c r="A42" s="5" t="str">
        <f>HYPERLINK("#'5.4.1.1-4 Atmos deposition'!A1", "5.4.1.1-4 Atmos deposition")</f>
        <v>5.4.1.1-4 Atmos deposition</v>
      </c>
      <c r="C42" s="140"/>
    </row>
    <row r="43" spans="1:12" ht="20.100000000000001" customHeight="1" x14ac:dyDescent="0.2">
      <c r="A43" s="5" t="str">
        <f>HYPERLINK("#'5.5.1.1-2 Leaching and runoff'!A1", "5.5.1.1-2 Leaching and runoff")</f>
        <v>5.5.1.1-2 Leaching and runoff</v>
      </c>
      <c r="C43" s="140"/>
      <c r="D43" s="77" t="s">
        <v>558</v>
      </c>
      <c r="J43" s="140"/>
    </row>
    <row r="45" spans="1:12" ht="20.100000000000001" customHeight="1" x14ac:dyDescent="0.2">
      <c r="D45" s="78" t="s">
        <v>156</v>
      </c>
      <c r="E45" s="78" t="s">
        <v>559</v>
      </c>
      <c r="F45" s="78" t="s">
        <v>547</v>
      </c>
      <c r="G45" s="78" t="s">
        <v>548</v>
      </c>
      <c r="H45" s="78" t="s">
        <v>549</v>
      </c>
      <c r="I45" s="78" t="s">
        <v>550</v>
      </c>
    </row>
    <row r="46" spans="1:12" ht="20.100000000000001" customHeight="1" x14ac:dyDescent="0.2">
      <c r="A46" s="80" t="s">
        <v>1</v>
      </c>
      <c r="D46" s="19" t="s">
        <v>560</v>
      </c>
      <c r="E46" s="141" t="str">
        <f>"Issued for generated electricity"</f>
        <v>Issued for generated electricity</v>
      </c>
      <c r="F46" s="139">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HYPERLINK("#'Constants - Feedlot'!A1", "Constants - Feedlot")</f>
        <v>Constants - Feedlot</v>
      </c>
      <c r="D47" s="19" t="s">
        <v>561</v>
      </c>
      <c r="E47" s="141" t="str">
        <f>"Issued for generated electricity"</f>
        <v>Issued for generated electricity</v>
      </c>
      <c r="F47" s="139">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A48" s="5" t="str">
        <f>HYPERLINK("#'Constants - Common livestock'!A1", "Constants - Common Livestock")</f>
        <v>Constants - Common Livestock</v>
      </c>
      <c r="D48" s="142">
        <v>45597</v>
      </c>
      <c r="E48" s="141" t="str">
        <f>"Issued for generated electricity"</f>
        <v>Issued for generated electricity</v>
      </c>
      <c r="F48" s="139">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
      <c r="A49" s="5" t="str">
        <f>HYPERLINK("#'Constants - Electricity'!A1", "Constants - Electricity")</f>
        <v>Constants - Electricity</v>
      </c>
    </row>
    <row r="50" spans="1:6" ht="20.100000000000001" customHeight="1" x14ac:dyDescent="0.2">
      <c r="A50" s="5" t="str">
        <f>HYPERLINK("#'Constants - Fertiliser'!A1", "Constants - Fertiliser")</f>
        <v>Constants - Fertiliser</v>
      </c>
      <c r="D50" s="1" t="s">
        <v>562</v>
      </c>
      <c r="E50" s="15">
        <f>SUMIF(Table_Input_RECConsumedByEntity[Elegibility], "Elegible", Table_Input_RECConsumedByEntity[Number of certificates])</f>
        <v>0</v>
      </c>
      <c r="F50" s="16" t="s">
        <v>549</v>
      </c>
    </row>
    <row r="51" spans="1:6" ht="20.100000000000001" customHeight="1" x14ac:dyDescent="0.2">
      <c r="A51" s="5" t="str">
        <f>HYPERLINK("#'Constants - Fuel'!A1", "Constants - Fuel")</f>
        <v>Constants - Fuel</v>
      </c>
    </row>
    <row r="52" spans="1:6" ht="20.100000000000001" customHeight="1" x14ac:dyDescent="0.2">
      <c r="A52" s="5" t="str">
        <f>HYPERLINK("#'Constants - Scope 3'!A1", "Constants - Scope 3")</f>
        <v>Constants - Scope 3</v>
      </c>
    </row>
    <row r="53" spans="1:6" ht="20.100000000000001" customHeight="1" x14ac:dyDescent="0.2">
      <c r="A53" s="5" t="str">
        <f>HYPERLINK("#'Constants - Solid Waste'!A1", "Constants - Solid Waste")</f>
        <v>Constants - Solid Waste</v>
      </c>
    </row>
    <row r="54" spans="1:6" ht="20.100000000000001" customHeight="1" x14ac:dyDescent="0.2">
      <c r="A54" s="5" t="str">
        <f>HYPERLINK("#'Constants - Common'!A1", "Constants - Common")</f>
        <v>Constants - Common</v>
      </c>
    </row>
    <row r="55" spans="1:6" ht="20.100000000000001" customHeight="1" x14ac:dyDescent="0.2">
      <c r="A55" s="5" t="str">
        <f>HYPERLINK("#'Acknowledgements'!A1", "Acknowledgements")</f>
        <v>Acknowledgements</v>
      </c>
      <c r="D55" s="143"/>
    </row>
    <row r="56" spans="1:6" ht="20.100000000000001" customHeight="1" x14ac:dyDescent="0.2">
      <c r="D56" s="143"/>
    </row>
    <row r="365" spans="4:4" ht="20.100000000000001" customHeight="1" x14ac:dyDescent="0.2">
      <c r="D365" s="87"/>
    </row>
  </sheetData>
  <conditionalFormatting sqref="F130:F131">
    <cfRule type="cellIs" dxfId="62" priority="8" operator="lessThan">
      <formula>0</formula>
    </cfRule>
  </conditionalFormatting>
  <conditionalFormatting sqref="F142:F143">
    <cfRule type="cellIs" dxfId="61" priority="7" operator="lessThan">
      <formula>0</formula>
    </cfRule>
  </conditionalFormatting>
  <conditionalFormatting sqref="F154:F155">
    <cfRule type="cellIs" dxfId="60" priority="6" operator="lessThan">
      <formula>0</formula>
    </cfRule>
  </conditionalFormatting>
  <conditionalFormatting sqref="F166:F167">
    <cfRule type="cellIs" dxfId="59" priority="5" operator="lessThan">
      <formula>0</formula>
    </cfRule>
  </conditionalFormatting>
  <conditionalFormatting sqref="F254:F255">
    <cfRule type="cellIs" dxfId="58" priority="17" operator="lessThan">
      <formula>0</formula>
    </cfRule>
  </conditionalFormatting>
  <conditionalFormatting sqref="F259:F260">
    <cfRule type="cellIs" dxfId="57" priority="16" operator="lessThan">
      <formula>0</formula>
    </cfRule>
  </conditionalFormatting>
  <conditionalFormatting sqref="F264:F265">
    <cfRule type="cellIs" dxfId="56" priority="15" operator="lessThan">
      <formula>0</formula>
    </cfRule>
  </conditionalFormatting>
  <conditionalFormatting sqref="F288:F289">
    <cfRule type="cellIs" dxfId="55" priority="14" operator="lessThan">
      <formula>0</formula>
    </cfRule>
  </conditionalFormatting>
  <conditionalFormatting sqref="F293:F294">
    <cfRule type="cellIs" dxfId="54" priority="13" operator="lessThan">
      <formula>0</formula>
    </cfRule>
  </conditionalFormatting>
  <conditionalFormatting sqref="F298:F299">
    <cfRule type="cellIs" dxfId="53" priority="12" operator="lessThan">
      <formula>0</formula>
    </cfRule>
  </conditionalFormatting>
  <conditionalFormatting sqref="I59:I63">
    <cfRule type="cellIs" dxfId="52" priority="4" operator="lessThan">
      <formula>0</formula>
    </cfRule>
  </conditionalFormatting>
  <conditionalFormatting sqref="I67 I126">
    <cfRule type="cellIs" dxfId="51" priority="10" operator="lessThan">
      <formula>0</formula>
    </cfRule>
  </conditionalFormatting>
  <conditionalFormatting sqref="I78:I80">
    <cfRule type="cellIs" dxfId="50" priority="3" operator="lessThan">
      <formula>0</formula>
    </cfRule>
  </conditionalFormatting>
  <conditionalFormatting sqref="I84:I87">
    <cfRule type="cellIs" dxfId="49" priority="2" operator="lessThan">
      <formula>0</formula>
    </cfRule>
  </conditionalFormatting>
  <conditionalFormatting sqref="I91:I95">
    <cfRule type="cellIs" dxfId="48" priority="1" operator="lessThan">
      <formula>0</formula>
    </cfRule>
  </conditionalFormatting>
  <conditionalFormatting sqref="J35 I49:I50 H51:H53 I52 I54:I55 I206 I212 E214:G214">
    <cfRule type="cellIs" dxfId="47" priority="11" operator="lessThan">
      <formula>0</formula>
    </cfRule>
  </conditionalFormatting>
  <conditionalFormatting sqref="J39 I40 J41 I43">
    <cfRule type="cellIs" dxfId="46" priority="9" operator="lessThan">
      <formula>0</formula>
    </cfRule>
  </conditionalFormatting>
  <dataValidations count="7">
    <dataValidation type="list" allowBlank="1" showInputMessage="1" showErrorMessage="1" sqref="E5" xr:uid="{A7CF83B5-483D-468A-8891-5956097A6AEB}">
      <formula1>"Location-based (simpler), Market-based (more complex)"</formula1>
    </dataValidation>
    <dataValidation type="list" allowBlank="1" showInputMessage="1" showErrorMessage="1" sqref="E37:E39" xr:uid="{FE66EFEE-AADC-4B18-BD10-3D3573805517}">
      <formula1>"Purchased certificate, Issued for generated electricity"</formula1>
    </dataValidation>
    <dataValidation type="list" allowBlank="1" showInputMessage="1" showErrorMessage="1" sqref="E17" xr:uid="{238EFF31-6FE0-4CB5-B4EF-E9C7C82E12DB}">
      <formula1>INDIRECT("Table_SourceData_ElectricityEFs[State, Territory or grid description]")</formula1>
    </dataValidation>
    <dataValidation type="list" allowBlank="1" showInputMessage="1" showErrorMessage="1" sqref="E69" xr:uid="{31E7C10D-4AF7-49EB-8D60-03269CDD4F31}">
      <formula1>INDIRECT("Table_SourceData_Swine_IrrigationMethods[Irrigation method]")</formula1>
    </dataValidation>
    <dataValidation type="list" allowBlank="1" showInputMessage="1" showErrorMessage="1" sqref="E253 E258 E263 E297 E292 E287 E165 E153 E129 E141" xr:uid="{7E2A3F77-59B2-4667-88DB-4865CE3490BB}">
      <formula1>"Yes, No"</formula1>
    </dataValidation>
    <dataValidation type="list" allowBlank="1" showInputMessage="1" showErrorMessage="1" sqref="E229" xr:uid="{48BF88EF-84CB-4463-ADFA-2473B3874F45}">
      <formula1>INDIRECT("Table_SourceData_Dairy_ProductionSystemTemplates[Area]")</formula1>
    </dataValidation>
    <dataValidation type="list" allowBlank="1" showInputMessage="1" showErrorMessage="1" sqref="D281" xr:uid="{424A3BA5-2296-4C97-A67D-394086A4881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D1E2-A0C2-433F-9173-B58ACCD48D45}">
  <sheetPr>
    <tabColor theme="5" tint="-0.249977111117893"/>
  </sheetPr>
  <dimension ref="A1:S195"/>
  <sheetViews>
    <sheetView showGridLines="0" zoomScaleNormal="100" workbookViewId="0">
      <pane xSplit="1" topLeftCell="B1" activePane="topRight" state="frozenSplit"/>
      <selection pane="topRight" activeCell="A54" sqref="A54"/>
    </sheetView>
  </sheetViews>
  <sheetFormatPr defaultColWidth="9" defaultRowHeight="20.100000000000001" customHeight="1" x14ac:dyDescent="0.2"/>
  <cols>
    <col min="1" max="1" width="36.7109375" style="236" customWidth="1"/>
    <col min="2" max="2" width="4.140625" style="236" customWidth="1"/>
    <col min="3" max="3" width="4.140625" style="237" customWidth="1"/>
    <col min="4" max="4" width="41.28515625" style="237" customWidth="1"/>
    <col min="5" max="10" width="26.85546875" style="237" customWidth="1"/>
    <col min="11" max="18" width="30.5703125" style="1" customWidth="1"/>
    <col min="19" max="19" width="4.5703125" style="1" customWidth="1"/>
    <col min="20" max="16384" width="9" style="236"/>
  </cols>
  <sheetData>
    <row r="1" spans="1:19" ht="30" customHeight="1" x14ac:dyDescent="0.35">
      <c r="A1" s="10" t="e" vm="1">
        <v>#VALUE!</v>
      </c>
      <c r="C1" s="27" t="s">
        <v>945</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946</v>
      </c>
      <c r="E5" s="24"/>
      <c r="F5" s="24"/>
      <c r="G5" s="24"/>
      <c r="H5" s="24"/>
      <c r="I5" s="24"/>
      <c r="J5" s="24"/>
    </row>
    <row r="6" spans="1:19" ht="20.100000000000001" customHeight="1" x14ac:dyDescent="0.2">
      <c r="A6"/>
      <c r="C6" s="1"/>
    </row>
    <row r="7" spans="1:19" ht="20.100000000000001" customHeight="1" x14ac:dyDescent="0.2">
      <c r="A7"/>
      <c r="C7" s="1"/>
      <c r="D7" s="78" t="s">
        <v>947</v>
      </c>
      <c r="E7" s="78" t="s">
        <v>948</v>
      </c>
      <c r="F7" s="78" t="s">
        <v>949</v>
      </c>
    </row>
    <row r="8" spans="1:19" ht="20.100000000000001" customHeight="1" x14ac:dyDescent="0.2">
      <c r="A8" s="7" t="s">
        <v>0</v>
      </c>
      <c r="C8" s="1"/>
      <c r="D8" s="33" t="s">
        <v>950</v>
      </c>
      <c r="E8" s="13" t="s">
        <v>951</v>
      </c>
      <c r="F8" s="74">
        <v>100</v>
      </c>
    </row>
    <row r="9" spans="1:19" ht="20.100000000000001" customHeight="1" x14ac:dyDescent="0.2">
      <c r="A9" s="5" t="str">
        <f>HYPERLINK("#'Input - Enterprise'!A1", "Enterprise")</f>
        <v>Enterprise</v>
      </c>
      <c r="C9" s="1"/>
      <c r="D9" s="33" t="s">
        <v>952</v>
      </c>
      <c r="E9" s="84" t="s">
        <v>953</v>
      </c>
      <c r="F9" s="241">
        <v>100</v>
      </c>
    </row>
    <row r="10" spans="1:19" ht="20.100000000000001" customHeight="1" x14ac:dyDescent="0.2">
      <c r="A10" s="5" t="str">
        <f>HYPERLINK("#'Input - Site'!A1", "Site")</f>
        <v>Site</v>
      </c>
      <c r="D10" s="33" t="s">
        <v>954</v>
      </c>
      <c r="E10" s="84" t="s">
        <v>955</v>
      </c>
      <c r="F10" s="241">
        <v>100</v>
      </c>
    </row>
    <row r="11" spans="1:19" ht="20.100000000000001" customHeight="1" x14ac:dyDescent="0.2">
      <c r="A11" s="5" t="str">
        <f>HYPERLINK("#'Input - Feedlot'!A1", "Feedlot")</f>
        <v>Feedlot</v>
      </c>
      <c r="D11" s="33" t="s">
        <v>954</v>
      </c>
      <c r="E11" s="84" t="s">
        <v>955</v>
      </c>
      <c r="F11" s="241">
        <v>100</v>
      </c>
    </row>
    <row r="12" spans="1:19" ht="20.100000000000001" customHeight="1" x14ac:dyDescent="0.2">
      <c r="A12" s="5" t="str">
        <f>HYPERLINK("#'Input - Livestock sales'!A1", "Livestock sales")</f>
        <v>Livestock sales</v>
      </c>
      <c r="C12" s="1"/>
      <c r="D12" s="33" t="s">
        <v>950</v>
      </c>
      <c r="E12" s="84" t="s">
        <v>951</v>
      </c>
      <c r="F12" s="241">
        <v>100</v>
      </c>
    </row>
    <row r="13" spans="1:19" ht="20.100000000000001" customHeight="1" x14ac:dyDescent="0.2">
      <c r="A13" s="5" t="str">
        <f>HYPERLINK("#'Input - Beef cattle purchases'!A1", "Beef cattle purchases")</f>
        <v>Beef cattle purchases</v>
      </c>
      <c r="C13" s="1"/>
      <c r="D13" s="33" t="s">
        <v>950</v>
      </c>
      <c r="E13" s="84" t="s">
        <v>951</v>
      </c>
      <c r="F13" s="241">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101"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956</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2" t="s">
        <v>957</v>
      </c>
      <c r="E22" s="242" t="s">
        <v>958</v>
      </c>
      <c r="F22" s="242" t="s">
        <v>959</v>
      </c>
      <c r="G22" s="242" t="s">
        <v>584</v>
      </c>
    </row>
    <row r="23" spans="1:10" ht="20.100000000000001" customHeight="1" x14ac:dyDescent="0.2">
      <c r="A23" s="5" t="str">
        <f>HYPERLINK("#'Input - Fertiliser'!A1", "Fertiliser")</f>
        <v>Fertiliser</v>
      </c>
      <c r="D23" s="33" t="s">
        <v>960</v>
      </c>
      <c r="E23" s="33" t="s">
        <v>961</v>
      </c>
      <c r="F23" s="74">
        <v>10000</v>
      </c>
      <c r="G23" s="13" t="s">
        <v>962</v>
      </c>
    </row>
    <row r="24" spans="1:10" ht="20.100000000000001" customHeight="1" x14ac:dyDescent="0.2">
      <c r="A24"/>
      <c r="D24" s="33" t="s">
        <v>963</v>
      </c>
      <c r="E24" s="33" t="s">
        <v>964</v>
      </c>
      <c r="F24" s="74">
        <v>1000</v>
      </c>
      <c r="G24" s="13" t="s">
        <v>965</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HYPERLINK("#'3.1.1.1-2 Enteric Methane'!A1", "3.1.1.1-2 Enteric Methane")</f>
        <v>3.1.1.1-2 Enteric Methane</v>
      </c>
      <c r="C27" s="1"/>
      <c r="D27" s="33"/>
      <c r="E27" s="33"/>
      <c r="F27" s="74"/>
      <c r="G27" s="13"/>
    </row>
    <row r="28" spans="1:10" ht="20.100000000000001" customHeight="1" x14ac:dyDescent="0.2">
      <c r="A28" s="5" t="str">
        <f>HYPERLINK("#'4.1.1.1-2 Methane'!A1", "4.1.1.1-2 Manure Methane")</f>
        <v>4.1.1.1-2 Manure Methane</v>
      </c>
      <c r="D28" s="33"/>
      <c r="E28" s="33"/>
      <c r="F28" s="74"/>
      <c r="G28" s="13"/>
    </row>
    <row r="29" spans="1:10" ht="20.100000000000001" customHeight="1" x14ac:dyDescent="0.2">
      <c r="A29" s="5" t="str">
        <f>HYPERLINK("#'4.1.1.3-4 Direct N20'!A1", "4.1.1.3-4 Manure Direct N2O")</f>
        <v>4.1.1.3-4 Manure Direct N2O</v>
      </c>
      <c r="D29" s="33"/>
      <c r="E29" s="33"/>
      <c r="F29" s="74"/>
      <c r="G29" s="13"/>
    </row>
    <row r="30" spans="1:10" ht="20.100000000000001" customHeight="1" x14ac:dyDescent="0.2">
      <c r="A30" s="5" t="str">
        <f>HYPERLINK("#'4.1.1.5-6 Atmos Deposition'!A1", "4.1.1.5-6 Manure Atmos Dep")</f>
        <v>4.1.1.5-6 Manure Atmos Dep</v>
      </c>
      <c r="D30" s="33"/>
      <c r="E30" s="33"/>
      <c r="F30" s="74"/>
      <c r="G30" s="13"/>
    </row>
    <row r="31" spans="1:10" ht="20.100000000000001" customHeight="1" x14ac:dyDescent="0.2">
      <c r="A31" s="5" t="str">
        <f>HYPERLINK("#'4.1.1.9 Manure applied to soils'!A1", "4.1.1.9 Manure applied to soils")</f>
        <v>4.1.1.9 Manure applied to soils</v>
      </c>
      <c r="D31" s="33"/>
      <c r="E31" s="33"/>
      <c r="F31" s="74"/>
      <c r="G31" s="13"/>
    </row>
    <row r="32" spans="1:10" ht="20.100000000000001" customHeight="1" x14ac:dyDescent="0.2">
      <c r="A32" s="5" t="str">
        <f>HYPERLINK("#'8.1.1.1-2 Transport fuel'!A1", "8.1.1.1-2 Transport fuel")</f>
        <v>8.1.1.1-2 Transport fuel</v>
      </c>
      <c r="D32" s="33"/>
      <c r="E32" s="33"/>
      <c r="F32" s="74"/>
      <c r="G32" s="13"/>
    </row>
    <row r="33" spans="1:6" ht="20.100000000000001" customHeight="1" x14ac:dyDescent="0.2">
      <c r="A33" s="5" t="str">
        <f>HYPERLINK("#'8.2.1.1-2 Stationary fuel'!A1", "8.2.1.1-2 Stationary fuel")</f>
        <v>8.2.1.1-2 Stationary fuel</v>
      </c>
    </row>
    <row r="34" spans="1:6" ht="20.100000000000001" customHeight="1" x14ac:dyDescent="0.2">
      <c r="A34" s="5" t="str">
        <f>HYPERLINK("#'10.1.1-2 Solid waste treatment'!A1", "10.1.1.1-2 Solid waste")</f>
        <v>10.1.1.1-2 Solid waste</v>
      </c>
    </row>
    <row r="35" spans="1:6" ht="20.100000000000001" customHeight="1" x14ac:dyDescent="0.2">
      <c r="A35" s="5" t="str">
        <f>HYPERLINK("#'14.1.1-2 Purchased electricity'!A1", "14.1.1-2 Purchased electricity")</f>
        <v>14.1.1-2 Purchased electricity</v>
      </c>
      <c r="D35" s="2" t="s">
        <v>966</v>
      </c>
    </row>
    <row r="36" spans="1:6" ht="20.100000000000001" customHeight="1" x14ac:dyDescent="0.2">
      <c r="A36" s="5" t="str">
        <f>HYPERLINK("#'15 Scope 3'!A1", "15 Scope 3")</f>
        <v>15 Scope 3</v>
      </c>
      <c r="D36" s="25"/>
    </row>
    <row r="37" spans="1:6" ht="20.100000000000001" customHeight="1" x14ac:dyDescent="0.2">
      <c r="A37" s="5" t="str">
        <f>HYPERLINK("#'Calcs - Manure sent off-site'!A1", "Calcs - Manure sent off-site")</f>
        <v>Calcs - Manure sent off-site</v>
      </c>
      <c r="D37" s="78" t="s">
        <v>967</v>
      </c>
      <c r="E37" s="78" t="s">
        <v>868</v>
      </c>
      <c r="F37" s="78" t="s">
        <v>584</v>
      </c>
    </row>
    <row r="38" spans="1:6" ht="20.100000000000001" customHeight="1" x14ac:dyDescent="0.2">
      <c r="A38" s="5" t="str">
        <f>HYPERLINK("#'5.1.1.1-2 Inorganic fert N2O'!A1", "5.1.1.1-2 Inorganic fert N2O")</f>
        <v>5.1.1.1-2 Inorganic fert N2O</v>
      </c>
      <c r="D38" s="33" t="s">
        <v>968</v>
      </c>
      <c r="E38" s="74">
        <v>1000</v>
      </c>
      <c r="F38" s="33" t="s">
        <v>748</v>
      </c>
    </row>
    <row r="39" spans="1:6" ht="20.100000000000001" customHeight="1" x14ac:dyDescent="0.2">
      <c r="A39" s="5" t="str">
        <f>HYPERLINK("#'5.1.1.3-4 Inorganic fert CO2'!A1", "5.1.1.3-4 Inorganic fert CO2")</f>
        <v>5.1.1.3-4 Inorganic fert CO2</v>
      </c>
      <c r="D39" s="33"/>
      <c r="E39" s="74"/>
      <c r="F39" s="33"/>
    </row>
    <row r="40" spans="1:6" ht="20.100000000000001" customHeight="1" x14ac:dyDescent="0.2">
      <c r="A40" s="5" t="str">
        <f>HYPERLINK("#'5.2.1.1-2 Organic Fert N2O'!A1", "5.2.1.1-2 Organic Fert N2O")</f>
        <v>5.2.1.1-2 Organic Fert N2O</v>
      </c>
      <c r="D40" s="33"/>
      <c r="E40" s="74"/>
      <c r="F40" s="33"/>
    </row>
    <row r="41" spans="1:6" ht="20.100000000000001" customHeight="1" x14ac:dyDescent="0.2">
      <c r="A41" s="5" t="str">
        <f>HYPERLINK("#'5.3.1.1-2 Lime CO2'!A1", "5.3.1.1-2 Lime CO2")</f>
        <v>5.3.1.1-2 Lime CO2</v>
      </c>
      <c r="D41" s="33"/>
      <c r="E41" s="74"/>
      <c r="F41" s="33"/>
    </row>
    <row r="42" spans="1:6" ht="20.100000000000001" customHeight="1" x14ac:dyDescent="0.2">
      <c r="A42" s="5" t="str">
        <f>HYPERLINK("#'5.4.1.1-4 Atmos deposition'!A1", "5.4.1.1-4 Atmos deposition")</f>
        <v>5.4.1.1-4 Atmos deposition</v>
      </c>
      <c r="D42" s="33"/>
      <c r="E42" s="74"/>
      <c r="F42" s="33"/>
    </row>
    <row r="43" spans="1:6" ht="20.100000000000001" customHeight="1" x14ac:dyDescent="0.2">
      <c r="A43" s="5" t="str">
        <f>HYPERLINK("#'5.5.1.1-2 Leaching and runoff'!A1", "5.5.1.1-2 Leaching and runoff")</f>
        <v>5.5.1.1-2 Leaching and runoff</v>
      </c>
      <c r="D43" s="33"/>
      <c r="E43" s="74"/>
      <c r="F43" s="33"/>
    </row>
    <row r="44" spans="1:6" ht="20.100000000000001" customHeight="1" x14ac:dyDescent="0.2">
      <c r="A44"/>
      <c r="C44" s="1"/>
      <c r="D44" s="33"/>
      <c r="E44" s="74"/>
      <c r="F44" s="33"/>
    </row>
    <row r="45" spans="1:6" ht="20.100000000000001" customHeight="1" x14ac:dyDescent="0.2">
      <c r="A45"/>
      <c r="C45" s="1"/>
      <c r="D45" s="33"/>
      <c r="E45" s="74"/>
      <c r="F45" s="33"/>
    </row>
    <row r="46" spans="1:6" ht="20.100000000000001" customHeight="1" x14ac:dyDescent="0.2">
      <c r="A46" s="80" t="s">
        <v>1</v>
      </c>
      <c r="C46" s="1"/>
      <c r="D46" s="33"/>
      <c r="E46" s="74"/>
      <c r="F46" s="33"/>
    </row>
    <row r="47" spans="1:6" ht="20.100000000000001" customHeight="1" x14ac:dyDescent="0.2">
      <c r="A47" s="5" t="str">
        <f>HYPERLINK("#'Constants - Feedlot'!A1", "Constants - Feedlot")</f>
        <v>Constants - Feedlot</v>
      </c>
      <c r="C47" s="1"/>
      <c r="D47" s="33"/>
      <c r="E47" s="74"/>
      <c r="F47" s="33"/>
    </row>
    <row r="48" spans="1:6" ht="20.100000000000001" customHeight="1" x14ac:dyDescent="0.2">
      <c r="A48" s="5" t="str">
        <f>HYPERLINK("#'Constants - Common livestock'!A1", "Constants - Common Livestock")</f>
        <v>Constants - Common Livestock</v>
      </c>
      <c r="C48" s="1"/>
    </row>
    <row r="49" spans="1:3" ht="20.100000000000001" customHeight="1" x14ac:dyDescent="0.2">
      <c r="A49" s="5" t="str">
        <f>HYPERLINK("#'Constants - Electricity'!A1", "Constants - Electricity")</f>
        <v>Constants - Electricity</v>
      </c>
      <c r="C49" s="1"/>
    </row>
    <row r="50" spans="1:3" ht="20.100000000000001" customHeight="1" x14ac:dyDescent="0.2">
      <c r="A50" s="5" t="str">
        <f>HYPERLINK("#'Constants - Fertiliser'!A1", "Constants - Fertiliser")</f>
        <v>Constants - Fertiliser</v>
      </c>
    </row>
    <row r="51" spans="1:3" ht="20.100000000000001" customHeight="1" x14ac:dyDescent="0.2">
      <c r="A51" s="5" t="str">
        <f>HYPERLINK("#'Constants - Fuel'!A1", "Constants - Fuel")</f>
        <v>Constants - Fuel</v>
      </c>
    </row>
    <row r="52" spans="1:3" ht="20.100000000000001" customHeight="1" x14ac:dyDescent="0.2">
      <c r="A52" s="5" t="str">
        <f>HYPERLINK("#'Constants - Scope 3'!A1", "Constants - Scope 3")</f>
        <v>Constants - Scope 3</v>
      </c>
    </row>
    <row r="53" spans="1:3" ht="20.100000000000001" customHeight="1" x14ac:dyDescent="0.2">
      <c r="A53" s="5" t="str">
        <f>HYPERLINK("#'Constants - Solid Waste'!A1", "Constants - Solid Waste")</f>
        <v>Constants - Solid Waste</v>
      </c>
    </row>
    <row r="54" spans="1:3" ht="20.100000000000001" customHeight="1" x14ac:dyDescent="0.2">
      <c r="A54" s="5" t="str">
        <f>HYPERLINK("#'Constants - Common'!A1", "Constants - Common")</f>
        <v>Constants - Common</v>
      </c>
    </row>
    <row r="55" spans="1:3" ht="20.100000000000001" customHeight="1" x14ac:dyDescent="0.2">
      <c r="A55" s="5" t="str">
        <f>HYPERLINK("#'Acknowledgements'!A1", "Acknowledgements")</f>
        <v>Acknowledgements</v>
      </c>
    </row>
    <row r="56" spans="1:3" ht="20.100000000000001" customHeight="1" x14ac:dyDescent="0.2">
      <c r="A56"/>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7"/>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6"/>
    </row>
    <row r="166" spans="1:19" ht="20.100000000000001" customHeight="1" x14ac:dyDescent="0.2">
      <c r="A166"/>
      <c r="S166" s="236"/>
    </row>
    <row r="167" spans="1:19" ht="20.100000000000001" customHeight="1" x14ac:dyDescent="0.2">
      <c r="A167"/>
      <c r="S167" s="236"/>
    </row>
    <row r="168" spans="1:19" ht="20.100000000000001" customHeight="1" x14ac:dyDescent="0.2">
      <c r="A168"/>
      <c r="S168" s="236"/>
    </row>
    <row r="169" spans="1:19" ht="20.100000000000001" customHeight="1" x14ac:dyDescent="0.2">
      <c r="A169"/>
      <c r="S169" s="236"/>
    </row>
    <row r="170" spans="1:19" ht="20.100000000000001" customHeight="1" x14ac:dyDescent="0.2">
      <c r="A170"/>
      <c r="S170" s="236"/>
    </row>
    <row r="171" spans="1:19" ht="20.100000000000001" customHeight="1" x14ac:dyDescent="0.2">
      <c r="A171"/>
      <c r="S171" s="236"/>
    </row>
    <row r="172" spans="1:19" ht="20.100000000000001" customHeight="1" x14ac:dyDescent="0.2">
      <c r="A172"/>
      <c r="S172" s="236"/>
    </row>
    <row r="173" spans="1:19" ht="20.100000000000001" customHeight="1" x14ac:dyDescent="0.2">
      <c r="A173"/>
      <c r="S173" s="236"/>
    </row>
    <row r="174" spans="1:19" ht="20.100000000000001" customHeight="1" x14ac:dyDescent="0.2">
      <c r="A174"/>
      <c r="S174" s="236"/>
    </row>
    <row r="175" spans="1:19" ht="20.100000000000001" customHeight="1" x14ac:dyDescent="0.2">
      <c r="A175"/>
      <c r="S175" s="236"/>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36"/>
    </row>
    <row r="181" spans="1:19" ht="20.100000000000001" customHeight="1" x14ac:dyDescent="0.2">
      <c r="A181"/>
      <c r="S181" s="236"/>
    </row>
    <row r="182" spans="1:19" ht="20.100000000000001" customHeight="1" x14ac:dyDescent="0.2">
      <c r="A182"/>
      <c r="S182" s="236"/>
    </row>
    <row r="183" spans="1:19" ht="20.100000000000001" customHeight="1" x14ac:dyDescent="0.2">
      <c r="A183"/>
      <c r="S183" s="236"/>
    </row>
    <row r="184" spans="1:19" ht="20.100000000000001" customHeight="1" x14ac:dyDescent="0.2">
      <c r="A184"/>
      <c r="S184" s="236"/>
    </row>
    <row r="185" spans="1:19" ht="20.100000000000001" customHeight="1" x14ac:dyDescent="0.2">
      <c r="A185"/>
      <c r="S185" s="236"/>
    </row>
    <row r="186" spans="1:19" ht="20.100000000000001" customHeight="1" x14ac:dyDescent="0.2">
      <c r="A186"/>
      <c r="S186" s="236"/>
    </row>
    <row r="187" spans="1:19" ht="20.100000000000001" customHeight="1" x14ac:dyDescent="0.2">
      <c r="A187"/>
      <c r="S187" s="236"/>
    </row>
    <row r="188" spans="1:19" ht="20.100000000000001" customHeight="1" x14ac:dyDescent="0.2">
      <c r="A188"/>
      <c r="S188" s="236"/>
    </row>
    <row r="189" spans="1:19" ht="20.100000000000001" customHeight="1" x14ac:dyDescent="0.2">
      <c r="A189"/>
      <c r="S189" s="236"/>
    </row>
    <row r="190" spans="1:19" ht="20.100000000000001" customHeight="1" x14ac:dyDescent="0.2">
      <c r="A190"/>
      <c r="S190" s="236"/>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9B603E31-DAB5-4196-883C-FA87D14EB849}">
      <formula1>INDIRECT("Table_Scope3_AquacultureFeedBait[Feed / Bait ingredient]")</formula1>
    </dataValidation>
    <dataValidation type="list" allowBlank="1" showInputMessage="1" showErrorMessage="1" sqref="G23:G32" xr:uid="{1B0A753D-13B7-43DD-A771-74D25B89BD80}">
      <formula1>"Hour, Hectare"</formula1>
    </dataValidation>
    <dataValidation type="list" allowBlank="1" showInputMessage="1" showErrorMessage="1" sqref="E8:E17" xr:uid="{E9D5BA72-DEBD-45C9-9064-93542E6E393A}">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2829-C709-440E-9EE8-5D65EA6E850F}">
  <sheetPr>
    <tabColor theme="5" tint="-0.249977111117893"/>
  </sheetPr>
  <dimension ref="A1:R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969</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970</v>
      </c>
      <c r="E5" s="237"/>
      <c r="F5" s="237"/>
      <c r="G5" s="237"/>
      <c r="H5" s="237"/>
      <c r="I5" s="237"/>
      <c r="J5" s="237"/>
    </row>
    <row r="6" spans="1:18" ht="20.100000000000001" customHeight="1" x14ac:dyDescent="0.2">
      <c r="D6" s="240" t="s">
        <v>971</v>
      </c>
      <c r="E6" s="243"/>
      <c r="F6" s="244"/>
      <c r="G6" s="237"/>
      <c r="H6" s="237"/>
      <c r="I6" s="237"/>
      <c r="J6" s="237"/>
    </row>
    <row r="7" spans="1:18" ht="20.100000000000001" customHeight="1" x14ac:dyDescent="0.2">
      <c r="D7" s="1" t="str" cm="1">
        <f t="array" ref="D7:D9">Table_SourceData_Scope3_LickBlocks[Product]</f>
        <v>Lick block, dry season mix</v>
      </c>
      <c r="E7" s="74">
        <v>100</v>
      </c>
      <c r="F7" s="16" t="s">
        <v>748</v>
      </c>
      <c r="G7" s="237"/>
      <c r="H7" s="237"/>
      <c r="I7" s="237"/>
      <c r="J7" s="237"/>
    </row>
    <row r="8" spans="1:18" ht="20.100000000000001" customHeight="1" x14ac:dyDescent="0.2">
      <c r="A8" s="7" t="s">
        <v>0</v>
      </c>
      <c r="D8" s="1" t="str">
        <v>Lick block, mineral</v>
      </c>
      <c r="E8" s="74">
        <v>100</v>
      </c>
      <c r="F8" s="16" t="s">
        <v>748</v>
      </c>
      <c r="G8" s="237"/>
      <c r="H8" s="237"/>
      <c r="I8" s="237"/>
      <c r="J8" s="237"/>
    </row>
    <row r="9" spans="1:18" ht="20.100000000000001" customHeight="1" x14ac:dyDescent="0.2">
      <c r="A9" s="5" t="str">
        <f>HYPERLINK("#'Input - Enterprise'!A1", "Enterprise")</f>
        <v>Enterprise</v>
      </c>
      <c r="D9" s="1" t="str">
        <v>Lick block, weaner</v>
      </c>
      <c r="E9" s="74">
        <v>100</v>
      </c>
      <c r="F9" s="16" t="s">
        <v>748</v>
      </c>
      <c r="G9" s="237"/>
      <c r="H9" s="237"/>
      <c r="I9" s="237"/>
      <c r="J9" s="237"/>
    </row>
    <row r="10" spans="1:18" ht="20.100000000000001" customHeight="1" x14ac:dyDescent="0.2">
      <c r="A10" s="5" t="str">
        <f>HYPERLINK("#'Input - Site'!A1", "Site")</f>
        <v>Site</v>
      </c>
      <c r="G10" s="237"/>
      <c r="H10" s="237"/>
      <c r="I10" s="237"/>
      <c r="J10" s="237"/>
    </row>
    <row r="11" spans="1:18" ht="20.100000000000001" customHeight="1" x14ac:dyDescent="0.2">
      <c r="A11" s="5" t="str">
        <f>HYPERLINK("#'Input - Feedlot'!A1", "Feedlot")</f>
        <v>Feedlot</v>
      </c>
      <c r="D11" s="240" t="s">
        <v>972</v>
      </c>
      <c r="E11" s="24"/>
      <c r="F11" s="24"/>
      <c r="G11" s="237"/>
      <c r="H11" s="237"/>
      <c r="I11" s="237"/>
      <c r="J11" s="237"/>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748</v>
      </c>
      <c r="G12" s="237"/>
      <c r="H12" s="237"/>
      <c r="I12" s="237"/>
      <c r="J12" s="237"/>
    </row>
    <row r="13" spans="1:18" ht="20.100000000000001" customHeight="1" x14ac:dyDescent="0.2">
      <c r="A13" s="5" t="str">
        <f>HYPERLINK("#'Input - Beef cattle purchases'!A1", "Beef cattle purchases")</f>
        <v>Beef cattle purchases</v>
      </c>
      <c r="D13" s="1" t="str">
        <v>Feed for dairy calves</v>
      </c>
      <c r="E13" s="74">
        <v>100</v>
      </c>
      <c r="F13" s="16" t="s">
        <v>748</v>
      </c>
      <c r="G13" s="237"/>
      <c r="H13" s="237"/>
      <c r="I13" s="237"/>
      <c r="J13" s="237"/>
    </row>
    <row r="14" spans="1:18" ht="20.100000000000001" customHeight="1" x14ac:dyDescent="0.2">
      <c r="A14" s="5" t="str">
        <f>HYPERLINK("#'Input - Fuel'!A1", "Fuel")</f>
        <v>Fuel</v>
      </c>
      <c r="D14" s="1" t="str">
        <v>Feed for dairy cows</v>
      </c>
      <c r="E14" s="74">
        <v>100</v>
      </c>
      <c r="F14" s="16" t="s">
        <v>748</v>
      </c>
      <c r="G14" s="237"/>
      <c r="H14" s="237"/>
      <c r="I14" s="237"/>
      <c r="J14" s="237"/>
    </row>
    <row r="15" spans="1:18" ht="20.100000000000001" customHeight="1" x14ac:dyDescent="0.2">
      <c r="A15" s="5" t="str">
        <f>HYPERLINK("#'Input - Electricity'!A1", "Electricity")</f>
        <v>Electricity</v>
      </c>
      <c r="D15" s="1" t="str">
        <v>Feed for pigs</v>
      </c>
      <c r="E15" s="74">
        <v>100</v>
      </c>
      <c r="F15" s="16" t="s">
        <v>748</v>
      </c>
      <c r="G15" s="237"/>
      <c r="H15" s="237"/>
      <c r="I15" s="237"/>
      <c r="J15" s="237"/>
    </row>
    <row r="16" spans="1:18" ht="20.100000000000001" customHeight="1" x14ac:dyDescent="0.2">
      <c r="A16" s="5" t="str">
        <f>HYPERLINK("#'Input - Common farm inputs'!A1", "Common farm inputs")</f>
        <v>Common farm inputs</v>
      </c>
      <c r="D16" s="24"/>
      <c r="E16" s="24"/>
      <c r="F16" s="24"/>
      <c r="G16" s="237"/>
      <c r="H16" s="237"/>
      <c r="I16" s="237"/>
      <c r="J16" s="237"/>
    </row>
    <row r="17" spans="1:17" ht="20.100000000000001" customHeight="1" x14ac:dyDescent="0.2">
      <c r="A17" s="101" t="str">
        <f>HYPERLINK("#'Input - Livestock farm Inputs'!A1", "Livestock farm Inputs")</f>
        <v>Livestock farm Inputs</v>
      </c>
      <c r="D17" s="240" t="s">
        <v>973</v>
      </c>
      <c r="E17" s="24"/>
      <c r="F17" s="24"/>
      <c r="G17" s="237"/>
      <c r="H17" s="237"/>
      <c r="I17" s="237"/>
      <c r="J17" s="237"/>
    </row>
    <row r="18" spans="1:17" ht="20.100000000000001" customHeight="1" x14ac:dyDescent="0.2">
      <c r="A18" s="5" t="str">
        <f>HYPERLINK("#'Input - Freight'!A1", "Freight")</f>
        <v>Freight</v>
      </c>
      <c r="D18" s="78" t="s">
        <v>974</v>
      </c>
      <c r="E18" s="78" t="s">
        <v>975</v>
      </c>
      <c r="F18" s="78" t="s">
        <v>710</v>
      </c>
      <c r="G18" s="78" t="s">
        <v>976</v>
      </c>
      <c r="H18" s="78" t="s">
        <v>688</v>
      </c>
      <c r="I18" s="78" t="s">
        <v>977</v>
      </c>
      <c r="J18" s="78" t="s">
        <v>978</v>
      </c>
      <c r="K18" s="78" t="s">
        <v>690</v>
      </c>
      <c r="L18" s="78" t="s">
        <v>979</v>
      </c>
      <c r="M18" s="78" t="s">
        <v>980</v>
      </c>
      <c r="N18" s="78" t="s">
        <v>692</v>
      </c>
      <c r="O18" s="78" t="s">
        <v>981</v>
      </c>
      <c r="P18" s="78" t="s">
        <v>982</v>
      </c>
      <c r="Q18" s="147" t="s">
        <v>694</v>
      </c>
    </row>
    <row r="19" spans="1:17" ht="20.100000000000001" customHeight="1" x14ac:dyDescent="0.2">
      <c r="A19" s="5" t="str">
        <f>HYPERLINK("#'Input - Solid waste'!A1", "Solid waste")</f>
        <v>Solid waste</v>
      </c>
      <c r="D19" s="33"/>
      <c r="E19" s="245">
        <v>1200</v>
      </c>
      <c r="F19" s="13" t="s">
        <v>983</v>
      </c>
      <c r="G19" s="13" t="s">
        <v>500</v>
      </c>
      <c r="H19" s="148">
        <v>0.35</v>
      </c>
      <c r="I19" s="13" t="s">
        <v>984</v>
      </c>
      <c r="J19" s="13" t="s">
        <v>500</v>
      </c>
      <c r="K19" s="148">
        <v>0.22</v>
      </c>
      <c r="L19" s="13" t="s">
        <v>985</v>
      </c>
      <c r="M19" s="13" t="s">
        <v>986</v>
      </c>
      <c r="N19" s="148">
        <v>0.12</v>
      </c>
      <c r="O19" s="13" t="s">
        <v>987</v>
      </c>
      <c r="P19" s="13" t="s">
        <v>498</v>
      </c>
      <c r="Q19" s="148">
        <v>0.05</v>
      </c>
    </row>
    <row r="20" spans="1:17" ht="20.100000000000001" customHeight="1" x14ac:dyDescent="0.2">
      <c r="A20" s="5" t="str">
        <f>HYPERLINK("#'Input - Manure sent off-site'!A1", "Manure sent off-site")</f>
        <v>Manure sent off-site</v>
      </c>
      <c r="D20" s="33"/>
      <c r="E20" s="245">
        <v>3456</v>
      </c>
      <c r="F20" s="13" t="s">
        <v>988</v>
      </c>
      <c r="G20" s="13" t="s">
        <v>986</v>
      </c>
      <c r="H20" s="148">
        <v>0.2</v>
      </c>
      <c r="I20" s="13" t="s">
        <v>988</v>
      </c>
      <c r="J20" s="13" t="s">
        <v>496</v>
      </c>
      <c r="K20" s="148">
        <v>0.2</v>
      </c>
      <c r="L20" s="13"/>
      <c r="M20" s="13"/>
      <c r="N20" s="148"/>
      <c r="O20" s="13"/>
      <c r="P20" s="13"/>
      <c r="Q20" s="148"/>
    </row>
    <row r="21" spans="1:17" ht="20.100000000000001" customHeight="1" x14ac:dyDescent="0.2">
      <c r="A21" s="5" t="str">
        <f>HYPERLINK("#'Input - Data quality'!A1", "Data quality")</f>
        <v>Data quality</v>
      </c>
      <c r="D21" s="33" t="s">
        <v>989</v>
      </c>
      <c r="E21" s="245">
        <v>300</v>
      </c>
      <c r="F21" s="13" t="s">
        <v>990</v>
      </c>
      <c r="G21" s="13" t="s">
        <v>500</v>
      </c>
      <c r="H21" s="148">
        <v>0.8</v>
      </c>
      <c r="I21" s="13" t="s">
        <v>991</v>
      </c>
      <c r="J21" s="13" t="s">
        <v>992</v>
      </c>
      <c r="K21" s="148">
        <v>0.2</v>
      </c>
      <c r="L21" s="13"/>
      <c r="M21" s="13"/>
      <c r="N21" s="148"/>
      <c r="O21" s="13"/>
      <c r="P21" s="13"/>
      <c r="Q21" s="148"/>
    </row>
    <row r="22" spans="1:17" ht="20.100000000000001" customHeight="1" x14ac:dyDescent="0.2">
      <c r="A22" s="5" t="str">
        <f>HYPERLINK("#'Input - Fert Prod System'!A1", "Fert Prod System")</f>
        <v>Fert Prod System</v>
      </c>
      <c r="D22" s="33"/>
      <c r="E22" s="245">
        <v>500</v>
      </c>
      <c r="F22" s="13" t="s">
        <v>993</v>
      </c>
      <c r="G22" s="13" t="s">
        <v>501</v>
      </c>
      <c r="H22" s="148">
        <v>1</v>
      </c>
      <c r="I22" s="13"/>
      <c r="J22" s="13"/>
      <c r="K22" s="148"/>
      <c r="L22" s="13"/>
      <c r="M22" s="13"/>
      <c r="N22" s="148"/>
      <c r="O22" s="13"/>
      <c r="P22" s="13"/>
      <c r="Q22" s="148"/>
    </row>
    <row r="23" spans="1:17" ht="20.100000000000001" customHeight="1" x14ac:dyDescent="0.2">
      <c r="A23" s="5" t="str">
        <f>HYPERLINK("#'Input - Fertiliser'!A1", "Fertiliser")</f>
        <v>Fertiliser</v>
      </c>
      <c r="D23" s="33"/>
      <c r="E23" s="245"/>
      <c r="F23" s="13"/>
      <c r="G23" s="13"/>
      <c r="H23" s="148"/>
      <c r="I23" s="13"/>
      <c r="J23" s="13"/>
      <c r="K23" s="148"/>
      <c r="L23" s="13"/>
      <c r="M23" s="13"/>
      <c r="N23" s="148"/>
      <c r="O23" s="13"/>
      <c r="P23" s="13"/>
      <c r="Q23" s="148"/>
    </row>
    <row r="24" spans="1:17" ht="20.100000000000001" customHeight="1" x14ac:dyDescent="0.2">
      <c r="D24" s="33"/>
      <c r="E24" s="245"/>
      <c r="F24" s="13"/>
      <c r="G24" s="13"/>
      <c r="H24" s="148"/>
      <c r="I24" s="13"/>
      <c r="J24" s="13"/>
      <c r="K24" s="148"/>
      <c r="L24" s="13"/>
      <c r="M24" s="13"/>
      <c r="N24" s="148"/>
      <c r="O24" s="13"/>
      <c r="P24" s="13"/>
      <c r="Q24" s="148"/>
    </row>
    <row r="25" spans="1:17" ht="20.100000000000001" customHeight="1" x14ac:dyDescent="0.2">
      <c r="D25" s="33"/>
      <c r="E25" s="245"/>
      <c r="F25" s="13"/>
      <c r="G25" s="13"/>
      <c r="H25" s="148"/>
      <c r="I25" s="13"/>
      <c r="J25" s="13"/>
      <c r="K25" s="148"/>
      <c r="L25" s="13"/>
      <c r="M25" s="13"/>
      <c r="N25" s="148"/>
      <c r="O25" s="13"/>
      <c r="P25" s="13"/>
      <c r="Q25" s="148"/>
    </row>
    <row r="26" spans="1:17" ht="20.100000000000001" customHeight="1" x14ac:dyDescent="0.2">
      <c r="A26" s="6" t="s">
        <v>2</v>
      </c>
      <c r="D26" s="33"/>
      <c r="E26" s="245"/>
      <c r="F26" s="13"/>
      <c r="G26" s="13"/>
      <c r="H26" s="148"/>
      <c r="I26" s="13"/>
      <c r="J26" s="13"/>
      <c r="K26" s="148"/>
      <c r="L26" s="13"/>
      <c r="M26" s="13"/>
      <c r="N26" s="148"/>
      <c r="O26" s="13"/>
      <c r="P26" s="13"/>
      <c r="Q26" s="148"/>
    </row>
    <row r="27" spans="1:17" ht="20.100000000000001" customHeight="1" x14ac:dyDescent="0.2">
      <c r="A27" s="5" t="str">
        <f>HYPERLINK("#'3.1.1.1-2 Enteric Methane'!A1", "3.1.1.1-2 Enteric Methane")</f>
        <v>3.1.1.1-2 Enteric Methane</v>
      </c>
      <c r="D27" s="33"/>
      <c r="E27" s="245"/>
      <c r="F27" s="13"/>
      <c r="G27" s="13"/>
      <c r="H27" s="148"/>
      <c r="I27" s="13"/>
      <c r="J27" s="13"/>
      <c r="K27" s="148"/>
      <c r="L27" s="13"/>
      <c r="M27" s="13"/>
      <c r="N27" s="148"/>
      <c r="O27" s="13"/>
      <c r="P27" s="13"/>
      <c r="Q27" s="148"/>
    </row>
    <row r="28" spans="1:17" ht="20.100000000000001" customHeight="1" x14ac:dyDescent="0.2">
      <c r="A28" s="5" t="str">
        <f>HYPERLINK("#'4.1.1.1-2 Methane'!A1", "4.1.1.1-2 Manure Methane")</f>
        <v>4.1.1.1-2 Manure Methane</v>
      </c>
      <c r="D28" s="33"/>
      <c r="E28" s="245"/>
      <c r="F28" s="13"/>
      <c r="G28" s="13"/>
      <c r="H28" s="148"/>
      <c r="I28" s="13"/>
      <c r="J28" s="13"/>
      <c r="K28" s="148"/>
      <c r="L28" s="13"/>
      <c r="M28" s="13"/>
      <c r="N28" s="148"/>
      <c r="O28" s="13"/>
      <c r="P28" s="13"/>
      <c r="Q28" s="148"/>
    </row>
    <row r="29" spans="1:17" ht="20.100000000000001" customHeight="1" x14ac:dyDescent="0.2">
      <c r="A29" s="5" t="str">
        <f>HYPERLINK("#'4.1.1.3-4 Direct N20'!A1", "4.1.1.3-4 Manure Direct N2O")</f>
        <v>4.1.1.3-4 Manure Direct N2O</v>
      </c>
    </row>
    <row r="30" spans="1:17" ht="20.100000000000001" customHeight="1" x14ac:dyDescent="0.2">
      <c r="A30" s="5" t="str">
        <f>HYPERLINK("#'4.1.1.5-6 Atmos Deposition'!A1", "4.1.1.5-6 Manure Atmos Dep")</f>
        <v>4.1.1.5-6 Manure Atmos Dep</v>
      </c>
    </row>
    <row r="31" spans="1:17" ht="20.100000000000001" customHeight="1" x14ac:dyDescent="0.2">
      <c r="A31" s="5" t="str">
        <f>HYPERLINK("#'4.1.1.9 Manure applied to soils'!A1", "4.1.1.9 Manure applied to soils")</f>
        <v>4.1.1.9 Manure applied to soils</v>
      </c>
      <c r="D31" s="240" t="s">
        <v>994</v>
      </c>
    </row>
    <row r="32" spans="1:17" ht="20.100000000000001" customHeight="1" x14ac:dyDescent="0.2">
      <c r="A32" s="5" t="str">
        <f>HYPERLINK("#'8.1.1.1-2 Transport fuel'!A1", "8.1.1.1-2 Transport fuel")</f>
        <v>8.1.1.1-2 Transport fuel</v>
      </c>
      <c r="D32" s="78" t="s">
        <v>947</v>
      </c>
      <c r="E32" s="78" t="s">
        <v>948</v>
      </c>
      <c r="F32" s="78" t="s">
        <v>995</v>
      </c>
    </row>
    <row r="33" spans="1:6" ht="20.100000000000001" customHeight="1" x14ac:dyDescent="0.2">
      <c r="A33" s="5" t="str">
        <f>HYPERLINK("#'8.2.1.1-2 Stationary fuel'!A1", "8.2.1.1-2 Stationary fuel")</f>
        <v>8.2.1.1-2 Stationary fuel</v>
      </c>
      <c r="D33" s="33" t="s">
        <v>996</v>
      </c>
      <c r="E33" s="196" t="s">
        <v>997</v>
      </c>
      <c r="F33" s="74">
        <v>100</v>
      </c>
    </row>
    <row r="34" spans="1:6" ht="20.100000000000001" customHeight="1" x14ac:dyDescent="0.2">
      <c r="A34" s="5" t="str">
        <f>HYPERLINK("#'10.1.1-2 Solid waste treatment'!A1", "10.1.1.1-2 Solid waste")</f>
        <v>10.1.1.1-2 Solid waste</v>
      </c>
      <c r="D34" s="33" t="s">
        <v>998</v>
      </c>
      <c r="E34" s="246" t="s">
        <v>999</v>
      </c>
      <c r="F34" s="241">
        <v>100</v>
      </c>
    </row>
    <row r="35" spans="1:6" ht="20.100000000000001" customHeight="1" x14ac:dyDescent="0.2">
      <c r="A35" s="5" t="str">
        <f>HYPERLINK("#'14.1.1-2 Purchased electricity'!A1", "14.1.1-2 Purchased electricity")</f>
        <v>14.1.1-2 Purchased electricity</v>
      </c>
      <c r="D35" s="33" t="s">
        <v>1000</v>
      </c>
      <c r="E35" s="246" t="s">
        <v>1001</v>
      </c>
      <c r="F35" s="241">
        <v>100</v>
      </c>
    </row>
    <row r="36" spans="1:6" ht="20.100000000000001" customHeight="1" x14ac:dyDescent="0.2">
      <c r="A36" s="5" t="str">
        <f>HYPERLINK("#'15 Scope 3'!A1", "15 Scope 3")</f>
        <v>15 Scope 3</v>
      </c>
      <c r="D36" s="33" t="s">
        <v>1002</v>
      </c>
      <c r="E36" s="246" t="s">
        <v>1003</v>
      </c>
      <c r="F36" s="241">
        <v>100</v>
      </c>
    </row>
    <row r="37" spans="1:6" ht="20.100000000000001" customHeight="1" x14ac:dyDescent="0.2">
      <c r="A37" s="5" t="str">
        <f>HYPERLINK("#'Calcs - Manure sent off-site'!A1", "Calcs - Manure sent off-site")</f>
        <v>Calcs - Manure sent off-site</v>
      </c>
      <c r="D37" s="33" t="s">
        <v>996</v>
      </c>
      <c r="E37" s="246" t="s">
        <v>997</v>
      </c>
      <c r="F37" s="241">
        <v>100</v>
      </c>
    </row>
    <row r="38" spans="1:6" ht="20.100000000000001" customHeight="1" x14ac:dyDescent="0.2">
      <c r="A38" s="5" t="str">
        <f>HYPERLINK("#'5.1.1.1-2 Inorganic fert N2O'!A1", "5.1.1.1-2 Inorganic fert N2O")</f>
        <v>5.1.1.1-2 Inorganic fert N2O</v>
      </c>
      <c r="D38" s="33" t="s">
        <v>998</v>
      </c>
      <c r="E38" s="246" t="s">
        <v>999</v>
      </c>
      <c r="F38" s="241">
        <v>100</v>
      </c>
    </row>
    <row r="39" spans="1:6" ht="20.100000000000001" customHeight="1" x14ac:dyDescent="0.2">
      <c r="A39" s="5" t="str">
        <f>HYPERLINK("#'5.1.1.3-4 Inorganic fert CO2'!A1", "5.1.1.3-4 Inorganic fert CO2")</f>
        <v>5.1.1.3-4 Inorganic fert CO2</v>
      </c>
      <c r="D39" s="33"/>
      <c r="E39" s="196"/>
      <c r="F39" s="74"/>
    </row>
    <row r="40" spans="1:6" ht="20.100000000000001" customHeight="1" x14ac:dyDescent="0.2">
      <c r="A40" s="5" t="str">
        <f>HYPERLINK("#'5.2.1.1-2 Organic Fert N2O'!A1", "5.2.1.1-2 Organic Fert N2O")</f>
        <v>5.2.1.1-2 Organic Fert N2O</v>
      </c>
      <c r="D40" s="33"/>
      <c r="E40" s="196"/>
      <c r="F40" s="74"/>
    </row>
    <row r="41" spans="1:6" ht="20.100000000000001" customHeight="1" x14ac:dyDescent="0.2">
      <c r="A41" s="5" t="str">
        <f>HYPERLINK("#'5.3.1.1-2 Lime CO2'!A1", "5.3.1.1-2 Lime CO2")</f>
        <v>5.3.1.1-2 Lime CO2</v>
      </c>
      <c r="D41" s="33"/>
      <c r="E41" s="196"/>
      <c r="F41" s="74"/>
    </row>
    <row r="42" spans="1:6" ht="20.100000000000001" customHeight="1" x14ac:dyDescent="0.2">
      <c r="A42" s="5" t="str">
        <f>HYPERLINK("#'5.4.1.1-4 Atmos deposition'!A1", "5.4.1.1-4 Atmos deposition")</f>
        <v>5.4.1.1-4 Atmos deposition</v>
      </c>
      <c r="D42" s="33"/>
      <c r="E42" s="196"/>
      <c r="F42" s="74"/>
    </row>
    <row r="43" spans="1:6" ht="20.100000000000001" customHeight="1" x14ac:dyDescent="0.2">
      <c r="A43" s="5" t="str">
        <f>HYPERLINK("#'5.5.1.1-2 Leaching and runoff'!A1", "5.5.1.1-2 Leaching and runoff")</f>
        <v>5.5.1.1-2 Leaching and runoff</v>
      </c>
    </row>
    <row r="46" spans="1:6" ht="20.100000000000001" customHeight="1" x14ac:dyDescent="0.2">
      <c r="A46" s="80" t="s">
        <v>1</v>
      </c>
      <c r="D46" s="2" t="s">
        <v>1004</v>
      </c>
      <c r="E46" s="237"/>
      <c r="F46" s="237"/>
    </row>
    <row r="47" spans="1:6" ht="20.100000000000001" customHeight="1" x14ac:dyDescent="0.2">
      <c r="A47" s="5" t="str">
        <f>HYPERLINK("#'Constants - Feedlot'!A1", "Constants - Feedlot")</f>
        <v>Constants - Feedlot</v>
      </c>
      <c r="D47" s="1" t="str">
        <f>'Constants - Scope 3'!E202</f>
        <v>Animal ear tags (large)</v>
      </c>
      <c r="E47" s="74">
        <v>100</v>
      </c>
      <c r="F47" s="16" t="s">
        <v>1005</v>
      </c>
    </row>
    <row r="48" spans="1:6" ht="20.100000000000001" customHeight="1" x14ac:dyDescent="0.2">
      <c r="A48" s="5" t="str">
        <f>HYPERLINK("#'Constants - Common livestock'!A1", "Constants - Common Livestock")</f>
        <v>Constants - Common Livestock</v>
      </c>
      <c r="D48" s="1" t="str">
        <f>'Constants - Scope 3'!E203</f>
        <v>Animal ear tags (small)</v>
      </c>
      <c r="E48" s="74">
        <v>200</v>
      </c>
      <c r="F48" s="16" t="s">
        <v>1005</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3">
    <dataValidation type="list" allowBlank="1" showInputMessage="1" showErrorMessage="1" sqref="E33:E42" xr:uid="{11282AB3-1117-46CA-B030-8308F716AA07}">
      <formula1>INDIRECT("Table_SourceData_Scope3_ChemicalsPharmacy[Product]")</formula1>
    </dataValidation>
    <dataValidation type="list" allowBlank="1" showInputMessage="1" showErrorMessage="1" sqref="M19:M28 P19:P28 J19:J28 G19:G28" xr:uid="{A6DBBF40-7715-4969-AA23-4A795417C609}">
      <formula1>INDIRECT("Table_ProductRegions_" &amp; SUBSTITUTE(SUBSTITUTE(SUBSTITUTE(SUBSTITUTE(F19, " ", ""), ",", ""), "(", ""), ")", "") &amp; "[Region]")</formula1>
    </dataValidation>
    <dataValidation type="list" allowBlank="1" showInputMessage="1" showErrorMessage="1" sqref="F19:F28 I19:I28 L19:L28 O19:O28" xr:uid="{0197A908-B49B-46E0-8DB5-8D98AFB2EA85}">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C1E0-E4A7-4E3F-88D3-2CACFE1AF042}">
  <sheetPr>
    <tabColor theme="5" tint="-0.249977111117893"/>
  </sheetPr>
  <dimension ref="A1:J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1006</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1007</v>
      </c>
    </row>
    <row r="8" spans="1:10" ht="20.100000000000001" customHeight="1" x14ac:dyDescent="0.2">
      <c r="A8" s="7" t="s">
        <v>0</v>
      </c>
      <c r="D8" s="19" t="s">
        <v>1008</v>
      </c>
      <c r="E8" s="19" t="s">
        <v>1009</v>
      </c>
      <c r="F8" s="19" t="s">
        <v>1010</v>
      </c>
      <c r="G8" s="19" t="s">
        <v>1011</v>
      </c>
      <c r="H8" s="19" t="s">
        <v>1012</v>
      </c>
    </row>
    <row r="9" spans="1:10" ht="20.100000000000001" customHeight="1" x14ac:dyDescent="0.2">
      <c r="A9" s="5" t="str">
        <f>HYPERLINK("#'Input - Enterprise'!A1", "Enterprise")</f>
        <v>Enterprise</v>
      </c>
      <c r="D9" s="33" t="s">
        <v>1013</v>
      </c>
      <c r="E9" s="13" t="s">
        <v>1014</v>
      </c>
      <c r="F9" s="19">
        <v>986</v>
      </c>
      <c r="G9" s="19">
        <v>10</v>
      </c>
      <c r="H9" s="19">
        <v>52</v>
      </c>
    </row>
    <row r="10" spans="1:10" ht="20.100000000000001" customHeight="1" x14ac:dyDescent="0.2">
      <c r="A10" s="5" t="str">
        <f>HYPERLINK("#'Input - Site'!A1", "Site")</f>
        <v>Site</v>
      </c>
      <c r="D10" s="33" t="s">
        <v>1015</v>
      </c>
      <c r="E10" s="13" t="s">
        <v>1016</v>
      </c>
      <c r="F10" s="19">
        <v>65</v>
      </c>
      <c r="G10" s="19">
        <v>10</v>
      </c>
      <c r="H10" s="19">
        <v>6</v>
      </c>
    </row>
    <row r="11" spans="1:10" ht="20.100000000000001" customHeight="1" x14ac:dyDescent="0.2">
      <c r="A11" s="5" t="str">
        <f>HYPERLINK("#'Input - Feedlot'!A1", "Feedlot")</f>
        <v>Feedlot</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Beef cattle purchases'!A1", "Beef cattle purchases")</f>
        <v>Beef cattle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101"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1017</v>
      </c>
    </row>
    <row r="23" spans="1:8" ht="20.100000000000001" customHeight="1" x14ac:dyDescent="0.2">
      <c r="A23" s="5" t="str">
        <f>HYPERLINK("#'Input - Fertiliser'!A1", "Fertiliser")</f>
        <v>Fertiliser</v>
      </c>
    </row>
    <row r="24" spans="1:8" ht="20.100000000000001" customHeight="1" x14ac:dyDescent="0.2">
      <c r="D24" s="19" t="s">
        <v>1008</v>
      </c>
      <c r="E24" s="19" t="s">
        <v>1009</v>
      </c>
      <c r="F24" s="19" t="s">
        <v>1010</v>
      </c>
      <c r="G24" s="19" t="s">
        <v>1011</v>
      </c>
      <c r="H24" s="19" t="s">
        <v>1012</v>
      </c>
    </row>
    <row r="25" spans="1:8" ht="20.100000000000001" customHeight="1" x14ac:dyDescent="0.2">
      <c r="D25" s="33" t="s">
        <v>1018</v>
      </c>
      <c r="E25" s="13" t="s">
        <v>1014</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HYPERLINK("#'3.1.1.1-2 Enteric Methane'!A1", "3.1.1.1-2 Enteric Methane")</f>
        <v>3.1.1.1-2 Enteric Methane</v>
      </c>
      <c r="D27" s="33"/>
      <c r="E27" s="13"/>
      <c r="F27" s="19"/>
      <c r="G27" s="19"/>
      <c r="H27" s="19"/>
    </row>
    <row r="28" spans="1:8" ht="20.100000000000001" customHeight="1" x14ac:dyDescent="0.2">
      <c r="A28" s="5" t="str">
        <f>HYPERLINK("#'4.1.1.1-2 Methane'!A1", "4.1.1.1-2 Manure Methane")</f>
        <v>4.1.1.1-2 Manure Methane</v>
      </c>
      <c r="D28" s="33"/>
      <c r="E28" s="13"/>
      <c r="F28" s="19"/>
      <c r="G28" s="19"/>
      <c r="H28" s="19"/>
    </row>
    <row r="29" spans="1:8" ht="20.100000000000001" customHeight="1" x14ac:dyDescent="0.2">
      <c r="A29" s="5" t="str">
        <f>HYPERLINK("#'4.1.1.3-4 Direct N20'!A1", "4.1.1.3-4 Manure Direct N2O")</f>
        <v>4.1.1.3-4 Manure Direct N2O</v>
      </c>
      <c r="D29" s="33"/>
      <c r="E29" s="13"/>
      <c r="F29" s="19"/>
      <c r="G29" s="19"/>
      <c r="H29" s="19"/>
    </row>
    <row r="30" spans="1:8" ht="20.100000000000001" customHeight="1" x14ac:dyDescent="0.2">
      <c r="A30" s="5" t="str">
        <f>HYPERLINK("#'4.1.1.5-6 Atmos Deposition'!A1", "4.1.1.5-6 Manure Atmos Dep")</f>
        <v>4.1.1.5-6 Manure Atmos Dep</v>
      </c>
      <c r="D30" s="33"/>
      <c r="E30" s="13"/>
      <c r="F30" s="19"/>
      <c r="G30" s="19"/>
      <c r="H30" s="19"/>
    </row>
    <row r="31" spans="1:8" ht="20.100000000000001" customHeight="1" x14ac:dyDescent="0.2">
      <c r="A31" s="5" t="str">
        <f>HYPERLINK("#'4.1.1.9 Manure applied to soils'!A1", "4.1.1.9 Manure applied to soils")</f>
        <v>4.1.1.9 Manure applied to soils</v>
      </c>
      <c r="D31" s="33"/>
      <c r="E31" s="13"/>
      <c r="F31" s="19"/>
      <c r="G31" s="19"/>
      <c r="H31" s="19"/>
    </row>
    <row r="32" spans="1:8" ht="20.100000000000001" customHeight="1" x14ac:dyDescent="0.2">
      <c r="A32" s="5" t="str">
        <f>HYPERLINK("#'8.1.1.1-2 Transport fuel'!A1", "8.1.1.1-2 Transport fuel")</f>
        <v>8.1.1.1-2 Transport fuel</v>
      </c>
      <c r="D32" s="33"/>
      <c r="E32" s="13"/>
      <c r="F32" s="19"/>
      <c r="G32" s="19"/>
      <c r="H32" s="19"/>
    </row>
    <row r="33" spans="1:8" ht="20.100000000000001" customHeight="1" x14ac:dyDescent="0.2">
      <c r="A33" s="5" t="str">
        <f>HYPERLINK("#'8.2.1.1-2 Stationary fuel'!A1", "8.2.1.1-2 Stationary fuel")</f>
        <v>8.2.1.1-2 Stationary fuel</v>
      </c>
      <c r="D33" s="33"/>
      <c r="E33" s="13"/>
      <c r="F33" s="19"/>
      <c r="G33" s="19"/>
      <c r="H33" s="19"/>
    </row>
    <row r="34" spans="1:8" ht="20.100000000000001" customHeight="1" x14ac:dyDescent="0.2">
      <c r="A34" s="5" t="str">
        <f>HYPERLINK("#'10.1.1-2 Solid waste treatment'!A1", "10.1.1.1-2 Solid waste")</f>
        <v>10.1.1.1-2 Solid waste</v>
      </c>
      <c r="D34" s="33"/>
      <c r="E34" s="13"/>
      <c r="F34" s="19"/>
      <c r="G34" s="19"/>
      <c r="H34" s="19"/>
    </row>
    <row r="35" spans="1:8" ht="20.100000000000001" customHeight="1" x14ac:dyDescent="0.2">
      <c r="A35" s="5" t="str">
        <f>HYPERLINK("#'14.1.1-2 Purchased electricity'!A1", "14.1.1-2 Purchased electricity")</f>
        <v>14.1.1-2 Purchased electricity</v>
      </c>
    </row>
    <row r="36" spans="1:8" ht="20.100000000000001" customHeight="1" x14ac:dyDescent="0.2">
      <c r="A36" s="5" t="str">
        <f>HYPERLINK("#'15 Scope 3'!A1", "15 Scope 3")</f>
        <v>15 Scope 3</v>
      </c>
    </row>
    <row r="37" spans="1:8" ht="20.100000000000001" customHeight="1" x14ac:dyDescent="0.2">
      <c r="A37" s="5" t="str">
        <f>HYPERLINK("#'Calcs - Manure sent off-site'!A1", "Calcs - Manure sent off-site")</f>
        <v>Calcs - Manure sent off-site</v>
      </c>
    </row>
    <row r="38" spans="1:8" ht="20.100000000000001" customHeight="1" x14ac:dyDescent="0.2">
      <c r="A38" s="5" t="str">
        <f>HYPERLINK("#'5.1.1.1-2 Inorganic fert N2O'!A1", "5.1.1.1-2 Inorganic fert N2O")</f>
        <v>5.1.1.1-2 Inorganic fert N2O</v>
      </c>
    </row>
    <row r="39" spans="1:8" ht="20.100000000000001" customHeight="1" x14ac:dyDescent="0.2">
      <c r="A39" s="5" t="str">
        <f>HYPERLINK("#'5.1.1.3-4 Inorganic fert CO2'!A1", "5.1.1.3-4 Inorganic fert CO2")</f>
        <v>5.1.1.3-4 Inorganic fert CO2</v>
      </c>
    </row>
    <row r="40" spans="1:8" ht="20.100000000000001" customHeight="1" x14ac:dyDescent="0.2">
      <c r="A40" s="5" t="str">
        <f>HYPERLINK("#'5.2.1.1-2 Organic Fert N2O'!A1", "5.2.1.1-2 Organic Fert N2O")</f>
        <v>5.2.1.1-2 Organic Fert N2O</v>
      </c>
    </row>
    <row r="41" spans="1:8" ht="20.100000000000001" customHeight="1" x14ac:dyDescent="0.2">
      <c r="A41" s="5" t="str">
        <f>HYPERLINK("#'5.3.1.1-2 Lime CO2'!A1", "5.3.1.1-2 Lime CO2")</f>
        <v>5.3.1.1-2 Lime CO2</v>
      </c>
    </row>
    <row r="42" spans="1:8" ht="20.100000000000001" customHeight="1" x14ac:dyDescent="0.2">
      <c r="A42" s="5" t="str">
        <f>HYPERLINK("#'5.4.1.1-4 Atmos deposition'!A1", "5.4.1.1-4 Atmos deposition")</f>
        <v>5.4.1.1-4 Atmos deposition</v>
      </c>
    </row>
    <row r="43" spans="1:8" ht="20.100000000000001" customHeight="1" x14ac:dyDescent="0.2">
      <c r="A43" s="5" t="str">
        <f>HYPERLINK("#'5.5.1.1-2 Leaching and runoff'!A1", "5.5.1.1-2 Leaching and runoff")</f>
        <v>5.5.1.1-2 Leaching and runoff</v>
      </c>
    </row>
    <row r="46" spans="1:8" ht="20.100000000000001" customHeight="1" x14ac:dyDescent="0.2">
      <c r="A46" s="80" t="s">
        <v>1</v>
      </c>
    </row>
    <row r="47" spans="1:8" ht="20.100000000000001" customHeight="1" x14ac:dyDescent="0.2">
      <c r="A47" s="5" t="str">
        <f>HYPERLINK("#'Constants - Feedlot'!A1", "Constants - Feedlot")</f>
        <v>Constants - Feedlot</v>
      </c>
    </row>
    <row r="48" spans="1:8"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1">
    <dataValidation type="list" allowBlank="1" showInputMessage="1" showErrorMessage="1" sqref="E9:E18 E25:E34" xr:uid="{43B31A7B-D947-43D7-875F-EEF61088C6EF}">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8EB3-2A1A-4833-B0B8-011943A97F6C}">
  <sheetPr>
    <tabColor theme="5" tint="-0.249977111117893"/>
  </sheetPr>
  <dimension ref="A1:L38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863</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864</v>
      </c>
    </row>
    <row r="7" spans="1:10" ht="20.100000000000001" customHeight="1" x14ac:dyDescent="0.2">
      <c r="D7" s="35" t="s">
        <v>545</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865</v>
      </c>
      <c r="F9" s="78" t="s">
        <v>866</v>
      </c>
      <c r="G9" s="78" t="s">
        <v>867</v>
      </c>
      <c r="H9" s="78" t="s">
        <v>868</v>
      </c>
      <c r="I9" s="78" t="s">
        <v>869</v>
      </c>
    </row>
    <row r="10" spans="1:10" ht="20.100000000000001" customHeight="1" x14ac:dyDescent="0.2">
      <c r="A10" s="5" t="str">
        <f>HYPERLINK("#'Input - Site'!A1", "Site")</f>
        <v>Site</v>
      </c>
      <c r="D10" s="33" t="s">
        <v>870</v>
      </c>
      <c r="E10" s="13" t="s">
        <v>871</v>
      </c>
      <c r="F10" s="13" t="s">
        <v>872</v>
      </c>
      <c r="G10" s="13" t="s">
        <v>873</v>
      </c>
      <c r="H10" s="74">
        <v>50</v>
      </c>
      <c r="I10" s="13" t="s">
        <v>19</v>
      </c>
    </row>
    <row r="11" spans="1:10" ht="20.100000000000001" customHeight="1" x14ac:dyDescent="0.2">
      <c r="A11" s="5" t="str">
        <f>HYPERLINK("#'Input - Feedlot'!A1", "Feedlot")</f>
        <v>Feedlot</v>
      </c>
      <c r="D11" s="33" t="s">
        <v>874</v>
      </c>
      <c r="E11" s="13" t="s">
        <v>871</v>
      </c>
      <c r="F11" s="13" t="s">
        <v>872</v>
      </c>
      <c r="G11" s="13" t="s">
        <v>875</v>
      </c>
      <c r="H11" s="74">
        <v>50</v>
      </c>
      <c r="I11" s="13" t="s">
        <v>876</v>
      </c>
    </row>
    <row r="12" spans="1:10" ht="20.100000000000001" customHeight="1" x14ac:dyDescent="0.2">
      <c r="A12" s="5" t="str">
        <f>HYPERLINK("#'Input - Livestock sales'!A1", "Livestock sales")</f>
        <v>Livestock sales</v>
      </c>
      <c r="D12" s="33" t="s">
        <v>877</v>
      </c>
      <c r="E12" s="13" t="s">
        <v>871</v>
      </c>
      <c r="F12" s="13" t="s">
        <v>878</v>
      </c>
      <c r="G12" s="13" t="s">
        <v>873</v>
      </c>
      <c r="H12" s="74">
        <v>50</v>
      </c>
      <c r="I12" s="13" t="s">
        <v>19</v>
      </c>
    </row>
    <row r="13" spans="1:10" ht="20.100000000000001" customHeight="1" x14ac:dyDescent="0.2">
      <c r="A13" s="5" t="str">
        <f>HYPERLINK("#'Input - Beef cattle purchases'!A1", "Beef cattle purchases")</f>
        <v>Beef cattle purchases</v>
      </c>
      <c r="D13" s="33" t="s">
        <v>879</v>
      </c>
      <c r="E13" s="13" t="s">
        <v>871</v>
      </c>
      <c r="F13" s="13" t="s">
        <v>878</v>
      </c>
      <c r="G13" s="13" t="s">
        <v>875</v>
      </c>
      <c r="H13" s="74">
        <v>50</v>
      </c>
      <c r="I13" s="13" t="s">
        <v>876</v>
      </c>
    </row>
    <row r="14" spans="1:10" ht="20.100000000000001" customHeight="1" x14ac:dyDescent="0.2">
      <c r="A14" s="5" t="str">
        <f>HYPERLINK("#'Input - Fuel'!A1", "Fuel")</f>
        <v>Fuel</v>
      </c>
      <c r="D14" s="33" t="s">
        <v>880</v>
      </c>
      <c r="E14" s="13" t="s">
        <v>881</v>
      </c>
      <c r="F14" s="13" t="s">
        <v>878</v>
      </c>
      <c r="G14" s="13" t="s">
        <v>873</v>
      </c>
      <c r="H14" s="74">
        <v>50</v>
      </c>
      <c r="I14" s="13" t="s">
        <v>19</v>
      </c>
    </row>
    <row r="15" spans="1:10" ht="20.100000000000001" customHeight="1" x14ac:dyDescent="0.2">
      <c r="A15" s="5" t="str">
        <f>HYPERLINK("#'Input - Electricity'!A1", "Electricity")</f>
        <v>Electricity</v>
      </c>
      <c r="D15" s="33" t="s">
        <v>882</v>
      </c>
      <c r="E15" s="13" t="s">
        <v>881</v>
      </c>
      <c r="F15" s="13" t="s">
        <v>878</v>
      </c>
      <c r="G15" s="13" t="s">
        <v>873</v>
      </c>
      <c r="H15" s="74">
        <v>50</v>
      </c>
      <c r="I15" s="13" t="s">
        <v>876</v>
      </c>
    </row>
    <row r="16" spans="1:10" ht="20.100000000000001" customHeight="1" x14ac:dyDescent="0.2">
      <c r="A16" s="5" t="str">
        <f>HYPERLINK("#'Input - Common farm inputs'!A1", "Common farm inputs")</f>
        <v>Common farm inputs</v>
      </c>
      <c r="D16" s="33" t="s">
        <v>883</v>
      </c>
      <c r="E16" s="13" t="s">
        <v>881</v>
      </c>
      <c r="F16" s="13" t="s">
        <v>878</v>
      </c>
      <c r="G16" s="13" t="s">
        <v>875</v>
      </c>
      <c r="H16" s="74">
        <v>50</v>
      </c>
      <c r="I16" s="13" t="s">
        <v>19</v>
      </c>
    </row>
    <row r="17" spans="1:11" ht="20.100000000000001" customHeight="1" x14ac:dyDescent="0.2">
      <c r="A17" s="5" t="str">
        <f>HYPERLINK("#'Input - Livestock farm Inputs'!A1", "Livestock farm Inputs")</f>
        <v>Livestock farm Inputs</v>
      </c>
      <c r="D17" s="33" t="s">
        <v>884</v>
      </c>
      <c r="E17" s="13" t="s">
        <v>881</v>
      </c>
      <c r="F17" s="13" t="s">
        <v>878</v>
      </c>
      <c r="G17" s="13" t="s">
        <v>875</v>
      </c>
      <c r="H17" s="74">
        <v>50</v>
      </c>
      <c r="I17" s="13" t="s">
        <v>876</v>
      </c>
    </row>
    <row r="18" spans="1:11" ht="20.100000000000001" customHeight="1" x14ac:dyDescent="0.2">
      <c r="A18" s="5" t="str">
        <f>HYPERLINK("#'Input - Freight'!A1", "Freight")</f>
        <v>Freight</v>
      </c>
      <c r="D18" s="33" t="s">
        <v>885</v>
      </c>
      <c r="E18" s="13" t="s">
        <v>881</v>
      </c>
      <c r="F18" s="13" t="s">
        <v>872</v>
      </c>
      <c r="G18" s="13" t="s">
        <v>873</v>
      </c>
      <c r="H18" s="74">
        <v>50</v>
      </c>
      <c r="I18" s="13" t="s">
        <v>19</v>
      </c>
    </row>
    <row r="19" spans="1:11" ht="20.100000000000001" customHeight="1" x14ac:dyDescent="0.2">
      <c r="A19" s="101" t="str">
        <f>HYPERLINK("#'Input - Solid waste'!A1", "Solid waste")</f>
        <v>Solid waste</v>
      </c>
      <c r="D19" s="33" t="s">
        <v>886</v>
      </c>
      <c r="E19" s="13" t="s">
        <v>881</v>
      </c>
      <c r="F19" s="13" t="s">
        <v>872</v>
      </c>
      <c r="G19" s="13" t="s">
        <v>873</v>
      </c>
      <c r="H19" s="74">
        <v>50</v>
      </c>
      <c r="I19" s="13" t="s">
        <v>876</v>
      </c>
    </row>
    <row r="20" spans="1:11" ht="20.100000000000001" customHeight="1" x14ac:dyDescent="0.2">
      <c r="A20" s="5" t="str">
        <f>HYPERLINK("#'Input - Manure sent off-site'!A1", "Manure sent off-site")</f>
        <v>Manure sent off-site</v>
      </c>
      <c r="D20" s="33" t="s">
        <v>887</v>
      </c>
      <c r="E20" s="13" t="s">
        <v>881</v>
      </c>
      <c r="F20" s="13" t="s">
        <v>872</v>
      </c>
      <c r="G20" s="13" t="s">
        <v>875</v>
      </c>
      <c r="H20" s="74">
        <v>50</v>
      </c>
      <c r="I20" s="13" t="s">
        <v>19</v>
      </c>
    </row>
    <row r="21" spans="1:11" ht="20.100000000000001" customHeight="1" x14ac:dyDescent="0.2">
      <c r="A21" s="5" t="str">
        <f>HYPERLINK("#'Input - Data quality'!A1", "Data quality")</f>
        <v>Data quality</v>
      </c>
      <c r="D21" s="33" t="s">
        <v>888</v>
      </c>
      <c r="E21" s="13" t="s">
        <v>881</v>
      </c>
      <c r="F21" s="13" t="s">
        <v>872</v>
      </c>
      <c r="G21" s="13" t="s">
        <v>875</v>
      </c>
      <c r="H21" s="74">
        <v>50</v>
      </c>
      <c r="I21" s="13" t="s">
        <v>876</v>
      </c>
    </row>
    <row r="22" spans="1:11" ht="20.100000000000001" customHeight="1" x14ac:dyDescent="0.2">
      <c r="A22" s="5" t="str">
        <f>HYPERLINK("#'Input - Fert Prod System'!A1", "Fert Prod System")</f>
        <v>Fert Prod System</v>
      </c>
      <c r="D22" s="33" t="s">
        <v>889</v>
      </c>
      <c r="E22" s="13" t="s">
        <v>881</v>
      </c>
      <c r="F22" s="13" t="s">
        <v>890</v>
      </c>
      <c r="G22" s="13" t="s">
        <v>873</v>
      </c>
      <c r="H22" s="74">
        <v>50</v>
      </c>
      <c r="I22" s="13" t="s">
        <v>19</v>
      </c>
    </row>
    <row r="23" spans="1:11" ht="20.100000000000001" customHeight="1" x14ac:dyDescent="0.2">
      <c r="A23" s="5" t="str">
        <f>HYPERLINK("#'Input - Fertiliser'!A1", "Fertiliser")</f>
        <v>Fertiliser</v>
      </c>
      <c r="D23" s="33" t="s">
        <v>891</v>
      </c>
      <c r="E23" s="13" t="s">
        <v>881</v>
      </c>
      <c r="F23" s="13" t="s">
        <v>890</v>
      </c>
      <c r="G23" s="13" t="s">
        <v>873</v>
      </c>
      <c r="H23" s="74">
        <v>50</v>
      </c>
      <c r="I23" s="13" t="s">
        <v>876</v>
      </c>
    </row>
    <row r="24" spans="1:11" ht="20.100000000000001" customHeight="1" x14ac:dyDescent="0.2">
      <c r="D24" s="33" t="s">
        <v>892</v>
      </c>
      <c r="E24" s="13" t="s">
        <v>881</v>
      </c>
      <c r="F24" s="13" t="s">
        <v>890</v>
      </c>
      <c r="G24" s="13" t="s">
        <v>875</v>
      </c>
      <c r="H24" s="74">
        <v>50</v>
      </c>
      <c r="I24" s="13" t="s">
        <v>19</v>
      </c>
    </row>
    <row r="25" spans="1:11" ht="20.100000000000001" customHeight="1" x14ac:dyDescent="0.2">
      <c r="D25" s="33" t="s">
        <v>893</v>
      </c>
      <c r="E25" s="13" t="s">
        <v>881</v>
      </c>
      <c r="F25" s="13" t="s">
        <v>890</v>
      </c>
      <c r="G25" s="13" t="s">
        <v>875</v>
      </c>
      <c r="H25" s="74">
        <v>50</v>
      </c>
      <c r="I25" s="13" t="s">
        <v>876</v>
      </c>
    </row>
    <row r="26" spans="1:11" ht="20.100000000000001" customHeight="1" x14ac:dyDescent="0.2">
      <c r="A26" s="6" t="s">
        <v>2</v>
      </c>
      <c r="D26" s="33" t="s">
        <v>894</v>
      </c>
      <c r="E26" s="13" t="s">
        <v>895</v>
      </c>
      <c r="F26" s="13" t="s">
        <v>872</v>
      </c>
      <c r="G26" s="13" t="s">
        <v>875</v>
      </c>
      <c r="H26" s="74">
        <v>50</v>
      </c>
      <c r="I26" s="13" t="s">
        <v>19</v>
      </c>
    </row>
    <row r="27" spans="1:11" ht="20.100000000000001" customHeight="1" x14ac:dyDescent="0.2">
      <c r="A27" s="5" t="str">
        <f>HYPERLINK("#'3.1.1.1-2 Enteric Methane'!A1", "3.1.1.1-2 Enteric Methane")</f>
        <v>3.1.1.1-2 Enteric Methane</v>
      </c>
      <c r="D27" s="33" t="s">
        <v>896</v>
      </c>
      <c r="E27" s="13" t="s">
        <v>895</v>
      </c>
      <c r="F27" s="13" t="s">
        <v>872</v>
      </c>
      <c r="G27" s="13" t="s">
        <v>875</v>
      </c>
      <c r="H27" s="74">
        <v>50</v>
      </c>
      <c r="I27" s="13" t="s">
        <v>876</v>
      </c>
    </row>
    <row r="28" spans="1:11" ht="20.100000000000001" customHeight="1" x14ac:dyDescent="0.2">
      <c r="A28" s="5" t="str">
        <f>HYPERLINK("#'4.1.1.1-2 Methane'!A1", "4.1.1.1-2 Manure Methane")</f>
        <v>4.1.1.1-2 Manure Methane</v>
      </c>
      <c r="D28" s="33" t="s">
        <v>897</v>
      </c>
      <c r="E28" s="13" t="s">
        <v>895</v>
      </c>
      <c r="F28" s="13" t="s">
        <v>890</v>
      </c>
      <c r="G28" s="13" t="s">
        <v>875</v>
      </c>
      <c r="H28" s="74">
        <v>50</v>
      </c>
      <c r="I28" s="13" t="s">
        <v>19</v>
      </c>
    </row>
    <row r="29" spans="1:11" ht="20.100000000000001" customHeight="1" x14ac:dyDescent="0.2">
      <c r="A29" s="5" t="str">
        <f>HYPERLINK("#'4.1.1.3-4 Direct N20'!A1", "4.1.1.3-4 Manure Direct N2O")</f>
        <v>4.1.1.3-4 Manure Direct N2O</v>
      </c>
      <c r="D29" s="33" t="s">
        <v>898</v>
      </c>
      <c r="E29" s="13" t="s">
        <v>895</v>
      </c>
      <c r="F29" s="13" t="s">
        <v>890</v>
      </c>
      <c r="G29" s="13" t="s">
        <v>875</v>
      </c>
      <c r="H29" s="74">
        <v>50</v>
      </c>
      <c r="I29" s="13" t="s">
        <v>876</v>
      </c>
      <c r="K29" s="138"/>
    </row>
    <row r="30" spans="1:11" ht="20.100000000000001" customHeight="1" x14ac:dyDescent="0.2">
      <c r="A30" s="5" t="str">
        <f>HYPERLINK("#'4.1.1.5-6 Atmos Deposition'!A1", "4.1.1.5-6 Manure Atmos Dep")</f>
        <v>4.1.1.5-6 Manure Atmos Dep</v>
      </c>
      <c r="D30" s="33" t="s">
        <v>899</v>
      </c>
      <c r="E30" s="13" t="s">
        <v>895</v>
      </c>
      <c r="F30" s="13" t="s">
        <v>890</v>
      </c>
      <c r="G30" s="13" t="s">
        <v>873</v>
      </c>
      <c r="H30" s="74">
        <v>50</v>
      </c>
      <c r="I30" s="13" t="s">
        <v>19</v>
      </c>
      <c r="K30" s="138"/>
    </row>
    <row r="31" spans="1:11" ht="20.100000000000001" customHeight="1" x14ac:dyDescent="0.2">
      <c r="A31" s="5" t="str">
        <f>HYPERLINK("#'4.1.1.9 Manure applied to soils'!A1", "4.1.1.9 Manure applied to soils")</f>
        <v>4.1.1.9 Manure applied to soils</v>
      </c>
      <c r="D31" s="33" t="s">
        <v>900</v>
      </c>
      <c r="E31" s="13" t="s">
        <v>895</v>
      </c>
      <c r="F31" s="13" t="s">
        <v>890</v>
      </c>
      <c r="G31" s="13" t="s">
        <v>873</v>
      </c>
      <c r="H31" s="74">
        <v>50</v>
      </c>
      <c r="I31" s="13" t="s">
        <v>876</v>
      </c>
      <c r="K31" s="138"/>
    </row>
    <row r="32" spans="1:11" ht="20.100000000000001" customHeight="1" x14ac:dyDescent="0.2">
      <c r="A32" s="5" t="str">
        <f>HYPERLINK("#'8.1.1.1-2 Transport fuel'!A1", "8.1.1.1-2 Transport fuel")</f>
        <v>8.1.1.1-2 Transport fuel</v>
      </c>
      <c r="D32" s="33" t="s">
        <v>898</v>
      </c>
      <c r="E32" s="13" t="s">
        <v>895</v>
      </c>
      <c r="F32" s="13" t="s">
        <v>890</v>
      </c>
      <c r="G32" s="13" t="s">
        <v>875</v>
      </c>
      <c r="H32" s="74">
        <v>50</v>
      </c>
      <c r="I32" s="13" t="s">
        <v>876</v>
      </c>
      <c r="K32" s="138"/>
    </row>
    <row r="33" spans="1:12" ht="20.100000000000001" customHeight="1" x14ac:dyDescent="0.2">
      <c r="A33" s="5" t="str">
        <f>HYPERLINK("#'8.2.1.1-2 Stationary fuel'!A1", "8.2.1.1-2 Stationary fuel")</f>
        <v>8.2.1.1-2 Stationary fuel</v>
      </c>
      <c r="K33" s="138"/>
    </row>
    <row r="34" spans="1:12" ht="20.100000000000001" customHeight="1" x14ac:dyDescent="0.2">
      <c r="A34" s="5" t="str">
        <f>HYPERLINK("#'10.1.1-2 Solid waste treatment'!A1", "10.1.1.1-2 Solid waste")</f>
        <v>10.1.1.1-2 Solid waste</v>
      </c>
      <c r="K34" s="138"/>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L36" s="138"/>
    </row>
    <row r="37" spans="1:12" ht="20.100000000000001" customHeight="1" x14ac:dyDescent="0.2">
      <c r="A37" s="5" t="str">
        <f>HYPERLINK("#'Calcs - Manure sent off-site'!A1", "Calcs - Manure sent off-site")</f>
        <v>Calcs - Manure sent off-site</v>
      </c>
      <c r="L37" s="138"/>
    </row>
    <row r="38" spans="1:12" ht="20.100000000000001" customHeight="1" x14ac:dyDescent="0.2">
      <c r="A38" s="5" t="str">
        <f>HYPERLINK("#'5.1.1.1-2 Inorganic fert N2O'!A1", "5.1.1.1-2 Inorganic fert N2O")</f>
        <v>5.1.1.1-2 Inorganic fert N2O</v>
      </c>
      <c r="C38" s="140"/>
    </row>
    <row r="39" spans="1:12" ht="20.100000000000001" customHeight="1" x14ac:dyDescent="0.2">
      <c r="A39" s="5" t="str">
        <f>HYPERLINK("#'5.1.1.3-4 Inorganic fert CO2'!A1", "5.1.1.3-4 Inorganic fert CO2")</f>
        <v>5.1.1.3-4 Inorganic fert CO2</v>
      </c>
      <c r="C39" s="140"/>
      <c r="J39" s="140"/>
    </row>
    <row r="40" spans="1:12" s="138" customFormat="1" ht="20.100000000000001" customHeight="1" x14ac:dyDescent="0.2">
      <c r="A40" s="5" t="str">
        <f>HYPERLINK("#'5.2.1.1-2 Organic Fert N2O'!A1", "5.2.1.1-2 Organic Fert N2O")</f>
        <v>5.2.1.1-2 Organic Fert N2O</v>
      </c>
      <c r="C40" s="1"/>
      <c r="D40" s="1"/>
      <c r="E40" s="1"/>
      <c r="F40" s="1"/>
      <c r="G40" s="1"/>
      <c r="H40" s="1"/>
      <c r="I40" s="1"/>
      <c r="J40" s="1"/>
    </row>
    <row r="41" spans="1:12" s="138" customFormat="1" ht="20.100000000000001" customHeight="1" x14ac:dyDescent="0.2">
      <c r="A41" s="5" t="str">
        <f>HYPERLINK("#'5.3.1.1-2 Lime CO2'!A1", "5.3.1.1-2 Lime CO2")</f>
        <v>5.3.1.1-2 Lime CO2</v>
      </c>
      <c r="C41" s="1"/>
      <c r="D41" s="1"/>
      <c r="E41" s="1"/>
      <c r="F41" s="1"/>
      <c r="G41" s="1"/>
      <c r="H41" s="1"/>
      <c r="I41" s="1"/>
      <c r="J41" s="1"/>
      <c r="L41" s="138" t="s">
        <v>557</v>
      </c>
    </row>
    <row r="42" spans="1:12" ht="20.100000000000001" customHeight="1" x14ac:dyDescent="0.2">
      <c r="A42" s="5" t="str">
        <f>HYPERLINK("#'5.4.1.1-4 Atmos deposition'!A1", "5.4.1.1-4 Atmos deposition")</f>
        <v>5.4.1.1-4 Atmos deposition</v>
      </c>
    </row>
    <row r="43" spans="1:12" ht="20.100000000000001" customHeight="1" x14ac:dyDescent="0.2">
      <c r="A43" s="5" t="str">
        <f>HYPERLINK("#'5.5.1.1-2 Leaching and runoff'!A1", "5.5.1.1-2 Leaching and runoff")</f>
        <v>5.5.1.1-2 Leaching and runoff</v>
      </c>
    </row>
    <row r="46" spans="1:12" ht="20.100000000000001" customHeight="1" x14ac:dyDescent="0.2">
      <c r="A46" s="80" t="s">
        <v>1</v>
      </c>
    </row>
    <row r="47" spans="1:12" ht="20.100000000000001" customHeight="1" x14ac:dyDescent="0.2">
      <c r="A47" s="5" t="str">
        <f>HYPERLINK("#'Constants - Feedlot'!A1", "Constants - Feedlot")</f>
        <v>Constants - Feedlot</v>
      </c>
    </row>
    <row r="48" spans="1:12"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73" spans="4:4" ht="20.100000000000001" customHeight="1" x14ac:dyDescent="0.2">
      <c r="D73" s="143"/>
    </row>
    <row r="75" spans="4:4" ht="20.100000000000001" customHeight="1" x14ac:dyDescent="0.2">
      <c r="D75" s="143"/>
    </row>
    <row r="76" spans="4:4" ht="20.100000000000001" customHeight="1" x14ac:dyDescent="0.2">
      <c r="D76" s="143"/>
    </row>
    <row r="385" spans="4:4" ht="20.100000000000001" customHeight="1" x14ac:dyDescent="0.2">
      <c r="D385" s="87"/>
    </row>
  </sheetData>
  <conditionalFormatting sqref="F162:F163">
    <cfRule type="cellIs" dxfId="45" priority="7" operator="lessThan">
      <formula>0</formula>
    </cfRule>
  </conditionalFormatting>
  <conditionalFormatting sqref="F174:F175">
    <cfRule type="cellIs" dxfId="44" priority="6" operator="lessThan">
      <formula>0</formula>
    </cfRule>
  </conditionalFormatting>
  <conditionalFormatting sqref="F186:F187">
    <cfRule type="cellIs" dxfId="43" priority="5" operator="lessThan">
      <formula>0</formula>
    </cfRule>
  </conditionalFormatting>
  <conditionalFormatting sqref="F274:F275">
    <cfRule type="cellIs" dxfId="42" priority="17" operator="lessThan">
      <formula>0</formula>
    </cfRule>
  </conditionalFormatting>
  <conditionalFormatting sqref="F279:F280">
    <cfRule type="cellIs" dxfId="41" priority="16" operator="lessThan">
      <formula>0</formula>
    </cfRule>
  </conditionalFormatting>
  <conditionalFormatting sqref="F284:F285">
    <cfRule type="cellIs" dxfId="40" priority="15" operator="lessThan">
      <formula>0</formula>
    </cfRule>
  </conditionalFormatting>
  <conditionalFormatting sqref="F308:F309">
    <cfRule type="cellIs" dxfId="39" priority="14" operator="lessThan">
      <formula>0</formula>
    </cfRule>
  </conditionalFormatting>
  <conditionalFormatting sqref="F313:F314">
    <cfRule type="cellIs" dxfId="38" priority="13" operator="lessThan">
      <formula>0</formula>
    </cfRule>
  </conditionalFormatting>
  <conditionalFormatting sqref="F318:F319">
    <cfRule type="cellIs" dxfId="37" priority="12" operator="lessThan">
      <formula>0</formula>
    </cfRule>
  </conditionalFormatting>
  <conditionalFormatting sqref="I33 F71">
    <cfRule type="cellIs" dxfId="36" priority="9" operator="lessThan">
      <formula>0</formula>
    </cfRule>
  </conditionalFormatting>
  <conditionalFormatting sqref="I79:I83">
    <cfRule type="cellIs" dxfId="35" priority="4" operator="lessThan">
      <formula>0</formula>
    </cfRule>
  </conditionalFormatting>
  <conditionalFormatting sqref="I87 I146">
    <cfRule type="cellIs" dxfId="34" priority="10" operator="lessThan">
      <formula>0</formula>
    </cfRule>
  </conditionalFormatting>
  <conditionalFormatting sqref="I98:I100">
    <cfRule type="cellIs" dxfId="33" priority="3" operator="lessThan">
      <formula>0</formula>
    </cfRule>
  </conditionalFormatting>
  <conditionalFormatting sqref="I104:I107">
    <cfRule type="cellIs" dxfId="32" priority="2" operator="lessThan">
      <formula>0</formula>
    </cfRule>
  </conditionalFormatting>
  <conditionalFormatting sqref="I111:I115">
    <cfRule type="cellIs" dxfId="31" priority="1" operator="lessThan">
      <formula>0</formula>
    </cfRule>
  </conditionalFormatting>
  <conditionalFormatting sqref="J8 I65:I66 H67:H69 I68 I70:I72 I74:I75 I226 I232 E234:G234">
    <cfRule type="cellIs" dxfId="30" priority="11" operator="lessThan">
      <formula>0</formula>
    </cfRule>
  </conditionalFormatting>
  <conditionalFormatting sqref="J37 I59 F150:F151">
    <cfRule type="cellIs" dxfId="29" priority="8" operator="lessThan">
      <formula>0</formula>
    </cfRule>
  </conditionalFormatting>
  <dataValidations count="9">
    <dataValidation type="list" allowBlank="1" showInputMessage="1" showErrorMessage="1" sqref="F10:F32" xr:uid="{2EF75236-52F9-4E36-BD69-BF9D0A1F7075}">
      <formula1>INDIRECT("Table_WasteTypes_" &amp; SUBSTITUTE(E10, " ", "") &amp; "[Waste type w]")</formula1>
    </dataValidation>
    <dataValidation type="list" allowBlank="1" showInputMessage="1" showErrorMessage="1" sqref="I10:I32" xr:uid="{5E95EE90-FD68-4FC4-A86F-0118B7964A57}">
      <formula1>"tonnes, cubic metres m3"</formula1>
    </dataValidation>
    <dataValidation type="list" allowBlank="1" showInputMessage="1" showErrorMessage="1" sqref="G10:G32" xr:uid="{58BC6593-CAE9-4112-A8C3-4530FC467F9B}">
      <formula1>"Treated on-site, Removed and treated off-site"</formula1>
    </dataValidation>
    <dataValidation type="list" allowBlank="1" showInputMessage="1" showErrorMessage="1" sqref="E10:E32" xr:uid="{D8D160F3-FAB9-489E-AEEA-9D2E548C209E}">
      <formula1>INDIRECT(_xlfn.UNIQUE("Table_SourceData_WasteSolid_WasteTreatmentEFs[Treatment type t]"))</formula1>
    </dataValidation>
    <dataValidation type="list" allowBlank="1" showInputMessage="1" showErrorMessage="1" sqref="E35" xr:uid="{8FE3BA9C-728D-4F89-9BCE-1D80A40A410C}">
      <formula1>INDIRECT("Table_SourceData_ElectricityEFs[State, Territory or grid description]")</formula1>
    </dataValidation>
    <dataValidation type="list" allowBlank="1" showInputMessage="1" showErrorMessage="1" sqref="E89" xr:uid="{0B398274-A85A-421D-B8DC-273693F27090}">
      <formula1>INDIRECT("Table_SourceData_Swine_IrrigationMethods[Irrigation method]")</formula1>
    </dataValidation>
    <dataValidation type="list" allowBlank="1" showInputMessage="1" showErrorMessage="1" sqref="E273 E278 E283 E317 E312 E307 E185 E173 E149 E161" xr:uid="{BA4B1913-C790-497F-9F1F-EA9EF6DAB86D}">
      <formula1>"Yes, No"</formula1>
    </dataValidation>
    <dataValidation type="list" allowBlank="1" showInputMessage="1" showErrorMessage="1" sqref="E249" xr:uid="{66BE7E29-AFEA-4902-8F8D-3FF0D09EEC5C}">
      <formula1>INDIRECT("Table_SourceData_Dairy_ProductionSystemTemplates[Area]")</formula1>
    </dataValidation>
    <dataValidation type="list" allowBlank="1" showInputMessage="1" showErrorMessage="1" sqref="D301" xr:uid="{C8563E22-A1F9-42D6-9689-9C26C569F29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E91F-7478-4DD0-A249-7B5C4A099975}">
  <sheetPr>
    <tabColor theme="5" tint="-0.249977111117893"/>
  </sheetPr>
  <dimension ref="A1:K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1019</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1020</v>
      </c>
    </row>
    <row r="7" spans="1:11" ht="20.100000000000001" customHeight="1" x14ac:dyDescent="0.2">
      <c r="D7" s="1" t="s">
        <v>1021</v>
      </c>
    </row>
    <row r="8" spans="1:11" ht="20.100000000000001" customHeight="1" x14ac:dyDescent="0.2">
      <c r="A8" s="7" t="s">
        <v>0</v>
      </c>
      <c r="D8" s="1" t="s">
        <v>1022</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1023</v>
      </c>
      <c r="F10" s="74">
        <v>1000</v>
      </c>
      <c r="G10" s="16" t="s">
        <v>445</v>
      </c>
    </row>
    <row r="11" spans="1:11" ht="20.100000000000001" customHeight="1" x14ac:dyDescent="0.2">
      <c r="A11" s="5" t="str">
        <f>HYPERLINK("#'Input - Feedlot'!A1", "Feedlot")</f>
        <v>Feedlot</v>
      </c>
      <c r="D11" s="1" t="s">
        <v>1024</v>
      </c>
      <c r="F11" s="74">
        <v>2000</v>
      </c>
      <c r="G11" s="16" t="s">
        <v>445</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 t="s">
        <v>1025</v>
      </c>
      <c r="F13" s="13" t="s">
        <v>671</v>
      </c>
      <c r="G13" s="16" t="s">
        <v>100</v>
      </c>
    </row>
    <row r="14" spans="1:11" ht="20.100000000000001" customHeight="1" x14ac:dyDescent="0.2">
      <c r="A14" s="5" t="str">
        <f>HYPERLINK("#'Input - Fuel'!A1", "Fuel")</f>
        <v>Fuel</v>
      </c>
      <c r="D14" s="1" t="s">
        <v>1026</v>
      </c>
      <c r="F14" s="13" t="s">
        <v>482</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101"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2">
    <dataValidation type="list" allowBlank="1" showInputMessage="1" showErrorMessage="1" sqref="F14" xr:uid="{D0E74221-2C39-45A4-BFE3-0D7E5355C1A0}">
      <formula1>INDIRECT("Table_SourceData_Fertiliser_IrrigationMethods[Irrigation method]")</formula1>
    </dataValidation>
    <dataValidation type="list" allowBlank="1" showInputMessage="1" showErrorMessage="1" sqref="F13" xr:uid="{59E63B63-3280-40CB-8040-B7A5935CE15A}">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"Liveweight sold"</f>
        <v>Liveweight sold</v>
      </c>
      <c r="E8" s="13" t="s">
        <v>199</v>
      </c>
      <c r="F8" s="13" t="s">
        <v>204</v>
      </c>
      <c r="G8" s="13" t="s">
        <v>209</v>
      </c>
      <c r="H8" s="82"/>
      <c r="I8" s="82"/>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"Manure produced"</f>
        <v>Manure produced</v>
      </c>
      <c r="E9" s="13" t="s">
        <v>200</v>
      </c>
      <c r="F9" s="13" t="s">
        <v>205</v>
      </c>
      <c r="G9" s="13" t="s">
        <v>210</v>
      </c>
      <c r="H9" s="82"/>
      <c r="I9" s="82"/>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ht="20.100000000000001" customHeight="1" x14ac:dyDescent="0.2">
      <c r="A10" s="5" t="str">
        <f>HYPERLINK("#'Input - Site'!A1", "Site")</f>
        <v>Site</v>
      </c>
      <c r="D10" s="1" t="str">
        <f>"Manure sold"</f>
        <v>Manure sold</v>
      </c>
      <c r="E10" s="13" t="s">
        <v>201</v>
      </c>
      <c r="F10" s="13" t="s">
        <v>206</v>
      </c>
      <c r="G10" s="13" t="s">
        <v>210</v>
      </c>
      <c r="H10" s="82"/>
      <c r="I10" s="82"/>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ht="20.100000000000001" customHeight="1" x14ac:dyDescent="0.2">
      <c r="A11" s="5" t="str">
        <f>HYPERLINK("#'Input - Feedlot'!A1", "Feedlot")</f>
        <v>Feedlot</v>
      </c>
      <c r="D11" s="1" t="str">
        <f>"Percent income from liveweight sold"</f>
        <v>Percent income from liveweight sold</v>
      </c>
      <c r="E11" s="13" t="s">
        <v>203</v>
      </c>
      <c r="F11" s="13" t="s">
        <v>208</v>
      </c>
      <c r="G11" s="13" t="s">
        <v>213</v>
      </c>
      <c r="H11" s="82"/>
      <c r="I11" s="82"/>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1:13" ht="20.100000000000001" customHeight="1" x14ac:dyDescent="0.2">
      <c r="A12" s="5" t="str">
        <f>HYPERLINK("#'Input - Livestock sales'!A1", "Livestock sales")</f>
        <v>Livestock sales</v>
      </c>
      <c r="D12" s="1" t="str">
        <f>"Percent income from manure sold"</f>
        <v>Percent income from manure sold</v>
      </c>
      <c r="E12" s="13" t="s">
        <v>199</v>
      </c>
      <c r="F12" s="13" t="s">
        <v>205</v>
      </c>
      <c r="G12" s="13" t="s">
        <v>209</v>
      </c>
      <c r="H12" s="82"/>
      <c r="I12" s="82"/>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3" spans="1:13" ht="20.100000000000001" customHeight="1" x14ac:dyDescent="0.2">
      <c r="A13" s="5" t="str">
        <f>HYPERLINK("#'Input - Beef cattle purchases'!A1", "Beef cattle purchases")</f>
        <v>Beef cattle purchases</v>
      </c>
    </row>
    <row r="14" spans="1:13" ht="20.100000000000001" customHeight="1" x14ac:dyDescent="0.2">
      <c r="A14" s="5" t="str">
        <f>HYPERLINK("#'Input - Fuel'!A1", "Fuel")</f>
        <v>Fuel</v>
      </c>
      <c r="J14" s="83">
        <f>SUM(Table_Input_DataQuality_Enterprise[Score])</f>
        <v>54</v>
      </c>
    </row>
    <row r="15" spans="1:13" ht="20.100000000000001" customHeight="1" x14ac:dyDescent="0.2">
      <c r="A15" s="5" t="str">
        <f>HYPERLINK("#'Input - Electricity'!A1", "Electricity")</f>
        <v>Electricity</v>
      </c>
      <c r="D15" s="2" t="s">
        <v>224</v>
      </c>
    </row>
    <row r="16" spans="1:13"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78" t="s">
        <v>220</v>
      </c>
      <c r="E17" s="78" t="s">
        <v>221</v>
      </c>
      <c r="F17" s="78" t="s">
        <v>222</v>
      </c>
      <c r="G17" s="78" t="s">
        <v>223</v>
      </c>
      <c r="H17" s="78" t="s">
        <v>148</v>
      </c>
      <c r="I17" s="78" t="s">
        <v>149</v>
      </c>
      <c r="J17" s="78" t="s">
        <v>150</v>
      </c>
    </row>
    <row r="18" spans="1:10" ht="20.100000000000001" customHeight="1" x14ac:dyDescent="0.2">
      <c r="A18" s="5" t="str">
        <f>HYPERLINK("#'Input - Freight'!A1", "Freight")</f>
        <v>Freight</v>
      </c>
      <c r="D18" s="1" t="str">
        <f>"Leaching zone"</f>
        <v>Leaching zone</v>
      </c>
      <c r="E18" s="13" t="s">
        <v>200</v>
      </c>
      <c r="F18" s="13" t="s">
        <v>206</v>
      </c>
      <c r="G18" s="13" t="s">
        <v>209</v>
      </c>
      <c r="H18" s="82"/>
      <c r="I18" s="82"/>
      <c r="J18"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1:10" ht="20.100000000000001" customHeight="1" x14ac:dyDescent="0.2">
      <c r="A19" s="5" t="str">
        <f>HYPERLINK("#'Input - Solid waste'!A1", "Solid waste")</f>
        <v>Solid waste</v>
      </c>
      <c r="D19" s="1" t="str">
        <f>"Elevation"</f>
        <v>Elevation</v>
      </c>
      <c r="E19" s="13" t="s">
        <v>200</v>
      </c>
      <c r="F19" s="13" t="s">
        <v>206</v>
      </c>
      <c r="G19" s="13" t="s">
        <v>209</v>
      </c>
      <c r="H19" s="82"/>
      <c r="I19" s="82"/>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Manure sent off-site'!A1", "Manure sent off-site")</f>
        <v>Manure sent off-site</v>
      </c>
      <c r="D20" s="1" t="str">
        <f>"Average temperature for reporting period"</f>
        <v>Average temperature for reporting period</v>
      </c>
      <c r="E20" s="13" t="s">
        <v>200</v>
      </c>
      <c r="F20" s="13" t="s">
        <v>206</v>
      </c>
      <c r="G20" s="13" t="s">
        <v>209</v>
      </c>
      <c r="H20" s="82"/>
      <c r="I20" s="82"/>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101" t="str">
        <f>HYPERLINK("#'Input - Data quality'!A1", "Data quality")</f>
        <v>Data quality</v>
      </c>
      <c r="D21" s="1" t="str">
        <f>"Total rainfall for reporting period"</f>
        <v>Total rainfall for reporting period</v>
      </c>
      <c r="E21" s="13" t="s">
        <v>199</v>
      </c>
      <c r="F21" s="13" t="s">
        <v>205</v>
      </c>
      <c r="G21" s="13" t="s">
        <v>209</v>
      </c>
      <c r="H21" s="82"/>
      <c r="I21" s="82"/>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1:10" ht="20.100000000000001" customHeight="1" x14ac:dyDescent="0.2">
      <c r="A22" s="5" t="str">
        <f>HYPERLINK("#'Input - Fert Prod System'!A1", "Fert Prod System")</f>
        <v>Fert Prod System</v>
      </c>
      <c r="D22" s="1" t="str">
        <f>"Potential evapotranspiration for reporting period"</f>
        <v>Potential evapotranspiration for reporting period</v>
      </c>
      <c r="E22" s="13" t="s">
        <v>200</v>
      </c>
      <c r="F22" s="13" t="s">
        <v>206</v>
      </c>
      <c r="G22" s="13" t="s">
        <v>209</v>
      </c>
      <c r="H22" s="82"/>
      <c r="I22" s="82"/>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"Number of frost days for reporting period"</f>
        <v>Number of frost days for reporting period</v>
      </c>
      <c r="E23" s="84" t="s">
        <v>201</v>
      </c>
      <c r="F23" s="84" t="s">
        <v>206</v>
      </c>
      <c r="G23" s="84" t="s">
        <v>209</v>
      </c>
      <c r="H23" s="82"/>
      <c r="I23" s="82"/>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J25" s="83">
        <f>SUM(Table_Input_DataQuality_Site[Score])</f>
        <v>73</v>
      </c>
    </row>
    <row r="26" spans="1:10" ht="20.100000000000001" customHeight="1" x14ac:dyDescent="0.2">
      <c r="A26" s="6" t="s">
        <v>2</v>
      </c>
      <c r="D26" s="2" t="s">
        <v>281</v>
      </c>
    </row>
    <row r="27" spans="1:10" ht="20.100000000000001" customHeight="1" x14ac:dyDescent="0.2">
      <c r="A27" s="5" t="str">
        <f>HYPERLINK("#'3.1.1.1-2 Enteric Methane'!A1", "3.1.1.1-2 Enteric Methane")</f>
        <v>3.1.1.1-2 Enteric Methane</v>
      </c>
    </row>
    <row r="28" spans="1:10" ht="20.100000000000001" customHeight="1" x14ac:dyDescent="0.2">
      <c r="A28" s="5" t="str">
        <f>HYPERLINK("#'4.1.1.1-2 Methane'!A1", "4.1.1.1-2 Manure Methane")</f>
        <v>4.1.1.1-2 Manure Methane</v>
      </c>
      <c r="D28" s="78" t="s">
        <v>220</v>
      </c>
      <c r="E28" s="78" t="s">
        <v>221</v>
      </c>
      <c r="F28" s="78" t="s">
        <v>222</v>
      </c>
      <c r="G28" s="78" t="s">
        <v>223</v>
      </c>
      <c r="H28" s="78" t="s">
        <v>148</v>
      </c>
      <c r="I28" s="78" t="s">
        <v>149</v>
      </c>
      <c r="J28" s="78" t="s">
        <v>150</v>
      </c>
    </row>
    <row r="29" spans="1:10" ht="20.100000000000001" customHeight="1" x14ac:dyDescent="0.2">
      <c r="A29" s="5" t="str">
        <f>HYPERLINK("#'4.1.1.3-4 Direct N20'!A1", "4.1.1.3-4 Manure Direct N2O")</f>
        <v>4.1.1.3-4 Manure Direct N2O</v>
      </c>
      <c r="D29" s="1" t="str">
        <f>"Head count"</f>
        <v>Head count</v>
      </c>
      <c r="E29" s="13" t="s">
        <v>199</v>
      </c>
      <c r="F29" s="13" t="s">
        <v>205</v>
      </c>
      <c r="G29" s="13" t="s">
        <v>209</v>
      </c>
      <c r="H29" s="82"/>
      <c r="I29" s="82"/>
      <c r="J2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1:10" ht="20.100000000000001" customHeight="1" x14ac:dyDescent="0.2">
      <c r="A30" s="5" t="str">
        <f>HYPERLINK("#'4.1.1.5-6 Atmos Deposition'!A1", "4.1.1.5-6 Manure Atmos Dep")</f>
        <v>4.1.1.5-6 Manure Atmos Dep</v>
      </c>
      <c r="D30" s="1" t="str">
        <f>"Duration of stay"</f>
        <v>Duration of stay</v>
      </c>
      <c r="E30" s="13"/>
      <c r="F30" s="13"/>
      <c r="G30" s="13"/>
      <c r="H30" s="82"/>
      <c r="I30" s="82"/>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1:10" ht="20.100000000000001" customHeight="1" x14ac:dyDescent="0.2">
      <c r="A31" s="5" t="str">
        <f>HYPERLINK("#'4.1.1.9 Manure applied to soils'!A1", "4.1.1.9 Manure applied to soils")</f>
        <v>4.1.1.9 Manure applied to soils</v>
      </c>
      <c r="D31" s="1" t="str">
        <f>"Diet - Feed intake"</f>
        <v>Diet - Feed intake</v>
      </c>
      <c r="E31" s="13" t="s">
        <v>199</v>
      </c>
      <c r="F31" s="13" t="s">
        <v>205</v>
      </c>
      <c r="G31" s="13" t="s">
        <v>209</v>
      </c>
      <c r="H31" s="82"/>
      <c r="I31" s="82"/>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HYPERLINK("#'8.1.1.1-2 Transport fuel'!A1", "8.1.1.1-2 Transport fuel")</f>
        <v>8.1.1.1-2 Transport fuel</v>
      </c>
      <c r="D32" s="1" t="str">
        <f>"Diet - Ether extract"</f>
        <v>Diet - Ether extract</v>
      </c>
      <c r="E32" s="13" t="s">
        <v>199</v>
      </c>
      <c r="F32" s="13" t="s">
        <v>205</v>
      </c>
      <c r="G32" s="13" t="s">
        <v>209</v>
      </c>
      <c r="H32" s="82"/>
      <c r="I32" s="82"/>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HYPERLINK("#'8.2.1.1-2 Stationary fuel'!A1", "8.2.1.1-2 Stationary fuel")</f>
        <v>8.2.1.1-2 Stationary fuel</v>
      </c>
      <c r="D33" s="1" t="str">
        <f>"Diet - NDF"</f>
        <v>Diet - NDF</v>
      </c>
      <c r="E33" s="13"/>
      <c r="F33" s="13"/>
      <c r="G33" s="13"/>
      <c r="H33" s="82"/>
      <c r="I33" s="82"/>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4" spans="1:10" ht="20.100000000000001" customHeight="1" x14ac:dyDescent="0.2">
      <c r="A34" s="5" t="str">
        <f>HYPERLINK("#'10.1.1-2 Solid waste treatment'!A1", "10.1.1.1-2 Solid waste")</f>
        <v>10.1.1.1-2 Solid waste</v>
      </c>
      <c r="D34" s="1" t="str">
        <f>"Diet - Dry matter digestibility"</f>
        <v>Diet - Dry matter digestibility</v>
      </c>
      <c r="E34" s="13"/>
      <c r="F34" s="13"/>
      <c r="G34" s="13"/>
      <c r="H34" s="82"/>
      <c r="I34" s="82"/>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1:10" ht="20.100000000000001" customHeight="1" x14ac:dyDescent="0.2">
      <c r="A35" s="5" t="str">
        <f>HYPERLINK("#'14.1.1-2 Purchased electricity'!A1", "14.1.1-2 Purchased electricity")</f>
        <v>14.1.1-2 Purchased electricity</v>
      </c>
      <c r="D35" s="1" t="str">
        <f>"Diet - Crude protein"</f>
        <v>Diet - Crude protein</v>
      </c>
      <c r="E35" s="13"/>
      <c r="F35" s="13"/>
      <c r="G35" s="13"/>
      <c r="H35" s="82"/>
      <c r="I35" s="82"/>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HYPERLINK("#'15 Scope 3'!A1", "15 Scope 3")</f>
        <v>15 Scope 3</v>
      </c>
      <c r="D36" s="1" t="str">
        <f>"Diet - Nitrogen retention"</f>
        <v>Diet - Nitrogen retention</v>
      </c>
      <c r="E36" s="13"/>
      <c r="F36" s="13"/>
      <c r="G36" s="13"/>
      <c r="H36" s="82"/>
      <c r="I36" s="82"/>
      <c r="J3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7" spans="1:10" ht="20.100000000000001" customHeight="1" x14ac:dyDescent="0.2">
      <c r="A37" s="5" t="str">
        <f>HYPERLINK("#'Calcs - Manure sent off-site'!A1", "Calcs - Manure sent off-site")</f>
        <v>Calcs - Manure sent off-site</v>
      </c>
      <c r="D37" s="1" t="str">
        <f>"Production and manure management systems"</f>
        <v>Production and manure management systems</v>
      </c>
      <c r="E37" s="13" t="s">
        <v>199</v>
      </c>
      <c r="F37" s="13" t="s">
        <v>205</v>
      </c>
      <c r="G37" s="13" t="s">
        <v>209</v>
      </c>
      <c r="H37" s="82"/>
      <c r="I37" s="82"/>
      <c r="J3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8" spans="1:10" ht="20.100000000000001" customHeight="1" x14ac:dyDescent="0.2">
      <c r="A38" s="5" t="str">
        <f>HYPERLINK("#'5.1.1.1-2 Inorganic fert N2O'!A1", "5.1.1.1-2 Inorganic fert N2O")</f>
        <v>5.1.1.1-2 Inorganic fert N2O</v>
      </c>
      <c r="D38" s="1" t="str">
        <f>"Livestock sales"</f>
        <v>Livestock sales</v>
      </c>
      <c r="E38" s="13"/>
      <c r="F38" s="13"/>
      <c r="G38" s="13"/>
      <c r="H38" s="82"/>
      <c r="I38" s="82"/>
      <c r="J3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1:10" ht="20.100000000000001" customHeight="1" x14ac:dyDescent="0.2">
      <c r="A39" s="5" t="str">
        <f>HYPERLINK("#'5.1.1.3-4 Inorganic fert CO2'!A1", "5.1.1.3-4 Inorganic fert CO2")</f>
        <v>5.1.1.3-4 Inorganic fert CO2</v>
      </c>
      <c r="D39" s="1" t="str">
        <f>"Livestock purchases"</f>
        <v>Livestock purchases</v>
      </c>
      <c r="E39" s="13"/>
      <c r="F39" s="13"/>
      <c r="G39" s="13"/>
      <c r="H39" s="82"/>
      <c r="I39" s="82"/>
      <c r="J3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0" spans="1:10" ht="20.100000000000001" customHeight="1" x14ac:dyDescent="0.2">
      <c r="A40" s="5" t="str">
        <f>HYPERLINK("#'5.2.1.1-2 Organic Fert N2O'!A1", "5.2.1.1-2 Organic Fert N2O")</f>
        <v>5.2.1.1-2 Organic Fert N2O</v>
      </c>
    </row>
    <row r="41" spans="1:10" ht="20.100000000000001" customHeight="1" x14ac:dyDescent="0.2">
      <c r="A41" s="5" t="str">
        <f>HYPERLINK("#'5.3.1.1-2 Lime CO2'!A1", "5.3.1.1-2 Lime CO2")</f>
        <v>5.3.1.1-2 Lime CO2</v>
      </c>
      <c r="J41" s="83">
        <f>SUM(Table_Input_DataQuality_PastureManagement[Score])</f>
        <v>56</v>
      </c>
    </row>
    <row r="42" spans="1:10" ht="20.100000000000001" customHeight="1" x14ac:dyDescent="0.2">
      <c r="A42" s="5" t="str">
        <f>HYPERLINK("#'5.4.1.1-4 Atmos deposition'!A1", "5.4.1.1-4 Atmos deposition")</f>
        <v>5.4.1.1-4 Atmos deposition</v>
      </c>
      <c r="D42" s="2" t="s">
        <v>225</v>
      </c>
    </row>
    <row r="43" spans="1:10" ht="20.100000000000001" customHeight="1" x14ac:dyDescent="0.2">
      <c r="A43" s="5" t="str">
        <f>HYPERLINK("#'5.5.1.1-2 Leaching and runoff'!A1", "5.5.1.1-2 Leaching and runoff")</f>
        <v>5.5.1.1-2 Leaching and runoff</v>
      </c>
    </row>
    <row r="44" spans="1:10" ht="20.100000000000001" customHeight="1" x14ac:dyDescent="0.2">
      <c r="D44" s="78" t="s">
        <v>220</v>
      </c>
      <c r="E44" s="78" t="s">
        <v>221</v>
      </c>
      <c r="F44" s="78" t="s">
        <v>222</v>
      </c>
      <c r="G44" s="78" t="s">
        <v>223</v>
      </c>
      <c r="H44" s="78" t="s">
        <v>148</v>
      </c>
      <c r="I44" s="78" t="s">
        <v>149</v>
      </c>
      <c r="J44" s="78" t="s">
        <v>150</v>
      </c>
    </row>
    <row r="45" spans="1:10" ht="20.100000000000001" customHeight="1" x14ac:dyDescent="0.2">
      <c r="D45" s="1" t="str">
        <f>"Fuel purchases"</f>
        <v>Fuel purchases</v>
      </c>
      <c r="E45" s="13" t="s">
        <v>199</v>
      </c>
      <c r="F45" s="13" t="s">
        <v>205</v>
      </c>
      <c r="G45" s="13" t="s">
        <v>210</v>
      </c>
      <c r="H45" s="82"/>
      <c r="I45" s="82"/>
      <c r="J4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1:10" ht="20.100000000000001" customHeight="1" x14ac:dyDescent="0.2">
      <c r="A46" s="80" t="s">
        <v>1</v>
      </c>
      <c r="D46" s="1" t="str">
        <f>"Fuel consumption"</f>
        <v>Fuel consumption</v>
      </c>
      <c r="E46" s="13" t="s">
        <v>199</v>
      </c>
      <c r="F46" s="13" t="s">
        <v>205</v>
      </c>
      <c r="G46" s="13" t="s">
        <v>209</v>
      </c>
      <c r="H46" s="82"/>
      <c r="I46" s="82"/>
      <c r="J4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1:10" ht="20.100000000000001" customHeight="1" x14ac:dyDescent="0.2">
      <c r="A47" s="5" t="str">
        <f>HYPERLINK("#'Constants - Feedlot'!A1", "Constants - Feedlot")</f>
        <v>Constants - Feedlot</v>
      </c>
      <c r="D47" s="1" t="str">
        <f>"Electricity consumption"</f>
        <v>Electricity consumption</v>
      </c>
      <c r="E47" s="13" t="s">
        <v>199</v>
      </c>
      <c r="F47" s="13" t="s">
        <v>205</v>
      </c>
      <c r="G47" s="13" t="s">
        <v>209</v>
      </c>
      <c r="H47" s="82"/>
      <c r="I47" s="82"/>
      <c r="J4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1:10" ht="20.100000000000001" customHeight="1" x14ac:dyDescent="0.2">
      <c r="A48" s="5" t="str">
        <f>HYPERLINK("#'Constants - Common livestock'!A1", "Constants - Common Livestock")</f>
        <v>Constants - Common Livestock</v>
      </c>
      <c r="D48" s="1" t="str">
        <f>"Electricity generation"</f>
        <v>Electricity generation</v>
      </c>
      <c r="E48" s="13" t="s">
        <v>199</v>
      </c>
      <c r="F48" s="13" t="s">
        <v>205</v>
      </c>
      <c r="G48" s="13" t="s">
        <v>209</v>
      </c>
      <c r="H48" s="82"/>
      <c r="I48" s="82"/>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9" spans="1:10" ht="20.100000000000001" customHeight="1" x14ac:dyDescent="0.2">
      <c r="A49" s="5" t="str">
        <f>HYPERLINK("#'Constants - Electricity'!A1", "Constants - Electricity")</f>
        <v>Constants - Electricity</v>
      </c>
    </row>
    <row r="50" spans="1:10" ht="20.100000000000001" customHeight="1" x14ac:dyDescent="0.2">
      <c r="A50" s="5" t="str">
        <f>HYPERLINK("#'Constants - Fertiliser'!A1", "Constants - Fertiliser")</f>
        <v>Constants - Fertiliser</v>
      </c>
      <c r="J50" s="83">
        <f>SUM(Table_Input_DataQuality_FuelElectricity[Score])</f>
        <v>55</v>
      </c>
    </row>
    <row r="51" spans="1:10" ht="20.100000000000001" customHeight="1" x14ac:dyDescent="0.2">
      <c r="A51" s="5" t="str">
        <f>HYPERLINK("#'Constants - Fuel'!A1", "Constants - Fuel")</f>
        <v>Constants - Fuel</v>
      </c>
    </row>
    <row r="52" spans="1:10" ht="20.100000000000001" customHeight="1" x14ac:dyDescent="0.2">
      <c r="A52" s="5" t="str">
        <f>HYPERLINK("#'Constants - Scope 3'!A1", "Constants - Scope 3")</f>
        <v>Constants - Scope 3</v>
      </c>
      <c r="D52" s="2" t="s">
        <v>226</v>
      </c>
    </row>
    <row r="53" spans="1:10" ht="20.100000000000001" customHeight="1" x14ac:dyDescent="0.2">
      <c r="A53" s="5" t="str">
        <f>HYPERLINK("#'Constants - Solid Waste'!A1", "Constants - Solid Waste")</f>
        <v>Constants - Solid Waste</v>
      </c>
    </row>
    <row r="54" spans="1:10" ht="20.100000000000001" customHeight="1" x14ac:dyDescent="0.2">
      <c r="A54" s="5" t="str">
        <f>HYPERLINK("#'Constants - Common'!A1", "Constants - Common")</f>
        <v>Constants - Common</v>
      </c>
      <c r="D54" s="78" t="s">
        <v>220</v>
      </c>
      <c r="E54" s="78" t="s">
        <v>221</v>
      </c>
      <c r="F54" s="78" t="s">
        <v>222</v>
      </c>
      <c r="G54" s="78" t="s">
        <v>223</v>
      </c>
      <c r="H54" s="78" t="s">
        <v>148</v>
      </c>
      <c r="I54" s="78" t="s">
        <v>149</v>
      </c>
      <c r="J54" s="78" t="s">
        <v>150</v>
      </c>
    </row>
    <row r="55" spans="1:10" ht="20.100000000000001" customHeight="1" x14ac:dyDescent="0.2">
      <c r="A55" s="5" t="str">
        <f>HYPERLINK("#'Acknowledgements'!A1", "Acknowledgements")</f>
        <v>Acknowledgements</v>
      </c>
      <c r="D55" s="1" t="str">
        <f>"Farm input purchases"</f>
        <v>Farm input purchases</v>
      </c>
      <c r="E55" s="13" t="s">
        <v>199</v>
      </c>
      <c r="F55" s="13" t="s">
        <v>205</v>
      </c>
      <c r="G55" s="13" t="s">
        <v>210</v>
      </c>
      <c r="H55" s="82"/>
      <c r="I55" s="82"/>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1:10" ht="20.100000000000001" customHeight="1" x14ac:dyDescent="0.2">
      <c r="D56" s="1" t="str">
        <f>"Inbound freight use"</f>
        <v>Inbound freight use</v>
      </c>
      <c r="E56" s="13" t="s">
        <v>199</v>
      </c>
      <c r="F56" s="13" t="s">
        <v>205</v>
      </c>
      <c r="G56" s="13" t="s">
        <v>209</v>
      </c>
      <c r="H56" s="82"/>
      <c r="I56" s="82"/>
      <c r="J5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1:10" ht="20.100000000000001" customHeight="1" x14ac:dyDescent="0.2">
      <c r="D57" s="1" t="str">
        <f>"Outbound freight use"</f>
        <v>Outbound freight use</v>
      </c>
      <c r="E57" s="13" t="s">
        <v>199</v>
      </c>
      <c r="F57" s="13" t="s">
        <v>205</v>
      </c>
      <c r="G57" s="13" t="s">
        <v>209</v>
      </c>
      <c r="H57" s="82"/>
      <c r="I57" s="82"/>
      <c r="J5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1:10" ht="20.100000000000001" customHeight="1" x14ac:dyDescent="0.2">
      <c r="D58" s="1" t="str">
        <f>"Use of contractors and service providers"</f>
        <v>Use of contractors and service providers</v>
      </c>
      <c r="E58" s="13"/>
      <c r="F58" s="13"/>
      <c r="G58" s="13"/>
      <c r="H58" s="82"/>
      <c r="I58" s="82"/>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1:10" ht="20.100000000000001" customHeight="1" x14ac:dyDescent="0.2">
      <c r="D59" s="1" t="str">
        <f>"Solid waste generation and treatment"</f>
        <v>Solid waste generation and treatment</v>
      </c>
      <c r="E59" s="13" t="s">
        <v>199</v>
      </c>
      <c r="F59" s="13" t="s">
        <v>205</v>
      </c>
      <c r="G59" s="13" t="s">
        <v>209</v>
      </c>
      <c r="H59" s="82"/>
      <c r="I59" s="82"/>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J61" s="83">
        <f>SUM(Table_Input_DataQuality_FarmInputsFreightWaste[Score])</f>
        <v>55</v>
      </c>
    </row>
    <row r="63" spans="1:10" ht="20.100000000000001" customHeight="1" x14ac:dyDescent="0.2">
      <c r="D63" s="85" t="s">
        <v>227</v>
      </c>
      <c r="E63" s="86" t="str">
        <f>(J14+J25+J41+J50+J61)&amp;"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465</v>
      </c>
    </row>
  </sheetData>
  <dataValidations count="3">
    <dataValidation type="list" allowBlank="1" showInputMessage="1" showErrorMessage="1" sqref="G18:G23 G45:G48 G8:G12 G55:G59 G29:G39" xr:uid="{97D978E2-EFFF-4D26-AA9B-97907606C063}">
      <formula1>INDIRECT("Table_SourceData_DataQuality_SampleSize[User friendly description]")</formula1>
    </dataValidation>
    <dataValidation type="list" allowBlank="1" showInputMessage="1" showErrorMessage="1" sqref="E18:E23 E45:E48 E8:E12 E55:E59 E29:E39" xr:uid="{6365A925-6C5F-4576-82C6-82C3A3309F18}">
      <formula1>INDIRECT("Table_SourceData_DataQuality_TemporalRepresentativeness[User friendly description]")</formula1>
    </dataValidation>
    <dataValidation type="list" allowBlank="1" showInputMessage="1" showErrorMessage="1" sqref="F18:F23 F45:F48 F8:F12 F55:F59 F29:F39"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4D281-3F2C-4276-B8B8-94C11B247F1F}">
  <sheetPr>
    <tabColor rgb="FF008000"/>
  </sheetPr>
  <dimension ref="A1:S7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507</v>
      </c>
      <c r="K1"/>
    </row>
    <row r="2" spans="1:19" s="3" customFormat="1" ht="20.100000000000001" customHeight="1" x14ac:dyDescent="0.2">
      <c r="A2"/>
      <c r="K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1186</v>
      </c>
    </row>
    <row r="6" spans="1:19" ht="20.100000000000001" customHeight="1" x14ac:dyDescent="0.2">
      <c r="D6" s="17" t="s">
        <v>1187</v>
      </c>
    </row>
    <row r="7" spans="1:19" ht="20.100000000000001" customHeight="1" x14ac:dyDescent="0.2">
      <c r="D7" s="112"/>
      <c r="E7" s="112"/>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321</v>
      </c>
      <c r="E10" s="1" t="s">
        <v>1188</v>
      </c>
    </row>
    <row r="11" spans="1:19" ht="20.100000000000001" customHeight="1" x14ac:dyDescent="0.2">
      <c r="A11" s="5" t="str">
        <f>HYPERLINK("#'Input - Feedlot'!A1", "Feedlot")</f>
        <v>Feedlot</v>
      </c>
      <c r="D11" s="75" t="s">
        <v>118</v>
      </c>
      <c r="E11" s="9" t="s">
        <v>1189</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13" t="s">
        <v>1190</v>
      </c>
      <c r="E13" s="121" t="s">
        <v>1191</v>
      </c>
      <c r="F13" s="122"/>
      <c r="G13" s="113" t="s">
        <v>326</v>
      </c>
      <c r="H13" s="114" t="s">
        <v>1196</v>
      </c>
      <c r="I13" s="116" t="str" cm="1">
        <f t="array" aca="1" ref="I13" ca="1">HYPERLINK(Common_InputFunctions.Utility_SourceHyperlink($D$17),$D$17)</f>
        <v>M1_Table_I_j</v>
      </c>
    </row>
    <row r="14" spans="1:19" ht="20.100000000000001" customHeight="1" x14ac:dyDescent="0.2">
      <c r="A14" s="5" t="str">
        <f>HYPERLINK("#'Input - Fuel'!A1", "Fuel")</f>
        <v>Fuel</v>
      </c>
      <c r="D14" s="113" t="s">
        <v>1192</v>
      </c>
      <c r="E14" s="121" t="s">
        <v>1193</v>
      </c>
      <c r="F14" s="122"/>
      <c r="G14" s="113" t="s">
        <v>1197</v>
      </c>
      <c r="H14" s="114" t="s">
        <v>1196</v>
      </c>
      <c r="I14" s="116" t="str" cm="1">
        <f t="array" aca="1" ref="I14" ca="1">HYPERLINK(Common_InputFunctions.Utility_SourceHyperlink($D$22),$D$22)</f>
        <v>M1_Table_EE_j</v>
      </c>
    </row>
    <row r="15" spans="1:19" ht="20.100000000000001" customHeight="1" x14ac:dyDescent="0.2">
      <c r="A15" s="5" t="str">
        <f>HYPERLINK("#'Input - Electricity'!A1", "Electricity")</f>
        <v>Electricity</v>
      </c>
      <c r="D15" s="113" t="s">
        <v>1194</v>
      </c>
      <c r="E15" s="121" t="s">
        <v>1195</v>
      </c>
      <c r="F15" s="122"/>
      <c r="G15" s="113" t="s">
        <v>1197</v>
      </c>
      <c r="H15" s="114" t="s">
        <v>1196</v>
      </c>
      <c r="I15" s="116" t="str" cm="1">
        <f t="array" aca="1" ref="I15" ca="1">HYPERLINK(Common_InputFunctions.Utility_SourceHyperlink($D$27),$D$27)</f>
        <v>M1_Table_NDF_j</v>
      </c>
    </row>
    <row r="16" spans="1:19" ht="20.100000000000001" customHeight="1" x14ac:dyDescent="0.2">
      <c r="A16" s="5" t="str">
        <f>HYPERLINK("#'Input - Common farm inputs'!A1", "Common farm inputs")</f>
        <v>Common farm inputs</v>
      </c>
    </row>
    <row r="17" spans="1:16" ht="20.100000000000001" customHeight="1" x14ac:dyDescent="0.2">
      <c r="A17" s="5" t="str">
        <f>HYPERLINK("#'Input - Livestock farm Inputs'!A1", "Livestock farm Inputs")</f>
        <v>Livestock farm Inputs</v>
      </c>
      <c r="D17" s="118" t="s">
        <v>322</v>
      </c>
      <c r="M17" s="118" t="s">
        <v>323</v>
      </c>
    </row>
    <row r="18" spans="1:16" ht="20.100000000000001" customHeight="1" x14ac:dyDescent="0.2">
      <c r="A18" s="5" t="str">
        <f>HYPERLINK("#'Input - Freight'!A1", "Freight")</f>
        <v>Freight</v>
      </c>
      <c r="D18" s="119" t="s">
        <v>324</v>
      </c>
      <c r="M18" s="119" t="s">
        <v>325</v>
      </c>
    </row>
    <row r="19" spans="1:16" ht="20.100000000000001" customHeight="1" x14ac:dyDescent="0.2">
      <c r="A19" s="5" t="str">
        <f>HYPERLINK("#'Input - Solid waste'!A1", "Solid waste")</f>
        <v>Solid waste</v>
      </c>
      <c r="D19" s="78" t="s">
        <v>289</v>
      </c>
      <c r="E19" s="78" t="s">
        <v>290</v>
      </c>
      <c r="F19" s="78" t="s">
        <v>291</v>
      </c>
      <c r="M19" s="78" t="s">
        <v>289</v>
      </c>
      <c r="N19" s="78" t="s">
        <v>290</v>
      </c>
      <c r="O19" s="78" t="s">
        <v>291</v>
      </c>
    </row>
    <row r="20" spans="1:16" ht="20.100000000000001" customHeight="1" x14ac:dyDescent="0.2">
      <c r="A20" s="5" t="str">
        <f>HYPERLINK("#'Input - Manure sent off-site'!A1", "Manure sent off-site")</f>
        <v>Manure sent off-site</v>
      </c>
      <c r="D20" s="15" cm="1">
        <f t="array" aca="1" ref="D20:F20" ca="1">OFFSET(X_Table_Feedlot_Intake_Method1, 1,1, 1,3)</f>
        <v>10.4</v>
      </c>
      <c r="E20" s="15">
        <f ca="1"/>
        <v>10.8</v>
      </c>
      <c r="F20" s="15">
        <f ca="1"/>
        <v>8.1999999999999993</v>
      </c>
      <c r="G20" s="16" t="str">
        <f>$G$13</f>
        <v>kg DM/head/day</v>
      </c>
      <c r="M20" s="15" cm="1">
        <f t="array" aca="1" ref="M20:O20" ca="1">OFFSET(X_Table_Feedlot_Intake_Method2, 1,1, 1,3)</f>
        <v>10.4</v>
      </c>
      <c r="N20" s="15">
        <f ca="1"/>
        <v>10.8</v>
      </c>
      <c r="O20" s="15">
        <f ca="1"/>
        <v>8.1999999999999993</v>
      </c>
      <c r="P20" s="16" t="str">
        <f>$G$13</f>
        <v>kg DM/head/day</v>
      </c>
    </row>
    <row r="21" spans="1:16" ht="20.100000000000001" customHeight="1" x14ac:dyDescent="0.2">
      <c r="A21" s="5" t="str">
        <f>HYPERLINK("#'Input - Data quality'!A1", "Data quality")</f>
        <v>Data quality</v>
      </c>
    </row>
    <row r="22" spans="1:16" ht="20.100000000000001" customHeight="1" x14ac:dyDescent="0.2">
      <c r="A22" s="5" t="str">
        <f>HYPERLINK("#'Input - Fert Prod System'!A1", "Fert Prod System")</f>
        <v>Fert Prod System</v>
      </c>
      <c r="D22" s="118" t="s">
        <v>508</v>
      </c>
      <c r="M22" s="118" t="s">
        <v>509</v>
      </c>
    </row>
    <row r="23" spans="1:16" ht="20.100000000000001" customHeight="1" x14ac:dyDescent="0.2">
      <c r="A23" s="5" t="str">
        <f>HYPERLINK("#'Input - Fertiliser'!A1", "Fertiliser")</f>
        <v>Fertiliser</v>
      </c>
      <c r="D23" s="119" t="s">
        <v>510</v>
      </c>
      <c r="M23" s="119" t="s">
        <v>511</v>
      </c>
    </row>
    <row r="24" spans="1:16" ht="20.100000000000001" customHeight="1" x14ac:dyDescent="0.2">
      <c r="D24" s="78" t="s">
        <v>289</v>
      </c>
      <c r="E24" s="78" t="s">
        <v>290</v>
      </c>
      <c r="F24" s="78" t="s">
        <v>291</v>
      </c>
      <c r="M24" s="78" t="s">
        <v>289</v>
      </c>
      <c r="N24" s="78" t="s">
        <v>290</v>
      </c>
      <c r="O24" s="78" t="s">
        <v>291</v>
      </c>
    </row>
    <row r="25" spans="1:16" ht="20.100000000000001" customHeight="1" x14ac:dyDescent="0.2">
      <c r="D25" s="15" cm="1">
        <f t="array" aca="1" ref="D25:F25" ca="1">OFFSET(X_Table_Feedlot_Intake_Method1, 2,1, 1,3)</f>
        <v>4.8</v>
      </c>
      <c r="E25" s="15">
        <f ca="1"/>
        <v>5</v>
      </c>
      <c r="F25" s="15">
        <f ca="1"/>
        <v>5.5</v>
      </c>
      <c r="G25" s="16" t="str">
        <f>$G$14</f>
        <v>per cent</v>
      </c>
      <c r="M25" s="15" cm="1">
        <f t="array" aca="1" ref="M25:O25" ca="1">OFFSET(X_Table_Feedlot_Intake_Method2, 2,1, 1,3)</f>
        <v>4.8</v>
      </c>
      <c r="N25" s="15">
        <f ca="1"/>
        <v>5</v>
      </c>
      <c r="O25" s="15">
        <f ca="1"/>
        <v>5.5</v>
      </c>
      <c r="P25" s="16" t="str">
        <f>$G$14</f>
        <v>per cent</v>
      </c>
    </row>
    <row r="26" spans="1:16" ht="20.100000000000001" customHeight="1" x14ac:dyDescent="0.2">
      <c r="A26" s="6" t="s">
        <v>2</v>
      </c>
    </row>
    <row r="27" spans="1:16" ht="20.100000000000001" customHeight="1" x14ac:dyDescent="0.2">
      <c r="A27" s="117" t="str">
        <f>HYPERLINK("#'3.1.1.1-2 Enteric Methane'!A1", "3.1.1.1-2 Enteric Methane")</f>
        <v>3.1.1.1-2 Enteric Methane</v>
      </c>
      <c r="D27" s="118" t="s">
        <v>512</v>
      </c>
      <c r="M27" s="118" t="s">
        <v>513</v>
      </c>
    </row>
    <row r="28" spans="1:16" ht="20.100000000000001" customHeight="1" x14ac:dyDescent="0.2">
      <c r="A28" s="5" t="str">
        <f>HYPERLINK("#'4.1.1.1-2 Methane'!A1", "4.1.1.1-2 Manure Methane")</f>
        <v>4.1.1.1-2 Manure Methane</v>
      </c>
      <c r="D28" s="119" t="s">
        <v>514</v>
      </c>
      <c r="M28" s="119" t="s">
        <v>515</v>
      </c>
    </row>
    <row r="29" spans="1:16" ht="20.100000000000001" customHeight="1" x14ac:dyDescent="0.2">
      <c r="A29" s="5" t="str">
        <f>HYPERLINK("#'4.1.1.3-4 Direct N20'!A1", "4.1.1.3-4 Manure Direct N2O")</f>
        <v>4.1.1.3-4 Manure Direct N2O</v>
      </c>
      <c r="D29" s="78" t="s">
        <v>289</v>
      </c>
      <c r="E29" s="78" t="s">
        <v>290</v>
      </c>
      <c r="F29" s="78" t="s">
        <v>291</v>
      </c>
      <c r="M29" s="78" t="s">
        <v>289</v>
      </c>
      <c r="N29" s="78" t="s">
        <v>290</v>
      </c>
      <c r="O29" s="78" t="s">
        <v>291</v>
      </c>
    </row>
    <row r="30" spans="1:16" ht="20.100000000000001" customHeight="1" x14ac:dyDescent="0.2">
      <c r="A30" s="5" t="str">
        <f>HYPERLINK("#'4.1.1.5-6 Atmos Deposition'!A1", "4.1.1.5-6 Manure Atmos Dep")</f>
        <v>4.1.1.5-6 Manure Atmos Dep</v>
      </c>
      <c r="D30" s="15" cm="1">
        <f t="array" aca="1" ref="D30:F30" ca="1">OFFSET(X_Table_Feedlot_Intake_Method1, 3,1, 1,3)</f>
        <v>22</v>
      </c>
      <c r="E30" s="15">
        <f ca="1"/>
        <v>22</v>
      </c>
      <c r="F30" s="15">
        <f ca="1"/>
        <v>24</v>
      </c>
      <c r="G30" s="16" t="str">
        <f>$G$15</f>
        <v>per cent</v>
      </c>
      <c r="M30" s="15" cm="1">
        <f t="array" aca="1" ref="M30:O30" ca="1">OFFSET(X_Table_Feedlot_Intake_Method2, 3,1, 1,3)</f>
        <v>22</v>
      </c>
      <c r="N30" s="15">
        <f ca="1"/>
        <v>22</v>
      </c>
      <c r="O30" s="15">
        <f ca="1"/>
        <v>24</v>
      </c>
      <c r="P30" s="16" t="str">
        <f>$G$15</f>
        <v>per cent</v>
      </c>
    </row>
    <row r="31" spans="1:16" ht="20.100000000000001" customHeight="1" x14ac:dyDescent="0.2">
      <c r="A31" s="5" t="str">
        <f>HYPERLINK("#'4.1.1.9 Manure applied to soils'!A1", "4.1.1.9 Manure applied to soils")</f>
        <v>4.1.1.9 Manure applied to soils</v>
      </c>
    </row>
    <row r="32" spans="1:16" ht="20.100000000000001" customHeight="1" x14ac:dyDescent="0.2">
      <c r="A32" s="5" t="str">
        <f>HYPERLINK("#'8.1.1.1-2 Transport fuel'!A1", "8.1.1.1-2 Transport fuel")</f>
        <v>8.1.1.1-2 Transport fuel</v>
      </c>
      <c r="D32" s="118" t="s">
        <v>516</v>
      </c>
      <c r="M32" s="118" t="s">
        <v>517</v>
      </c>
    </row>
    <row r="33" spans="1:18" ht="20.100000000000001" customHeight="1" x14ac:dyDescent="0.2">
      <c r="A33" s="5" t="str">
        <f>HYPERLINK("#'8.2.1.1-2 Stationary fuel'!A1", "8.2.1.1-2 Stationary fuel")</f>
        <v>8.2.1.1-2 Stationary fuel</v>
      </c>
      <c r="D33" s="119" t="s">
        <v>518</v>
      </c>
      <c r="M33" s="119" t="s">
        <v>519</v>
      </c>
    </row>
    <row r="34" spans="1:18" ht="20.100000000000001" customHeight="1" x14ac:dyDescent="0.2">
      <c r="A34" s="5" t="str">
        <f>HYPERLINK("#'10.1.1-2 Solid waste treatment'!A1", "10.1.1.1-2 Solid waste")</f>
        <v>10.1.1.1-2 Solid waste</v>
      </c>
      <c r="D34" s="120" t="s">
        <v>289</v>
      </c>
      <c r="E34" s="120" t="s">
        <v>290</v>
      </c>
      <c r="F34" s="120" t="s">
        <v>291</v>
      </c>
      <c r="M34" s="120" t="s">
        <v>289</v>
      </c>
      <c r="N34" s="120" t="s">
        <v>290</v>
      </c>
      <c r="O34" s="120" t="s">
        <v>291</v>
      </c>
    </row>
    <row r="35" spans="1:18" ht="20.100000000000001" customHeight="1" x14ac:dyDescent="0.2">
      <c r="A35" s="5" t="str">
        <f>HYPERLINK("#'14.1.1-2 Purchased electricity'!A1", "14.1.1-2 Purchased electricity")</f>
        <v>14.1.1-2 Purchased electricity</v>
      </c>
      <c r="D35" s="15">
        <f ca="1">((5.11 * D20 - 4 * D25 + 2.26 * D30) * 10 ^ -3)</f>
        <v>8.3664000000000002E-2</v>
      </c>
      <c r="E35" s="15">
        <f ca="1">((5.11 * E20 - 4 * E25 + 2.26 * E30) * 10 ^ -3)</f>
        <v>8.4908000000000011E-2</v>
      </c>
      <c r="F35" s="15">
        <f ca="1">((5.11 * F20 - 4 * F25 + 2.26 * F30) * 10 ^ -3)</f>
        <v>7.4142E-2</v>
      </c>
      <c r="G35" s="16" t="str">
        <f>$E$11</f>
        <v>kg CH4/head/day</v>
      </c>
      <c r="M35" s="15">
        <f ca="1">((5.11 * M20 - 4 * M25 + 2.26 * M30) * 10 ^ -3)</f>
        <v>8.3664000000000002E-2</v>
      </c>
      <c r="N35" s="15">
        <f ca="1">((5.11 * N20 - 4 * N25 + 2.26 * N30) * 10 ^ -3)</f>
        <v>8.4908000000000011E-2</v>
      </c>
      <c r="O35" s="15">
        <f ca="1">((5.11 * O20 - 4 * O25 + 2.26 * O30) * 10 ^ -3)</f>
        <v>7.4142E-2</v>
      </c>
      <c r="P35" s="16" t="str">
        <f>$E$11</f>
        <v>kg CH4/head/day</v>
      </c>
    </row>
    <row r="36" spans="1:18" ht="20.100000000000001" customHeight="1" x14ac:dyDescent="0.2">
      <c r="A36" s="5" t="str">
        <f>HYPERLINK("#'15 Scope 3'!A1", "15 Scope 3")</f>
        <v>15 Scope 3</v>
      </c>
    </row>
    <row r="37" spans="1:18" ht="20.100000000000001" customHeight="1" x14ac:dyDescent="0.2">
      <c r="A37" s="5" t="str">
        <f>HYPERLINK("#'Calcs - Manure sent off-site'!A1", "Calcs - Manure sent off-site")</f>
        <v>Calcs - Manure sent off-site</v>
      </c>
    </row>
    <row r="38" spans="1:18" ht="20.100000000000001" customHeight="1" x14ac:dyDescent="0.2">
      <c r="A38" s="5" t="str">
        <f>HYPERLINK("#'5.1.1.1-2 Inorganic fert N2O'!A1", "5.1.1.1-2 Inorganic fert N2O")</f>
        <v>5.1.1.1-2 Inorganic fert N2O</v>
      </c>
      <c r="C38" s="83"/>
      <c r="D38" s="83"/>
      <c r="E38" s="83"/>
      <c r="F38" s="83"/>
      <c r="G38" s="83"/>
      <c r="H38" s="83"/>
      <c r="I38" s="83"/>
      <c r="J38" s="83"/>
      <c r="L38" s="83"/>
      <c r="M38" s="83"/>
      <c r="N38" s="83"/>
      <c r="O38" s="83"/>
      <c r="P38" s="83"/>
      <c r="Q38" s="83"/>
      <c r="R38" s="83"/>
    </row>
    <row r="39" spans="1:18" ht="20.100000000000001" customHeight="1" x14ac:dyDescent="0.2">
      <c r="A39" s="5" t="str">
        <f>HYPERLINK("#'5.1.1.3-4 Inorganic fert CO2'!A1", "5.1.1.3-4 Inorganic fert CO2")</f>
        <v>5.1.1.3-4 Inorganic fert CO2</v>
      </c>
      <c r="D39" s="2" t="s">
        <v>1198</v>
      </c>
    </row>
    <row r="40" spans="1:18" ht="20.100000000000001" customHeight="1" x14ac:dyDescent="0.2">
      <c r="A40" s="5" t="str">
        <f>HYPERLINK("#'5.2.1.1-2 Organic Fert N2O'!A1", "5.2.1.1-2 Organic Fert N2O")</f>
        <v>5.2.1.1-2 Organic Fert N2O</v>
      </c>
      <c r="D40" s="17" t="s">
        <v>1199</v>
      </c>
    </row>
    <row r="41" spans="1:18" ht="20.100000000000001" customHeight="1" x14ac:dyDescent="0.2">
      <c r="A41" s="5" t="str">
        <f>HYPERLINK("#'5.3.1.1-2 Lime CO2'!A1", "5.3.1.1-2 Lime CO2")</f>
        <v>5.3.1.1-2 Lime CO2</v>
      </c>
      <c r="D41" s="112"/>
      <c r="E41" s="112"/>
    </row>
    <row r="42" spans="1:18" ht="20.100000000000001" customHeight="1" x14ac:dyDescent="0.2">
      <c r="A42" s="5" t="str">
        <f>HYPERLINK("#'5.4.1.1-4 Atmos deposition'!A1", "5.4.1.1-4 Atmos deposition")</f>
        <v>5.4.1.1-4 Atmos deposition</v>
      </c>
    </row>
    <row r="43" spans="1:18" ht="20.100000000000001" customHeight="1" x14ac:dyDescent="0.2">
      <c r="A43" s="5" t="str">
        <f>HYPERLINK("#'5.5.1.1-2 Leaching and runoff'!A1", "5.5.1.1-2 Leaching and runoff")</f>
        <v>5.5.1.1-2 Leaching and runoff</v>
      </c>
      <c r="D43" s="2"/>
    </row>
    <row r="45" spans="1:18" ht="20.100000000000001" customHeight="1" x14ac:dyDescent="0.2">
      <c r="D45" s="75" t="s">
        <v>321</v>
      </c>
      <c r="E45" s="1" t="s">
        <v>1200</v>
      </c>
    </row>
    <row r="46" spans="1:18" ht="20.100000000000001" customHeight="1" x14ac:dyDescent="0.2">
      <c r="A46" s="80" t="s">
        <v>1</v>
      </c>
      <c r="D46" s="75" t="s">
        <v>118</v>
      </c>
      <c r="E46" s="9" t="s">
        <v>6</v>
      </c>
    </row>
    <row r="47" spans="1:18" ht="20.100000000000001" customHeight="1" x14ac:dyDescent="0.2">
      <c r="A47" s="5" t="str">
        <f>HYPERLINK("#'Constants - Feedlot'!A1", "Constants - Feedlot")</f>
        <v>Constants - Feedlot</v>
      </c>
    </row>
    <row r="48" spans="1:18" ht="20.100000000000001" customHeight="1" x14ac:dyDescent="0.2">
      <c r="A48" s="5" t="str">
        <f>HYPERLINK("#'Constants - Common livestock'!A1", "Constants - Common Livestock")</f>
        <v>Constants - Common Livestock</v>
      </c>
      <c r="D48" s="113" t="s">
        <v>1201</v>
      </c>
      <c r="E48" s="121" t="s">
        <v>1202</v>
      </c>
      <c r="F48" s="122"/>
      <c r="G48" s="113" t="s">
        <v>293</v>
      </c>
      <c r="H48" s="114" t="s">
        <v>1196</v>
      </c>
      <c r="I48" s="116" t="str" cm="1">
        <f t="array" aca="1" ref="I48" ca="1">HYPERLINK(Common_InputFunctions.Utility_SourceHyperlink($D$52),$D$52)</f>
        <v>Table_D_j</v>
      </c>
    </row>
    <row r="49" spans="1:15" ht="20.100000000000001" customHeight="1" x14ac:dyDescent="0.2">
      <c r="A49" s="5" t="str">
        <f>HYPERLINK("#'Constants - Electricity'!A1", "Constants - Electricity")</f>
        <v>Constants - Electricity</v>
      </c>
      <c r="D49" s="113" t="s">
        <v>1188</v>
      </c>
      <c r="E49" s="121" t="s">
        <v>1203</v>
      </c>
      <c r="F49" s="122"/>
      <c r="G49" s="113" t="s">
        <v>1189</v>
      </c>
      <c r="H49" s="115" t="s">
        <v>1206</v>
      </c>
      <c r="I49" s="116" t="str" cm="1">
        <f t="array" aca="1" ref="I49" ca="1">HYPERLINK(Common_InputFunctions.Utility_SourceHyperlink($D$32),$D$32)</f>
        <v>M1_Table_M_j</v>
      </c>
    </row>
    <row r="50" spans="1:15" ht="20.100000000000001" customHeight="1" x14ac:dyDescent="0.2">
      <c r="A50" s="5" t="str">
        <f>HYPERLINK("#'Constants - Fertiliser'!A1", "Constants - Fertiliser")</f>
        <v>Constants - Fertiliser</v>
      </c>
      <c r="D50" s="113" t="s">
        <v>1204</v>
      </c>
      <c r="E50" s="121" t="s">
        <v>1205</v>
      </c>
      <c r="F50" s="122"/>
      <c r="G50" s="113" t="s">
        <v>292</v>
      </c>
      <c r="H50" s="114" t="s">
        <v>1196</v>
      </c>
      <c r="I50" s="116" t="str" cm="1">
        <f t="array" aca="1" ref="I50" ca="1">HYPERLINK(Common_InputFunctions.Utility_SourceHyperlink($D$57),$D$57)</f>
        <v>Table_N_j</v>
      </c>
    </row>
    <row r="51" spans="1:15" ht="20.100000000000001" customHeight="1" x14ac:dyDescent="0.2">
      <c r="A51" s="5" t="str">
        <f>HYPERLINK("#'Constants - Fuel'!A1", "Constants - Fuel")</f>
        <v>Constants - Fuel</v>
      </c>
    </row>
    <row r="52" spans="1:15" ht="20.100000000000001" customHeight="1" x14ac:dyDescent="0.2">
      <c r="A52" s="5" t="str">
        <f>HYPERLINK("#'Constants - Scope 3'!A1", "Constants - Scope 3")</f>
        <v>Constants - Scope 3</v>
      </c>
      <c r="D52" s="118" t="s">
        <v>360</v>
      </c>
    </row>
    <row r="53" spans="1:15" ht="20.100000000000001" customHeight="1" x14ac:dyDescent="0.2">
      <c r="A53" s="5" t="str">
        <f>HYPERLINK("#'Constants - Solid Waste'!A1", "Constants - Solid Waste")</f>
        <v>Constants - Solid Waste</v>
      </c>
      <c r="D53" s="119" t="s">
        <v>361</v>
      </c>
    </row>
    <row r="54" spans="1:15" ht="20.100000000000001" customHeight="1" x14ac:dyDescent="0.2">
      <c r="A54" s="5" t="str">
        <f>HYPERLINK("#'Constants - Common'!A1", "Constants - Common")</f>
        <v>Constants - Common</v>
      </c>
      <c r="D54" s="78" t="s">
        <v>289</v>
      </c>
      <c r="E54" s="78" t="s">
        <v>290</v>
      </c>
      <c r="F54" s="78" t="s">
        <v>291</v>
      </c>
    </row>
    <row r="55" spans="1:15" ht="20.100000000000001" customHeight="1" x14ac:dyDescent="0.2">
      <c r="A55" s="5" t="str">
        <f>HYPERLINK("#'Acknowledgements'!A1", "Acknowledgements")</f>
        <v>Acknowledgements</v>
      </c>
      <c r="D55" s="125" cm="1">
        <f t="array" aca="1" ref="D55:F55" ca="1">OFFSET(X_Table_Feedlot_HerdMovement, 2, 1, 1, 3)</f>
        <v>90</v>
      </c>
      <c r="E55" s="125">
        <f ca="1"/>
        <v>140</v>
      </c>
      <c r="F55" s="125">
        <f ca="1"/>
        <v>250</v>
      </c>
      <c r="G55" s="16" t="str">
        <f>G48</f>
        <v>days</v>
      </c>
    </row>
    <row r="57" spans="1:15" ht="20.100000000000001" customHeight="1" x14ac:dyDescent="0.2">
      <c r="D57" s="118" t="s">
        <v>368</v>
      </c>
    </row>
    <row r="58" spans="1:15" ht="20.100000000000001" customHeight="1" x14ac:dyDescent="0.2">
      <c r="D58" s="119" t="s">
        <v>369</v>
      </c>
    </row>
    <row r="59" spans="1:15" ht="20.100000000000001" customHeight="1" x14ac:dyDescent="0.2">
      <c r="D59" s="78" t="s">
        <v>289</v>
      </c>
      <c r="E59" s="78" t="s">
        <v>290</v>
      </c>
      <c r="F59" s="78" t="s">
        <v>291</v>
      </c>
    </row>
    <row r="60" spans="1:15" ht="20.100000000000001" customHeight="1" x14ac:dyDescent="0.2">
      <c r="D60" s="125" cm="1">
        <f t="array" aca="1" ref="D60:F60" ca="1">OFFSET(X_Table_Feedlot_HerdMovement, 1, 1, 1, 3)</f>
        <v>1000</v>
      </c>
      <c r="E60" s="125">
        <f ca="1"/>
        <v>1000</v>
      </c>
      <c r="F60" s="125">
        <f ca="1"/>
        <v>1000</v>
      </c>
      <c r="G60" s="16" t="str">
        <f>G50</f>
        <v>head</v>
      </c>
    </row>
    <row r="62" spans="1:15" ht="20.100000000000001" customHeight="1" x14ac:dyDescent="0.2">
      <c r="D62" s="118" t="s">
        <v>520</v>
      </c>
      <c r="M62" s="118" t="s">
        <v>521</v>
      </c>
    </row>
    <row r="63" spans="1:15" ht="20.100000000000001" customHeight="1" x14ac:dyDescent="0.2">
      <c r="D63" s="119" t="s">
        <v>522</v>
      </c>
      <c r="M63" s="119" t="s">
        <v>523</v>
      </c>
    </row>
    <row r="64" spans="1:15" ht="20.100000000000001" customHeight="1" x14ac:dyDescent="0.2">
      <c r="D64" s="120" t="s">
        <v>289</v>
      </c>
      <c r="E64" s="120" t="s">
        <v>290</v>
      </c>
      <c r="F64" s="120" t="s">
        <v>291</v>
      </c>
      <c r="M64" s="120" t="s">
        <v>289</v>
      </c>
      <c r="N64" s="120" t="s">
        <v>290</v>
      </c>
      <c r="O64" s="120" t="s">
        <v>291</v>
      </c>
    </row>
    <row r="65" spans="1:17" ht="20.100000000000001" customHeight="1" x14ac:dyDescent="0.2">
      <c r="D65" s="15">
        <f ca="1">((D55 * D35 * D60) * 10 ^ -3)</f>
        <v>7.5297600000000005</v>
      </c>
      <c r="E65" s="15">
        <f ca="1">((E55 * E35 * E60) * 10 ^ -3)</f>
        <v>11.887120000000001</v>
      </c>
      <c r="F65" s="15">
        <f ca="1">((F55 * F35 * F60) * 10 ^ -3)</f>
        <v>18.535499999999999</v>
      </c>
      <c r="G65" s="16" t="str">
        <f>$E$46</f>
        <v>t CH4</v>
      </c>
      <c r="M65" s="15">
        <f ca="1">((D55 * M35 * D60) * 10 ^ -3)</f>
        <v>7.5297600000000005</v>
      </c>
      <c r="N65" s="15">
        <f ca="1">((E55 * N35 * E60) * 10 ^ -3)</f>
        <v>11.887120000000001</v>
      </c>
      <c r="O65" s="15">
        <f ca="1">((F55 * O35 * F60) * 10 ^ -3)</f>
        <v>18.535499999999999</v>
      </c>
      <c r="P65" s="16" t="str">
        <f>$E$46</f>
        <v>t CH4</v>
      </c>
    </row>
    <row r="66" spans="1:17" ht="20.100000000000001" customHeight="1" x14ac:dyDescent="0.2">
      <c r="A66" s="79" t="str">
        <f>HYPERLINK("#A1", "▲ Back to top")</f>
        <v>▲ Back to top</v>
      </c>
    </row>
    <row r="67" spans="1:17" ht="20.100000000000001" customHeight="1" x14ac:dyDescent="0.2">
      <c r="D67" s="85" t="s">
        <v>524</v>
      </c>
      <c r="E67" s="86">
        <f ca="1">SUM(D65:F65)</f>
        <v>37.952380000000005</v>
      </c>
      <c r="F67" s="95" t="str">
        <f>$E$46</f>
        <v>t CH4</v>
      </c>
      <c r="M67" s="85" t="s">
        <v>525</v>
      </c>
      <c r="N67" s="86">
        <f ca="1">SUM(M65:O65)</f>
        <v>37.952380000000005</v>
      </c>
      <c r="O67" s="95" t="str">
        <f>$E$46</f>
        <v>t CH4</v>
      </c>
    </row>
    <row r="69" spans="1:17" ht="20.100000000000001" customHeight="1" x14ac:dyDescent="0.2">
      <c r="D69" s="124" t="str" cm="1">
        <f t="array" ref="D69:E70">Common_Equations.Common_ConvertCH4ToCO2e_Arguments()</f>
        <v>ECH4</v>
      </c>
      <c r="E69" s="126" t="str">
        <v>Methane emissions (t CH4)</v>
      </c>
      <c r="F69" s="127"/>
      <c r="G69" s="15">
        <f ca="1">VEERG_3_1_1_1__1_TotalAnnualMethaneFromEntericFermentation_Result_Method1</f>
        <v>37.952380000000005</v>
      </c>
      <c r="H69" s="16" t="str">
        <f>$E$46</f>
        <v>t CH4</v>
      </c>
      <c r="M69" s="124" t="str" cm="1">
        <f t="array" ref="M69:N70">Common_Equations.Common_ConvertCH4ToCO2e_Arguments()</f>
        <v>ECH4</v>
      </c>
      <c r="N69" s="126" t="str">
        <v>Methane emissions (t CH4)</v>
      </c>
      <c r="O69" s="127"/>
      <c r="P69" s="15">
        <f ca="1">N67</f>
        <v>37.952380000000005</v>
      </c>
      <c r="Q69" s="16" t="str">
        <f>$E$46</f>
        <v>t CH4</v>
      </c>
    </row>
    <row r="70" spans="1:17" ht="20.100000000000001" customHeight="1" x14ac:dyDescent="0.2">
      <c r="D70" s="124" t="str">
        <v>GWPCH4</v>
      </c>
      <c r="E70" s="126" t="str">
        <v>Global warming potential for methane (t CO2-e / t CH4)</v>
      </c>
      <c r="F70" s="127"/>
      <c r="G70" s="15">
        <f>Common_InputFunctions.Utility_LookupValueInTableNumber("CH4",Table_GWPData[Gas],Table_GWPData[CO2-e factor])</f>
        <v>28</v>
      </c>
      <c r="M70" s="124" t="str">
        <v>GWPCH4</v>
      </c>
      <c r="N70" s="126" t="str">
        <v>Global warming potential for methane (t CO2-e / t CH4)</v>
      </c>
      <c r="O70" s="127"/>
      <c r="P70" s="15">
        <f>Common_InputFunctions.Utility_LookupValueInTableNumber("CH4",Table_GWPData[Gas],Table_GWPData[CO2-e factor])</f>
        <v>28</v>
      </c>
    </row>
    <row r="72" spans="1:17" ht="20.100000000000001" customHeight="1" x14ac:dyDescent="0.2">
      <c r="D72" s="83" t="s">
        <v>374</v>
      </c>
      <c r="E72" s="83" cm="1">
        <f t="array" aca="1" ref="E72" ca="1">Common_Equations.Common_ConvertCH4ToCO2e(G69,G70)</f>
        <v>1062.6666400000001</v>
      </c>
      <c r="F72" s="89" t="str" cm="1">
        <f t="array" ref="F72">Common_Equations.Common_ConvertN2OToCO2e_Unit()</f>
        <v>t CO2e</v>
      </c>
      <c r="M72" s="83" t="s">
        <v>375</v>
      </c>
      <c r="N72" s="83" cm="1">
        <f t="array" aca="1" ref="N72" ca="1">Common_Equations.Common_ConvertCH4ToCO2e(P69,P70)</f>
        <v>1062.6666400000001</v>
      </c>
      <c r="O72" s="89" t="str" cm="1">
        <f t="array" ref="O72">Common_Equations.Common_ConvertN2OToCO2e_Unit()</f>
        <v>t CO2e</v>
      </c>
    </row>
  </sheetData>
  <dataValidations count="1">
    <dataValidation operator="equal" allowBlank="1" showInputMessage="1" showErrorMessage="1" sqref="E133:G133 E138:G138 N138:P138 D55:F55 D60:F60" xr:uid="{DD9ADC96-3092-4759-96BD-EFC14CC35BD9}"/>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07BBA-76D8-4CCD-9450-4E2C4758DC82}">
  <sheetPr>
    <tabColor rgb="FF008000"/>
  </sheetPr>
  <dimension ref="A1:S17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282</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1207</v>
      </c>
    </row>
    <row r="6" spans="1:19" ht="20.100000000000001" customHeight="1" x14ac:dyDescent="0.2">
      <c r="D6" s="17" t="s">
        <v>1208</v>
      </c>
    </row>
    <row r="7" spans="1:19" ht="20.100000000000001" customHeight="1" x14ac:dyDescent="0.2">
      <c r="D7" s="112"/>
      <c r="E7" s="112"/>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321</v>
      </c>
      <c r="E10" s="1" t="s">
        <v>1209</v>
      </c>
    </row>
    <row r="11" spans="1:19" ht="20.100000000000001" customHeight="1" x14ac:dyDescent="0.2">
      <c r="A11" s="5" t="str">
        <f>HYPERLINK("#'Input - Feedlot'!A1", "Feedlot")</f>
        <v>Feedlot</v>
      </c>
      <c r="D11" s="75" t="s">
        <v>118</v>
      </c>
      <c r="E11" s="9" t="s">
        <v>1210</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13" t="str" cm="1">
        <f t="array" ref="D13:G15">(_xlfn.MAKEARRAY(3, 4, _xlfn.LAMBDA(_xlpm.r,_xlpm.c, INDEX({"I_j","dry matter intake for each group j","kg DM/head/day","Input";"DMD_j","dry matter digestibility for each group j","fraction","Input";"A","ash content of manure","fraction","Constant"}, _xlpm.r, _xlpm.c))))</f>
        <v>I_j</v>
      </c>
      <c r="E13" s="113" t="str">
        <v>dry matter intake for each group j</v>
      </c>
      <c r="F13" s="113" t="str">
        <v>kg DM/head/day</v>
      </c>
      <c r="G13" s="114" t="str">
        <v>Input</v>
      </c>
      <c r="H13" s="116" t="str" cm="1">
        <f t="array" aca="1" ref="H13" ca="1">HYPERLINK(Common_InputFunctions.Utility_SourceHyperlink($D$17),$D$17)</f>
        <v>M1_Table_I_j</v>
      </c>
    </row>
    <row r="14" spans="1:19" ht="20.100000000000001" customHeight="1" x14ac:dyDescent="0.2">
      <c r="A14" s="5" t="str">
        <f>HYPERLINK("#'Input - Fuel'!A1", "Fuel")</f>
        <v>Fuel</v>
      </c>
      <c r="D14" s="113" t="str">
        <v>DMD_j</v>
      </c>
      <c r="E14" s="113" t="str">
        <v>dry matter digestibility for each group j</v>
      </c>
      <c r="F14" s="113" t="str">
        <v>fraction</v>
      </c>
      <c r="G14" s="114" t="str">
        <v>Input</v>
      </c>
      <c r="H14" s="116" t="str" cm="1">
        <f t="array" aca="1" ref="H14" ca="1">HYPERLINK(Common_InputFunctions.Utility_SourceHyperlink($D$22),$D$22)</f>
        <v>M1_Table_DMD_j</v>
      </c>
    </row>
    <row r="15" spans="1:19" ht="20.100000000000001" customHeight="1" x14ac:dyDescent="0.2">
      <c r="A15" s="5" t="str">
        <f>HYPERLINK("#'Input - Electricity'!A1", "Electricity")</f>
        <v>Electricity</v>
      </c>
      <c r="D15" s="113" t="str">
        <v>A</v>
      </c>
      <c r="E15" s="113" t="str">
        <v>ash content of manure</v>
      </c>
      <c r="F15" s="113" t="str">
        <v>fraction</v>
      </c>
      <c r="G15" s="115" t="str">
        <v>Constant</v>
      </c>
      <c r="H15" s="113">
        <f>SourceData_Feedlot_AshContent_Data</f>
        <v>0.16</v>
      </c>
    </row>
    <row r="16" spans="1:19" ht="20.100000000000001" customHeight="1" x14ac:dyDescent="0.2">
      <c r="A16" s="5" t="str">
        <f>HYPERLINK("#'Input - Common farm inputs'!A1", "Common farm inputs")</f>
        <v>Common farm inputs</v>
      </c>
    </row>
    <row r="17" spans="1:16" ht="20.100000000000001" customHeight="1" x14ac:dyDescent="0.2">
      <c r="A17" s="5" t="str">
        <f>HYPERLINK("#'Input - Livestock farm Inputs'!A1", "Livestock farm Inputs")</f>
        <v>Livestock farm Inputs</v>
      </c>
      <c r="D17" s="118" t="s">
        <v>322</v>
      </c>
      <c r="M17" s="118" t="s">
        <v>323</v>
      </c>
    </row>
    <row r="18" spans="1:16" ht="20.100000000000001" customHeight="1" x14ac:dyDescent="0.2">
      <c r="A18" s="5" t="str">
        <f>HYPERLINK("#'Input - Freight'!A1", "Freight")</f>
        <v>Freight</v>
      </c>
      <c r="D18" s="119" t="s">
        <v>324</v>
      </c>
      <c r="M18" s="119" t="s">
        <v>325</v>
      </c>
    </row>
    <row r="19" spans="1:16" ht="20.100000000000001" customHeight="1" x14ac:dyDescent="0.2">
      <c r="A19" s="5" t="str">
        <f>HYPERLINK("#'Input - Solid waste'!A1", "Solid waste")</f>
        <v>Solid waste</v>
      </c>
      <c r="D19" s="78" t="s">
        <v>289</v>
      </c>
      <c r="E19" s="78" t="s">
        <v>290</v>
      </c>
      <c r="F19" s="78" t="s">
        <v>291</v>
      </c>
      <c r="M19" s="78" t="s">
        <v>289</v>
      </c>
      <c r="N19" s="78" t="s">
        <v>290</v>
      </c>
      <c r="O19" s="78" t="s">
        <v>291</v>
      </c>
    </row>
    <row r="20" spans="1:16" ht="20.100000000000001" customHeight="1" x14ac:dyDescent="0.2">
      <c r="A20" s="5" t="str">
        <f>HYPERLINK("#'Input - Manure sent off-site'!A1", "Manure sent off-site")</f>
        <v>Manure sent off-site</v>
      </c>
      <c r="D20" s="15" cm="1">
        <f t="array" aca="1" ref="D20:F20" ca="1">OFFSET(X_Table_Feedlot_Intake_Method1, 1, 1, 1, 3)</f>
        <v>10.4</v>
      </c>
      <c r="E20" s="15">
        <f ca="1"/>
        <v>10.8</v>
      </c>
      <c r="F20" s="15">
        <f ca="1"/>
        <v>8.1999999999999993</v>
      </c>
      <c r="G20" s="16" t="s">
        <v>326</v>
      </c>
      <c r="M20" s="15" cm="1">
        <f t="array" aca="1" ref="M20:O20" ca="1">OFFSET(X_Table_Feedlot_Intake_Method2, 1, 1, 1, 3)</f>
        <v>10.4</v>
      </c>
      <c r="N20" s="15">
        <f ca="1"/>
        <v>10.8</v>
      </c>
      <c r="O20" s="15">
        <f ca="1"/>
        <v>8.1999999999999993</v>
      </c>
      <c r="P20" s="16" t="s">
        <v>326</v>
      </c>
    </row>
    <row r="21" spans="1:16" ht="20.100000000000001" customHeight="1" x14ac:dyDescent="0.2">
      <c r="A21" s="5" t="str">
        <f>HYPERLINK("#'Input - Data quality'!A1", "Data quality")</f>
        <v>Data quality</v>
      </c>
    </row>
    <row r="22" spans="1:16" ht="20.100000000000001" customHeight="1" x14ac:dyDescent="0.2">
      <c r="A22" s="5" t="str">
        <f>HYPERLINK("#'Input - Fert Prod System'!A1", "Fert Prod System")</f>
        <v>Fert Prod System</v>
      </c>
      <c r="D22" s="118" t="s">
        <v>327</v>
      </c>
      <c r="M22" s="118" t="s">
        <v>328</v>
      </c>
    </row>
    <row r="23" spans="1:16" ht="20.100000000000001" customHeight="1" x14ac:dyDescent="0.2">
      <c r="A23" s="5" t="str">
        <f>HYPERLINK("#'Input - Fertiliser'!A1", "Fertiliser")</f>
        <v>Fertiliser</v>
      </c>
      <c r="D23" s="119" t="s">
        <v>329</v>
      </c>
      <c r="M23" s="119" t="s">
        <v>330</v>
      </c>
    </row>
    <row r="24" spans="1:16" ht="20.100000000000001" customHeight="1" x14ac:dyDescent="0.2">
      <c r="D24" s="78" t="s">
        <v>289</v>
      </c>
      <c r="E24" s="78" t="s">
        <v>290</v>
      </c>
      <c r="F24" s="78" t="s">
        <v>291</v>
      </c>
      <c r="M24" s="78" t="s">
        <v>289</v>
      </c>
      <c r="N24" s="78" t="s">
        <v>290</v>
      </c>
      <c r="O24" s="78" t="s">
        <v>291</v>
      </c>
    </row>
    <row r="25" spans="1:16" ht="20.100000000000001" customHeight="1" x14ac:dyDescent="0.2">
      <c r="D25" s="15" cm="1">
        <f t="array" aca="1" ref="D25:F25" ca="1">OFFSET(X_Table_Feedlot_Intake_Method1, 4, 1, 1, 3)</f>
        <v>0.81</v>
      </c>
      <c r="E25" s="15">
        <f ca="1"/>
        <v>0.81</v>
      </c>
      <c r="F25" s="15">
        <f ca="1"/>
        <v>0.81</v>
      </c>
      <c r="G25" s="16" t="s">
        <v>299</v>
      </c>
      <c r="M25" s="15" cm="1">
        <f t="array" aca="1" ref="M25:O25" ca="1">OFFSET(X_Table_Feedlot_Intake_Method2, 4, 1, 1, 3)</f>
        <v>0.81</v>
      </c>
      <c r="N25" s="15">
        <f ca="1"/>
        <v>0.81</v>
      </c>
      <c r="O25" s="15">
        <f ca="1"/>
        <v>0.81</v>
      </c>
      <c r="P25" s="16" t="s">
        <v>299</v>
      </c>
    </row>
    <row r="26" spans="1:16" ht="20.100000000000001" customHeight="1" x14ac:dyDescent="0.2">
      <c r="A26" s="6" t="s">
        <v>2</v>
      </c>
    </row>
    <row r="27" spans="1:16" ht="20.100000000000001" customHeight="1" x14ac:dyDescent="0.2">
      <c r="A27" s="5" t="str">
        <f>HYPERLINK("#'3.1.1.1-2 Enteric Methane'!A1", "3.1.1.1-2 Enteric Methane")</f>
        <v>3.1.1.1-2 Enteric Methane</v>
      </c>
      <c r="D27" s="118" t="s">
        <v>331</v>
      </c>
      <c r="M27" s="118" t="s">
        <v>332</v>
      </c>
    </row>
    <row r="28" spans="1:16" ht="20.100000000000001" customHeight="1" x14ac:dyDescent="0.2">
      <c r="A28" s="117" t="str">
        <f>HYPERLINK("#'4.1.1.1-2 Methane'!A1", "4.1.1.1-2 Manure Methane")</f>
        <v>4.1.1.1-2 Manure Methane</v>
      </c>
      <c r="D28" s="119" t="s">
        <v>333</v>
      </c>
      <c r="M28" s="119" t="s">
        <v>334</v>
      </c>
    </row>
    <row r="29" spans="1:16" ht="20.100000000000001" customHeight="1" x14ac:dyDescent="0.2">
      <c r="A29" s="5" t="str">
        <f>HYPERLINK("#'4.1.1.3-4 Direct N20'!A1", "4.1.1.3-4 Manure Direct N2O")</f>
        <v>4.1.1.3-4 Manure Direct N2O</v>
      </c>
      <c r="D29" s="120" t="s">
        <v>289</v>
      </c>
      <c r="E29" s="120" t="s">
        <v>290</v>
      </c>
      <c r="F29" s="120" t="s">
        <v>291</v>
      </c>
      <c r="M29" s="120" t="s">
        <v>289</v>
      </c>
      <c r="N29" s="120" t="s">
        <v>290</v>
      </c>
      <c r="O29" s="120" t="s">
        <v>291</v>
      </c>
    </row>
    <row r="30" spans="1:16" ht="20.100000000000001" customHeight="1" x14ac:dyDescent="0.2">
      <c r="A30" s="5" t="str">
        <f>HYPERLINK("#'4.1.1.5-6 Atmos Deposition'!A1", "4.1.1.5-6 Manure Atmos Dep")</f>
        <v>4.1.1.5-6 Manure Atmos Dep</v>
      </c>
      <c r="D30" s="15">
        <f ca="1">(D20 * (1 - D25) * (1 - $H$15))</f>
        <v>1.6598399999999995</v>
      </c>
      <c r="E30" s="15">
        <f ca="1">(E20 * (1 - E25) * (1 - $H$15))</f>
        <v>1.7236799999999997</v>
      </c>
      <c r="F30" s="15">
        <f ca="1">(F20 * (1 - F25) * (1 - $H$15))</f>
        <v>1.3087199999999994</v>
      </c>
      <c r="G30" s="16" t="str">
        <f>$E$11</f>
        <v>kg/head/day</v>
      </c>
      <c r="M30" s="15">
        <f ca="1">(M20 * (1 - M25) * (1 - $H$15))</f>
        <v>1.6598399999999995</v>
      </c>
      <c r="N30" s="15">
        <f ca="1">(N20 * (1 - N25) * (1 - $H$15))</f>
        <v>1.7236799999999997</v>
      </c>
      <c r="O30" s="15">
        <f ca="1">(O20 * (1 - O25) * (1 - $H$15))</f>
        <v>1.3087199999999994</v>
      </c>
      <c r="P30" s="16" t="str">
        <f>$E$11</f>
        <v>kg/head/day</v>
      </c>
    </row>
    <row r="31" spans="1:16" ht="20.100000000000001" customHeight="1" x14ac:dyDescent="0.2">
      <c r="A31" s="5" t="str">
        <f>HYPERLINK("#'4.1.1.9 Manure applied to soils'!A1", "4.1.1.9 Manure applied to soils")</f>
        <v>4.1.1.9 Manure applied to soils</v>
      </c>
    </row>
    <row r="32" spans="1:16" ht="20.100000000000001" customHeight="1" x14ac:dyDescent="0.2">
      <c r="A32" s="5" t="str">
        <f>HYPERLINK("#'8.1.1.1-2 Transport fuel'!A1", "8.1.1.1-2 Transport fuel")</f>
        <v>8.1.1.1-2 Transport fuel</v>
      </c>
    </row>
    <row r="33" spans="1:18" ht="20.100000000000001" customHeight="1" x14ac:dyDescent="0.2">
      <c r="A33" s="5" t="str">
        <f>HYPERLINK("#'8.2.1.1-2 Stationary fuel'!A1", "8.2.1.1-2 Stationary fuel")</f>
        <v>8.2.1.1-2 Stationary fuel</v>
      </c>
      <c r="C33" s="83"/>
      <c r="D33" s="83"/>
      <c r="E33" s="83"/>
      <c r="F33" s="83"/>
      <c r="G33" s="83"/>
      <c r="H33" s="83"/>
      <c r="I33" s="83"/>
      <c r="J33" s="83"/>
      <c r="L33" s="83"/>
      <c r="M33" s="83"/>
      <c r="N33" s="83"/>
      <c r="O33" s="83"/>
      <c r="P33" s="83"/>
      <c r="Q33" s="83"/>
      <c r="R33" s="83"/>
    </row>
    <row r="34" spans="1:18" ht="20.100000000000001" customHeight="1" x14ac:dyDescent="0.2">
      <c r="A34" s="5" t="str">
        <f>HYPERLINK("#'10.1.1-2 Solid waste treatment'!A1", "10.1.1.1-2 Solid waste")</f>
        <v>10.1.1.1-2 Solid waste</v>
      </c>
      <c r="D34" s="2" t="s">
        <v>1211</v>
      </c>
    </row>
    <row r="35" spans="1:18" ht="20.100000000000001" customHeight="1" x14ac:dyDescent="0.2">
      <c r="A35" s="5" t="str">
        <f>HYPERLINK("#'14.1.1-2 Purchased electricity'!A1", "14.1.1-2 Purchased electricity")</f>
        <v>14.1.1-2 Purchased electricity</v>
      </c>
      <c r="D35" s="17" t="s">
        <v>1212</v>
      </c>
    </row>
    <row r="36" spans="1:18" ht="20.100000000000001" customHeight="1" x14ac:dyDescent="0.2">
      <c r="A36" s="5" t="str">
        <f>HYPERLINK("#'15 Scope 3'!A1", "15 Scope 3")</f>
        <v>15 Scope 3</v>
      </c>
      <c r="D36" s="112"/>
      <c r="E36" s="112"/>
    </row>
    <row r="37" spans="1:18" ht="20.100000000000001" customHeight="1" x14ac:dyDescent="0.2">
      <c r="A37" s="5" t="str">
        <f>HYPERLINK("#'Calcs - Manure sent off-site'!A1", "Calcs - Manure sent off-site")</f>
        <v>Calcs - Manure sent off-site</v>
      </c>
    </row>
    <row r="38" spans="1:18" ht="20.100000000000001" customHeight="1" x14ac:dyDescent="0.2">
      <c r="A38" s="5" t="str">
        <f>HYPERLINK("#'5.1.1.1-2 Inorganic fert N2O'!A1", "5.1.1.1-2 Inorganic fert N2O")</f>
        <v>5.1.1.1-2 Inorganic fert N2O</v>
      </c>
    </row>
    <row r="39" spans="1:18" ht="20.100000000000001" customHeight="1" x14ac:dyDescent="0.2">
      <c r="A39" s="5" t="str">
        <f>HYPERLINK("#'5.1.1.3-4 Inorganic fert CO2'!A1", "5.1.1.3-4 Inorganic fert CO2")</f>
        <v>5.1.1.3-4 Inorganic fert CO2</v>
      </c>
      <c r="D39" s="75" t="s">
        <v>321</v>
      </c>
      <c r="E39" s="1" t="s">
        <v>1213</v>
      </c>
    </row>
    <row r="40" spans="1:18" ht="20.100000000000001" customHeight="1" x14ac:dyDescent="0.2">
      <c r="A40" s="5" t="str">
        <f>HYPERLINK("#'5.2.1.1-2 Organic Fert N2O'!A1", "5.2.1.1-2 Organic Fert N2O")</f>
        <v>5.2.1.1-2 Organic Fert N2O</v>
      </c>
      <c r="D40" s="75" t="s">
        <v>118</v>
      </c>
      <c r="E40" s="9" t="s">
        <v>1189</v>
      </c>
      <c r="M40" s="35" t="s">
        <v>335</v>
      </c>
      <c r="N40" s="38"/>
    </row>
    <row r="41" spans="1:18" ht="20.100000000000001" customHeight="1" x14ac:dyDescent="0.2">
      <c r="A41" s="5" t="str">
        <f>HYPERLINK("#'5.3.1.1-2 Lime CO2'!A1", "5.3.1.1-2 Lime CO2")</f>
        <v>5.3.1.1-2 Lime CO2</v>
      </c>
    </row>
    <row r="42" spans="1:18" ht="20.100000000000001" customHeight="1" x14ac:dyDescent="0.2">
      <c r="A42" s="5" t="str">
        <f>HYPERLINK("#'5.4.1.1-4 Atmos deposition'!A1", "5.4.1.1-4 Atmos deposition")</f>
        <v>5.4.1.1-4 Atmos deposition</v>
      </c>
      <c r="D42" s="113" t="s">
        <v>1209</v>
      </c>
      <c r="E42" s="121" t="s">
        <v>1214</v>
      </c>
      <c r="F42" s="122"/>
      <c r="G42" s="113" t="s">
        <v>1210</v>
      </c>
      <c r="H42" s="115" t="s">
        <v>1225</v>
      </c>
      <c r="I42" s="116" t="str" cm="1">
        <f t="array" aca="1" ref="I42" ca="1">HYPERLINK(Common_InputFunctions.Utility_SourceHyperlink($D$27),$D$27)</f>
        <v>M1_Table_VS_j</v>
      </c>
      <c r="M42" s="113" t="s">
        <v>1209</v>
      </c>
      <c r="N42" s="121" t="s">
        <v>1214</v>
      </c>
      <c r="O42" s="122"/>
      <c r="P42" s="113" t="s">
        <v>1210</v>
      </c>
      <c r="Q42" s="115" t="s">
        <v>1225</v>
      </c>
      <c r="R42" s="116" t="str" cm="1">
        <f t="array" aca="1" ref="R42" ca="1">HYPERLINK(Common_InputFunctions.Utility_SourceHyperlink($D$27),$D$27)</f>
        <v>M1_Table_VS_j</v>
      </c>
    </row>
    <row r="43" spans="1:18" ht="20.100000000000001" customHeight="1" x14ac:dyDescent="0.2">
      <c r="A43" s="5" t="str">
        <f>HYPERLINK("#'5.5.1.1-2 Leaching and runoff'!A1", "5.5.1.1-2 Leaching and runoff")</f>
        <v>5.5.1.1-2 Leaching and runoff</v>
      </c>
      <c r="D43" s="113" t="s">
        <v>1215</v>
      </c>
      <c r="E43" s="121" t="s">
        <v>1216</v>
      </c>
      <c r="F43" s="122"/>
      <c r="G43" s="113" t="s">
        <v>1226</v>
      </c>
      <c r="H43" s="115" t="s">
        <v>1227</v>
      </c>
      <c r="I43" s="113">
        <f>SourceData_Feedlot_MethaneEmissionsPotential_Data</f>
        <v>0.19</v>
      </c>
      <c r="M43" s="113" t="s">
        <v>1215</v>
      </c>
      <c r="N43" s="121" t="s">
        <v>1216</v>
      </c>
      <c r="O43" s="122"/>
      <c r="P43" s="113" t="s">
        <v>1226</v>
      </c>
      <c r="Q43" s="115" t="s">
        <v>1227</v>
      </c>
      <c r="R43" s="113">
        <f>SourceData_Feedlot_MethaneEmissionsPotential_Data</f>
        <v>0.19</v>
      </c>
    </row>
    <row r="44" spans="1:18" ht="20.100000000000001" customHeight="1" x14ac:dyDescent="0.2">
      <c r="D44" s="113" t="s">
        <v>1217</v>
      </c>
      <c r="E44" s="121" t="s">
        <v>1218</v>
      </c>
      <c r="F44" s="122"/>
      <c r="G44" s="113" t="s">
        <v>299</v>
      </c>
      <c r="H44" s="114" t="s">
        <v>1196</v>
      </c>
      <c r="I44" s="116" t="str" cm="1">
        <f t="array" aca="1" ref="I44" ca="1">HYPERLINK(Common_InputFunctions.Utility_SourceHyperlink($D$49),$D$49)</f>
        <v>Table_MMS_m-5_T-1</v>
      </c>
      <c r="M44" s="113" t="s">
        <v>1217</v>
      </c>
      <c r="N44" s="121" t="s">
        <v>1218</v>
      </c>
      <c r="O44" s="122"/>
      <c r="P44" s="113" t="s">
        <v>299</v>
      </c>
      <c r="Q44" s="114" t="s">
        <v>1196</v>
      </c>
      <c r="R44" s="116" t="str" cm="1">
        <f t="array" aca="1" ref="R44" ca="1">HYPERLINK(Common_InputFunctions.Utility_SourceHyperlink($D$49),$D$49)</f>
        <v>Table_MMS_m-5_T-1</v>
      </c>
    </row>
    <row r="45" spans="1:18" ht="20.100000000000001" customHeight="1" x14ac:dyDescent="0.2">
      <c r="D45" s="113" t="s">
        <v>1219</v>
      </c>
      <c r="E45" s="121" t="s">
        <v>1220</v>
      </c>
      <c r="F45" s="122"/>
      <c r="G45" s="113" t="s">
        <v>299</v>
      </c>
      <c r="H45" s="115" t="s">
        <v>1227</v>
      </c>
      <c r="I45" s="113">
        <f>HLOOKUP(I47, Table_SourceData_Feedlot_MCF[#All], 2, FALSE)</f>
        <v>0.01</v>
      </c>
      <c r="M45" s="113" t="s">
        <v>1219</v>
      </c>
      <c r="N45" s="121" t="s">
        <v>1220</v>
      </c>
      <c r="O45" s="122"/>
      <c r="P45" s="113" t="s">
        <v>299</v>
      </c>
      <c r="Q45" s="115" t="s">
        <v>1227</v>
      </c>
      <c r="R45" s="113">
        <f>HLOOKUP(I47, Table_SourceData_Feedlot_MCF[#All], 2, FALSE)</f>
        <v>0.01</v>
      </c>
    </row>
    <row r="46" spans="1:18" ht="20.100000000000001" customHeight="1" x14ac:dyDescent="0.2">
      <c r="A46" s="80" t="s">
        <v>1</v>
      </c>
      <c r="D46" s="113" t="s">
        <v>1221</v>
      </c>
      <c r="E46" s="121" t="s">
        <v>1222</v>
      </c>
      <c r="F46" s="122"/>
      <c r="G46" s="113" t="s">
        <v>1228</v>
      </c>
      <c r="H46" s="115" t="s">
        <v>1227</v>
      </c>
      <c r="I46" s="113">
        <f>Common_SourceData_DensityOfMethane_Data</f>
        <v>0.6784</v>
      </c>
      <c r="M46" s="113" t="s">
        <v>1221</v>
      </c>
      <c r="N46" s="121" t="s">
        <v>1222</v>
      </c>
      <c r="O46" s="122"/>
      <c r="P46" s="113" t="s">
        <v>1228</v>
      </c>
      <c r="Q46" s="115" t="s">
        <v>1227</v>
      </c>
      <c r="R46" s="113">
        <f>Common_SourceData_DensityOfMethane_Data</f>
        <v>0.6784</v>
      </c>
    </row>
    <row r="47" spans="1:18" ht="20.100000000000001" customHeight="1" x14ac:dyDescent="0.2">
      <c r="A47" s="5" t="str">
        <f>HYPERLINK("#'Constants - Feedlot'!A1", "Constants - Feedlot")</f>
        <v>Constants - Feedlot</v>
      </c>
      <c r="D47" s="113" t="s">
        <v>1223</v>
      </c>
      <c r="E47" s="121" t="s">
        <v>1224</v>
      </c>
      <c r="F47" s="122"/>
      <c r="G47" s="113"/>
      <c r="H47" s="114" t="s">
        <v>1196</v>
      </c>
      <c r="I47" s="113" t="str">
        <f>Common_InputFunctions.Utility_LookupValueInTable(X_Cell_Site_State,Table_AustralianStates[Common Name],Table_AustralianStates[Abbreviation])</f>
        <v>WA</v>
      </c>
      <c r="M47" s="113" t="s">
        <v>1223</v>
      </c>
      <c r="N47" s="121" t="s">
        <v>1224</v>
      </c>
      <c r="O47" s="122"/>
      <c r="P47" s="113"/>
      <c r="Q47" s="114" t="s">
        <v>1196</v>
      </c>
      <c r="R47" s="113" t="str">
        <f>Common_InputFunctions.Utility_LookupValueInTable(X_Cell_Site_State,Table_AustralianStates[Common Name],Table_AustralianStates[Abbreviation])</f>
        <v>WA</v>
      </c>
    </row>
    <row r="48" spans="1:18" ht="20.100000000000001" customHeight="1" x14ac:dyDescent="0.2">
      <c r="A48" s="5" t="str">
        <f>HYPERLINK("#'Constants - Common livestock'!A1", "Constants - Common Livestock")</f>
        <v>Constants - Common Livestock</v>
      </c>
    </row>
    <row r="49" spans="1:18" ht="20.100000000000001" customHeight="1" x14ac:dyDescent="0.2">
      <c r="A49" s="5" t="str">
        <f>HYPERLINK("#'Constants - Electricity'!A1", "Constants - Electricity")</f>
        <v>Constants - Electricity</v>
      </c>
      <c r="D49" s="118" t="s">
        <v>336</v>
      </c>
    </row>
    <row r="50" spans="1:18" ht="20.100000000000001" customHeight="1" x14ac:dyDescent="0.2">
      <c r="A50" s="5" t="str">
        <f>HYPERLINK("#'Constants - Fertiliser'!A1", "Constants - Fertiliser")</f>
        <v>Constants - Fertiliser</v>
      </c>
      <c r="D50" s="119" t="s">
        <v>337</v>
      </c>
    </row>
    <row r="51" spans="1:18" ht="20.100000000000001" customHeight="1" x14ac:dyDescent="0.2">
      <c r="A51" s="5" t="str">
        <f>HYPERLINK("#'Constants - Fuel'!A1", "Constants - Fuel")</f>
        <v>Constants - Fuel</v>
      </c>
      <c r="D51" s="78" t="s">
        <v>307</v>
      </c>
      <c r="E51" s="78" t="s">
        <v>289</v>
      </c>
      <c r="F51" s="78" t="s">
        <v>290</v>
      </c>
      <c r="G51" s="78" t="s">
        <v>291</v>
      </c>
    </row>
    <row r="52" spans="1:18" ht="20.100000000000001" customHeight="1" x14ac:dyDescent="0.2">
      <c r="A52" s="5" t="str">
        <f>HYPERLINK("#'Constants - Scope 3'!A1", "Constants - Scope 3")</f>
        <v>Constants - Scope 3</v>
      </c>
      <c r="D52" s="15" t="str">
        <f>INDEX(X_Table_Feedlot_MMS_Stage1,2,1)</f>
        <v>Drylot (feed pad)</v>
      </c>
      <c r="E52" s="15" cm="1">
        <f t="array" aca="1" ref="E52:G52" ca="1">OFFSET(X_Table_Feedlot_MMS_Stage1, 1,1,1,3)</f>
        <v>1</v>
      </c>
      <c r="F52" s="15">
        <f ca="1"/>
        <v>1</v>
      </c>
      <c r="G52" s="15">
        <f ca="1"/>
        <v>1</v>
      </c>
      <c r="H52" s="16" t="s">
        <v>299</v>
      </c>
    </row>
    <row r="53" spans="1:18" ht="20.100000000000001" customHeight="1" x14ac:dyDescent="0.2">
      <c r="A53" s="5" t="str">
        <f>HYPERLINK("#'Constants - Solid Waste'!A1", "Constants - Solid Waste")</f>
        <v>Constants - Solid Waste</v>
      </c>
    </row>
    <row r="54" spans="1:18" ht="20.100000000000001" customHeight="1" x14ac:dyDescent="0.2">
      <c r="A54" s="5" t="str">
        <f>HYPERLINK("#'Constants - Common'!A1", "Constants - Common")</f>
        <v>Constants - Common</v>
      </c>
      <c r="D54" s="118" t="s">
        <v>338</v>
      </c>
      <c r="M54" s="118" t="s">
        <v>339</v>
      </c>
    </row>
    <row r="55" spans="1:18" ht="20.100000000000001" customHeight="1" x14ac:dyDescent="0.2">
      <c r="A55" s="5" t="str">
        <f>HYPERLINK("#'Acknowledgements'!A1", "Acknowledgements")</f>
        <v>Acknowledgements</v>
      </c>
      <c r="D55" s="119" t="s">
        <v>340</v>
      </c>
      <c r="M55" s="119" t="s">
        <v>341</v>
      </c>
    </row>
    <row r="56" spans="1:18" ht="20.100000000000001" customHeight="1" x14ac:dyDescent="0.2">
      <c r="D56" s="120" t="s">
        <v>307</v>
      </c>
      <c r="E56" s="120" t="s">
        <v>289</v>
      </c>
      <c r="F56" s="120" t="s">
        <v>290</v>
      </c>
      <c r="G56" s="120" t="s">
        <v>291</v>
      </c>
      <c r="M56" s="120" t="s">
        <v>307</v>
      </c>
      <c r="N56" s="120" t="s">
        <v>289</v>
      </c>
      <c r="O56" s="120" t="s">
        <v>290</v>
      </c>
      <c r="P56" s="120" t="s">
        <v>291</v>
      </c>
    </row>
    <row r="57" spans="1:18" ht="20.100000000000001" customHeight="1" x14ac:dyDescent="0.2">
      <c r="D57" s="15" t="str">
        <f>INDEX(X_Table_Feedlot_MMS_Stage1,2,1)</f>
        <v>Drylot (feed pad)</v>
      </c>
      <c r="E57" s="15">
        <f ca="1">(_xlfn.LET(_xlpm.MCF_im5, IF(ISNUMBER($I$45), $I$45, 0), D30 * $I$43 * E52 * _xlpm.MCF_im5 * $I$46))</f>
        <v>2.1394673663999997E-3</v>
      </c>
      <c r="F57" s="15">
        <f ca="1">(_xlfn.LET(_xlpm.MCF_im5, IF(ISNUMBER($I$45), $I$45, 0), E30 * $I$43 * F52 * _xlpm.MCF_im5 * $I$46))</f>
        <v>2.2217545727999995E-3</v>
      </c>
      <c r="G57" s="15">
        <f ca="1">(_xlfn.LET(_xlpm.MCF_im5, IF(ISNUMBER($I$45), $I$45, 0), F30 * $I$43 * G52 * _xlpm.MCF_im5 * $I$46))</f>
        <v>1.6868877311999992E-3</v>
      </c>
      <c r="H57" s="16" t="str">
        <f>$E$40</f>
        <v>kg CH4/head/day</v>
      </c>
      <c r="M57" s="15" t="str">
        <f>INDEX(X_Table_Feedlot_MMS_Stage1,2,1)</f>
        <v>Drylot (feed pad)</v>
      </c>
      <c r="N57" s="15">
        <f ca="1">(_xlfn.LET(_xlpm.MCF_im5, IF(ISNUMBER($I$45), $I$45, 0), M30 * $I$43 * E52 * _xlpm.MCF_im5 * $I$46))</f>
        <v>2.1394673663999997E-3</v>
      </c>
      <c r="O57" s="15">
        <f ca="1">(_xlfn.LET(_xlpm.MCF_im5, IF(ISNUMBER($I$45), $I$45, 0), N30 * $I$43 * F52 * _xlpm.MCF_im5 * $I$46))</f>
        <v>2.2217545727999995E-3</v>
      </c>
      <c r="P57" s="15">
        <f ca="1">(_xlfn.LET(_xlpm.MCF_im5, IF(ISNUMBER($I$45), $I$45, 0), O30 * $I$43 * G52 * _xlpm.MCF_im5 * $I$46))</f>
        <v>1.6868877311999992E-3</v>
      </c>
      <c r="Q57" s="16" t="str">
        <f>$E$40</f>
        <v>kg CH4/head/day</v>
      </c>
    </row>
    <row r="58" spans="1:18" ht="20.100000000000001" customHeight="1" x14ac:dyDescent="0.2">
      <c r="D58" s="123" t="str">
        <f>IF(ISNUMBER($I$45),"", "⚠️ ALERT: No MCFim5 data provided. Zero is used instead.")</f>
        <v/>
      </c>
    </row>
    <row r="60" spans="1:18" ht="20.100000000000001" customHeight="1" x14ac:dyDescent="0.2">
      <c r="C60" s="83"/>
      <c r="D60" s="83"/>
      <c r="E60" s="83"/>
      <c r="F60" s="83"/>
      <c r="G60" s="83"/>
      <c r="H60" s="83"/>
      <c r="I60" s="83"/>
      <c r="J60" s="83"/>
      <c r="L60" s="83"/>
      <c r="M60" s="83"/>
      <c r="N60" s="83"/>
      <c r="O60" s="83"/>
      <c r="P60" s="83"/>
      <c r="Q60" s="83"/>
      <c r="R60" s="83"/>
    </row>
    <row r="61" spans="1:18" ht="20.100000000000001" customHeight="1" x14ac:dyDescent="0.2">
      <c r="D61" s="2" t="s">
        <v>1229</v>
      </c>
    </row>
    <row r="62" spans="1:18" ht="20.100000000000001" customHeight="1" x14ac:dyDescent="0.2">
      <c r="D62" s="17" t="s">
        <v>1230</v>
      </c>
    </row>
    <row r="63" spans="1:18" ht="20.100000000000001" customHeight="1" x14ac:dyDescent="0.2">
      <c r="D63" s="112"/>
      <c r="E63" s="112"/>
    </row>
    <row r="65" spans="1:18" ht="20.100000000000001" customHeight="1" x14ac:dyDescent="0.2">
      <c r="D65" s="2"/>
    </row>
    <row r="66" spans="1:18" ht="20.100000000000001" customHeight="1" x14ac:dyDescent="0.2">
      <c r="A66" s="79" t="str">
        <f>HYPERLINK("#A1", "▲ Back to top")</f>
        <v>▲ Back to top</v>
      </c>
      <c r="D66" s="75" t="s">
        <v>321</v>
      </c>
      <c r="E66" s="1" t="s">
        <v>1231</v>
      </c>
    </row>
    <row r="67" spans="1:18" ht="20.100000000000001" customHeight="1" x14ac:dyDescent="0.2">
      <c r="D67" s="75" t="s">
        <v>118</v>
      </c>
      <c r="E67" s="9" t="s">
        <v>1189</v>
      </c>
    </row>
    <row r="69" spans="1:18" ht="20.100000000000001" customHeight="1" x14ac:dyDescent="0.2">
      <c r="D69" s="113" t="s">
        <v>1232</v>
      </c>
      <c r="E69" s="121" t="s">
        <v>1233</v>
      </c>
      <c r="F69" s="122"/>
      <c r="G69" s="113" t="s">
        <v>299</v>
      </c>
      <c r="H69" s="115" t="s">
        <v>1227</v>
      </c>
      <c r="I69" s="124">
        <f>SourceData_Feedlot_VSL_Data</f>
        <v>0.5</v>
      </c>
      <c r="M69" s="113" t="s">
        <v>1232</v>
      </c>
      <c r="N69" s="121" t="s">
        <v>1233</v>
      </c>
      <c r="O69" s="122"/>
      <c r="P69" s="113" t="s">
        <v>299</v>
      </c>
      <c r="Q69" s="115" t="s">
        <v>1227</v>
      </c>
      <c r="R69" s="124"/>
    </row>
    <row r="70" spans="1:18" ht="20.100000000000001" customHeight="1" x14ac:dyDescent="0.2">
      <c r="D70" s="113" t="s">
        <v>1209</v>
      </c>
      <c r="E70" s="121" t="s">
        <v>1214</v>
      </c>
      <c r="F70" s="122"/>
      <c r="G70" s="113" t="s">
        <v>1210</v>
      </c>
      <c r="H70" s="115" t="s">
        <v>1225</v>
      </c>
      <c r="I70" s="116" t="str" cm="1">
        <f t="array" aca="1" ref="I70" ca="1">HYPERLINK(Common_InputFunctions.Utility_SourceHyperlink($D$27),$D$27)</f>
        <v>M1_Table_VS_j</v>
      </c>
      <c r="M70" s="113" t="s">
        <v>1209</v>
      </c>
      <c r="N70" s="121" t="s">
        <v>1214</v>
      </c>
      <c r="O70" s="122"/>
      <c r="P70" s="113" t="s">
        <v>1210</v>
      </c>
      <c r="Q70" s="115" t="s">
        <v>1225</v>
      </c>
      <c r="R70" s="116"/>
    </row>
    <row r="71" spans="1:18" ht="20.100000000000001" customHeight="1" x14ac:dyDescent="0.2">
      <c r="D71" s="113" t="s">
        <v>1215</v>
      </c>
      <c r="E71" s="121" t="s">
        <v>1216</v>
      </c>
      <c r="F71" s="122"/>
      <c r="G71" s="113" t="s">
        <v>1226</v>
      </c>
      <c r="H71" s="115" t="s">
        <v>1227</v>
      </c>
      <c r="I71" s="124">
        <f>SourceData_Feedlot_MethaneEmissionsPotential_Data</f>
        <v>0.19</v>
      </c>
      <c r="M71" s="113" t="s">
        <v>1215</v>
      </c>
      <c r="N71" s="121" t="s">
        <v>1216</v>
      </c>
      <c r="O71" s="122"/>
      <c r="P71" s="113" t="s">
        <v>1226</v>
      </c>
      <c r="Q71" s="115" t="s">
        <v>1227</v>
      </c>
      <c r="R71" s="124"/>
    </row>
    <row r="72" spans="1:18" ht="20.100000000000001" customHeight="1" x14ac:dyDescent="0.2">
      <c r="D72" s="113" t="s">
        <v>1234</v>
      </c>
      <c r="E72" s="121" t="s">
        <v>1235</v>
      </c>
      <c r="F72" s="122"/>
      <c r="G72" s="113" t="s">
        <v>299</v>
      </c>
      <c r="H72" s="114" t="s">
        <v>1196</v>
      </c>
      <c r="I72" s="116" t="str" cm="1">
        <f t="array" aca="1" ref="I72" ca="1">HYPERLINK(Common_InputFunctions.Utility_SourceHyperlink($D$77),$D$77)</f>
        <v>Table_MMS_m_T-2</v>
      </c>
      <c r="M72" s="113" t="s">
        <v>1234</v>
      </c>
      <c r="N72" s="121" t="s">
        <v>1235</v>
      </c>
      <c r="O72" s="122"/>
      <c r="P72" s="113" t="s">
        <v>299</v>
      </c>
      <c r="Q72" s="114" t="s">
        <v>1196</v>
      </c>
      <c r="R72" s="116"/>
    </row>
    <row r="73" spans="1:18" ht="20.100000000000001" customHeight="1" x14ac:dyDescent="0.2">
      <c r="D73" s="113" t="s">
        <v>1236</v>
      </c>
      <c r="E73" s="121" t="s">
        <v>1237</v>
      </c>
      <c r="F73" s="122"/>
      <c r="G73" s="113" t="s">
        <v>299</v>
      </c>
      <c r="H73" s="115" t="s">
        <v>1227</v>
      </c>
      <c r="I73" s="116" t="str" cm="1">
        <f t="array" aca="1" ref="I73" ca="1">HYPERLINK(Common_InputFunctions.Utility_SourceHyperlink($D$84),$D$84)</f>
        <v>M1_Table_MCF_i_m</v>
      </c>
      <c r="M73" s="113" t="s">
        <v>1236</v>
      </c>
      <c r="N73" s="121" t="s">
        <v>1238</v>
      </c>
      <c r="O73" s="122"/>
      <c r="P73" s="113" t="s">
        <v>299</v>
      </c>
      <c r="Q73" s="115" t="s">
        <v>1227</v>
      </c>
      <c r="R73" s="116" t="str" cm="1">
        <f t="array" aca="1" ref="R73" ca="1">HYPERLINK(Common_InputFunctions.Utility_SourceHyperlink($M$84),$M$84)</f>
        <v>M2_Table_MCF_i_m</v>
      </c>
    </row>
    <row r="74" spans="1:18" ht="20.100000000000001" customHeight="1" x14ac:dyDescent="0.2">
      <c r="D74" s="113" t="s">
        <v>1221</v>
      </c>
      <c r="E74" s="121" t="s">
        <v>1222</v>
      </c>
      <c r="F74" s="122"/>
      <c r="G74" s="113" t="s">
        <v>1228</v>
      </c>
      <c r="H74" s="115" t="s">
        <v>1227</v>
      </c>
      <c r="I74" s="124">
        <f>Common_SourceData_DensityOfMethane_Data</f>
        <v>0.6784</v>
      </c>
      <c r="M74" s="113" t="s">
        <v>1221</v>
      </c>
      <c r="N74" s="121" t="s">
        <v>1222</v>
      </c>
      <c r="O74" s="122"/>
      <c r="P74" s="113" t="s">
        <v>1228</v>
      </c>
      <c r="Q74" s="115" t="s">
        <v>1227</v>
      </c>
      <c r="R74" s="124"/>
    </row>
    <row r="75" spans="1:18" ht="20.100000000000001" customHeight="1" x14ac:dyDescent="0.2">
      <c r="D75" s="113" t="s">
        <v>1223</v>
      </c>
      <c r="E75" s="121" t="s">
        <v>1224</v>
      </c>
      <c r="F75" s="122"/>
      <c r="G75" s="113"/>
      <c r="H75" s="114" t="s">
        <v>1196</v>
      </c>
      <c r="I75" s="124" t="str">
        <f>Common_InputFunctions.Utility_LookupValueInTable(X_Cell_Site_State,Table_AustralianStates[Common Name],Table_AustralianStates[Abbreviation])</f>
        <v>WA</v>
      </c>
      <c r="M75" s="113" t="s">
        <v>1223</v>
      </c>
      <c r="N75" s="121" t="s">
        <v>1239</v>
      </c>
      <c r="O75" s="122"/>
      <c r="P75" s="113"/>
      <c r="Q75" s="114" t="s">
        <v>1196</v>
      </c>
      <c r="R75" s="124">
        <f>X_Cell_Site_AverageTemperature</f>
        <v>18</v>
      </c>
    </row>
    <row r="77" spans="1:18" ht="20.100000000000001" customHeight="1" x14ac:dyDescent="0.2">
      <c r="D77" s="118" t="s">
        <v>342</v>
      </c>
    </row>
    <row r="78" spans="1:18" ht="20.100000000000001" customHeight="1" x14ac:dyDescent="0.2">
      <c r="D78" s="119" t="s">
        <v>343</v>
      </c>
    </row>
    <row r="79" spans="1:18" ht="20.100000000000001" customHeight="1" x14ac:dyDescent="0.2">
      <c r="D79" s="78" t="s">
        <v>307</v>
      </c>
      <c r="E79" s="78" t="s">
        <v>310</v>
      </c>
      <c r="F79" s="78" t="s">
        <v>289</v>
      </c>
      <c r="G79" s="78" t="s">
        <v>290</v>
      </c>
      <c r="H79" s="78" t="s">
        <v>291</v>
      </c>
    </row>
    <row r="80" spans="1:18" ht="20.100000000000001" customHeight="1" x14ac:dyDescent="0.2">
      <c r="D80" s="15" t="s">
        <v>308</v>
      </c>
      <c r="E80" s="15" t="str" cm="1">
        <f t="array" aca="1" ref="E80:H82" ca="1">OFFSET(X_Table_Feedlot_MMS_Stage2,2, 0, 3, 4)</f>
        <v>Solid storage</v>
      </c>
      <c r="F80" s="15">
        <f ca="1"/>
        <v>0.2</v>
      </c>
      <c r="G80" s="15">
        <f ca="1"/>
        <v>0.2</v>
      </c>
      <c r="H80" s="15">
        <f ca="1"/>
        <v>0.2</v>
      </c>
      <c r="I80" s="16" t="str">
        <f>G72</f>
        <v>fraction</v>
      </c>
    </row>
    <row r="81" spans="1:17" ht="20.100000000000001" customHeight="1" x14ac:dyDescent="0.2">
      <c r="D81" s="15" t="s">
        <v>308</v>
      </c>
      <c r="E81" s="15" t="str">
        <f ca="1"/>
        <v>Composting (passive windrow)</v>
      </c>
      <c r="F81" s="15">
        <f ca="1"/>
        <v>0.2</v>
      </c>
      <c r="G81" s="15">
        <f ca="1"/>
        <v>0.2</v>
      </c>
      <c r="H81" s="15">
        <f ca="1"/>
        <v>0.2</v>
      </c>
      <c r="I81" s="16"/>
    </row>
    <row r="82" spans="1:17" ht="20.100000000000001" customHeight="1" x14ac:dyDescent="0.2">
      <c r="D82" s="15" t="s">
        <v>308</v>
      </c>
      <c r="E82" s="15" t="str">
        <f ca="1"/>
        <v>Direct application</v>
      </c>
      <c r="F82" s="15">
        <f ca="1"/>
        <v>0.6</v>
      </c>
      <c r="G82" s="15">
        <f ca="1"/>
        <v>0.6</v>
      </c>
      <c r="H82" s="15">
        <f ca="1"/>
        <v>0.6</v>
      </c>
      <c r="I82" s="16"/>
    </row>
    <row r="84" spans="1:17" ht="20.100000000000001" customHeight="1" x14ac:dyDescent="0.2">
      <c r="D84" s="118" t="s">
        <v>344</v>
      </c>
      <c r="M84" s="118" t="s">
        <v>345</v>
      </c>
    </row>
    <row r="85" spans="1:17" ht="20.100000000000001" customHeight="1" x14ac:dyDescent="0.2">
      <c r="D85" s="119" t="s">
        <v>346</v>
      </c>
      <c r="M85" s="119" t="s">
        <v>347</v>
      </c>
    </row>
    <row r="86" spans="1:17" ht="20.100000000000001" customHeight="1" x14ac:dyDescent="0.2">
      <c r="D86" s="120" t="s">
        <v>307</v>
      </c>
      <c r="E86" s="120" t="s">
        <v>310</v>
      </c>
      <c r="F86" s="120" t="s">
        <v>348</v>
      </c>
      <c r="M86" s="120" t="s">
        <v>307</v>
      </c>
      <c r="N86" s="120" t="s">
        <v>310</v>
      </c>
      <c r="O86" s="120" t="s">
        <v>348</v>
      </c>
    </row>
    <row r="87" spans="1:17" ht="20.100000000000001" customHeight="1" x14ac:dyDescent="0.2">
      <c r="D87" s="15" t="s">
        <v>308</v>
      </c>
      <c r="E87" s="15" t="str">
        <f>INDEX(X_Table_Feedlot_MMS_Stage2,3,1)</f>
        <v>Solid storage</v>
      </c>
      <c r="F87" s="15" cm="1">
        <f t="array" ref="F87">_xlfn.XLOOKUP($I$75, Table_SourceData_Feedlot_MCF[#Headers], _xlfn.XLOOKUP(E87, Table_SourceData_Feedlot_MCF[NIR definition], Table_SourceData_Feedlot_MCF[#Data]))</f>
        <v>0.02</v>
      </c>
      <c r="G87" s="16" t="str">
        <f>G73</f>
        <v>fraction</v>
      </c>
      <c r="M87" s="15" t="str">
        <f>INDEX(X_Table_Feedlot_MMS_Stage1,2,1)</f>
        <v>Drylot (feed pad)</v>
      </c>
      <c r="N87" s="15" t="str">
        <f>INDEX(X_Table_Feedlot_MMS_Stage2,3,1)</f>
        <v>Solid storage</v>
      </c>
      <c r="O87" s="15">
        <f>Common_InputFunctions.Common_GetMCFTemperatureZone($R$75,N87,Table_SourceData_Common_MCFTemperatureZone[MAT (ºC)],Table_SourceData_Common_MCFTemperatureZone[#Headers],Table_SourceData_Common_MCFTemperatureZone[#Data])</f>
        <v>0.02</v>
      </c>
      <c r="P87" s="16" t="str">
        <f>P73</f>
        <v>fraction</v>
      </c>
    </row>
    <row r="88" spans="1:17" ht="20.100000000000001" customHeight="1" x14ac:dyDescent="0.2">
      <c r="D88" s="15" t="s">
        <v>308</v>
      </c>
      <c r="E88" s="15" t="str">
        <f>INDEX(X_Table_Feedlot_MMS_Stage2,4,1)</f>
        <v>Composting (passive windrow)</v>
      </c>
      <c r="F88" s="15" cm="1">
        <f t="array" ref="F88">_xlfn.XLOOKUP($I$75, Table_SourceData_Feedlot_MCF[#Headers], _xlfn.XLOOKUP(E88, Table_SourceData_Feedlot_MCF[NIR definition], Table_SourceData_Feedlot_MCF[#Data]))</f>
        <v>0.01</v>
      </c>
      <c r="G88" s="16"/>
      <c r="M88" s="15" t="str">
        <f>INDEX(X_Table_Feedlot_MMS_Stage1,2,1)</f>
        <v>Drylot (feed pad)</v>
      </c>
      <c r="N88" s="15" t="str">
        <f>INDEX(X_Table_Feedlot_MMS_Stage2,4,1)</f>
        <v>Composting (passive windrow)</v>
      </c>
      <c r="O88" s="15">
        <f>Common_InputFunctions.Common_GetMCFTemperatureZone($R$75,N88,Table_SourceData_Common_MCFTemperatureZone[MAT (ºC)],Table_SourceData_Common_MCFTemperatureZone[#Headers],Table_SourceData_Common_MCFTemperatureZone[#Data])</f>
        <v>0.01</v>
      </c>
      <c r="P88" s="16"/>
    </row>
    <row r="89" spans="1:17" ht="20.100000000000001" customHeight="1" x14ac:dyDescent="0.2">
      <c r="D89" s="15" t="s">
        <v>308</v>
      </c>
      <c r="E89" s="15" t="str">
        <f>INDEX(X_Table_Feedlot_MMS_Stage2,5,1)</f>
        <v>Direct application</v>
      </c>
      <c r="F89" s="15" cm="1">
        <f t="array" ref="F89">_xlfn.XLOOKUP($I$75, Table_SourceData_Feedlot_MCF[#Headers], _xlfn.XLOOKUP(E89, Table_SourceData_Feedlot_MCF[NIR definition], Table_SourceData_Feedlot_MCF[#Data]))</f>
        <v>0</v>
      </c>
      <c r="M89" s="15" t="str">
        <f>INDEX(X_Table_Feedlot_MMS_Stage1,2,1)</f>
        <v>Drylot (feed pad)</v>
      </c>
      <c r="N89" s="15" t="str">
        <f>INDEX(X_Table_Feedlot_MMS_Stage2,5,1)</f>
        <v>Direct application</v>
      </c>
      <c r="O89" s="15">
        <f>Common_InputFunctions.Common_GetMCFTemperatureZone($R$75,N89,Table_SourceData_Common_MCFTemperatureZone[MAT (ºC)],Table_SourceData_Common_MCFTemperatureZone[#Headers],Table_SourceData_Common_MCFTemperatureZone[#Data])</f>
        <v>0</v>
      </c>
    </row>
    <row r="91" spans="1:17" ht="20.100000000000001" customHeight="1" x14ac:dyDescent="0.2">
      <c r="D91" s="35" t="s">
        <v>349</v>
      </c>
      <c r="E91" s="37"/>
      <c r="F91" s="37"/>
      <c r="G91" s="37"/>
      <c r="H91" s="38"/>
    </row>
    <row r="93" spans="1:17" ht="20.100000000000001" customHeight="1" x14ac:dyDescent="0.2">
      <c r="D93" s="118" t="s">
        <v>350</v>
      </c>
      <c r="M93" s="118" t="s">
        <v>351</v>
      </c>
    </row>
    <row r="94" spans="1:17" ht="20.100000000000001" customHeight="1" x14ac:dyDescent="0.2">
      <c r="D94" s="119" t="s">
        <v>352</v>
      </c>
      <c r="M94" s="119" t="s">
        <v>353</v>
      </c>
    </row>
    <row r="95" spans="1:17" ht="20.100000000000001" customHeight="1" x14ac:dyDescent="0.2">
      <c r="D95" s="120" t="s">
        <v>310</v>
      </c>
      <c r="E95" s="120" t="s">
        <v>289</v>
      </c>
      <c r="F95" s="120" t="s">
        <v>290</v>
      </c>
      <c r="G95" s="120" t="s">
        <v>291</v>
      </c>
      <c r="M95" s="120" t="s">
        <v>310</v>
      </c>
      <c r="N95" s="120" t="s">
        <v>289</v>
      </c>
      <c r="O95" s="120" t="s">
        <v>290</v>
      </c>
      <c r="P95" s="120" t="s">
        <v>291</v>
      </c>
    </row>
    <row r="96" spans="1:17" ht="20.100000000000001" customHeight="1" x14ac:dyDescent="0.2">
      <c r="A96" s="79" t="str">
        <f>HYPERLINK("#A1", "▲ Back to top")</f>
        <v>▲ Back to top</v>
      </c>
      <c r="D96" s="15" t="str">
        <f>INDEX(X_Table_Feedlot_MMS_Stage2,3,1)</f>
        <v>Solid storage</v>
      </c>
      <c r="E96" s="15">
        <f ca="1">((1 - $I$69) * D$30 * $I$71 * F80 * (_xlfn.XLOOKUP($D96,$E$87:$E$89,$F$87:$F$89)) * $I$74)</f>
        <v>4.2789347327999993E-4</v>
      </c>
      <c r="F96" s="15">
        <f ca="1">((1 - $I$69) * E$30 * $I$71 * G80 * (_xlfn.XLOOKUP($D96,$E$87:$E$89,$F$87:$F$89)) * $I$74)</f>
        <v>4.4435091455999993E-4</v>
      </c>
      <c r="G96" s="15">
        <f ca="1">((1 - $I$69) * F$30 * $I$71 * H80 * (_xlfn.XLOOKUP($D96,$E$87:$E$89,$F$87:$F$89)) * $I$74)</f>
        <v>3.3737754623999993E-4</v>
      </c>
      <c r="H96" s="16" t="str">
        <f>$E$67</f>
        <v>kg CH4/head/day</v>
      </c>
      <c r="M96" s="15" t="str">
        <f>INDEX(X_Table_Feedlot_MMS_Stage2,3,1)</f>
        <v>Solid storage</v>
      </c>
      <c r="N96" s="15">
        <f ca="1">((1 - $I$69) * M$30 * $I$71 * F80 * (_xlfn.XLOOKUP($M96,$N$87:$N$89,$O$87:$O$89)) * $I$74)</f>
        <v>4.2789347327999993E-4</v>
      </c>
      <c r="O96" s="15">
        <f ca="1">((1 - $I$69) * N$30 * $I$71 * G80 * (_xlfn.XLOOKUP($M96,$N$87:$N$89,$O$87:$O$89)) * $I$74)</f>
        <v>4.4435091455999993E-4</v>
      </c>
      <c r="P96" s="15">
        <f ca="1">((1 - $I$69) * O$30 * $I$71 * H80 * (_xlfn.XLOOKUP($M96,$N$87:$N$89,$O$87:$O$89)) * $I$74)</f>
        <v>3.3737754623999993E-4</v>
      </c>
      <c r="Q96" s="16" t="str">
        <f>$E$67</f>
        <v>kg CH4/head/day</v>
      </c>
    </row>
    <row r="97" spans="3:18" ht="20.100000000000001" customHeight="1" x14ac:dyDescent="0.2">
      <c r="D97" s="15" t="str">
        <f>INDEX(X_Table_Feedlot_MMS_Stage2,4,1)</f>
        <v>Composting (passive windrow)</v>
      </c>
      <c r="E97" s="15">
        <f ca="1">((1 - $I$69) * D$30 * $I$71 * F81 * (_xlfn.XLOOKUP($D97,$E$87:$E$89,$F$87:$F$89)) * $I$74)</f>
        <v>2.1394673663999996E-4</v>
      </c>
      <c r="F97" s="15">
        <f ca="1">((1 - $I$69) * E$30 * $I$71 * G81 * (_xlfn.XLOOKUP($D97,$E$87:$E$89,$F$87:$F$89)) * $I$74)</f>
        <v>2.2217545727999996E-4</v>
      </c>
      <c r="G97" s="15">
        <f ca="1">((1 - $I$69) * F$30 * $I$71 * H81 * (_xlfn.XLOOKUP($D97,$E$87:$E$89,$F$87:$F$89)) * $I$74)</f>
        <v>1.6868877311999997E-4</v>
      </c>
      <c r="H97" s="16"/>
      <c r="M97" s="15" t="str">
        <f>INDEX(X_Table_Feedlot_MMS_Stage2,4,1)</f>
        <v>Composting (passive windrow)</v>
      </c>
      <c r="N97" s="15">
        <f ca="1">((1 - $I$69) * M$30 * $I$71 * F81 * (_xlfn.XLOOKUP($M97,$N$87:$N$89,$O$87:$O$89)) * $I$74)</f>
        <v>2.1394673663999996E-4</v>
      </c>
      <c r="O97" s="15">
        <f ca="1">((1 - $I$69) * N$30 * $I$71 * G81 * (_xlfn.XLOOKUP($M97,$N$87:$N$89,$O$87:$O$89)) * $I$74)</f>
        <v>2.2217545727999996E-4</v>
      </c>
      <c r="P97" s="15">
        <f ca="1">((1 - $I$69) * O$30 * $I$71 * H81 * (_xlfn.XLOOKUP($M97,$N$87:$N$89,$O$87:$O$89)) * $I$74)</f>
        <v>1.6868877311999997E-4</v>
      </c>
      <c r="Q97" s="16"/>
    </row>
    <row r="98" spans="3:18" ht="20.100000000000001" customHeight="1" x14ac:dyDescent="0.2">
      <c r="D98" s="15" t="str">
        <f>INDEX(X_Table_Feedlot_MMS_Stage2,5,1)</f>
        <v>Direct application</v>
      </c>
      <c r="E98" s="15">
        <f ca="1">((1 - $I$69) * D$30 * $I$71 * F82 * (_xlfn.XLOOKUP($D98,$E$87:$E$89,$F$87:$F$89)) * $I$74)</f>
        <v>0</v>
      </c>
      <c r="F98" s="15">
        <f ca="1">((1 - $I$69) * E$30 * $I$71 * G82 * (_xlfn.XLOOKUP($D98,$E$87:$E$89,$F$87:$F$89)) * $I$74)</f>
        <v>0</v>
      </c>
      <c r="G98" s="15">
        <f ca="1">((1 - $I$69) * F$30 * $I$71 * H82 * (_xlfn.XLOOKUP($D98,$E$87:$E$89,$F$87:$F$89)) * $I$74)</f>
        <v>0</v>
      </c>
      <c r="H98" s="16"/>
      <c r="M98" s="15" t="str">
        <f>INDEX(X_Table_Feedlot_MMS_Stage2,5,1)</f>
        <v>Direct application</v>
      </c>
      <c r="N98" s="15">
        <f ca="1">((1 - $I$69) * M$30 * $I$71 * F82 * (_xlfn.XLOOKUP($M98,$N$87:$N$89,$O$87:$O$89)) * $I$74)</f>
        <v>0</v>
      </c>
      <c r="O98" s="15">
        <f ca="1">((1 - $I$69) * N$30 * $I$71 * G82 * (_xlfn.XLOOKUP($M98,$N$87:$N$89,$O$87:$O$89)) * $I$74)</f>
        <v>0</v>
      </c>
      <c r="P98" s="15">
        <f ca="1">((1 - $I$69) * O$30 * $I$71 * H82 * (_xlfn.XLOOKUP($M98,$N$87:$N$89,$O$87:$O$89)) * $I$74)</f>
        <v>0</v>
      </c>
      <c r="Q98" s="16"/>
    </row>
    <row r="101" spans="3:18" ht="20.100000000000001" customHeight="1" x14ac:dyDescent="0.2">
      <c r="C101" s="83"/>
      <c r="D101" s="83"/>
      <c r="E101" s="83"/>
      <c r="F101" s="83"/>
      <c r="G101" s="83"/>
      <c r="H101" s="83"/>
      <c r="I101" s="83"/>
      <c r="J101" s="83"/>
      <c r="L101" s="83"/>
      <c r="M101" s="83"/>
      <c r="N101" s="83"/>
      <c r="O101" s="83"/>
      <c r="P101" s="83"/>
      <c r="Q101" s="83"/>
      <c r="R101" s="83"/>
    </row>
    <row r="102" spans="3:18" ht="20.100000000000001" customHeight="1" x14ac:dyDescent="0.2">
      <c r="D102" s="2" t="s">
        <v>1240</v>
      </c>
    </row>
    <row r="103" spans="3:18" ht="20.100000000000001" customHeight="1" x14ac:dyDescent="0.2">
      <c r="D103" s="17" t="s">
        <v>1241</v>
      </c>
    </row>
    <row r="104" spans="3:18" ht="20.100000000000001" customHeight="1" x14ac:dyDescent="0.2">
      <c r="D104" s="112"/>
      <c r="E104" s="112"/>
    </row>
    <row r="106" spans="3:18" ht="20.100000000000001" customHeight="1" x14ac:dyDescent="0.2">
      <c r="D106" s="2"/>
    </row>
    <row r="107" spans="3:18" ht="20.100000000000001" customHeight="1" x14ac:dyDescent="0.2">
      <c r="D107" s="75" t="s">
        <v>321</v>
      </c>
      <c r="E107" s="1" t="s">
        <v>1242</v>
      </c>
    </row>
    <row r="108" spans="3:18" ht="20.100000000000001" customHeight="1" x14ac:dyDescent="0.2">
      <c r="D108" s="75" t="s">
        <v>118</v>
      </c>
      <c r="E108" s="9" t="s">
        <v>1189</v>
      </c>
    </row>
    <row r="110" spans="3:18" ht="20.100000000000001" customHeight="1" x14ac:dyDescent="0.2">
      <c r="D110" s="113" t="s">
        <v>1209</v>
      </c>
      <c r="E110" s="121" t="s">
        <v>1243</v>
      </c>
      <c r="F110" s="122"/>
      <c r="G110" s="113" t="s">
        <v>1210</v>
      </c>
      <c r="H110" s="115" t="s">
        <v>1225</v>
      </c>
      <c r="I110" s="116" t="str" cm="1">
        <f t="array" aca="1" ref="I110" ca="1">HYPERLINK(Common_InputFunctions.Utility_SourceHyperlink($D$27),$D$27)</f>
        <v>M1_Table_VS_j</v>
      </c>
      <c r="M110" s="113" t="s">
        <v>1209</v>
      </c>
      <c r="N110" s="121" t="s">
        <v>1243</v>
      </c>
      <c r="O110" s="122"/>
      <c r="P110" s="113" t="s">
        <v>1210</v>
      </c>
      <c r="Q110" s="115" t="s">
        <v>1225</v>
      </c>
      <c r="R110" s="116"/>
    </row>
    <row r="111" spans="3:18" ht="20.100000000000001" customHeight="1" x14ac:dyDescent="0.2">
      <c r="D111" s="113" t="s">
        <v>1215</v>
      </c>
      <c r="E111" s="121" t="s">
        <v>1216</v>
      </c>
      <c r="F111" s="122"/>
      <c r="G111" s="113" t="s">
        <v>1226</v>
      </c>
      <c r="H111" s="115" t="s">
        <v>1227</v>
      </c>
      <c r="I111" s="113">
        <f>SourceData_Feedlot_MethaneEmissionsPotential_Data</f>
        <v>0.19</v>
      </c>
      <c r="M111" s="113" t="s">
        <v>1215</v>
      </c>
      <c r="N111" s="121" t="s">
        <v>1216</v>
      </c>
      <c r="O111" s="122"/>
      <c r="P111" s="113" t="s">
        <v>1226</v>
      </c>
      <c r="Q111" s="115" t="s">
        <v>1227</v>
      </c>
      <c r="R111" s="113"/>
    </row>
    <row r="112" spans="3:18" ht="20.100000000000001" customHeight="1" x14ac:dyDescent="0.2">
      <c r="D112" s="113" t="s">
        <v>1244</v>
      </c>
      <c r="E112" s="121" t="s">
        <v>1245</v>
      </c>
      <c r="F112" s="122"/>
      <c r="G112" s="113" t="s">
        <v>299</v>
      </c>
      <c r="H112" s="114" t="s">
        <v>1196</v>
      </c>
      <c r="I112" s="116" t="str" cm="1">
        <f t="array" aca="1" ref="I112" ca="1">HYPERLINK(Common_InputFunctions.Utility_SourceHyperlink($D$117),$D$117)</f>
        <v>Table_MMS_m-1_T-3</v>
      </c>
      <c r="M112" s="113" t="s">
        <v>1244</v>
      </c>
      <c r="N112" s="121" t="s">
        <v>1245</v>
      </c>
      <c r="O112" s="122"/>
      <c r="P112" s="113" t="s">
        <v>299</v>
      </c>
      <c r="Q112" s="114" t="s">
        <v>1196</v>
      </c>
      <c r="R112" s="116" t="str" cm="1">
        <f t="array" aca="1" ref="R112" ca="1">HYPERLINK(Common_InputFunctions.Utility_SourceHyperlink($D$117),$D$117)</f>
        <v>Table_MMS_m-1_T-3</v>
      </c>
    </row>
    <row r="113" spans="1:18" ht="20.100000000000001" customHeight="1" x14ac:dyDescent="0.2">
      <c r="D113" s="113" t="s">
        <v>1246</v>
      </c>
      <c r="E113" s="121" t="s">
        <v>1247</v>
      </c>
      <c r="F113" s="122"/>
      <c r="G113" s="113" t="s">
        <v>299</v>
      </c>
      <c r="H113" s="115" t="s">
        <v>1227</v>
      </c>
      <c r="I113" s="113">
        <f>HLOOKUP(I115, Table_SourceData_Feedlot_MCF[#All], 6, FALSE)</f>
        <v>0.77</v>
      </c>
      <c r="M113" s="113" t="s">
        <v>1246</v>
      </c>
      <c r="N113" s="121" t="s">
        <v>1248</v>
      </c>
      <c r="O113" s="122"/>
      <c r="P113" s="113" t="s">
        <v>299</v>
      </c>
      <c r="Q113" s="115" t="s">
        <v>1227</v>
      </c>
      <c r="R113" s="113">
        <f>Common_InputFunctions.Common_GetMCFTemperatureZone(R115,M125,Table_SourceData_Common_MCFTemperatureZone[MAT (ºC)],Table_SourceData_Common_MCFTemperatureZone[#Headers],Table_SourceData_Common_MCFTemperatureZone[#Data])</f>
        <v>0.77</v>
      </c>
    </row>
    <row r="114" spans="1:18" ht="20.100000000000001" customHeight="1" x14ac:dyDescent="0.2">
      <c r="D114" s="113" t="s">
        <v>1221</v>
      </c>
      <c r="E114" s="121" t="s">
        <v>1222</v>
      </c>
      <c r="F114" s="122"/>
      <c r="G114" s="113" t="s">
        <v>1228</v>
      </c>
      <c r="H114" s="115" t="s">
        <v>1227</v>
      </c>
      <c r="I114" s="113">
        <f>Common_SourceData_DensityOfMethane_Data</f>
        <v>0.6784</v>
      </c>
      <c r="M114" s="113" t="s">
        <v>1221</v>
      </c>
      <c r="N114" s="121" t="s">
        <v>1222</v>
      </c>
      <c r="O114" s="122"/>
      <c r="P114" s="113" t="s">
        <v>1228</v>
      </c>
      <c r="Q114" s="115" t="s">
        <v>1227</v>
      </c>
      <c r="R114" s="113"/>
    </row>
    <row r="115" spans="1:18" ht="20.100000000000001" customHeight="1" x14ac:dyDescent="0.2">
      <c r="D115" s="113" t="s">
        <v>1223</v>
      </c>
      <c r="E115" s="121" t="s">
        <v>1224</v>
      </c>
      <c r="F115" s="122"/>
      <c r="G115" s="113"/>
      <c r="H115" s="114" t="s">
        <v>1196</v>
      </c>
      <c r="I115" s="113" t="str">
        <f>Common_InputFunctions.Utility_LookupValueInTable(X_Cell_Site_State,Table_AustralianStates[Common Name],Table_AustralianStates[Abbreviation])</f>
        <v>WA</v>
      </c>
      <c r="M115" s="113" t="s">
        <v>1223</v>
      </c>
      <c r="N115" s="121" t="s">
        <v>1239</v>
      </c>
      <c r="O115" s="122"/>
      <c r="P115" s="113"/>
      <c r="Q115" s="114" t="s">
        <v>1196</v>
      </c>
      <c r="R115" s="124">
        <f>X_Cell_Site_AverageTemperature</f>
        <v>18</v>
      </c>
    </row>
    <row r="117" spans="1:18" ht="20.100000000000001" customHeight="1" x14ac:dyDescent="0.2">
      <c r="D117" s="118" t="s">
        <v>354</v>
      </c>
    </row>
    <row r="118" spans="1:18" ht="20.100000000000001" customHeight="1" x14ac:dyDescent="0.2">
      <c r="D118" s="119" t="s">
        <v>355</v>
      </c>
    </row>
    <row r="119" spans="1:18" ht="20.100000000000001" customHeight="1" x14ac:dyDescent="0.2">
      <c r="D119" s="78" t="s">
        <v>316</v>
      </c>
      <c r="E119" s="78" t="s">
        <v>289</v>
      </c>
      <c r="F119" s="78" t="s">
        <v>290</v>
      </c>
      <c r="G119" s="78" t="s">
        <v>291</v>
      </c>
    </row>
    <row r="120" spans="1:18" ht="20.100000000000001" customHeight="1" x14ac:dyDescent="0.2">
      <c r="D120" s="15" t="str" cm="1">
        <f t="array" aca="1" ref="D120:G120" ca="1">OFFSET(X_Table_Feedlot_MMS_Stage3,2,0,1,4)</f>
        <v>Anaerobic lagoon</v>
      </c>
      <c r="E120" s="15">
        <f ca="1"/>
        <v>0.02</v>
      </c>
      <c r="F120" s="15">
        <f ca="1"/>
        <v>0.02</v>
      </c>
      <c r="G120" s="15">
        <f ca="1"/>
        <v>0.02</v>
      </c>
      <c r="H120" s="16" t="str">
        <f>G112</f>
        <v>fraction</v>
      </c>
    </row>
    <row r="122" spans="1:18" ht="20.100000000000001" customHeight="1" x14ac:dyDescent="0.2">
      <c r="D122" s="118" t="s">
        <v>356</v>
      </c>
      <c r="M122" s="118" t="s">
        <v>357</v>
      </c>
    </row>
    <row r="123" spans="1:18" ht="20.100000000000001" customHeight="1" x14ac:dyDescent="0.2">
      <c r="D123" s="119" t="s">
        <v>358</v>
      </c>
      <c r="M123" s="119" t="s">
        <v>359</v>
      </c>
    </row>
    <row r="124" spans="1:18" ht="20.100000000000001" customHeight="1" x14ac:dyDescent="0.2">
      <c r="D124" s="120" t="s">
        <v>316</v>
      </c>
      <c r="E124" s="120" t="s">
        <v>289</v>
      </c>
      <c r="F124" s="120" t="s">
        <v>290</v>
      </c>
      <c r="G124" s="120" t="s">
        <v>291</v>
      </c>
      <c r="M124" s="120" t="s">
        <v>316</v>
      </c>
      <c r="N124" s="120" t="s">
        <v>289</v>
      </c>
      <c r="O124" s="120" t="s">
        <v>290</v>
      </c>
      <c r="P124" s="120" t="s">
        <v>291</v>
      </c>
    </row>
    <row r="125" spans="1:18" ht="20.100000000000001" customHeight="1" x14ac:dyDescent="0.2">
      <c r="D125" s="15" t="str">
        <f>INDEX(X_Table_Feedlot_MMS_Stage3,3,1)</f>
        <v>Anaerobic lagoon</v>
      </c>
      <c r="E125" s="15">
        <f ca="1">(D$30 * $I$111 * E120 * $I$113 * $I$114)</f>
        <v>3.2947797442559996E-3</v>
      </c>
      <c r="F125" s="15">
        <f ca="1">(E$30 * $I$111 * F120 * $I$113 * $I$114)</f>
        <v>3.4215020421119995E-3</v>
      </c>
      <c r="G125" s="15">
        <f ca="1">(F$30 * $I$111 * G120 * $I$113 * $I$114)</f>
        <v>2.5978071060479987E-3</v>
      </c>
      <c r="H125" s="16" t="str">
        <f>$E$108</f>
        <v>kg CH4/head/day</v>
      </c>
      <c r="M125" s="15" t="str">
        <f>INDEX(X_Table_Feedlot_MMS_Stage3,3,1)</f>
        <v>Anaerobic lagoon</v>
      </c>
      <c r="N125" s="15">
        <f ca="1">(M$30 * $I$111 * E120 * $R$113 * $I$114)</f>
        <v>3.2947797442559996E-3</v>
      </c>
      <c r="O125" s="15">
        <f ca="1">(N$30 * $I$111 * F120 * $R$113 * $I$114)</f>
        <v>3.4215020421119995E-3</v>
      </c>
      <c r="P125" s="15">
        <f ca="1">(O$30 * $I$111 * G120 * $R$113 * $I$114)</f>
        <v>2.5978071060479987E-3</v>
      </c>
      <c r="Q125" s="16" t="str">
        <f>$E$108</f>
        <v>kg CH4/head/day</v>
      </c>
    </row>
    <row r="126" spans="1:18" ht="20.100000000000001" customHeight="1" x14ac:dyDescent="0.2">
      <c r="A126" s="79" t="str">
        <f>HYPERLINK("#A1", "▲ Back to top")</f>
        <v>▲ Back to top</v>
      </c>
    </row>
    <row r="128" spans="1:18" ht="20.100000000000001" customHeight="1" x14ac:dyDescent="0.2">
      <c r="C128" s="83"/>
      <c r="D128" s="83"/>
      <c r="E128" s="83"/>
      <c r="F128" s="83"/>
      <c r="G128" s="83"/>
      <c r="H128" s="83"/>
      <c r="I128" s="83"/>
      <c r="J128" s="83"/>
      <c r="L128" s="83"/>
      <c r="M128" s="83"/>
      <c r="N128" s="83"/>
      <c r="O128" s="83"/>
      <c r="P128" s="83"/>
      <c r="Q128" s="83"/>
      <c r="R128" s="83"/>
    </row>
    <row r="129" spans="4:9" ht="20.100000000000001" customHeight="1" x14ac:dyDescent="0.2">
      <c r="D129" s="2" t="s">
        <v>1249</v>
      </c>
    </row>
    <row r="130" spans="4:9" ht="20.100000000000001" customHeight="1" x14ac:dyDescent="0.2">
      <c r="D130" s="17" t="s">
        <v>1250</v>
      </c>
    </row>
    <row r="131" spans="4:9" ht="20.100000000000001" customHeight="1" x14ac:dyDescent="0.2">
      <c r="D131" s="112"/>
      <c r="E131" s="112"/>
    </row>
    <row r="133" spans="4:9" ht="20.100000000000001" customHeight="1" x14ac:dyDescent="0.2">
      <c r="D133" s="2"/>
    </row>
    <row r="135" spans="4:9" ht="20.100000000000001" customHeight="1" x14ac:dyDescent="0.2">
      <c r="D135" s="75" t="s">
        <v>321</v>
      </c>
      <c r="E135" s="1" t="s">
        <v>1251</v>
      </c>
    </row>
    <row r="136" spans="4:9" ht="20.100000000000001" customHeight="1" x14ac:dyDescent="0.2">
      <c r="D136" s="75" t="s">
        <v>118</v>
      </c>
      <c r="E136" s="9" t="s">
        <v>6</v>
      </c>
    </row>
    <row r="138" spans="4:9" ht="20.100000000000001" customHeight="1" x14ac:dyDescent="0.2">
      <c r="D138" s="113" t="s">
        <v>1201</v>
      </c>
      <c r="E138" s="121" t="s">
        <v>1252</v>
      </c>
      <c r="F138" s="122"/>
      <c r="G138" s="113" t="s">
        <v>293</v>
      </c>
      <c r="H138" s="114" t="s">
        <v>1196</v>
      </c>
      <c r="I138" s="116" t="str" cm="1">
        <f t="array" aca="1" ref="I138" ca="1">HYPERLINK(Common_InputFunctions.Utility_SourceHyperlink($D$142),$D$142)</f>
        <v>Table_D_j</v>
      </c>
    </row>
    <row r="139" spans="4:9" ht="20.100000000000001" customHeight="1" x14ac:dyDescent="0.2">
      <c r="D139" s="113" t="s">
        <v>1253</v>
      </c>
      <c r="E139" s="121" t="s">
        <v>1254</v>
      </c>
      <c r="F139" s="122"/>
      <c r="G139" s="113" t="s">
        <v>1189</v>
      </c>
      <c r="H139" s="115" t="s">
        <v>1256</v>
      </c>
      <c r="I139" s="116" t="str" cm="1">
        <f t="array" aca="1" ref="I139" ca="1">HYPERLINK(Common_InputFunctions.Utility_SourceHyperlink($D$147),$D$147)</f>
        <v>M1_Table_M_j_m_T</v>
      </c>
    </row>
    <row r="140" spans="4:9" ht="20.100000000000001" customHeight="1" x14ac:dyDescent="0.2">
      <c r="D140" s="113" t="s">
        <v>1204</v>
      </c>
      <c r="E140" s="121" t="s">
        <v>1255</v>
      </c>
      <c r="F140" s="122"/>
      <c r="G140" s="113" t="s">
        <v>292</v>
      </c>
      <c r="H140" s="114" t="s">
        <v>1196</v>
      </c>
      <c r="I140" s="116" t="str" cm="1">
        <f t="array" aca="1" ref="I140" ca="1">HYPERLINK(Common_InputFunctions.Utility_SourceHyperlink($D$156),$D$156)</f>
        <v>Table_N_j</v>
      </c>
    </row>
    <row r="142" spans="4:9" ht="20.100000000000001" customHeight="1" x14ac:dyDescent="0.2">
      <c r="D142" s="118" t="s">
        <v>360</v>
      </c>
    </row>
    <row r="143" spans="4:9" ht="20.100000000000001" customHeight="1" x14ac:dyDescent="0.2">
      <c r="D143" s="119" t="s">
        <v>361</v>
      </c>
    </row>
    <row r="144" spans="4:9" ht="20.100000000000001" customHeight="1" x14ac:dyDescent="0.2">
      <c r="D144" s="78" t="s">
        <v>289</v>
      </c>
      <c r="E144" s="78" t="s">
        <v>290</v>
      </c>
      <c r="F144" s="78" t="s">
        <v>291</v>
      </c>
    </row>
    <row r="145" spans="1:18" ht="20.100000000000001" customHeight="1" x14ac:dyDescent="0.2">
      <c r="D145" s="125" cm="1">
        <f t="array" aca="1" ref="D145:F145" ca="1">OFFSET(X_Table_Feedlot_HerdMovement,2,1,1,3)</f>
        <v>90</v>
      </c>
      <c r="E145" s="125">
        <f ca="1"/>
        <v>140</v>
      </c>
      <c r="F145" s="125">
        <f ca="1"/>
        <v>250</v>
      </c>
      <c r="G145" s="16" t="str">
        <f>G138</f>
        <v>days</v>
      </c>
    </row>
    <row r="147" spans="1:18" ht="20.100000000000001" customHeight="1" x14ac:dyDescent="0.2">
      <c r="D147" s="118" t="s">
        <v>362</v>
      </c>
      <c r="M147" s="118" t="s">
        <v>363</v>
      </c>
    </row>
    <row r="148" spans="1:18" ht="20.100000000000001" customHeight="1" x14ac:dyDescent="0.2">
      <c r="D148" s="119" t="s">
        <v>364</v>
      </c>
      <c r="M148" s="119" t="s">
        <v>365</v>
      </c>
    </row>
    <row r="149" spans="1:18" ht="20.100000000000001" customHeight="1" x14ac:dyDescent="0.2">
      <c r="D149" s="120" t="s">
        <v>366</v>
      </c>
      <c r="E149" s="120" t="s">
        <v>367</v>
      </c>
      <c r="F149" s="120" t="s">
        <v>289</v>
      </c>
      <c r="G149" s="120" t="s">
        <v>290</v>
      </c>
      <c r="H149" s="120" t="s">
        <v>291</v>
      </c>
      <c r="M149" s="120" t="s">
        <v>366</v>
      </c>
      <c r="N149" s="120" t="s">
        <v>367</v>
      </c>
      <c r="O149" s="120" t="s">
        <v>289</v>
      </c>
      <c r="P149" s="120" t="s">
        <v>290</v>
      </c>
      <c r="Q149" s="120" t="s">
        <v>291</v>
      </c>
    </row>
    <row r="150" spans="1:18" ht="20.100000000000001" customHeight="1" x14ac:dyDescent="0.2">
      <c r="D150" s="15">
        <v>1</v>
      </c>
      <c r="E150" s="15" t="str">
        <f>INDEX(X_Table_Feedlot_MMS_Stage1,2,1)</f>
        <v>Drylot (feed pad)</v>
      </c>
      <c r="F150" s="15">
        <f ca="1">$E$57</f>
        <v>2.1394673663999997E-3</v>
      </c>
      <c r="G150" s="15">
        <f ca="1">$F$57</f>
        <v>2.2217545727999995E-3</v>
      </c>
      <c r="H150" s="15">
        <f ca="1">$G$57</f>
        <v>1.6868877311999992E-3</v>
      </c>
      <c r="I150" s="16" t="str">
        <f>$G$139</f>
        <v>kg CH4/head/day</v>
      </c>
      <c r="M150" s="15">
        <v>1</v>
      </c>
      <c r="N150" s="15" t="str">
        <f>INDEX(X_Table_Feedlot_MMS_Stage1,2,1)</f>
        <v>Drylot (feed pad)</v>
      </c>
      <c r="O150" s="15">
        <f ca="1">$N$57</f>
        <v>2.1394673663999997E-3</v>
      </c>
      <c r="P150" s="15">
        <f ca="1">$O$57</f>
        <v>2.2217545727999995E-3</v>
      </c>
      <c r="Q150" s="15">
        <f ca="1">$P$57</f>
        <v>1.6868877311999992E-3</v>
      </c>
      <c r="R150" s="16" t="str">
        <f>$G$139</f>
        <v>kg CH4/head/day</v>
      </c>
    </row>
    <row r="151" spans="1:18" ht="20.100000000000001" customHeight="1" x14ac:dyDescent="0.2">
      <c r="D151" s="15">
        <v>2</v>
      </c>
      <c r="E151" s="15" t="str">
        <f>INDEX(X_Table_Feedlot_MMS_Stage2,3,1)</f>
        <v>Solid storage</v>
      </c>
      <c r="F151" s="15">
        <f ca="1">$E$96</f>
        <v>4.2789347327999993E-4</v>
      </c>
      <c r="G151" s="15">
        <f ca="1">$F$96</f>
        <v>4.4435091455999993E-4</v>
      </c>
      <c r="H151" s="15">
        <f ca="1">$G$96</f>
        <v>3.3737754623999993E-4</v>
      </c>
      <c r="I151" s="16"/>
      <c r="M151" s="15">
        <v>2</v>
      </c>
      <c r="N151" s="15" t="str">
        <f>INDEX(X_Table_Feedlot_MMS_Stage2,3,1)</f>
        <v>Solid storage</v>
      </c>
      <c r="O151" s="15">
        <f ca="1">$N$96</f>
        <v>4.2789347327999993E-4</v>
      </c>
      <c r="P151" s="15">
        <f ca="1">$O$96</f>
        <v>4.4435091455999993E-4</v>
      </c>
      <c r="Q151" s="15">
        <f ca="1">$P$96</f>
        <v>3.3737754623999993E-4</v>
      </c>
      <c r="R151" s="16"/>
    </row>
    <row r="152" spans="1:18" ht="20.100000000000001" customHeight="1" x14ac:dyDescent="0.2">
      <c r="D152" s="15">
        <v>2</v>
      </c>
      <c r="E152" s="15" t="str">
        <f>INDEX(X_Table_Feedlot_MMS_Stage2,4,1)</f>
        <v>Composting (passive windrow)</v>
      </c>
      <c r="F152" s="15">
        <f ca="1">$E$97</f>
        <v>2.1394673663999996E-4</v>
      </c>
      <c r="G152" s="15">
        <f ca="1">$F$97</f>
        <v>2.2217545727999996E-4</v>
      </c>
      <c r="H152" s="15">
        <f ca="1">$G$97</f>
        <v>1.6868877311999997E-4</v>
      </c>
      <c r="I152" s="16"/>
      <c r="M152" s="15">
        <v>2</v>
      </c>
      <c r="N152" s="15" t="str">
        <f>INDEX(X_Table_Feedlot_MMS_Stage2,4,1)</f>
        <v>Composting (passive windrow)</v>
      </c>
      <c r="O152" s="15">
        <f ca="1">$N$97</f>
        <v>2.1394673663999996E-4</v>
      </c>
      <c r="P152" s="15">
        <f ca="1">$O$97</f>
        <v>2.2217545727999996E-4</v>
      </c>
      <c r="Q152" s="15">
        <f ca="1">$P$97</f>
        <v>1.6868877311999997E-4</v>
      </c>
      <c r="R152" s="16"/>
    </row>
    <row r="153" spans="1:18" ht="20.100000000000001" customHeight="1" x14ac:dyDescent="0.2">
      <c r="D153" s="15">
        <v>2</v>
      </c>
      <c r="E153" s="15" t="str">
        <f>INDEX(X_Table_Feedlot_MMS_Stage2,5,1)</f>
        <v>Direct application</v>
      </c>
      <c r="F153" s="15">
        <f ca="1">$E$98</f>
        <v>0</v>
      </c>
      <c r="G153" s="15">
        <f ca="1">$F$98</f>
        <v>0</v>
      </c>
      <c r="H153" s="15">
        <f ca="1">$G$98</f>
        <v>0</v>
      </c>
      <c r="I153" s="16"/>
      <c r="M153" s="15">
        <v>2</v>
      </c>
      <c r="N153" s="15" t="str">
        <f>INDEX(X_Table_Feedlot_MMS_Stage2,5,1)</f>
        <v>Direct application</v>
      </c>
      <c r="O153" s="15">
        <f ca="1">$N$98</f>
        <v>0</v>
      </c>
      <c r="P153" s="15">
        <f ca="1">$O$98</f>
        <v>0</v>
      </c>
      <c r="Q153" s="15">
        <f ca="1">$P$98</f>
        <v>0</v>
      </c>
      <c r="R153" s="16"/>
    </row>
    <row r="154" spans="1:18" ht="20.100000000000001" customHeight="1" x14ac:dyDescent="0.2">
      <c r="D154" s="15">
        <v>3</v>
      </c>
      <c r="E154" s="15" t="str">
        <f>INDEX(X_Table_Feedlot_MMS_Stage3,3,1)</f>
        <v>Anaerobic lagoon</v>
      </c>
      <c r="F154" s="15">
        <f ca="1">$E$125</f>
        <v>3.2947797442559996E-3</v>
      </c>
      <c r="G154" s="15">
        <f ca="1">$F$125</f>
        <v>3.4215020421119995E-3</v>
      </c>
      <c r="H154" s="15">
        <f ca="1">$G$125</f>
        <v>2.5978071060479987E-3</v>
      </c>
      <c r="I154" s="16"/>
      <c r="M154" s="15">
        <v>3</v>
      </c>
      <c r="N154" s="15" t="str">
        <f>INDEX(X_Table_Feedlot_MMS_Stage3,3,1)</f>
        <v>Anaerobic lagoon</v>
      </c>
      <c r="O154" s="15">
        <f ca="1">$N$125</f>
        <v>3.2947797442559996E-3</v>
      </c>
      <c r="P154" s="15">
        <f ca="1">$O$125</f>
        <v>3.4215020421119995E-3</v>
      </c>
      <c r="Q154" s="15">
        <f ca="1">$P$125</f>
        <v>2.5978071060479987E-3</v>
      </c>
      <c r="R154" s="16"/>
    </row>
    <row r="156" spans="1:18" ht="20.100000000000001" customHeight="1" x14ac:dyDescent="0.2">
      <c r="A156" s="79" t="str">
        <f>HYPERLINK("#A1", "▲ Back to top")</f>
        <v>▲ Back to top</v>
      </c>
      <c r="D156" s="118" t="s">
        <v>368</v>
      </c>
    </row>
    <row r="157" spans="1:18" ht="20.100000000000001" customHeight="1" x14ac:dyDescent="0.2">
      <c r="D157" s="119" t="s">
        <v>369</v>
      </c>
    </row>
    <row r="158" spans="1:18" ht="20.100000000000001" customHeight="1" x14ac:dyDescent="0.2">
      <c r="D158" s="78" t="s">
        <v>289</v>
      </c>
      <c r="E158" s="78" t="s">
        <v>290</v>
      </c>
      <c r="F158" s="78" t="s">
        <v>291</v>
      </c>
    </row>
    <row r="159" spans="1:18" ht="20.100000000000001" customHeight="1" x14ac:dyDescent="0.2">
      <c r="D159" s="125" cm="1">
        <f t="array" aca="1" ref="D159:F159" ca="1">OFFSET(X_Table_Feedlot_HerdMovement,1,1,1,3)</f>
        <v>1000</v>
      </c>
      <c r="E159" s="125">
        <f ca="1"/>
        <v>1000</v>
      </c>
      <c r="F159" s="125">
        <f ca="1"/>
        <v>1000</v>
      </c>
      <c r="G159" s="16" t="str">
        <f>G140</f>
        <v>head</v>
      </c>
    </row>
    <row r="161" spans="4:18" ht="20.100000000000001" customHeight="1" x14ac:dyDescent="0.2">
      <c r="D161" s="118" t="s">
        <v>370</v>
      </c>
      <c r="M161" s="118" t="s">
        <v>370</v>
      </c>
    </row>
    <row r="162" spans="4:18" ht="20.100000000000001" customHeight="1" x14ac:dyDescent="0.2">
      <c r="D162" s="119" t="s">
        <v>371</v>
      </c>
      <c r="M162" s="119" t="s">
        <v>371</v>
      </c>
    </row>
    <row r="163" spans="4:18" ht="20.100000000000001" customHeight="1" x14ac:dyDescent="0.2">
      <c r="D163" s="120" t="s">
        <v>366</v>
      </c>
      <c r="E163" s="120" t="s">
        <v>367</v>
      </c>
      <c r="F163" s="120" t="s">
        <v>289</v>
      </c>
      <c r="G163" s="120" t="s">
        <v>290</v>
      </c>
      <c r="H163" s="120" t="s">
        <v>291</v>
      </c>
      <c r="M163" s="120" t="s">
        <v>366</v>
      </c>
      <c r="N163" s="120" t="s">
        <v>367</v>
      </c>
      <c r="O163" s="120" t="s">
        <v>289</v>
      </c>
      <c r="P163" s="120" t="s">
        <v>290</v>
      </c>
      <c r="Q163" s="120" t="s">
        <v>291</v>
      </c>
    </row>
    <row r="164" spans="4:18" ht="20.100000000000001" customHeight="1" x14ac:dyDescent="0.2">
      <c r="D164" s="15">
        <v>1</v>
      </c>
      <c r="E164" s="15" t="str">
        <f>INDEX(X_Table_Feedlot_MMS_Stage1,2,1)</f>
        <v>Drylot (feed pad)</v>
      </c>
      <c r="F164" s="15">
        <f ca="1">((D$145 * F150 * D$159) * 10 ^ -3)</f>
        <v>0.19255206297599997</v>
      </c>
      <c r="G164" s="15">
        <f ca="1">((E$145 * G150 * E$159) * 10 ^ -3)</f>
        <v>0.31104564019199998</v>
      </c>
      <c r="H164" s="15">
        <f ca="1">((F$145 * H150 * F$159) * 10 ^ -3)</f>
        <v>0.42172193279999981</v>
      </c>
      <c r="I164" s="16" t="str">
        <f>$E$136</f>
        <v>t CH4</v>
      </c>
      <c r="M164" s="15">
        <v>1</v>
      </c>
      <c r="N164" s="15" t="str">
        <f>INDEX(X_Table_Feedlot_MMS_Stage1,2,1)</f>
        <v>Drylot (feed pad)</v>
      </c>
      <c r="O164" s="15">
        <f ca="1">((D$145 * O150 * D$159) * 10 ^ -3)</f>
        <v>0.19255206297599997</v>
      </c>
      <c r="P164" s="15">
        <f ca="1">((E$145 * P150 * E$159) * 10 ^ -3)</f>
        <v>0.31104564019199998</v>
      </c>
      <c r="Q164" s="15">
        <f ca="1">((F$145 * Q150 * F$159) * 10 ^ -3)</f>
        <v>0.42172193279999981</v>
      </c>
      <c r="R164" s="16" t="str">
        <f>$E$136</f>
        <v>t CH4</v>
      </c>
    </row>
    <row r="165" spans="4:18" ht="20.100000000000001" customHeight="1" x14ac:dyDescent="0.2">
      <c r="D165" s="15">
        <v>2</v>
      </c>
      <c r="E165" s="15" t="str">
        <f>INDEX(X_Table_Feedlot_MMS_Stage2,3,1)</f>
        <v>Solid storage</v>
      </c>
      <c r="F165" s="15">
        <f ca="1">((D$145 * F151 * D$159) * 10 ^ -3)</f>
        <v>3.8510412595199994E-2</v>
      </c>
      <c r="G165" s="15">
        <f ca="1">((E$145 * G151 * E$159) * 10 ^ -3)</f>
        <v>6.2209128038399987E-2</v>
      </c>
      <c r="H165" s="15">
        <f ca="1">((F$145 * H151 * F$159) * 10 ^ -3)</f>
        <v>8.4344386559999998E-2</v>
      </c>
      <c r="I165" s="16"/>
      <c r="M165" s="15">
        <v>2</v>
      </c>
      <c r="N165" s="15" t="str">
        <f>INDEX(X_Table_Feedlot_MMS_Stage2,3,1)</f>
        <v>Solid storage</v>
      </c>
      <c r="O165" s="15">
        <f ca="1">((D$145 * O151 * D$159) * 10 ^ -3)</f>
        <v>3.8510412595199994E-2</v>
      </c>
      <c r="P165" s="15">
        <f ca="1">((E$145 * P151 * E$159) * 10 ^ -3)</f>
        <v>6.2209128038399987E-2</v>
      </c>
      <c r="Q165" s="15">
        <f ca="1">((F$145 * Q151 * F$159) * 10 ^ -3)</f>
        <v>8.4344386559999998E-2</v>
      </c>
      <c r="R165" s="16"/>
    </row>
    <row r="166" spans="4:18" ht="20.100000000000001" customHeight="1" x14ac:dyDescent="0.2">
      <c r="D166" s="15">
        <v>2</v>
      </c>
      <c r="E166" s="15" t="str">
        <f>INDEX(X_Table_Feedlot_MMS_Stage2,4,1)</f>
        <v>Composting (passive windrow)</v>
      </c>
      <c r="F166" s="15">
        <f ca="1">((D$145 * F152 * D$159) * 10 ^ -3)</f>
        <v>1.9255206297599997E-2</v>
      </c>
      <c r="G166" s="15">
        <f ca="1">((E$145 * G152 * E$159) * 10 ^ -3)</f>
        <v>3.1104564019199994E-2</v>
      </c>
      <c r="H166" s="15">
        <f ca="1">((F$145 * H152 * F$159) * 10 ^ -3)</f>
        <v>4.2172193279999999E-2</v>
      </c>
      <c r="I166" s="16"/>
      <c r="M166" s="15">
        <v>2</v>
      </c>
      <c r="N166" s="15" t="str">
        <f>INDEX(X_Table_Feedlot_MMS_Stage2,4,1)</f>
        <v>Composting (passive windrow)</v>
      </c>
      <c r="O166" s="15">
        <f ca="1">((D$145 * O152 * D$159) * 10 ^ -3)</f>
        <v>1.9255206297599997E-2</v>
      </c>
      <c r="P166" s="15">
        <f ca="1">((E$145 * P152 * E$159) * 10 ^ -3)</f>
        <v>3.1104564019199994E-2</v>
      </c>
      <c r="Q166" s="15">
        <f ca="1">((F$145 * Q152 * F$159) * 10 ^ -3)</f>
        <v>4.2172193279999999E-2</v>
      </c>
      <c r="R166" s="16"/>
    </row>
    <row r="167" spans="4:18" ht="20.100000000000001" customHeight="1" x14ac:dyDescent="0.2">
      <c r="D167" s="15">
        <v>2</v>
      </c>
      <c r="E167" s="15" t="str">
        <f>INDEX(X_Table_Feedlot_MMS_Stage2,5,1)</f>
        <v>Direct application</v>
      </c>
      <c r="F167" s="15">
        <f ca="1">((D$145 * F153 * D$159) * 10 ^ -3)</f>
        <v>0</v>
      </c>
      <c r="G167" s="15">
        <f ca="1">((E$145 * G153 * E$159) * 10 ^ -3)</f>
        <v>0</v>
      </c>
      <c r="H167" s="15">
        <f ca="1">((F$145 * H153 * F$159) * 10 ^ -3)</f>
        <v>0</v>
      </c>
      <c r="I167" s="16"/>
      <c r="M167" s="15">
        <v>2</v>
      </c>
      <c r="N167" s="15" t="str">
        <f>INDEX(X_Table_Feedlot_MMS_Stage2,5,1)</f>
        <v>Direct application</v>
      </c>
      <c r="O167" s="15">
        <f ca="1">((D$145 * O153 * D$159) * 10 ^ -3)</f>
        <v>0</v>
      </c>
      <c r="P167" s="15">
        <f ca="1">((E$145 * P153 * E$159) * 10 ^ -3)</f>
        <v>0</v>
      </c>
      <c r="Q167" s="15">
        <f ca="1">((F$145 * Q153 * F$159) * 10 ^ -3)</f>
        <v>0</v>
      </c>
      <c r="R167" s="16"/>
    </row>
    <row r="168" spans="4:18" ht="20.100000000000001" customHeight="1" x14ac:dyDescent="0.2">
      <c r="D168" s="15">
        <v>3</v>
      </c>
      <c r="E168" s="15" t="str">
        <f>INDEX(X_Table_Feedlot_MMS_Stage3,3,1)</f>
        <v>Anaerobic lagoon</v>
      </c>
      <c r="F168" s="15">
        <f ca="1">((D$145 * F154 * D$159) * 10 ^ -3)</f>
        <v>0.29653017698303996</v>
      </c>
      <c r="G168" s="15">
        <f ca="1">((E$145 * G154 * E$159) * 10 ^ -3)</f>
        <v>0.47901028589567995</v>
      </c>
      <c r="H168" s="15">
        <f ca="1">((F$145 * H154 * F$159) * 10 ^ -3)</f>
        <v>0.6494517765119997</v>
      </c>
      <c r="I168" s="16"/>
      <c r="M168" s="15">
        <v>3</v>
      </c>
      <c r="N168" s="15" t="str">
        <f>INDEX(X_Table_Feedlot_MMS_Stage3,3,1)</f>
        <v>Anaerobic lagoon</v>
      </c>
      <c r="O168" s="15">
        <f ca="1">((D$145 * O154 * D$159) * 10 ^ -3)</f>
        <v>0.29653017698303996</v>
      </c>
      <c r="P168" s="15">
        <f ca="1">((E$145 * P154 * E$159) * 10 ^ -3)</f>
        <v>0.47901028589567995</v>
      </c>
      <c r="Q168" s="15">
        <f ca="1">((F$145 * Q154 * F$159) * 10 ^ -3)</f>
        <v>0.6494517765119997</v>
      </c>
      <c r="R168" s="16"/>
    </row>
    <row r="171" spans="4:18" ht="20.100000000000001" customHeight="1" x14ac:dyDescent="0.2">
      <c r="D171" s="85" t="s">
        <v>372</v>
      </c>
      <c r="E171" s="86">
        <f ca="1">SUM(F164:H168)</f>
        <v>2.6279077661491193</v>
      </c>
      <c r="F171" s="95" t="str">
        <f>$E$136</f>
        <v>t CH4</v>
      </c>
      <c r="M171" s="85" t="s">
        <v>373</v>
      </c>
      <c r="N171" s="86">
        <f ca="1">SUM(O164:Q168)</f>
        <v>2.6279077661491193</v>
      </c>
      <c r="O171" s="95" t="str">
        <f>$E$136</f>
        <v>t CH4</v>
      </c>
    </row>
    <row r="173" spans="4:18" ht="20.100000000000001" customHeight="1" x14ac:dyDescent="0.2">
      <c r="D173" s="124" t="str" cm="1">
        <f t="array" ref="D173:E174">Common_Equations.Common_ConvertCH4ToCO2e_Arguments()</f>
        <v>ECH4</v>
      </c>
      <c r="E173" s="126" t="str">
        <v>Methane emissions (t CH4)</v>
      </c>
      <c r="F173" s="127"/>
      <c r="G173" s="15">
        <f ca="1">VEERG_4_1_1_1__1_TotalAnnualMethaneEmissions_Result_Method1</f>
        <v>2.6279077661491193</v>
      </c>
      <c r="H173" s="16" t="str">
        <f>$E$136</f>
        <v>t CH4</v>
      </c>
      <c r="M173" s="124" t="str" cm="1">
        <f t="array" ref="M173:N174">Common_Equations.Common_ConvertCH4ToCO2e_Arguments()</f>
        <v>ECH4</v>
      </c>
      <c r="N173" s="126" t="str">
        <v>Methane emissions (t CH4)</v>
      </c>
      <c r="O173" s="127"/>
      <c r="P173" s="15">
        <f ca="1">VEERG_4_1_1_1__1_TotalAnnualMethaneEmissions_Result_Method2</f>
        <v>2.6279077661491193</v>
      </c>
      <c r="Q173" s="16" t="str">
        <f>$E$136</f>
        <v>t CH4</v>
      </c>
    </row>
    <row r="174" spans="4:18" ht="20.100000000000001" customHeight="1" x14ac:dyDescent="0.2">
      <c r="D174" s="124" t="str">
        <v>GWPCH4</v>
      </c>
      <c r="E174" s="126" t="str">
        <v>Global warming potential for methane (t CO2-e / t CH4)</v>
      </c>
      <c r="F174" s="127"/>
      <c r="G174" s="15">
        <f>Common_InputFunctions.Utility_LookupValueInTableNumber("CH4",Table_GWPData[Gas],Table_GWPData[CO2-e factor])</f>
        <v>28</v>
      </c>
      <c r="M174" s="124" t="str">
        <v>GWPCH4</v>
      </c>
      <c r="N174" s="126" t="str">
        <v>Global warming potential for methane (t CO2-e / t CH4)</v>
      </c>
      <c r="O174" s="127"/>
      <c r="P174" s="15">
        <f>Common_InputFunctions.Utility_LookupValueInTableNumber("CH4",Table_GWPData[Gas],Table_GWPData[CO2-e factor])</f>
        <v>28</v>
      </c>
    </row>
    <row r="176" spans="4:18" ht="20.100000000000001" customHeight="1" x14ac:dyDescent="0.2">
      <c r="D176" s="83" t="s">
        <v>374</v>
      </c>
      <c r="E176" s="83" cm="1">
        <f t="array" aca="1" ref="E176" ca="1">Common_Equations.Common_ConvertCH4ToCO2e(G173,G174)</f>
        <v>73.581417452175344</v>
      </c>
      <c r="F176" s="89" t="str" cm="1">
        <f t="array" ref="F176">Common_Equations.Common_ConvertN2OToCO2e_Unit()</f>
        <v>t CO2e</v>
      </c>
      <c r="M176" s="83" t="s">
        <v>375</v>
      </c>
      <c r="N176" s="83" cm="1">
        <f t="array" aca="1" ref="N176" ca="1">Common_Equations.Common_ConvertCH4ToCO2e(P173,P174)</f>
        <v>73.581417452175344</v>
      </c>
      <c r="O176" s="89" t="str" cm="1">
        <f t="array" ref="O176">Common_Equations.Common_ConvertN2OToCO2e_Unit()</f>
        <v>t CO2e</v>
      </c>
    </row>
  </sheetData>
  <dataValidations count="1">
    <dataValidation operator="equal" allowBlank="1" showInputMessage="1" showErrorMessage="1" sqref="E52:G52 E57:G57 E120:G120 E125:G125 D145:F145 N125:P125 N57:P57 D159:F159" xr:uid="{B0FD0428-1338-4391-A442-690744E39CD5}"/>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69BC-1266-44E0-BA0E-A4AD7589E27A}">
  <sheetPr>
    <tabColor rgb="FF008000"/>
  </sheetPr>
  <dimension ref="A1:T21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20" customFormat="1" ht="30" customHeight="1" x14ac:dyDescent="0.35">
      <c r="A1" s="10" t="e" vm="1">
        <v>#VALUE!</v>
      </c>
      <c r="C1" s="20" t="s">
        <v>376</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1257</v>
      </c>
    </row>
    <row r="6" spans="1:20" ht="20.100000000000001" customHeight="1" x14ac:dyDescent="0.2">
      <c r="D6" s="17" t="s">
        <v>1258</v>
      </c>
    </row>
    <row r="7" spans="1:20" ht="20.100000000000001" customHeight="1" x14ac:dyDescent="0.2">
      <c r="D7" s="112" t="s">
        <v>377</v>
      </c>
      <c r="E7" s="112"/>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321</v>
      </c>
      <c r="E10" s="1" t="s">
        <v>1259</v>
      </c>
    </row>
    <row r="11" spans="1:20" ht="20.100000000000001" customHeight="1" x14ac:dyDescent="0.2">
      <c r="A11" s="5" t="str">
        <f>HYPERLINK("#'Input - Feedlot'!A1", "Feedlot")</f>
        <v>Feedlot</v>
      </c>
      <c r="D11" s="75" t="s">
        <v>118</v>
      </c>
      <c r="E11" s="9" t="s">
        <v>1260</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13" t="s">
        <v>1190</v>
      </c>
      <c r="E13" s="121" t="s">
        <v>1191</v>
      </c>
      <c r="F13" s="122"/>
      <c r="G13" s="113" t="s">
        <v>326</v>
      </c>
      <c r="H13" s="114" t="s">
        <v>1196</v>
      </c>
      <c r="I13" s="116" t="str" cm="1">
        <f t="array" aca="1" ref="I13" ca="1">HYPERLINK(Common_InputFunctions.Utility_SourceHyperlink($D$17),$D$17)</f>
        <v>M1_Table_I_j</v>
      </c>
    </row>
    <row r="14" spans="1:20" ht="20.100000000000001" customHeight="1" x14ac:dyDescent="0.2">
      <c r="A14" s="5" t="str">
        <f>HYPERLINK("#'Input - Fuel'!A1", "Fuel")</f>
        <v>Fuel</v>
      </c>
      <c r="D14" s="113" t="s">
        <v>1261</v>
      </c>
      <c r="E14" s="121" t="s">
        <v>1262</v>
      </c>
      <c r="F14" s="122"/>
      <c r="G14" s="113" t="s">
        <v>299</v>
      </c>
      <c r="H14" s="114" t="s">
        <v>1196</v>
      </c>
      <c r="I14" s="116" t="str" cm="1">
        <f t="array" aca="1" ref="I14" ca="1">HYPERLINK(Common_InputFunctions.Utility_SourceHyperlink($D$22),$D$22)</f>
        <v>M1_Table_CP_j</v>
      </c>
    </row>
    <row r="15" spans="1:20" ht="20.100000000000001" customHeight="1" x14ac:dyDescent="0.2">
      <c r="A15" s="5" t="str">
        <f>HYPERLINK("#'Input - Electricity'!A1", "Electricity")</f>
        <v>Electricity</v>
      </c>
      <c r="D15" s="113">
        <v>6.25</v>
      </c>
      <c r="E15" s="121" t="s">
        <v>1263</v>
      </c>
      <c r="F15" s="122"/>
      <c r="G15" s="113" t="s">
        <v>1264</v>
      </c>
      <c r="H15" s="115" t="s">
        <v>1227</v>
      </c>
      <c r="I15" s="113">
        <f>D15</f>
        <v>6.25</v>
      </c>
    </row>
    <row r="16" spans="1:20" ht="20.100000000000001" customHeight="1" x14ac:dyDescent="0.2">
      <c r="A16" s="5" t="str">
        <f>HYPERLINK("#'Input - Common farm inputs'!A1", "Common farm inputs")</f>
        <v>Common farm inputs</v>
      </c>
    </row>
    <row r="17" spans="1:19" ht="20.100000000000001" customHeight="1" x14ac:dyDescent="0.2">
      <c r="A17" s="5" t="str">
        <f>HYPERLINK("#'Input - Livestock farm Inputs'!A1", "Livestock farm Inputs")</f>
        <v>Livestock farm Inputs</v>
      </c>
      <c r="D17" s="118" t="s">
        <v>322</v>
      </c>
      <c r="O17" s="118" t="s">
        <v>323</v>
      </c>
    </row>
    <row r="18" spans="1:19" ht="20.100000000000001" customHeight="1" x14ac:dyDescent="0.2">
      <c r="A18" s="5" t="str">
        <f>HYPERLINK("#'Input - Freight'!A1", "Freight")</f>
        <v>Freight</v>
      </c>
      <c r="D18" s="119" t="s">
        <v>324</v>
      </c>
      <c r="O18" s="119" t="s">
        <v>325</v>
      </c>
    </row>
    <row r="19" spans="1:19" ht="20.100000000000001" customHeight="1" x14ac:dyDescent="0.2">
      <c r="A19" s="5" t="str">
        <f>HYPERLINK("#'Input - Solid waste'!A1", "Solid waste")</f>
        <v>Solid waste</v>
      </c>
      <c r="D19" s="78" t="s">
        <v>289</v>
      </c>
      <c r="E19" s="78" t="s">
        <v>290</v>
      </c>
      <c r="F19" s="78" t="s">
        <v>291</v>
      </c>
      <c r="O19" s="78" t="s">
        <v>289</v>
      </c>
      <c r="P19" s="78" t="s">
        <v>290</v>
      </c>
      <c r="Q19" s="78" t="s">
        <v>291</v>
      </c>
    </row>
    <row r="20" spans="1:19" ht="20.100000000000001" customHeight="1" x14ac:dyDescent="0.2">
      <c r="A20" s="5" t="str">
        <f>HYPERLINK("#'Input - Manure sent off-site'!A1", "Manure sent off-site")</f>
        <v>Manure sent off-site</v>
      </c>
      <c r="D20" s="15" cm="1">
        <f t="array" aca="1" ref="D20:F20" ca="1">OFFSET(X_Table_Feedlot_Intake_Method1,1,1,1,3)</f>
        <v>10.4</v>
      </c>
      <c r="E20" s="15">
        <f ca="1"/>
        <v>10.8</v>
      </c>
      <c r="F20" s="15">
        <f ca="1"/>
        <v>8.1999999999999993</v>
      </c>
      <c r="G20" s="16" t="s">
        <v>326</v>
      </c>
      <c r="H20" s="16"/>
      <c r="I20" s="16"/>
      <c r="J20" s="16"/>
      <c r="K20" s="16"/>
      <c r="O20" s="15" cm="1">
        <f t="array" aca="1" ref="O20:Q20" ca="1">OFFSET(X_Table_Feedlot_Intake_Method2,1,1,1,3)</f>
        <v>10.4</v>
      </c>
      <c r="P20" s="15">
        <f ca="1"/>
        <v>10.8</v>
      </c>
      <c r="Q20" s="15">
        <f ca="1"/>
        <v>8.1999999999999993</v>
      </c>
      <c r="R20" s="16" t="s">
        <v>326</v>
      </c>
      <c r="S20" s="16"/>
    </row>
    <row r="21" spans="1:19" ht="20.100000000000001" customHeight="1" x14ac:dyDescent="0.2">
      <c r="A21" s="5" t="str">
        <f>HYPERLINK("#'Input - Data quality'!A1", "Data quality")</f>
        <v>Data quality</v>
      </c>
    </row>
    <row r="22" spans="1:19" ht="20.100000000000001" customHeight="1" x14ac:dyDescent="0.2">
      <c r="A22" s="5" t="str">
        <f>HYPERLINK("#'Input - Fert Prod System'!A1", "Fert Prod System")</f>
        <v>Fert Prod System</v>
      </c>
      <c r="D22" s="118" t="s">
        <v>378</v>
      </c>
      <c r="O22" s="118" t="s">
        <v>379</v>
      </c>
    </row>
    <row r="23" spans="1:19" ht="20.100000000000001" customHeight="1" x14ac:dyDescent="0.2">
      <c r="A23" s="5" t="str">
        <f>HYPERLINK("#'Input - Fertiliser'!A1", "Fertiliser")</f>
        <v>Fertiliser</v>
      </c>
      <c r="D23" s="119" t="s">
        <v>380</v>
      </c>
      <c r="O23" s="119" t="s">
        <v>381</v>
      </c>
    </row>
    <row r="24" spans="1:19" ht="20.100000000000001" customHeight="1" x14ac:dyDescent="0.2">
      <c r="D24" s="78" t="s">
        <v>289</v>
      </c>
      <c r="E24" s="78" t="s">
        <v>290</v>
      </c>
      <c r="F24" s="78" t="s">
        <v>291</v>
      </c>
      <c r="O24" s="78" t="s">
        <v>289</v>
      </c>
      <c r="P24" s="78" t="s">
        <v>290</v>
      </c>
      <c r="Q24" s="78" t="s">
        <v>291</v>
      </c>
    </row>
    <row r="25" spans="1:19" ht="20.100000000000001" customHeight="1" x14ac:dyDescent="0.2">
      <c r="D25" s="15" cm="1">
        <f t="array" aca="1" ref="D25:F25" ca="1">OFFSET(X_Table_Feedlot_Intake_Method1,5,1,1,3)</f>
        <v>0.14000000000000001</v>
      </c>
      <c r="E25" s="15">
        <f ca="1"/>
        <v>0.12</v>
      </c>
      <c r="F25" s="15">
        <f ca="1"/>
        <v>0.12</v>
      </c>
      <c r="G25" s="16" t="s">
        <v>299</v>
      </c>
      <c r="H25" s="16"/>
      <c r="I25" s="16"/>
      <c r="J25" s="16"/>
      <c r="K25" s="16"/>
      <c r="O25" s="15" cm="1">
        <f t="array" aca="1" ref="O25:Q25" ca="1">OFFSET(X_Table_Feedlot_Intake_Method2,5,1,1,3)</f>
        <v>0.14000000000000001</v>
      </c>
      <c r="P25" s="15">
        <f ca="1"/>
        <v>0.12</v>
      </c>
      <c r="Q25" s="15">
        <f ca="1"/>
        <v>0.12</v>
      </c>
      <c r="R25" s="16" t="s">
        <v>299</v>
      </c>
      <c r="S25" s="16"/>
    </row>
    <row r="26" spans="1:19" ht="20.100000000000001" customHeight="1" x14ac:dyDescent="0.2">
      <c r="A26" s="6" t="s">
        <v>2</v>
      </c>
    </row>
    <row r="27" spans="1:19" ht="20.100000000000001" customHeight="1" x14ac:dyDescent="0.2">
      <c r="A27" s="5" t="str">
        <f>HYPERLINK("#'3.1.1.1-2 Enteric Methane'!A1", "3.1.1.1-2 Enteric Methane")</f>
        <v>3.1.1.1-2 Enteric Methane</v>
      </c>
      <c r="D27" s="118" t="s">
        <v>382</v>
      </c>
      <c r="O27" s="118" t="s">
        <v>383</v>
      </c>
    </row>
    <row r="28" spans="1:19" ht="20.100000000000001" customHeight="1" x14ac:dyDescent="0.2">
      <c r="A28" s="5" t="str">
        <f>HYPERLINK("#'4.1.1.1-2 Methane'!A1", "4.1.1.1-2 Manure Methane")</f>
        <v>4.1.1.1-2 Manure Methane</v>
      </c>
      <c r="D28" s="119" t="s">
        <v>384</v>
      </c>
      <c r="O28" s="119" t="s">
        <v>385</v>
      </c>
    </row>
    <row r="29" spans="1:19" ht="20.100000000000001" customHeight="1" x14ac:dyDescent="0.2">
      <c r="A29" s="117" t="str">
        <f>HYPERLINK("#'4.1.1.3-4 Direct N20'!A1", "4.1.1.3-4 Manure Direct N2O")</f>
        <v>4.1.1.3-4 Manure Direct N2O</v>
      </c>
      <c r="D29" s="120" t="s">
        <v>289</v>
      </c>
      <c r="E29" s="120" t="s">
        <v>290</v>
      </c>
      <c r="F29" s="120" t="s">
        <v>291</v>
      </c>
      <c r="O29" s="120" t="s">
        <v>289</v>
      </c>
      <c r="P29" s="120" t="s">
        <v>290</v>
      </c>
      <c r="Q29" s="120" t="s">
        <v>291</v>
      </c>
    </row>
    <row r="30" spans="1:19" ht="20.100000000000001" customHeight="1" x14ac:dyDescent="0.2">
      <c r="A30" s="5" t="str">
        <f>HYPERLINK("#'4.1.1.5-6 Atmos Deposition'!A1", "4.1.1.5-6 Manure Atmos Dep")</f>
        <v>4.1.1.5-6 Manure Atmos Dep</v>
      </c>
      <c r="D30" s="15">
        <f ca="1">(D20 * D25 / 6.25)</f>
        <v>0.23296000000000003</v>
      </c>
      <c r="E30" s="15">
        <f ca="1">(E20 * E25 / 6.25)</f>
        <v>0.20736000000000002</v>
      </c>
      <c r="F30" s="15">
        <f ca="1">(F20 * F25 / 6.25)</f>
        <v>0.15743999999999997</v>
      </c>
      <c r="G30" s="16" t="str">
        <f>$E$11</f>
        <v>kg N/head/day</v>
      </c>
      <c r="H30" s="16"/>
      <c r="I30" s="16"/>
      <c r="J30" s="16"/>
      <c r="K30" s="16"/>
      <c r="O30" s="15">
        <f ca="1">(O20 * O25 / 6.25)</f>
        <v>0.23296000000000003</v>
      </c>
      <c r="P30" s="15">
        <f ca="1">(P20 * P25 / 6.25)</f>
        <v>0.20736000000000002</v>
      </c>
      <c r="Q30" s="15">
        <f ca="1">(Q20 * Q25 / 6.25)</f>
        <v>0.15743999999999997</v>
      </c>
      <c r="R30" s="16" t="str">
        <f>$E$11</f>
        <v>kg N/head/day</v>
      </c>
      <c r="S30" s="16"/>
    </row>
    <row r="31" spans="1:19" ht="20.100000000000001" customHeight="1" x14ac:dyDescent="0.2">
      <c r="A31" s="5" t="str">
        <f>HYPERLINK("#'4.1.1.9 Manure applied to soils'!A1", "4.1.1.9 Manure applied to soils")</f>
        <v>4.1.1.9 Manure applied to soils</v>
      </c>
    </row>
    <row r="32" spans="1:19" ht="20.100000000000001" customHeight="1" x14ac:dyDescent="0.2">
      <c r="A32" s="5" t="str">
        <f>HYPERLINK("#'8.1.1.1-2 Transport fuel'!A1", "8.1.1.1-2 Transport fuel")</f>
        <v>8.1.1.1-2 Transport fuel</v>
      </c>
    </row>
    <row r="33" spans="1:20" ht="20.100000000000001" customHeight="1" x14ac:dyDescent="0.2">
      <c r="A33" s="5" t="str">
        <f>HYPERLINK("#'8.2.1.1-2 Stationary fuel'!A1", "8.2.1.1-2 Stationary fuel")</f>
        <v>8.2.1.1-2 Stationary fuel</v>
      </c>
      <c r="C33" s="83"/>
      <c r="D33" s="83"/>
      <c r="E33" s="83"/>
      <c r="F33" s="83"/>
      <c r="G33" s="83"/>
      <c r="H33" s="83"/>
      <c r="I33" s="83"/>
      <c r="J33" s="83"/>
      <c r="K33" s="83"/>
      <c r="L33" s="83"/>
      <c r="N33" s="83"/>
      <c r="O33" s="83"/>
      <c r="P33" s="83"/>
      <c r="Q33" s="83"/>
      <c r="R33" s="83"/>
      <c r="S33" s="83"/>
      <c r="T33" s="83"/>
    </row>
    <row r="34" spans="1:20" ht="20.100000000000001" customHeight="1" x14ac:dyDescent="0.2">
      <c r="A34" s="5" t="str">
        <f>HYPERLINK("#'10.1.1-2 Solid waste treatment'!A1", "10.1.1.1-2 Solid waste")</f>
        <v>10.1.1.1-2 Solid waste</v>
      </c>
      <c r="D34" s="2" t="s">
        <v>1265</v>
      </c>
    </row>
    <row r="35" spans="1:20" ht="20.100000000000001" customHeight="1" x14ac:dyDescent="0.2">
      <c r="A35" s="5" t="str">
        <f>HYPERLINK("#'14.1.1-2 Purchased electricity'!A1", "14.1.1-2 Purchased electricity")</f>
        <v>14.1.1-2 Purchased electricity</v>
      </c>
      <c r="D35" s="17" t="s">
        <v>1266</v>
      </c>
    </row>
    <row r="36" spans="1:20" ht="20.100000000000001" customHeight="1" x14ac:dyDescent="0.2">
      <c r="A36" s="5" t="str">
        <f>HYPERLINK("#'15 Scope 3'!A1", "15 Scope 3")</f>
        <v>15 Scope 3</v>
      </c>
      <c r="D36" s="112"/>
      <c r="E36" s="112"/>
    </row>
    <row r="37" spans="1:20" ht="20.100000000000001" customHeight="1" x14ac:dyDescent="0.2">
      <c r="A37" s="5" t="str">
        <f>HYPERLINK("#'Calcs - Manure sent off-site'!A1", "Calcs - Manure sent off-site")</f>
        <v>Calcs - Manure sent off-site</v>
      </c>
    </row>
    <row r="38" spans="1:20" ht="20.100000000000001" customHeight="1" x14ac:dyDescent="0.2">
      <c r="A38" s="5" t="str">
        <f>HYPERLINK("#'5.1.1.1-2 Inorganic fert N2O'!A1", "5.1.1.1-2 Inorganic fert N2O")</f>
        <v>5.1.1.1-2 Inorganic fert N2O</v>
      </c>
      <c r="D38" s="2"/>
    </row>
    <row r="39" spans="1:20" ht="20.100000000000001" customHeight="1" x14ac:dyDescent="0.2">
      <c r="A39" s="5" t="str">
        <f>HYPERLINK("#'5.1.1.3-4 Inorganic fert CO2'!A1", "5.1.1.3-4 Inorganic fert CO2")</f>
        <v>5.1.1.3-4 Inorganic fert CO2</v>
      </c>
    </row>
    <row r="40" spans="1:20" ht="20.100000000000001" customHeight="1" x14ac:dyDescent="0.2">
      <c r="A40" s="5" t="str">
        <f>HYPERLINK("#'5.2.1.1-2 Organic Fert N2O'!A1", "5.2.1.1-2 Organic Fert N2O")</f>
        <v>5.2.1.1-2 Organic Fert N2O</v>
      </c>
      <c r="D40" s="75" t="s">
        <v>321</v>
      </c>
      <c r="E40" s="1" t="s">
        <v>1267</v>
      </c>
    </row>
    <row r="41" spans="1:20" ht="20.100000000000001" customHeight="1" x14ac:dyDescent="0.2">
      <c r="A41" s="5" t="str">
        <f>HYPERLINK("#'5.3.1.1-2 Lime CO2'!A1", "5.3.1.1-2 Lime CO2")</f>
        <v>5.3.1.1-2 Lime CO2</v>
      </c>
      <c r="D41" s="75" t="s">
        <v>118</v>
      </c>
      <c r="E41" s="9" t="s">
        <v>1260</v>
      </c>
    </row>
    <row r="42" spans="1:20" ht="20.100000000000001" customHeight="1" x14ac:dyDescent="0.2">
      <c r="A42" s="5" t="str">
        <f>HYPERLINK("#'5.4.1.1-4 Atmos deposition'!A1", "5.4.1.1-4 Atmos deposition")</f>
        <v>5.4.1.1-4 Atmos deposition</v>
      </c>
    </row>
    <row r="43" spans="1:20" ht="20.100000000000001" customHeight="1" x14ac:dyDescent="0.2">
      <c r="A43" s="5" t="str">
        <f>HYPERLINK("#'5.5.1.1-2 Leaching and runoff'!A1", "5.5.1.1-2 Leaching and runoff")</f>
        <v>5.5.1.1-2 Leaching and runoff</v>
      </c>
      <c r="D43" s="113" t="s">
        <v>1259</v>
      </c>
      <c r="E43" s="121" t="s">
        <v>1268</v>
      </c>
      <c r="F43" s="122"/>
      <c r="G43" s="113" t="s">
        <v>1260</v>
      </c>
      <c r="H43" s="115" t="s">
        <v>1271</v>
      </c>
      <c r="I43" s="116" t="str" cm="1">
        <f t="array" aca="1" ref="I43" ca="1">HYPERLINK(Common_InputFunctions.Utility_SourceHyperlink($D$27),$D$27)</f>
        <v>M1_Table_NI_j</v>
      </c>
    </row>
    <row r="44" spans="1:20" ht="20.100000000000001" customHeight="1" x14ac:dyDescent="0.2">
      <c r="D44" s="113" t="s">
        <v>1269</v>
      </c>
      <c r="E44" s="121" t="s">
        <v>1270</v>
      </c>
      <c r="F44" s="122"/>
      <c r="G44" s="113" t="s">
        <v>299</v>
      </c>
      <c r="H44" s="114" t="s">
        <v>1196</v>
      </c>
      <c r="I44" s="116" t="str" cm="1">
        <f t="array" aca="1" ref="I44" ca="1">HYPERLINK(Common_InputFunctions.Utility_SourceHyperlink($D$46),$D$46)</f>
        <v>M1_Table_NR_j</v>
      </c>
    </row>
    <row r="46" spans="1:20" ht="20.100000000000001" customHeight="1" x14ac:dyDescent="0.2">
      <c r="A46" s="80" t="s">
        <v>1</v>
      </c>
      <c r="D46" s="118" t="s">
        <v>386</v>
      </c>
      <c r="E46" s="16"/>
      <c r="F46" s="16"/>
      <c r="O46" s="118" t="s">
        <v>387</v>
      </c>
      <c r="P46" s="16"/>
      <c r="Q46" s="16"/>
    </row>
    <row r="47" spans="1:20" ht="20.100000000000001" customHeight="1" x14ac:dyDescent="0.2">
      <c r="A47" s="5" t="str">
        <f>HYPERLINK("#'Constants - Feedlot'!A1", "Constants - Feedlot")</f>
        <v>Constants - Feedlot</v>
      </c>
      <c r="D47" s="119" t="s">
        <v>388</v>
      </c>
      <c r="O47" s="119" t="s">
        <v>389</v>
      </c>
    </row>
    <row r="48" spans="1:20" ht="20.100000000000001" customHeight="1" x14ac:dyDescent="0.2">
      <c r="A48" s="5" t="str">
        <f>HYPERLINK("#'Constants - Common livestock'!A1", "Constants - Common Livestock")</f>
        <v>Constants - Common Livestock</v>
      </c>
      <c r="D48" s="78" t="s">
        <v>289</v>
      </c>
      <c r="E48" s="78" t="s">
        <v>290</v>
      </c>
      <c r="F48" s="78" t="s">
        <v>291</v>
      </c>
      <c r="O48" s="78" t="s">
        <v>289</v>
      </c>
      <c r="P48" s="78" t="s">
        <v>290</v>
      </c>
      <c r="Q48" s="78" t="s">
        <v>291</v>
      </c>
    </row>
    <row r="49" spans="1:20" ht="20.100000000000001" customHeight="1" x14ac:dyDescent="0.2">
      <c r="A49" s="5" t="str">
        <f>HYPERLINK("#'Constants - Electricity'!A1", "Constants - Electricity")</f>
        <v>Constants - Electricity</v>
      </c>
      <c r="D49" s="15" cm="1">
        <f t="array" aca="1" ref="D49:F49" ca="1">OFFSET(X_Table_Feedlot_Intake_Method1,6,1,1,3)/100</f>
        <v>0.20399999999999999</v>
      </c>
      <c r="E49" s="15">
        <f ca="1"/>
        <v>0.127</v>
      </c>
      <c r="F49" s="15">
        <f ca="1"/>
        <v>7.0000000000000007E-2</v>
      </c>
      <c r="G49" s="16" t="s">
        <v>390</v>
      </c>
      <c r="H49" s="16"/>
      <c r="I49" s="16"/>
      <c r="J49" s="16"/>
      <c r="K49" s="16"/>
      <c r="O49" s="15" cm="1">
        <f t="array" aca="1" ref="O49:Q49" ca="1">OFFSET(X_Table_Feedlot_Intake_Method2,6,1,1,3)/100</f>
        <v>0.20399999999999999</v>
      </c>
      <c r="P49" s="15">
        <f ca="1"/>
        <v>0.127</v>
      </c>
      <c r="Q49" s="15">
        <f ca="1"/>
        <v>7.0000000000000007E-2</v>
      </c>
      <c r="R49" s="16" t="s">
        <v>299</v>
      </c>
      <c r="S49" s="16"/>
    </row>
    <row r="50" spans="1:20" ht="20.100000000000001" customHeight="1" x14ac:dyDescent="0.2">
      <c r="A50" s="5" t="str">
        <f>HYPERLINK("#'Constants - Fertiliser'!A1", "Constants - Fertiliser")</f>
        <v>Constants - Fertiliser</v>
      </c>
    </row>
    <row r="51" spans="1:20" ht="20.100000000000001" customHeight="1" x14ac:dyDescent="0.2">
      <c r="A51" s="5" t="str">
        <f>HYPERLINK("#'Constants - Fuel'!A1", "Constants - Fuel")</f>
        <v>Constants - Fuel</v>
      </c>
      <c r="D51" s="118" t="s">
        <v>391</v>
      </c>
      <c r="O51" s="118" t="s">
        <v>392</v>
      </c>
    </row>
    <row r="52" spans="1:20" ht="20.100000000000001" customHeight="1" x14ac:dyDescent="0.2">
      <c r="A52" s="5" t="str">
        <f>HYPERLINK("#'Constants - Scope 3'!A1", "Constants - Scope 3")</f>
        <v>Constants - Scope 3</v>
      </c>
      <c r="D52" s="119" t="s">
        <v>388</v>
      </c>
      <c r="O52" s="119" t="s">
        <v>389</v>
      </c>
    </row>
    <row r="53" spans="1:20" ht="20.100000000000001" customHeight="1" x14ac:dyDescent="0.2">
      <c r="A53" s="5" t="str">
        <f>HYPERLINK("#'Constants - Solid Waste'!A1", "Constants - Solid Waste")</f>
        <v>Constants - Solid Waste</v>
      </c>
      <c r="D53" s="120" t="s">
        <v>289</v>
      </c>
      <c r="E53" s="120" t="s">
        <v>290</v>
      </c>
      <c r="F53" s="120" t="s">
        <v>291</v>
      </c>
      <c r="O53" s="120" t="s">
        <v>289</v>
      </c>
      <c r="P53" s="120" t="s">
        <v>290</v>
      </c>
      <c r="Q53" s="120" t="s">
        <v>291</v>
      </c>
    </row>
    <row r="54" spans="1:20" ht="20.100000000000001" customHeight="1" x14ac:dyDescent="0.2">
      <c r="A54" s="5" t="str">
        <f>HYPERLINK("#'Constants - Common'!A1", "Constants - Common")</f>
        <v>Constants - Common</v>
      </c>
      <c r="D54" s="15">
        <f ca="1">(D30 * (1 - D49))</f>
        <v>0.18543616000000004</v>
      </c>
      <c r="E54" s="15">
        <f ca="1">(E30 * (1 - E49))</f>
        <v>0.18102528000000001</v>
      </c>
      <c r="F54" s="15">
        <f ca="1">(F30 * (1 - F49))</f>
        <v>0.14641919999999997</v>
      </c>
      <c r="G54" s="16" t="str">
        <f>$E$41</f>
        <v>kg N/head/day</v>
      </c>
      <c r="H54" s="16"/>
      <c r="I54" s="16"/>
      <c r="J54" s="16"/>
      <c r="K54" s="16"/>
      <c r="O54" s="15">
        <f ca="1">(O30 * (1 - O49))</f>
        <v>0.18543616000000004</v>
      </c>
      <c r="P54" s="15">
        <f ca="1">(P30 * (1 - P49))</f>
        <v>0.18102528000000001</v>
      </c>
      <c r="Q54" s="15">
        <f ca="1">(Q30 * (1 - Q49))</f>
        <v>0.14641919999999997</v>
      </c>
      <c r="R54" s="16" t="str">
        <f>$E$41</f>
        <v>kg N/head/day</v>
      </c>
      <c r="S54" s="16"/>
    </row>
    <row r="55" spans="1:20" ht="20.100000000000001" customHeight="1" x14ac:dyDescent="0.2">
      <c r="A55" s="5" t="str">
        <f>HYPERLINK("#'Acknowledgements'!A1", "Acknowledgements")</f>
        <v>Acknowledgements</v>
      </c>
    </row>
    <row r="57" spans="1:20" ht="20.100000000000001" customHeight="1" x14ac:dyDescent="0.2">
      <c r="C57" s="83"/>
      <c r="D57" s="83"/>
      <c r="E57" s="83"/>
      <c r="F57" s="83"/>
      <c r="G57" s="83"/>
      <c r="H57" s="83"/>
      <c r="I57" s="83"/>
      <c r="J57" s="83"/>
      <c r="K57" s="83"/>
      <c r="L57" s="83"/>
      <c r="N57" s="83"/>
      <c r="O57" s="83"/>
      <c r="P57" s="83"/>
      <c r="Q57" s="83"/>
      <c r="R57" s="83"/>
      <c r="S57" s="83"/>
      <c r="T57" s="83"/>
    </row>
    <row r="58" spans="1:20" ht="20.100000000000001" customHeight="1" x14ac:dyDescent="0.2">
      <c r="D58" s="2" t="s">
        <v>1272</v>
      </c>
    </row>
    <row r="59" spans="1:20" ht="20.100000000000001" customHeight="1" x14ac:dyDescent="0.2">
      <c r="D59" s="17" t="s">
        <v>1273</v>
      </c>
    </row>
    <row r="60" spans="1:20" ht="20.100000000000001" customHeight="1" x14ac:dyDescent="0.2">
      <c r="D60" s="112"/>
      <c r="E60" s="112"/>
    </row>
    <row r="62" spans="1:20" ht="20.100000000000001" customHeight="1" x14ac:dyDescent="0.2">
      <c r="D62" s="2"/>
    </row>
    <row r="63" spans="1:20" ht="20.100000000000001" customHeight="1" x14ac:dyDescent="0.2">
      <c r="D63" s="75" t="s">
        <v>321</v>
      </c>
      <c r="E63" s="1" t="s">
        <v>1274</v>
      </c>
    </row>
    <row r="64" spans="1:20" ht="20.100000000000001" customHeight="1" x14ac:dyDescent="0.2">
      <c r="D64" s="75" t="s">
        <v>118</v>
      </c>
      <c r="E64" s="9" t="s">
        <v>445</v>
      </c>
    </row>
    <row r="66" spans="1:15" ht="20.100000000000001" customHeight="1" x14ac:dyDescent="0.2">
      <c r="A66" s="79" t="str">
        <f>HYPERLINK("#A1", "▲ Back to top")</f>
        <v>▲ Back to top</v>
      </c>
      <c r="D66" s="113" t="str" cm="1">
        <f t="array" ref="D66:G68">(_xlfn.MAKEARRAY(3, 4, _xlfn.LAMBDA(_xlpm.r,_xlpm.c, INDEX({"N_j","number of cattle in each group","head","Input";"NE_j","nitrogen excretion","kg N/head/day","Calculated from 4.1.1.3 (4)";"D_j","duration of stay of cattle group","days","Input"}, _xlpm.r, _xlpm.c))))</f>
        <v>N_j</v>
      </c>
      <c r="E66" s="113" t="str">
        <v>number of cattle in each group</v>
      </c>
      <c r="F66" s="113" t="str">
        <v>head</v>
      </c>
      <c r="G66" s="114" t="str">
        <v>Input</v>
      </c>
      <c r="H66" s="116" t="str" cm="1">
        <f t="array" aca="1" ref="H66" ca="1">HYPERLINK(Common_InputFunctions.Utility_SourceHyperlink($D$70),$D$70)</f>
        <v>Table_N_j</v>
      </c>
    </row>
    <row r="67" spans="1:15" ht="20.100000000000001" customHeight="1" x14ac:dyDescent="0.2">
      <c r="D67" s="113" t="str">
        <v>NE_j</v>
      </c>
      <c r="E67" s="113" t="str">
        <v>nitrogen excretion</v>
      </c>
      <c r="F67" s="113" t="str">
        <v>kg N/head/day</v>
      </c>
      <c r="G67" s="115" t="str">
        <v>Calculated from 4.1.1.3 (4)</v>
      </c>
      <c r="H67" s="116" t="str" cm="1">
        <f t="array" aca="1" ref="H67" ca="1">HYPERLINK(Common_InputFunctions.Utility_SourceHyperlink($D$51),$D$51)</f>
        <v>M1_Table_NE_j</v>
      </c>
    </row>
    <row r="68" spans="1:15" ht="20.100000000000001" customHeight="1" x14ac:dyDescent="0.2">
      <c r="D68" s="113" t="str">
        <v>D_j</v>
      </c>
      <c r="E68" s="113" t="str">
        <v>duration of stay of cattle group</v>
      </c>
      <c r="F68" s="113" t="str">
        <v>days</v>
      </c>
      <c r="G68" s="114" t="str">
        <v>Input</v>
      </c>
      <c r="H68" s="116" t="str" cm="1">
        <f t="array" aca="1" ref="H68" ca="1">HYPERLINK(Common_InputFunctions.Utility_SourceHyperlink($D$75),$D$75)</f>
        <v>Table_D_j</v>
      </c>
    </row>
    <row r="70" spans="1:15" ht="20.100000000000001" customHeight="1" x14ac:dyDescent="0.2">
      <c r="D70" s="118" t="s">
        <v>368</v>
      </c>
    </row>
    <row r="71" spans="1:15" ht="20.100000000000001" customHeight="1" x14ac:dyDescent="0.2">
      <c r="D71" s="119" t="s">
        <v>369</v>
      </c>
    </row>
    <row r="72" spans="1:15" ht="20.100000000000001" customHeight="1" x14ac:dyDescent="0.2">
      <c r="D72" s="78" t="s">
        <v>289</v>
      </c>
      <c r="E72" s="78" t="s">
        <v>290</v>
      </c>
      <c r="F72" s="78" t="s">
        <v>291</v>
      </c>
    </row>
    <row r="73" spans="1:15" ht="20.100000000000001" customHeight="1" x14ac:dyDescent="0.2">
      <c r="D73" s="125" cm="1">
        <f t="array" aca="1" ref="D73:F73" ca="1">OFFSET(X_Table_Feedlot_HerdMovement,1,1,1,3)</f>
        <v>1000</v>
      </c>
      <c r="E73" s="125">
        <f ca="1"/>
        <v>1000</v>
      </c>
      <c r="F73" s="125">
        <f ca="1"/>
        <v>1000</v>
      </c>
      <c r="G73" s="16" t="s">
        <v>393</v>
      </c>
      <c r="H73" s="16"/>
      <c r="I73" s="16"/>
      <c r="J73" s="16"/>
      <c r="K73" s="16"/>
    </row>
    <row r="75" spans="1:15" ht="20.100000000000001" customHeight="1" x14ac:dyDescent="0.2">
      <c r="D75" s="118" t="s">
        <v>360</v>
      </c>
    </row>
    <row r="76" spans="1:15" ht="20.100000000000001" customHeight="1" x14ac:dyDescent="0.2">
      <c r="D76" s="119" t="s">
        <v>361</v>
      </c>
    </row>
    <row r="77" spans="1:15" ht="20.100000000000001" customHeight="1" x14ac:dyDescent="0.2">
      <c r="D77" s="78" t="s">
        <v>289</v>
      </c>
      <c r="E77" s="78" t="s">
        <v>290</v>
      </c>
      <c r="F77" s="78" t="s">
        <v>291</v>
      </c>
    </row>
    <row r="78" spans="1:15" ht="20.100000000000001" customHeight="1" x14ac:dyDescent="0.2">
      <c r="D78" s="125" cm="1">
        <f t="array" aca="1" ref="D78:F78" ca="1">OFFSET(X_Table_Feedlot_HerdMovement,2,1,1,3)</f>
        <v>90</v>
      </c>
      <c r="E78" s="125">
        <f ca="1"/>
        <v>140</v>
      </c>
      <c r="F78" s="125">
        <f ca="1"/>
        <v>250</v>
      </c>
      <c r="G78" s="16" t="s">
        <v>112</v>
      </c>
      <c r="H78" s="16"/>
      <c r="I78" s="16"/>
      <c r="J78" s="16"/>
      <c r="K78" s="16"/>
    </row>
    <row r="80" spans="1:15" ht="20.100000000000001" customHeight="1" x14ac:dyDescent="0.2">
      <c r="D80" s="118" t="s">
        <v>394</v>
      </c>
      <c r="O80" s="118" t="s">
        <v>395</v>
      </c>
    </row>
    <row r="81" spans="1:20" ht="20.100000000000001" customHeight="1" x14ac:dyDescent="0.2">
      <c r="D81" s="119" t="s">
        <v>396</v>
      </c>
      <c r="O81" s="119" t="s">
        <v>397</v>
      </c>
    </row>
    <row r="82" spans="1:20" ht="20.100000000000001" customHeight="1" x14ac:dyDescent="0.2">
      <c r="D82" s="120" t="s">
        <v>289</v>
      </c>
      <c r="E82" s="120" t="s">
        <v>290</v>
      </c>
      <c r="F82" s="120" t="s">
        <v>291</v>
      </c>
      <c r="O82" s="120" t="s">
        <v>289</v>
      </c>
      <c r="P82" s="120" t="s">
        <v>290</v>
      </c>
      <c r="Q82" s="120" t="s">
        <v>291</v>
      </c>
    </row>
    <row r="83" spans="1:20" ht="20.100000000000001" customHeight="1" x14ac:dyDescent="0.2">
      <c r="D83" s="125">
        <f ca="1">(D73 * D54 * D78)</f>
        <v>16689.254400000005</v>
      </c>
      <c r="E83" s="125">
        <f ca="1">(E73 * E54 * E78)</f>
        <v>25343.539200000003</v>
      </c>
      <c r="F83" s="125">
        <f ca="1">(F73 * F54 * F78)</f>
        <v>36604.799999999988</v>
      </c>
      <c r="G83" s="16" t="str">
        <f>$E$64</f>
        <v>kg N</v>
      </c>
      <c r="H83" s="16"/>
      <c r="I83" s="16"/>
      <c r="J83" s="16"/>
      <c r="K83" s="16"/>
      <c r="O83" s="125">
        <f ca="1">(D73 * O54 * D78)</f>
        <v>16689.254400000005</v>
      </c>
      <c r="P83" s="125">
        <f ca="1">(E73 * P54 * E78)</f>
        <v>25343.539200000003</v>
      </c>
      <c r="Q83" s="125">
        <f ca="1">(F73 * Q54 * F78)</f>
        <v>36604.799999999988</v>
      </c>
      <c r="R83" s="16" t="str">
        <f>$E$64</f>
        <v>kg N</v>
      </c>
      <c r="S83" s="16"/>
    </row>
    <row r="86" spans="1:20" ht="20.100000000000001" customHeight="1" x14ac:dyDescent="0.2">
      <c r="C86" s="83"/>
      <c r="D86" s="83"/>
      <c r="E86" s="83"/>
      <c r="F86" s="83"/>
      <c r="G86" s="83"/>
      <c r="H86" s="83"/>
      <c r="I86" s="83"/>
      <c r="J86" s="83"/>
      <c r="K86" s="83"/>
      <c r="L86" s="83"/>
      <c r="N86" s="83"/>
      <c r="O86" s="83"/>
      <c r="P86" s="83"/>
      <c r="Q86" s="83"/>
      <c r="R86" s="83"/>
      <c r="S86" s="83"/>
      <c r="T86" s="83"/>
    </row>
    <row r="87" spans="1:20" ht="20.100000000000001" customHeight="1" x14ac:dyDescent="0.2">
      <c r="D87" s="2" t="s">
        <v>1275</v>
      </c>
    </row>
    <row r="88" spans="1:20" ht="20.100000000000001" customHeight="1" x14ac:dyDescent="0.2">
      <c r="D88" s="17" t="s">
        <v>1276</v>
      </c>
    </row>
    <row r="89" spans="1:20" ht="20.100000000000001" customHeight="1" x14ac:dyDescent="0.2">
      <c r="D89" s="112"/>
      <c r="E89" s="112"/>
    </row>
    <row r="91" spans="1:20" ht="20.100000000000001" customHeight="1" x14ac:dyDescent="0.2">
      <c r="D91" s="2"/>
    </row>
    <row r="92" spans="1:20" ht="20.100000000000001" customHeight="1" x14ac:dyDescent="0.2">
      <c r="D92" s="75" t="s">
        <v>321</v>
      </c>
      <c r="E92" s="1" t="s">
        <v>1277</v>
      </c>
    </row>
    <row r="93" spans="1:20" ht="20.100000000000001" customHeight="1" x14ac:dyDescent="0.2">
      <c r="D93" s="75" t="s">
        <v>118</v>
      </c>
      <c r="E93" s="9" t="s">
        <v>445</v>
      </c>
    </row>
    <row r="95" spans="1:20" ht="20.100000000000001" customHeight="1" x14ac:dyDescent="0.2">
      <c r="D95" s="113" t="s">
        <v>1274</v>
      </c>
      <c r="E95" s="121" t="s">
        <v>1278</v>
      </c>
      <c r="F95" s="122"/>
      <c r="G95" s="113" t="s">
        <v>445</v>
      </c>
      <c r="H95" s="115" t="s">
        <v>1280</v>
      </c>
      <c r="I95" s="116" t="str" cm="1">
        <f t="array" aca="1" ref="I95" ca="1">HYPERLINK(Common_InputFunctions.Utility_SourceHyperlink($D$80),$D$80)</f>
        <v>M1_Table_AE_j</v>
      </c>
    </row>
    <row r="96" spans="1:20" ht="20.100000000000001" customHeight="1" x14ac:dyDescent="0.2">
      <c r="A96" s="79" t="str">
        <f>HYPERLINK("#A1", "▲ Back to top")</f>
        <v>▲ Back to top</v>
      </c>
      <c r="D96" s="113" t="s">
        <v>1279</v>
      </c>
      <c r="E96" s="121" t="s">
        <v>1218</v>
      </c>
      <c r="F96" s="122"/>
      <c r="G96" s="113" t="s">
        <v>299</v>
      </c>
      <c r="H96" s="114" t="s">
        <v>1196</v>
      </c>
      <c r="I96" s="116" t="str" cm="1">
        <f t="array" aca="1" ref="I96" ca="1">HYPERLINK(Common_InputFunctions.Utility_SourceHyperlink($D$98),$D$98)</f>
        <v>Table_MMS_j_m-5_T-1</v>
      </c>
    </row>
    <row r="98" spans="3:20" ht="20.100000000000001" customHeight="1" x14ac:dyDescent="0.2">
      <c r="D98" s="118" t="s">
        <v>398</v>
      </c>
    </row>
    <row r="99" spans="3:20" ht="20.100000000000001" customHeight="1" x14ac:dyDescent="0.2">
      <c r="D99" s="119" t="s">
        <v>337</v>
      </c>
    </row>
    <row r="100" spans="3:20" ht="20.100000000000001" customHeight="1" x14ac:dyDescent="0.2">
      <c r="D100" s="78" t="s">
        <v>307</v>
      </c>
      <c r="E100" s="78" t="s">
        <v>289</v>
      </c>
      <c r="F100" s="78" t="s">
        <v>290</v>
      </c>
      <c r="G100" s="78" t="s">
        <v>291</v>
      </c>
    </row>
    <row r="101" spans="3:20" ht="20.100000000000001" customHeight="1" x14ac:dyDescent="0.2">
      <c r="D101" s="15" t="s">
        <v>308</v>
      </c>
      <c r="E101" s="15" cm="1">
        <f t="array" aca="1" ref="E101:G101" ca="1">OFFSET(X_Table_Feedlot_MMS_Stage1, 1,1,1,3)</f>
        <v>1</v>
      </c>
      <c r="F101" s="15">
        <f ca="1"/>
        <v>1</v>
      </c>
      <c r="G101" s="15">
        <f ca="1"/>
        <v>1</v>
      </c>
      <c r="H101" s="16" t="s">
        <v>299</v>
      </c>
      <c r="I101" s="16"/>
      <c r="J101" s="16"/>
      <c r="K101" s="16"/>
    </row>
    <row r="103" spans="3:20" ht="20.100000000000001" customHeight="1" x14ac:dyDescent="0.2">
      <c r="D103" s="118" t="s">
        <v>399</v>
      </c>
      <c r="O103" s="118" t="s">
        <v>400</v>
      </c>
    </row>
    <row r="104" spans="3:20" ht="20.100000000000001" customHeight="1" x14ac:dyDescent="0.2">
      <c r="D104" s="119" t="s">
        <v>401</v>
      </c>
      <c r="O104" s="119" t="s">
        <v>402</v>
      </c>
    </row>
    <row r="105" spans="3:20" ht="20.100000000000001" customHeight="1" x14ac:dyDescent="0.2">
      <c r="D105" s="120" t="s">
        <v>307</v>
      </c>
      <c r="E105" s="120" t="s">
        <v>289</v>
      </c>
      <c r="F105" s="120" t="s">
        <v>290</v>
      </c>
      <c r="G105" s="120" t="s">
        <v>291</v>
      </c>
      <c r="O105" s="120" t="s">
        <v>307</v>
      </c>
      <c r="P105" s="120" t="s">
        <v>289</v>
      </c>
      <c r="Q105" s="120" t="s">
        <v>290</v>
      </c>
      <c r="R105" s="120" t="s">
        <v>291</v>
      </c>
    </row>
    <row r="106" spans="3:20" ht="20.100000000000001" customHeight="1" x14ac:dyDescent="0.2">
      <c r="D106" s="15" t="str">
        <f>INDEX(X_Table_Feedlot_MMS_Stage1,2,1)</f>
        <v>Drylot (feed pad)</v>
      </c>
      <c r="E106" s="15">
        <f ca="1">(D83 * E101)</f>
        <v>16689.254400000005</v>
      </c>
      <c r="F106" s="15">
        <f ca="1">(E83 * F101)</f>
        <v>25343.539200000003</v>
      </c>
      <c r="G106" s="15">
        <f ca="1">(F83 * G101)</f>
        <v>36604.799999999988</v>
      </c>
      <c r="H106" s="16" t="str">
        <f>$E$93</f>
        <v>kg N</v>
      </c>
      <c r="I106" s="16"/>
      <c r="J106" s="16"/>
      <c r="K106" s="16"/>
      <c r="O106" s="15" t="str">
        <f>INDEX(X_Table_Feedlot_MMS_Stage1,2,1)</f>
        <v>Drylot (feed pad)</v>
      </c>
      <c r="P106" s="15">
        <f ca="1">(O83 * E101)</f>
        <v>16689.254400000005</v>
      </c>
      <c r="Q106" s="15">
        <f ca="1">(P83 * F101)</f>
        <v>25343.539200000003</v>
      </c>
      <c r="R106" s="15">
        <f ca="1">(Q83 * G101)</f>
        <v>36604.799999999988</v>
      </c>
      <c r="S106" s="16" t="str">
        <f>$E$93</f>
        <v>kg N</v>
      </c>
    </row>
    <row r="109" spans="3:20" ht="20.100000000000001" customHeight="1" x14ac:dyDescent="0.2">
      <c r="C109" s="83"/>
      <c r="D109" s="83"/>
      <c r="E109" s="83"/>
      <c r="F109" s="83"/>
      <c r="G109" s="83"/>
      <c r="H109" s="83"/>
      <c r="I109" s="83"/>
      <c r="J109" s="83"/>
      <c r="K109" s="83"/>
      <c r="L109" s="83"/>
      <c r="N109" s="83"/>
      <c r="O109" s="83"/>
      <c r="P109" s="83"/>
      <c r="Q109" s="83"/>
      <c r="R109" s="83"/>
      <c r="S109" s="83"/>
      <c r="T109" s="83"/>
    </row>
    <row r="110" spans="3:20" ht="20.100000000000001" customHeight="1" x14ac:dyDescent="0.2">
      <c r="D110" s="2" t="s">
        <v>1281</v>
      </c>
    </row>
    <row r="111" spans="3:20" ht="20.100000000000001" customHeight="1" x14ac:dyDescent="0.2">
      <c r="D111" s="17" t="s">
        <v>1282</v>
      </c>
    </row>
    <row r="112" spans="3:20" ht="20.100000000000001" customHeight="1" x14ac:dyDescent="0.2">
      <c r="D112" s="112"/>
      <c r="E112" s="112"/>
    </row>
    <row r="113" spans="1:18" ht="20.100000000000001" customHeight="1" x14ac:dyDescent="0.2">
      <c r="D113" s="2"/>
    </row>
    <row r="115" spans="1:18" ht="20.100000000000001" customHeight="1" x14ac:dyDescent="0.2">
      <c r="D115" s="75" t="s">
        <v>321</v>
      </c>
      <c r="E115" s="1" t="s">
        <v>1283</v>
      </c>
    </row>
    <row r="116" spans="1:18" ht="20.100000000000001" customHeight="1" x14ac:dyDescent="0.2">
      <c r="D116" s="75" t="s">
        <v>118</v>
      </c>
      <c r="E116" s="9" t="s">
        <v>445</v>
      </c>
    </row>
    <row r="118" spans="1:18" ht="20.100000000000001" customHeight="1" x14ac:dyDescent="0.2">
      <c r="D118" s="113" t="s">
        <v>1274</v>
      </c>
      <c r="E118" s="121" t="s">
        <v>1278</v>
      </c>
      <c r="F118" s="122"/>
      <c r="G118" s="113" t="s">
        <v>445</v>
      </c>
      <c r="H118" s="115" t="s">
        <v>1280</v>
      </c>
      <c r="I118" s="116" t="str" cm="1">
        <f t="array" aca="1" ref="I118" ca="1">HYPERLINK(Common_InputFunctions.Utility_SourceHyperlink($D$80),$D$80)</f>
        <v>M1_Table_AE_j</v>
      </c>
    </row>
    <row r="119" spans="1:18" ht="20.100000000000001" customHeight="1" x14ac:dyDescent="0.2">
      <c r="D119" s="113" t="s">
        <v>1284</v>
      </c>
      <c r="E119" s="121" t="s">
        <v>1245</v>
      </c>
      <c r="F119" s="122"/>
      <c r="G119" s="113" t="s">
        <v>299</v>
      </c>
      <c r="H119" s="114" t="s">
        <v>1196</v>
      </c>
      <c r="I119" s="116" t="str" cm="1">
        <f t="array" aca="1" ref="I119" ca="1">HYPERLINK(Common_InputFunctions.Utility_SourceHyperlink($D$121),$D$121)</f>
        <v>Table_MMS_j_m-1_T-3</v>
      </c>
    </row>
    <row r="121" spans="1:18" ht="20.100000000000001" customHeight="1" x14ac:dyDescent="0.2">
      <c r="D121" s="118" t="s">
        <v>403</v>
      </c>
    </row>
    <row r="122" spans="1:18" ht="20.100000000000001" customHeight="1" x14ac:dyDescent="0.2">
      <c r="D122" s="119" t="s">
        <v>404</v>
      </c>
    </row>
    <row r="123" spans="1:18" ht="20.100000000000001" customHeight="1" x14ac:dyDescent="0.2">
      <c r="D123" s="78" t="s">
        <v>316</v>
      </c>
      <c r="E123" s="78" t="s">
        <v>289</v>
      </c>
      <c r="F123" s="78" t="s">
        <v>290</v>
      </c>
      <c r="G123" s="78" t="s">
        <v>291</v>
      </c>
    </row>
    <row r="124" spans="1:18" ht="20.100000000000001" customHeight="1" x14ac:dyDescent="0.2">
      <c r="D124" s="15" t="str" cm="1">
        <f t="array" aca="1" ref="D124:G124" ca="1">OFFSET(X_Table_Feedlot_MMS_Stage3,2,0,1,4)</f>
        <v>Anaerobic lagoon</v>
      </c>
      <c r="E124" s="15">
        <f ca="1"/>
        <v>0.02</v>
      </c>
      <c r="F124" s="15">
        <f ca="1"/>
        <v>0.02</v>
      </c>
      <c r="G124" s="15">
        <f ca="1"/>
        <v>0.02</v>
      </c>
      <c r="H124" s="16" t="s">
        <v>299</v>
      </c>
      <c r="I124" s="16"/>
      <c r="J124" s="16"/>
      <c r="K124" s="16"/>
    </row>
    <row r="126" spans="1:18" ht="20.100000000000001" customHeight="1" x14ac:dyDescent="0.2">
      <c r="A126" s="79" t="str">
        <f>HYPERLINK("#A1", "▲ Back to top")</f>
        <v>▲ Back to top</v>
      </c>
      <c r="D126" s="118" t="s">
        <v>405</v>
      </c>
      <c r="O126" s="118" t="s">
        <v>406</v>
      </c>
    </row>
    <row r="127" spans="1:18" ht="20.100000000000001" customHeight="1" x14ac:dyDescent="0.2">
      <c r="D127" s="119" t="s">
        <v>407</v>
      </c>
      <c r="O127" s="119" t="s">
        <v>408</v>
      </c>
    </row>
    <row r="128" spans="1:18" ht="20.100000000000001" customHeight="1" x14ac:dyDescent="0.2">
      <c r="D128" s="120" t="s">
        <v>316</v>
      </c>
      <c r="E128" s="120" t="s">
        <v>289</v>
      </c>
      <c r="F128" s="120" t="s">
        <v>290</v>
      </c>
      <c r="G128" s="120" t="s">
        <v>291</v>
      </c>
      <c r="O128" s="120" t="s">
        <v>316</v>
      </c>
      <c r="P128" s="120" t="s">
        <v>289</v>
      </c>
      <c r="Q128" s="120" t="s">
        <v>290</v>
      </c>
      <c r="R128" s="120" t="s">
        <v>291</v>
      </c>
    </row>
    <row r="129" spans="3:20" ht="20.100000000000001" customHeight="1" x14ac:dyDescent="0.2">
      <c r="D129" s="15" t="str">
        <f>INDEX(X_Table_Feedlot_MMS_Stage3,3,1)</f>
        <v>Anaerobic lagoon</v>
      </c>
      <c r="E129" s="15">
        <f ca="1">(D83 * E124)</f>
        <v>333.78508800000009</v>
      </c>
      <c r="F129" s="15">
        <f ca="1">(E83 * F124)</f>
        <v>506.87078400000007</v>
      </c>
      <c r="G129" s="15">
        <f ca="1">(F83 * G124)</f>
        <v>732.09599999999978</v>
      </c>
      <c r="H129" s="16" t="str">
        <f>$E$116</f>
        <v>kg N</v>
      </c>
      <c r="I129" s="16"/>
      <c r="J129" s="16"/>
      <c r="K129" s="16"/>
      <c r="O129" s="15" t="str">
        <f>INDEX(X_Table_Feedlot_MMS_Stage3,3,1)</f>
        <v>Anaerobic lagoon</v>
      </c>
      <c r="P129" s="15">
        <f ca="1">(O83 * E124)</f>
        <v>333.78508800000009</v>
      </c>
      <c r="Q129" s="15">
        <f ca="1">(P83 * F124)</f>
        <v>506.87078400000007</v>
      </c>
      <c r="R129" s="15">
        <f ca="1">(Q83 * G124)</f>
        <v>732.09599999999978</v>
      </c>
      <c r="S129" s="16" t="str">
        <f>$E$116</f>
        <v>kg N</v>
      </c>
    </row>
    <row r="132" spans="3:20" ht="20.100000000000001" customHeight="1" x14ac:dyDescent="0.2">
      <c r="C132" s="83"/>
      <c r="D132" s="83"/>
      <c r="E132" s="83"/>
      <c r="F132" s="83"/>
      <c r="G132" s="83"/>
      <c r="H132" s="83"/>
      <c r="I132" s="83"/>
      <c r="J132" s="83"/>
      <c r="K132" s="83"/>
      <c r="L132" s="83"/>
      <c r="N132" s="83"/>
      <c r="O132" s="83"/>
      <c r="P132" s="83"/>
      <c r="Q132" s="83"/>
      <c r="R132" s="83"/>
      <c r="S132" s="83"/>
      <c r="T132" s="83"/>
    </row>
    <row r="133" spans="3:20" ht="20.100000000000001" customHeight="1" x14ac:dyDescent="0.2">
      <c r="D133" s="2" t="s">
        <v>1285</v>
      </c>
    </row>
    <row r="134" spans="3:20" ht="20.100000000000001" customHeight="1" x14ac:dyDescent="0.2">
      <c r="D134" s="17" t="s">
        <v>1286</v>
      </c>
    </row>
    <row r="135" spans="3:20" ht="20.100000000000001" customHeight="1" x14ac:dyDescent="0.2">
      <c r="D135" s="112"/>
      <c r="E135" s="112"/>
    </row>
    <row r="137" spans="3:20" ht="20.100000000000001" customHeight="1" x14ac:dyDescent="0.2">
      <c r="D137" s="2"/>
    </row>
    <row r="138" spans="3:20" ht="20.100000000000001" customHeight="1" x14ac:dyDescent="0.2">
      <c r="D138" s="75" t="s">
        <v>321</v>
      </c>
      <c r="E138" s="1" t="s">
        <v>1287</v>
      </c>
    </row>
    <row r="139" spans="3:20" ht="20.100000000000001" customHeight="1" x14ac:dyDescent="0.2">
      <c r="D139" s="75" t="s">
        <v>118</v>
      </c>
      <c r="E139" s="9" t="s">
        <v>445</v>
      </c>
    </row>
    <row r="141" spans="3:20" ht="20.100000000000001" customHeight="1" x14ac:dyDescent="0.2">
      <c r="D141" s="113" t="s">
        <v>1277</v>
      </c>
      <c r="E141" s="121" t="s">
        <v>1288</v>
      </c>
      <c r="F141" s="122"/>
      <c r="G141" s="113" t="s">
        <v>445</v>
      </c>
      <c r="H141" s="115" t="s">
        <v>1295</v>
      </c>
      <c r="I141" s="116" t="str" cm="1">
        <f t="array" aca="1" ref="I141" ca="1">HYPERLINK(Common_InputFunctions.Utility_SourceHyperlink($D$103),$D$103)</f>
        <v>M1_Table_MN_j_m-5_T-1</v>
      </c>
    </row>
    <row r="142" spans="3:20" ht="20.100000000000001" customHeight="1" x14ac:dyDescent="0.2">
      <c r="D142" s="113" t="s">
        <v>1289</v>
      </c>
      <c r="E142" s="121" t="s">
        <v>1290</v>
      </c>
      <c r="F142" s="122"/>
      <c r="G142" s="113" t="s">
        <v>299</v>
      </c>
      <c r="H142" s="115" t="s">
        <v>1227</v>
      </c>
      <c r="I142" s="113">
        <f>'Constants - Feedlot'!$F$113</f>
        <v>0.6</v>
      </c>
    </row>
    <row r="143" spans="3:20" ht="20.100000000000001" customHeight="1" x14ac:dyDescent="0.2">
      <c r="D143" s="113" t="s">
        <v>1291</v>
      </c>
      <c r="E143" s="121" t="s">
        <v>1292</v>
      </c>
      <c r="F143" s="122"/>
      <c r="G143" s="113" t="s">
        <v>1296</v>
      </c>
      <c r="H143" s="115" t="s">
        <v>1227</v>
      </c>
      <c r="I143" s="113">
        <f>'Constants - Feedlot'!$F$101</f>
        <v>5.4000000000000003E-3</v>
      </c>
    </row>
    <row r="144" spans="3:20" ht="20.100000000000001" customHeight="1" x14ac:dyDescent="0.2">
      <c r="D144" s="113" t="s">
        <v>1293</v>
      </c>
      <c r="E144" s="121" t="s">
        <v>1294</v>
      </c>
      <c r="F144" s="122"/>
      <c r="G144" s="113" t="s">
        <v>445</v>
      </c>
      <c r="H144" s="115" t="s">
        <v>1297</v>
      </c>
      <c r="I144" s="116" t="str" cm="1">
        <f t="array" aca="1" ref="I144" ca="1">HYPERLINK(Common_InputFunctions.Utility_SourceHyperlink($D$126),$D$126)</f>
        <v>M1_Table_MN_j_m-1_T-3</v>
      </c>
    </row>
    <row r="146" spans="1:20" ht="20.100000000000001" customHeight="1" x14ac:dyDescent="0.2">
      <c r="D146" s="118" t="s">
        <v>409</v>
      </c>
      <c r="O146" s="118" t="s">
        <v>410</v>
      </c>
    </row>
    <row r="147" spans="1:20" ht="20.100000000000001" customHeight="1" x14ac:dyDescent="0.2">
      <c r="D147" s="119" t="s">
        <v>411</v>
      </c>
      <c r="O147" s="119" t="s">
        <v>412</v>
      </c>
    </row>
    <row r="148" spans="1:20" ht="20.100000000000001" customHeight="1" x14ac:dyDescent="0.2">
      <c r="D148" s="120" t="s">
        <v>289</v>
      </c>
      <c r="E148" s="120" t="s">
        <v>290</v>
      </c>
      <c r="F148" s="120" t="s">
        <v>291</v>
      </c>
      <c r="O148" s="120" t="s">
        <v>289</v>
      </c>
      <c r="P148" s="120" t="s">
        <v>290</v>
      </c>
      <c r="Q148" s="120" t="s">
        <v>291</v>
      </c>
    </row>
    <row r="149" spans="1:20" ht="20.100000000000001" customHeight="1" x14ac:dyDescent="0.2">
      <c r="D149" s="15">
        <f ca="1">((E106 * (1 - $I$142 - $I$143)) - E129)</f>
        <v>6251.7946982400026</v>
      </c>
      <c r="E149" s="15">
        <f ca="1">((F106 * (1 - $I$142 - $I$143)) - F129)</f>
        <v>9493.6897843200004</v>
      </c>
      <c r="F149" s="15">
        <f ca="1">((G106 * (1 - $I$142 - $I$143)) - G129)</f>
        <v>13712.158079999996</v>
      </c>
      <c r="G149" s="16" t="str">
        <f>$E$116</f>
        <v>kg N</v>
      </c>
      <c r="O149" s="15">
        <f ca="1">((P106 * (1 - $I$142 - $I$143)) - P129)</f>
        <v>6251.7946982400026</v>
      </c>
      <c r="P149" s="15">
        <f ca="1">((Q106 * (1 - $I$142 - $I$143)) - Q129)</f>
        <v>9493.6897843200004</v>
      </c>
      <c r="Q149" s="15">
        <f ca="1">((R106 * (1 - $I$142 - $I$143)) - R129)</f>
        <v>13712.158079999996</v>
      </c>
      <c r="R149" s="16" t="str">
        <f>$E$116</f>
        <v>kg N</v>
      </c>
    </row>
    <row r="152" spans="1:20" ht="20.100000000000001" customHeight="1" x14ac:dyDescent="0.2">
      <c r="C152" s="83"/>
      <c r="D152" s="83"/>
      <c r="E152" s="83"/>
      <c r="F152" s="83"/>
      <c r="G152" s="83"/>
      <c r="H152" s="83"/>
      <c r="I152" s="83"/>
      <c r="J152" s="83"/>
      <c r="K152" s="83"/>
      <c r="L152" s="83"/>
      <c r="N152" s="83"/>
      <c r="O152" s="83"/>
      <c r="P152" s="83"/>
      <c r="Q152" s="83"/>
      <c r="R152" s="83"/>
      <c r="S152" s="83"/>
      <c r="T152" s="83"/>
    </row>
    <row r="153" spans="1:20" ht="20.100000000000001" customHeight="1" x14ac:dyDescent="0.2">
      <c r="D153" s="2" t="s">
        <v>1298</v>
      </c>
    </row>
    <row r="154" spans="1:20" ht="20.100000000000001" customHeight="1" x14ac:dyDescent="0.2">
      <c r="D154" s="17" t="s">
        <v>1299</v>
      </c>
    </row>
    <row r="155" spans="1:20" ht="20.100000000000001" customHeight="1" x14ac:dyDescent="0.2">
      <c r="D155" s="112"/>
      <c r="E155" s="112"/>
    </row>
    <row r="156" spans="1:20" ht="20.100000000000001" customHeight="1" x14ac:dyDescent="0.2">
      <c r="A156" s="79" t="str">
        <f>HYPERLINK("#A1", "▲ Back to top")</f>
        <v>▲ Back to top</v>
      </c>
    </row>
    <row r="157" spans="1:20" ht="20.100000000000001" customHeight="1" x14ac:dyDescent="0.2">
      <c r="D157" s="2"/>
    </row>
    <row r="158" spans="1:20" ht="20.100000000000001" customHeight="1" x14ac:dyDescent="0.2">
      <c r="D158" s="75" t="s">
        <v>321</v>
      </c>
      <c r="E158" s="1" t="s">
        <v>1300</v>
      </c>
    </row>
    <row r="159" spans="1:20" ht="20.100000000000001" customHeight="1" x14ac:dyDescent="0.2">
      <c r="D159" s="75" t="s">
        <v>118</v>
      </c>
      <c r="E159" s="9" t="s">
        <v>445</v>
      </c>
    </row>
    <row r="161" spans="4:19" ht="20.100000000000001" customHeight="1" x14ac:dyDescent="0.2">
      <c r="D161" s="113" t="s">
        <v>1287</v>
      </c>
      <c r="E161" s="121" t="s">
        <v>1301</v>
      </c>
      <c r="F161" s="122"/>
      <c r="G161" s="113" t="s">
        <v>445</v>
      </c>
      <c r="H161" s="115" t="s">
        <v>1303</v>
      </c>
      <c r="I161" s="116" t="str" cm="1">
        <f t="array" aca="1" ref="I161" ca="1">HYPERLINK(Common_InputFunctions.Utility_SourceHyperlink($D$146),$D$146)</f>
        <v>M1_Table_NT_j_m-_T-2</v>
      </c>
    </row>
    <row r="162" spans="4:19" ht="20.100000000000001" customHeight="1" x14ac:dyDescent="0.2">
      <c r="D162" s="113" t="s">
        <v>1302</v>
      </c>
      <c r="E162" s="121" t="s">
        <v>1235</v>
      </c>
      <c r="F162" s="122"/>
      <c r="G162" s="113" t="s">
        <v>299</v>
      </c>
      <c r="H162" s="114" t="s">
        <v>1196</v>
      </c>
      <c r="I162" s="116" t="str" cm="1">
        <f t="array" aca="1" ref="I162" ca="1">HYPERLINK(Common_InputFunctions.Utility_SourceHyperlink($D$164),$D$164)</f>
        <v>Table_MMS_j_m_T-2</v>
      </c>
    </row>
    <row r="163" spans="4:19" ht="20.100000000000001" customHeight="1" x14ac:dyDescent="0.2">
      <c r="L163" s="16"/>
    </row>
    <row r="164" spans="4:19" ht="20.100000000000001" customHeight="1" x14ac:dyDescent="0.2">
      <c r="D164" s="118" t="s">
        <v>413</v>
      </c>
      <c r="L164" s="16"/>
    </row>
    <row r="165" spans="4:19" ht="20.100000000000001" customHeight="1" x14ac:dyDescent="0.2">
      <c r="D165" s="119" t="s">
        <v>343</v>
      </c>
    </row>
    <row r="166" spans="4:19" ht="20.100000000000001" customHeight="1" x14ac:dyDescent="0.2">
      <c r="D166" s="78" t="s">
        <v>310</v>
      </c>
      <c r="E166" s="78" t="s">
        <v>289</v>
      </c>
      <c r="F166" s="78" t="s">
        <v>290</v>
      </c>
      <c r="G166" s="78" t="s">
        <v>291</v>
      </c>
    </row>
    <row r="167" spans="4:19" ht="20.100000000000001" customHeight="1" x14ac:dyDescent="0.2">
      <c r="D167" s="15" t="str" cm="1">
        <f t="array" aca="1" ref="D167:G169" ca="1">OFFSET(X_Table_Feedlot_MMS_Stage2,2, 0, 3, 4)</f>
        <v>Solid storage</v>
      </c>
      <c r="E167" s="15">
        <f ca="1"/>
        <v>0.2</v>
      </c>
      <c r="F167" s="15">
        <f ca="1"/>
        <v>0.2</v>
      </c>
      <c r="G167" s="15">
        <f ca="1"/>
        <v>0.2</v>
      </c>
      <c r="H167" s="16" t="s">
        <v>299</v>
      </c>
      <c r="I167" s="16"/>
      <c r="J167" s="16"/>
      <c r="K167" s="16"/>
    </row>
    <row r="168" spans="4:19" ht="20.100000000000001" customHeight="1" x14ac:dyDescent="0.2">
      <c r="D168" s="15" t="str">
        <f ca="1"/>
        <v>Composting (passive windrow)</v>
      </c>
      <c r="E168" s="15">
        <f ca="1"/>
        <v>0.2</v>
      </c>
      <c r="F168" s="15">
        <f ca="1"/>
        <v>0.2</v>
      </c>
      <c r="G168" s="15">
        <f ca="1"/>
        <v>0.2</v>
      </c>
      <c r="H168" s="16" t="s">
        <v>299</v>
      </c>
      <c r="I168" s="16"/>
      <c r="J168" s="16"/>
      <c r="K168" s="16"/>
    </row>
    <row r="169" spans="4:19" ht="20.100000000000001" customHeight="1" x14ac:dyDescent="0.2">
      <c r="D169" s="15" t="str">
        <f ca="1"/>
        <v>Direct application</v>
      </c>
      <c r="E169" s="15">
        <f ca="1"/>
        <v>0.6</v>
      </c>
      <c r="F169" s="15">
        <f ca="1"/>
        <v>0.6</v>
      </c>
      <c r="G169" s="15">
        <f ca="1"/>
        <v>0.6</v>
      </c>
    </row>
    <row r="171" spans="4:19" ht="20.100000000000001" customHeight="1" x14ac:dyDescent="0.2">
      <c r="D171" s="118" t="s">
        <v>414</v>
      </c>
      <c r="O171" s="118" t="s">
        <v>414</v>
      </c>
    </row>
    <row r="172" spans="4:19" ht="20.100000000000001" customHeight="1" x14ac:dyDescent="0.2">
      <c r="D172" s="119" t="s">
        <v>415</v>
      </c>
      <c r="O172" s="119" t="s">
        <v>416</v>
      </c>
    </row>
    <row r="173" spans="4:19" ht="20.100000000000001" customHeight="1" x14ac:dyDescent="0.2">
      <c r="D173" s="120" t="s">
        <v>310</v>
      </c>
      <c r="E173" s="120" t="s">
        <v>289</v>
      </c>
      <c r="F173" s="120" t="s">
        <v>290</v>
      </c>
      <c r="G173" s="120" t="s">
        <v>291</v>
      </c>
      <c r="O173" s="120" t="s">
        <v>310</v>
      </c>
      <c r="P173" s="120" t="s">
        <v>289</v>
      </c>
      <c r="Q173" s="120" t="s">
        <v>290</v>
      </c>
      <c r="R173" s="120" t="s">
        <v>291</v>
      </c>
    </row>
    <row r="174" spans="4:19" ht="20.100000000000001" customHeight="1" x14ac:dyDescent="0.2">
      <c r="D174" s="15" t="str">
        <f>INDEX(X_Table_Feedlot_MMS_Stage2,3,1)</f>
        <v>Solid storage</v>
      </c>
      <c r="E174" s="15">
        <f ca="1">(D$149 * E167)</f>
        <v>1250.3589396480006</v>
      </c>
      <c r="F174" s="15">
        <f ca="1">(E$149 * F167)</f>
        <v>1898.7379568640001</v>
      </c>
      <c r="G174" s="15">
        <f ca="1">(F$149 * G167)</f>
        <v>2742.4316159999994</v>
      </c>
      <c r="H174" s="16" t="str">
        <f>$E$159</f>
        <v>kg N</v>
      </c>
      <c r="I174" s="16"/>
      <c r="J174" s="16"/>
      <c r="K174" s="16"/>
      <c r="O174" s="15" t="str">
        <f>INDEX(X_Table_Feedlot_MMS_Stage2,3,1)</f>
        <v>Solid storage</v>
      </c>
      <c r="P174" s="15">
        <f ca="1">(O$149 * E167)</f>
        <v>1250.3589396480006</v>
      </c>
      <c r="Q174" s="15">
        <f ca="1">(P$149 * F167)</f>
        <v>1898.7379568640001</v>
      </c>
      <c r="R174" s="15">
        <f ca="1">(Q$149 * G167)</f>
        <v>2742.4316159999994</v>
      </c>
      <c r="S174" s="16" t="str">
        <f>$E$159</f>
        <v>kg N</v>
      </c>
    </row>
    <row r="175" spans="4:19" ht="20.100000000000001" customHeight="1" x14ac:dyDescent="0.2">
      <c r="D175" s="15" t="str">
        <f>INDEX(X_Table_Feedlot_MMS_Stage2,4,1)</f>
        <v>Composting (passive windrow)</v>
      </c>
      <c r="E175" s="15">
        <f ca="1">(D$149 * E168)</f>
        <v>1250.3589396480006</v>
      </c>
      <c r="F175" s="15">
        <f ca="1">(E$149 * F168)</f>
        <v>1898.7379568640001</v>
      </c>
      <c r="G175" s="15">
        <f ca="1">(F$149 * G168)</f>
        <v>2742.4316159999994</v>
      </c>
      <c r="H175" s="16" t="str">
        <f>$E$159</f>
        <v>kg N</v>
      </c>
      <c r="I175" s="16"/>
      <c r="J175" s="16"/>
      <c r="K175" s="16"/>
      <c r="O175" s="15" t="str">
        <f>INDEX(X_Table_Feedlot_MMS_Stage2,4,1)</f>
        <v>Composting (passive windrow)</v>
      </c>
      <c r="P175" s="15">
        <f ca="1">(O$149 * E168)</f>
        <v>1250.3589396480006</v>
      </c>
      <c r="Q175" s="15">
        <f ca="1">(P$149 * F168)</f>
        <v>1898.7379568640001</v>
      </c>
      <c r="R175" s="15">
        <f ca="1">(Q$149 * G168)</f>
        <v>2742.4316159999994</v>
      </c>
      <c r="S175" s="16" t="str">
        <f>$E$159</f>
        <v>kg N</v>
      </c>
    </row>
    <row r="176" spans="4:19" ht="20.100000000000001" customHeight="1" x14ac:dyDescent="0.2">
      <c r="D176" s="15" t="str">
        <f>INDEX(X_Table_Feedlot_MMS_Stage2,5,1)</f>
        <v>Direct application</v>
      </c>
      <c r="E176" s="15">
        <f ca="1">(D$149 * E169)</f>
        <v>3751.0768189440014</v>
      </c>
      <c r="F176" s="15">
        <f ca="1">(E$149 * F169)</f>
        <v>5696.2138705919997</v>
      </c>
      <c r="G176" s="15">
        <f ca="1">(F$149 * G169)</f>
        <v>8227.2948479999977</v>
      </c>
      <c r="H176" s="16" t="str">
        <f>$E$159</f>
        <v>kg N</v>
      </c>
      <c r="I176" s="16"/>
      <c r="J176" s="16"/>
      <c r="K176" s="16"/>
      <c r="O176" s="15" t="str">
        <f>INDEX(X_Table_Feedlot_MMS_Stage2,5,1)</f>
        <v>Direct application</v>
      </c>
      <c r="P176" s="15">
        <f ca="1">(O$149 * E169)</f>
        <v>3751.0768189440014</v>
      </c>
      <c r="Q176" s="15">
        <f ca="1">(P$149 * F169)</f>
        <v>5696.2138705919997</v>
      </c>
      <c r="R176" s="15">
        <f ca="1">(Q$149 * G169)</f>
        <v>8227.2948479999977</v>
      </c>
      <c r="S176" s="16" t="str">
        <f>$E$159</f>
        <v>kg N</v>
      </c>
    </row>
    <row r="178" spans="1:20" ht="20.100000000000001" customHeight="1" x14ac:dyDescent="0.2">
      <c r="C178" s="83"/>
      <c r="D178" s="83"/>
      <c r="E178" s="83"/>
      <c r="F178" s="83"/>
      <c r="G178" s="83"/>
      <c r="H178" s="83"/>
      <c r="I178" s="83"/>
      <c r="J178" s="83"/>
      <c r="K178" s="83"/>
      <c r="L178" s="83"/>
      <c r="N178" s="83"/>
      <c r="O178" s="83"/>
      <c r="P178" s="83"/>
      <c r="Q178" s="83"/>
      <c r="R178" s="83"/>
      <c r="S178" s="83"/>
      <c r="T178" s="83"/>
    </row>
    <row r="179" spans="1:20" ht="20.100000000000001" customHeight="1" x14ac:dyDescent="0.2">
      <c r="D179" s="2" t="s">
        <v>1304</v>
      </c>
    </row>
    <row r="180" spans="1:20" ht="20.100000000000001" customHeight="1" x14ac:dyDescent="0.2">
      <c r="D180" s="17" t="s">
        <v>1305</v>
      </c>
    </row>
    <row r="181" spans="1:20" ht="20.100000000000001" customHeight="1" x14ac:dyDescent="0.2">
      <c r="D181" s="112"/>
      <c r="E181" s="112"/>
    </row>
    <row r="183" spans="1:20" ht="20.100000000000001" customHeight="1" x14ac:dyDescent="0.2">
      <c r="D183" s="2"/>
    </row>
    <row r="185" spans="1:20" ht="20.100000000000001" customHeight="1" x14ac:dyDescent="0.2">
      <c r="D185" s="75" t="s">
        <v>321</v>
      </c>
      <c r="E185" s="1" t="s">
        <v>1306</v>
      </c>
    </row>
    <row r="186" spans="1:20" ht="20.100000000000001" customHeight="1" x14ac:dyDescent="0.2">
      <c r="A186" s="79" t="str">
        <f>HYPERLINK("#A1", "▲ Back to top")</f>
        <v>▲ Back to top</v>
      </c>
      <c r="D186" s="75" t="s">
        <v>118</v>
      </c>
      <c r="E186" s="9" t="s">
        <v>12</v>
      </c>
    </row>
    <row r="188" spans="1:20" ht="20.100000000000001" customHeight="1" x14ac:dyDescent="0.2">
      <c r="D188" s="113" t="s">
        <v>1307</v>
      </c>
      <c r="E188" s="121" t="s">
        <v>1308</v>
      </c>
      <c r="F188" s="122"/>
      <c r="G188" s="113" t="s">
        <v>445</v>
      </c>
      <c r="H188" s="115" t="s">
        <v>1313</v>
      </c>
      <c r="I188" s="116" t="str" cm="1">
        <f t="array" aca="1" ref="I188" ca="1">HYPERLINK(Common_InputFunctions.Utility_SourceHyperlink($D$103),$D$103)</f>
        <v>M1_Table_MN_j_m-5_T-1</v>
      </c>
      <c r="J188" s="116" t="str" cm="1">
        <f t="array" aca="1" ref="J188" ca="1">HYPERLINK(Common_InputFunctions.Utility_SourceHyperlink($D$171),$D$171)</f>
        <v>M1_Table_MN_j_m_T-2</v>
      </c>
      <c r="K188" s="116" t="str" cm="1">
        <f t="array" aca="1" ref="K188" ca="1">HYPERLINK(Common_InputFunctions.Utility_SourceHyperlink($D$126),$D$126)</f>
        <v>M1_Table_MN_j_m-1_T-3</v>
      </c>
    </row>
    <row r="189" spans="1:20" ht="20.100000000000001" customHeight="1" x14ac:dyDescent="0.2">
      <c r="D189" s="113" t="s">
        <v>1309</v>
      </c>
      <c r="E189" s="121" t="s">
        <v>1310</v>
      </c>
      <c r="F189" s="122"/>
      <c r="G189" s="113" t="s">
        <v>1314</v>
      </c>
      <c r="H189" s="115" t="s">
        <v>1227</v>
      </c>
      <c r="I189" s="116" t="str" cm="1">
        <f t="array" aca="1" ref="I189" ca="1">HYPERLINK(Common_InputFunctions.Utility_SourceHyperlink($D$192),$D$192)</f>
        <v>Table_EF_j_m</v>
      </c>
      <c r="J189" s="113"/>
      <c r="K189" s="113"/>
    </row>
    <row r="190" spans="1:20" ht="20.100000000000001" customHeight="1" x14ac:dyDescent="0.2">
      <c r="D190" s="113" t="s">
        <v>1311</v>
      </c>
      <c r="E190" s="121" t="s">
        <v>1312</v>
      </c>
      <c r="F190" s="122"/>
      <c r="G190" s="113" t="s">
        <v>1264</v>
      </c>
      <c r="H190" s="115" t="s">
        <v>1227</v>
      </c>
      <c r="I190" s="113">
        <f>Common_InputFunctions.Utility_LookupValueInTableNumber("N2O",Table_GasToMolecularConversionFactor[Gas],Table_GasToMolecularConversionFactor[Conversion factor combined])</f>
        <v>1.5714285714285714</v>
      </c>
      <c r="J190" s="113"/>
      <c r="K190" s="113"/>
    </row>
    <row r="192" spans="1:20" ht="20.100000000000001" customHeight="1" x14ac:dyDescent="0.2">
      <c r="D192" s="118" t="s">
        <v>417</v>
      </c>
    </row>
    <row r="193" spans="4:19" ht="20.100000000000001" customHeight="1" x14ac:dyDescent="0.2">
      <c r="D193" s="119" t="s">
        <v>418</v>
      </c>
    </row>
    <row r="194" spans="4:19" ht="20.100000000000001" customHeight="1" x14ac:dyDescent="0.2">
      <c r="D194" s="128" t="s">
        <v>367</v>
      </c>
      <c r="E194" s="128" t="s">
        <v>419</v>
      </c>
    </row>
    <row r="195" spans="4:19" ht="20.100000000000001" customHeight="1" x14ac:dyDescent="0.2">
      <c r="D195" s="15" t="str">
        <f>INDEX(X_Table_Feedlot_MMS_Stage1,2,1)</f>
        <v>Drylot (feed pad)</v>
      </c>
      <c r="E195" s="15">
        <f>_xlfn.XLOOKUP($D$195, Table_SourceData_Feedlot_NO2EFs[NIR definition], Table_SourceData_Feedlot_NO2EFs[EF mT])</f>
        <v>5.4000000000000003E-3</v>
      </c>
    </row>
    <row r="196" spans="4:19" ht="20.100000000000001" customHeight="1" x14ac:dyDescent="0.2">
      <c r="D196" s="15" t="str">
        <f>INDEX(X_Table_Feedlot_MMS_Stage2,3,1)</f>
        <v>Solid storage</v>
      </c>
      <c r="E196" s="15">
        <f>_xlfn.XLOOKUP($D$196, Table_SourceData_Feedlot_NO2EFs[NIR definition], Table_SourceData_Feedlot_NO2EFs[EF mT])</f>
        <v>5.0000000000000001E-3</v>
      </c>
    </row>
    <row r="197" spans="4:19" ht="20.100000000000001" customHeight="1" x14ac:dyDescent="0.2">
      <c r="D197" s="15" t="str">
        <f>INDEX(X_Table_Feedlot_MMS_Stage2,4,1)</f>
        <v>Composting (passive windrow)</v>
      </c>
      <c r="E197" s="15">
        <f>_xlfn.XLOOKUP($D$197, Table_SourceData_Feedlot_NO2EFs[NIR definition], Table_SourceData_Feedlot_NO2EFs[EF mT])</f>
        <v>0.01</v>
      </c>
    </row>
    <row r="198" spans="4:19" ht="20.100000000000001" customHeight="1" x14ac:dyDescent="0.2">
      <c r="D198" s="15" t="str">
        <f>INDEX(X_Table_Feedlot_MMS_Stage3,3,1)</f>
        <v>Anaerobic lagoon</v>
      </c>
      <c r="E198" s="15">
        <f>_xlfn.XLOOKUP($D$198, Table_SourceData_Feedlot_NO2EFs[NIR definition], Table_SourceData_Feedlot_NO2EFs[EF mT])</f>
        <v>0</v>
      </c>
    </row>
    <row r="200" spans="4:19" ht="20.100000000000001" customHeight="1" x14ac:dyDescent="0.2">
      <c r="D200" s="129" t="s">
        <v>420</v>
      </c>
      <c r="E200" s="43"/>
      <c r="F200" s="43"/>
      <c r="G200" s="44"/>
    </row>
    <row r="201" spans="4:19" ht="20.100000000000001" customHeight="1" x14ac:dyDescent="0.2">
      <c r="D201" s="45" t="s">
        <v>421</v>
      </c>
      <c r="E201" s="46"/>
      <c r="F201" s="46"/>
      <c r="G201" s="47"/>
    </row>
    <row r="203" spans="4:19" ht="20.100000000000001" customHeight="1" x14ac:dyDescent="0.2">
      <c r="D203" s="118" t="s">
        <v>422</v>
      </c>
      <c r="O203" s="118" t="s">
        <v>423</v>
      </c>
    </row>
    <row r="204" spans="4:19" ht="20.100000000000001" customHeight="1" x14ac:dyDescent="0.2">
      <c r="D204" s="119" t="s">
        <v>424</v>
      </c>
      <c r="O204" s="119" t="s">
        <v>425</v>
      </c>
    </row>
    <row r="205" spans="4:19" ht="20.100000000000001" customHeight="1" x14ac:dyDescent="0.2">
      <c r="D205" s="128" t="s">
        <v>367</v>
      </c>
      <c r="E205" s="120" t="s">
        <v>289</v>
      </c>
      <c r="F205" s="120" t="s">
        <v>290</v>
      </c>
      <c r="G205" s="120" t="s">
        <v>291</v>
      </c>
      <c r="O205" s="128" t="s">
        <v>367</v>
      </c>
      <c r="P205" s="120" t="s">
        <v>289</v>
      </c>
      <c r="Q205" s="120" t="s">
        <v>290</v>
      </c>
      <c r="R205" s="120" t="s">
        <v>291</v>
      </c>
    </row>
    <row r="206" spans="4:19" ht="20.100000000000001" customHeight="1" x14ac:dyDescent="0.2">
      <c r="D206" s="15" t="str">
        <f>INDEX(X_Table_Feedlot_MMS_Stage1,2,1)</f>
        <v>Drylot (feed pad)</v>
      </c>
      <c r="E206" s="15">
        <f ca="1">(SUMPRODUCT(E$106, $E195, $I$190) * 10 ^ -3)</f>
        <v>0.14162024448000005</v>
      </c>
      <c r="F206" s="15">
        <f ca="1">(SUMPRODUCT(F$106, $E195, $I$190) * 10 ^ -3)</f>
        <v>0.21505803264000004</v>
      </c>
      <c r="G206" s="15">
        <f ca="1">(SUMPRODUCT(G$106, $E195, $I$190) * 10 ^ -3)</f>
        <v>0.31061787428571419</v>
      </c>
      <c r="H206" s="16" t="str">
        <f>$E$186</f>
        <v>t N2O</v>
      </c>
      <c r="I206" s="16"/>
      <c r="J206" s="16"/>
      <c r="K206" s="16"/>
      <c r="O206" s="15" t="str">
        <f>INDEX(X_Table_Feedlot_MMS_Stage1,2,1)</f>
        <v>Drylot (feed pad)</v>
      </c>
      <c r="P206" s="15">
        <f ca="1">(SUMPRODUCT(P$106, $E195, $I$190) * 10 ^ -3)</f>
        <v>0.14162024448000005</v>
      </c>
      <c r="Q206" s="15">
        <f ca="1">(SUMPRODUCT(Q$106, $E195, $I$190) * 10 ^ -3)</f>
        <v>0.21505803264000004</v>
      </c>
      <c r="R206" s="15">
        <f ca="1">(SUMPRODUCT(R$106, $E195, $I$190) * 10 ^ -3)</f>
        <v>0.31061787428571419</v>
      </c>
      <c r="S206" s="16" t="str">
        <f>$E$186</f>
        <v>t N2O</v>
      </c>
    </row>
    <row r="207" spans="4:19" ht="20.100000000000001" customHeight="1" x14ac:dyDescent="0.2">
      <c r="D207" s="15" t="str">
        <f>INDEX(X_Table_Feedlot_MMS_Stage2,3,1)</f>
        <v>Solid storage</v>
      </c>
      <c r="E207" s="15">
        <f ca="1">(SUMPRODUCT(E$174, $E196, $I$190) * 10 ^ -3)</f>
        <v>9.8242488115200047E-3</v>
      </c>
      <c r="F207" s="15">
        <f ca="1">(SUMPRODUCT(F$174, $E196, $I$190) * 10 ^ -3)</f>
        <v>1.4918655375360001E-2</v>
      </c>
      <c r="G207" s="15">
        <f ca="1">(SUMPRODUCT(G$174, $E196, $I$190) * 10 ^ -3)</f>
        <v>2.1547676982857138E-2</v>
      </c>
      <c r="H207" s="16" t="str">
        <f>$E$186</f>
        <v>t N2O</v>
      </c>
      <c r="I207" s="16"/>
      <c r="J207" s="16"/>
      <c r="K207" s="16"/>
      <c r="O207" s="15" t="str">
        <f>INDEX(X_Table_Feedlot_MMS_Stage2,3,1)</f>
        <v>Solid storage</v>
      </c>
      <c r="P207" s="15">
        <f ca="1">(SUMPRODUCT(P$174, $E196, $I$190) * 10 ^ -3)</f>
        <v>9.8242488115200047E-3</v>
      </c>
      <c r="Q207" s="15">
        <f ca="1">(SUMPRODUCT(Q$174, $E196, $I$190) * 10 ^ -3)</f>
        <v>1.4918655375360001E-2</v>
      </c>
      <c r="R207" s="15">
        <f ca="1">(SUMPRODUCT(R$174, $E196, $I$190) * 10 ^ -3)</f>
        <v>2.1547676982857138E-2</v>
      </c>
      <c r="S207" s="16" t="str">
        <f>$E$186</f>
        <v>t N2O</v>
      </c>
    </row>
    <row r="208" spans="4:19" ht="20.100000000000001" customHeight="1" x14ac:dyDescent="0.2">
      <c r="D208" s="15" t="str">
        <f>INDEX(X_Table_Feedlot_MMS_Stage2,4,1)</f>
        <v>Composting (passive windrow)</v>
      </c>
      <c r="E208" s="15">
        <f ca="1">(SUMPRODUCT(E$175, $E197, $I$190) * 10 ^ -3)</f>
        <v>1.9648497623040009E-2</v>
      </c>
      <c r="F208" s="15">
        <f ca="1">(SUMPRODUCT(F$175, $E197, $I$190) * 10 ^ -3)</f>
        <v>2.9837310750720002E-2</v>
      </c>
      <c r="G208" s="15">
        <f ca="1">(SUMPRODUCT(G$175, $E197, $I$190) * 10 ^ -3)</f>
        <v>4.3095353965714275E-2</v>
      </c>
      <c r="H208" s="16" t="str">
        <f>$E$186</f>
        <v>t N2O</v>
      </c>
      <c r="I208" s="16"/>
      <c r="J208" s="16"/>
      <c r="K208" s="16"/>
      <c r="O208" s="15" t="str">
        <f>INDEX(X_Table_Feedlot_MMS_Stage2,4,1)</f>
        <v>Composting (passive windrow)</v>
      </c>
      <c r="P208" s="15">
        <f ca="1">(SUMPRODUCT(P$175, $E197, $I$190) * 10 ^ -3)</f>
        <v>1.9648497623040009E-2</v>
      </c>
      <c r="Q208" s="15">
        <f ca="1">(SUMPRODUCT(Q$175, $E197, $I$190) * 10 ^ -3)</f>
        <v>2.9837310750720002E-2</v>
      </c>
      <c r="R208" s="15">
        <f ca="1">(SUMPRODUCT(R$175, $E197, $I$190) * 10 ^ -3)</f>
        <v>4.3095353965714275E-2</v>
      </c>
      <c r="S208" s="16" t="str">
        <f>$E$186</f>
        <v>t N2O</v>
      </c>
    </row>
    <row r="209" spans="1:19" ht="20.100000000000001" customHeight="1" x14ac:dyDescent="0.2">
      <c r="D209" s="15" t="str">
        <f>INDEX(X_Table_Feedlot_MMS_Stage2,5,1)</f>
        <v>Direct application</v>
      </c>
      <c r="E209" s="15" t="s">
        <v>124</v>
      </c>
      <c r="F209" s="15" t="s">
        <v>124</v>
      </c>
      <c r="G209" s="15" t="s">
        <v>124</v>
      </c>
      <c r="H209" s="16" t="str">
        <f>$E$186</f>
        <v>t N2O</v>
      </c>
      <c r="I209" s="16"/>
      <c r="J209" s="16"/>
      <c r="K209" s="16"/>
      <c r="O209" s="15" t="str">
        <f>INDEX(X_Table_Feedlot_MMS_Stage2,5,1)</f>
        <v>Direct application</v>
      </c>
      <c r="P209" s="15" t="s">
        <v>124</v>
      </c>
      <c r="Q209" s="15" t="s">
        <v>124</v>
      </c>
      <c r="R209" s="15" t="s">
        <v>124</v>
      </c>
      <c r="S209" s="16" t="str">
        <f>$E$186</f>
        <v>t N2O</v>
      </c>
    </row>
    <row r="210" spans="1:19" ht="20.100000000000001" customHeight="1" x14ac:dyDescent="0.2">
      <c r="D210" s="15" t="str">
        <f>INDEX(X_Table_Feedlot_MMS_Stage3,3,1)</f>
        <v>Anaerobic lagoon</v>
      </c>
      <c r="E210" s="15">
        <f ca="1">(SUMPRODUCT(E$129, $E198, $I$190) * 10 ^ -3)</f>
        <v>0</v>
      </c>
      <c r="F210" s="15">
        <f ca="1">(SUMPRODUCT(F$129, $E198, $I$190) * 10 ^ -3)</f>
        <v>0</v>
      </c>
      <c r="G210" s="15">
        <f ca="1">(SUMPRODUCT(G$129, $E198, $I$190) * 10 ^ -3)</f>
        <v>0</v>
      </c>
      <c r="H210" s="16" t="str">
        <f>$E$186</f>
        <v>t N2O</v>
      </c>
      <c r="I210" s="16"/>
      <c r="J210" s="16"/>
      <c r="K210" s="16"/>
      <c r="O210" s="15" t="str">
        <f>INDEX(X_Table_Feedlot_MMS_Stage3,3,1)</f>
        <v>Anaerobic lagoon</v>
      </c>
      <c r="P210" s="15">
        <f ca="1">(SUMPRODUCT(P$129, $E198, $I$190) * 10 ^ -3)</f>
        <v>0</v>
      </c>
      <c r="Q210" s="15">
        <f ca="1">(SUMPRODUCT(Q$129, $E198, $I$190) * 10 ^ -3)</f>
        <v>0</v>
      </c>
      <c r="R210" s="15">
        <f ca="1">(SUMPRODUCT(R$129, $E198, $I$190) * 10 ^ -3)</f>
        <v>0</v>
      </c>
      <c r="S210" s="16" t="str">
        <f>$E$186</f>
        <v>t N2O</v>
      </c>
    </row>
    <row r="212" spans="1:19" ht="20.100000000000001" customHeight="1" x14ac:dyDescent="0.2">
      <c r="D212" s="85" t="s">
        <v>426</v>
      </c>
      <c r="E212" s="86">
        <f ca="1">SUM(E206:G210)</f>
        <v>0.80616789491492569</v>
      </c>
      <c r="F212" s="95" t="str">
        <f>$E$186</f>
        <v>t N2O</v>
      </c>
      <c r="O212" s="85" t="s">
        <v>426</v>
      </c>
      <c r="P212" s="86">
        <f ca="1">SUM(P206:R210)</f>
        <v>0.80616789491492569</v>
      </c>
      <c r="Q212" s="95" t="str">
        <f>$E$186</f>
        <v>t N2O</v>
      </c>
    </row>
    <row r="214" spans="1:19" ht="20.100000000000001" customHeight="1" x14ac:dyDescent="0.2">
      <c r="D214" s="124" t="str" cm="1">
        <f t="array" ref="D214:E215">Common_Equations.Common_ConvertN2OToCO2e_Arguments()</f>
        <v>EN2O</v>
      </c>
      <c r="E214" s="126" t="str">
        <v>Nitrous oxide emissions (t N2O)</v>
      </c>
      <c r="F214" s="127"/>
      <c r="G214" s="15">
        <f ca="1">VEERG_4_1_1_3__1_TotalAnnualDirectNitrousOxideEmissions_Result_Method1</f>
        <v>0.80616789491492569</v>
      </c>
      <c r="O214" s="124" t="str" cm="1">
        <f t="array" ref="O214:P215">Common_Equations.Common_ConvertN2OToCO2e_Arguments()</f>
        <v>EN2O</v>
      </c>
      <c r="P214" s="126" t="str">
        <v>Nitrous oxide emissions (t N2O)</v>
      </c>
      <c r="Q214" s="127"/>
      <c r="R214" s="15">
        <f ca="1">VEERG_4_1_1_3__1_TotalAnnualDirectNitrousOxideEmissions_Result_Method2</f>
        <v>0.80616789491492569</v>
      </c>
    </row>
    <row r="215" spans="1:19" ht="20.100000000000001" customHeight="1" x14ac:dyDescent="0.2">
      <c r="D215" s="124" t="str">
        <v>GWPN2O</v>
      </c>
      <c r="E215" s="126" t="str">
        <v>Global warming potential for nitrous oxide (t CO2-e / t N2O)</v>
      </c>
      <c r="F215" s="127"/>
      <c r="G215" s="15">
        <f>Common_InputFunctions.Utility_LookupValueInTableNumber("N2O",Table_GWPData[Gas],Table_GWPData[CO2-e factor])</f>
        <v>265</v>
      </c>
      <c r="O215" s="124" t="str">
        <v>GWPN2O</v>
      </c>
      <c r="P215" s="126" t="str">
        <v>Global warming potential for nitrous oxide (t CO2-e / t N2O)</v>
      </c>
      <c r="Q215" s="127"/>
      <c r="R215" s="15">
        <f>Common_InputFunctions.Utility_LookupValueInTableNumber("N2O",Table_GWPData[Gas],Table_GWPData[CO2-e factor])</f>
        <v>265</v>
      </c>
    </row>
    <row r="216" spans="1:19" ht="20.100000000000001" customHeight="1" x14ac:dyDescent="0.2">
      <c r="A216" s="79" t="str">
        <f>HYPERLINK("#A1", "▲ Back to top")</f>
        <v>▲ Back to top</v>
      </c>
    </row>
    <row r="217" spans="1:19" ht="20.100000000000001" customHeight="1" x14ac:dyDescent="0.2">
      <c r="D217" s="83" t="s">
        <v>427</v>
      </c>
      <c r="E217" s="83" cm="1">
        <f t="array" aca="1" ref="E217" ca="1">Common_Equations.Common_ConvertN2OToCO2e(G214,G215)</f>
        <v>213.63449215245529</v>
      </c>
      <c r="F217" s="89" t="str" cm="1">
        <f t="array" ref="F217">Common_Equations.Common_ConvertN2OToCO2e_Unit()</f>
        <v>t CO2e</v>
      </c>
      <c r="O217" s="83" t="s">
        <v>427</v>
      </c>
      <c r="P217" s="83" cm="1">
        <f t="array" aca="1" ref="P217" ca="1">Common_Equations.Common_ConvertN2OToCO2e(R214,R215)</f>
        <v>213.63449215245529</v>
      </c>
      <c r="Q217" s="89" t="str" cm="1">
        <f t="array" ref="Q217">Common_Equations.Common_ConvertN2OToCO2e_Unit()</f>
        <v>t CO2e</v>
      </c>
    </row>
  </sheetData>
  <dataValidations count="1">
    <dataValidation operator="equal" allowBlank="1" showInputMessage="1" showErrorMessage="1" sqref="P106:S106 D73:F73 D83:F83 O83:Q83 E106:K106 D78:F78 E101:K101 E124:G124" xr:uid="{4E645D26-46DE-405D-8297-3843C0AB4C59}"/>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094B-B5BD-4ADE-9A6A-1A92E1D5E565}">
  <sheetPr>
    <tabColor rgb="FF008000"/>
  </sheetPr>
  <dimension ref="A1:S70"/>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428</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1315</v>
      </c>
    </row>
    <row r="6" spans="1:19" ht="20.100000000000001" customHeight="1" x14ac:dyDescent="0.2">
      <c r="D6" s="17" t="s">
        <v>1316</v>
      </c>
    </row>
    <row r="7" spans="1:19" ht="20.100000000000001" customHeight="1" x14ac:dyDescent="0.2">
      <c r="D7" s="112"/>
      <c r="E7" s="112"/>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row>
    <row r="11" spans="1:19" ht="20.100000000000001" customHeight="1" x14ac:dyDescent="0.2">
      <c r="A11" s="5" t="str">
        <f>HYPERLINK("#'Input - Feedlot'!A1", "Feedlot")</f>
        <v>Feedlot</v>
      </c>
      <c r="D11" s="75" t="s">
        <v>321</v>
      </c>
      <c r="E11" s="1" t="s">
        <v>1317</v>
      </c>
    </row>
    <row r="12" spans="1:19" ht="20.100000000000001" customHeight="1" x14ac:dyDescent="0.2">
      <c r="A12" s="5" t="str">
        <f>HYPERLINK("#'Input - Livestock sales'!A1", "Livestock sales")</f>
        <v>Livestock sales</v>
      </c>
      <c r="D12" s="75" t="s">
        <v>118</v>
      </c>
      <c r="E12" s="9" t="s">
        <v>445</v>
      </c>
    </row>
    <row r="13" spans="1:19" ht="20.100000000000001" customHeight="1" x14ac:dyDescent="0.2">
      <c r="A13" s="5" t="str">
        <f>HYPERLINK("#'Input - Beef cattle purchases'!A1", "Beef cattle purchases")</f>
        <v>Beef cattle purchases</v>
      </c>
    </row>
    <row r="14" spans="1:19" ht="20.100000000000001" customHeight="1" x14ac:dyDescent="0.2">
      <c r="A14" s="5" t="str">
        <f>HYPERLINK("#'Input - Fuel'!A1", "Fuel")</f>
        <v>Fuel</v>
      </c>
      <c r="D14" s="113" t="s">
        <v>1307</v>
      </c>
      <c r="E14" s="113" t="s">
        <v>1318</v>
      </c>
      <c r="F14" s="113"/>
      <c r="G14" s="113" t="s">
        <v>445</v>
      </c>
      <c r="H14" s="115" t="s">
        <v>1313</v>
      </c>
      <c r="I14" s="116" t="str" cm="1">
        <f t="array" aca="1" ref="I14" ca="1">HYPERLINK(Common_InputFunctions.Utility_SourceHyperlink($D$20),$D$20)</f>
        <v>M1_Table_MN_j_m_T</v>
      </c>
    </row>
    <row r="15" spans="1:19" ht="20.100000000000001" customHeight="1" x14ac:dyDescent="0.2">
      <c r="A15" s="5" t="str">
        <f>HYPERLINK("#'Input - Electricity'!A1", "Electricity")</f>
        <v>Electricity</v>
      </c>
      <c r="D15" s="113" t="s">
        <v>1319</v>
      </c>
      <c r="E15" s="113" t="s">
        <v>1320</v>
      </c>
      <c r="F15" s="113"/>
      <c r="G15" s="113" t="s">
        <v>448</v>
      </c>
      <c r="H15" s="115" t="s">
        <v>1227</v>
      </c>
      <c r="I15" s="116" t="str" cm="1">
        <f t="array" aca="1" ref="I15" ca="1">HYPERLINK(Common_InputFunctions.Utility_SourceHyperlink($D$29),$D$29)</f>
        <v>Table_FracGASM_m_T-2-3</v>
      </c>
    </row>
    <row r="16" spans="1:19"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29" t="s">
        <v>429</v>
      </c>
      <c r="E17" s="43"/>
      <c r="F17" s="43"/>
      <c r="G17" s="44"/>
    </row>
    <row r="18" spans="1:18" ht="20.100000000000001" customHeight="1" x14ac:dyDescent="0.2">
      <c r="A18" s="5" t="str">
        <f>HYPERLINK("#'Input - Freight'!A1", "Freight")</f>
        <v>Freight</v>
      </c>
      <c r="D18" s="45" t="s">
        <v>421</v>
      </c>
      <c r="E18" s="46"/>
      <c r="F18" s="46"/>
      <c r="G18" s="47"/>
    </row>
    <row r="19" spans="1:18" ht="20.100000000000001" customHeight="1" x14ac:dyDescent="0.2">
      <c r="A19" s="5" t="str">
        <f>HYPERLINK("#'Input - Solid waste'!A1", "Solid waste")</f>
        <v>Solid waste</v>
      </c>
    </row>
    <row r="20" spans="1:18" ht="20.100000000000001" customHeight="1" x14ac:dyDescent="0.2">
      <c r="A20" s="5" t="str">
        <f>HYPERLINK("#'Input - Manure sent off-site'!A1", "Manure sent off-site")</f>
        <v>Manure sent off-site</v>
      </c>
      <c r="D20" s="118" t="s">
        <v>430</v>
      </c>
      <c r="M20" s="118" t="s">
        <v>431</v>
      </c>
    </row>
    <row r="21" spans="1:18" ht="20.100000000000001" customHeight="1" x14ac:dyDescent="0.2">
      <c r="A21" s="5" t="str">
        <f>HYPERLINK("#'Input - Data quality'!A1", "Data quality")</f>
        <v>Data quality</v>
      </c>
      <c r="D21" s="119" t="s">
        <v>432</v>
      </c>
      <c r="M21" s="119" t="s">
        <v>433</v>
      </c>
    </row>
    <row r="22" spans="1:18" ht="20.100000000000001" customHeight="1" x14ac:dyDescent="0.2">
      <c r="A22" s="5" t="str">
        <f>HYPERLINK("#'Input - Fert Prod System'!A1", "Fert Prod System")</f>
        <v>Fert Prod System</v>
      </c>
      <c r="D22" s="128" t="s">
        <v>367</v>
      </c>
      <c r="E22" s="120" t="s">
        <v>289</v>
      </c>
      <c r="F22" s="120" t="s">
        <v>290</v>
      </c>
      <c r="G22" s="120" t="s">
        <v>291</v>
      </c>
      <c r="M22" s="128" t="s">
        <v>367</v>
      </c>
      <c r="N22" s="120" t="s">
        <v>289</v>
      </c>
      <c r="O22" s="120" t="s">
        <v>290</v>
      </c>
      <c r="P22" s="120" t="s">
        <v>291</v>
      </c>
    </row>
    <row r="23" spans="1:18" ht="20.100000000000001" customHeight="1" x14ac:dyDescent="0.2">
      <c r="A23" s="5" t="str">
        <f>HYPERLINK("#'Input - Fertiliser'!A1", "Fertiliser")</f>
        <v>Fertiliser</v>
      </c>
      <c r="D23" s="15" t="str">
        <f>INDEX(X_Table_Feedlot_MMS_Stage1,2,1)</f>
        <v>Drylot (feed pad)</v>
      </c>
      <c r="E23" s="15">
        <f ca="1">INDEX(M1_Table_MN_j_m5_T1,2,2)</f>
        <v>16689.254400000005</v>
      </c>
      <c r="F23" s="15">
        <f ca="1">INDEX(M1_Table_MN_j_m5_T1,2,3)</f>
        <v>25343.539200000003</v>
      </c>
      <c r="G23" s="15">
        <f ca="1">INDEX(M1_Table_MN_j_m5_T1,2,4)</f>
        <v>36604.799999999988</v>
      </c>
      <c r="H23" s="16" t="str">
        <f>$G$14</f>
        <v>kg N</v>
      </c>
      <c r="I23" s="16"/>
      <c r="M23" s="15" t="str">
        <f>INDEX(X_Table_Feedlot_MMS_Stage1,2,1)</f>
        <v>Drylot (feed pad)</v>
      </c>
      <c r="N23" s="15">
        <f ca="1">INDEX(M2_Table_MN_j_m5_T1,2,2)</f>
        <v>16689.254400000005</v>
      </c>
      <c r="O23" s="15">
        <f ca="1">INDEX(M2_Table_MN_j_m5_T1,2,3)</f>
        <v>25343.539200000003</v>
      </c>
      <c r="P23" s="15">
        <f ca="1">INDEX(M2_Table_MN_j_m5_T1,2,4)</f>
        <v>36604.799999999988</v>
      </c>
      <c r="Q23" s="16" t="str">
        <f>$G$14</f>
        <v>kg N</v>
      </c>
      <c r="R23" s="16"/>
    </row>
    <row r="24" spans="1:18" ht="20.100000000000001" customHeight="1" x14ac:dyDescent="0.2">
      <c r="D24" s="15" t="str">
        <f>INDEX(X_Table_Feedlot_MMS_Stage2,3,1)</f>
        <v>Solid storage</v>
      </c>
      <c r="E24" s="15">
        <f ca="1">INDEX(M1_Table_MN_j_m_T2_Consumer_1,2,2)</f>
        <v>1250.3589396480006</v>
      </c>
      <c r="F24" s="15">
        <f ca="1">INDEX(M1_Table_MN_j_m_T2_Consumer_1,2,3)</f>
        <v>1898.7379568640001</v>
      </c>
      <c r="G24" s="15">
        <f ca="1">INDEX(M1_Table_MN_j_m_T2_Consumer_1,2,4)</f>
        <v>2742.4316159999994</v>
      </c>
      <c r="H24" s="16"/>
      <c r="I24" s="16"/>
      <c r="M24" s="15" t="str">
        <f>INDEX(X_Table_Feedlot_MMS_Stage2,3,1)</f>
        <v>Solid storage</v>
      </c>
      <c r="N24" s="15">
        <f ca="1">INDEX(M1_Table_MN_j_m_T2,2,2)</f>
        <v>1250.3589396480006</v>
      </c>
      <c r="O24" s="15">
        <f ca="1">INDEX(M1_Table_MN_j_m_T2,2,3)</f>
        <v>1898.7379568640001</v>
      </c>
      <c r="P24" s="15">
        <f ca="1">INDEX(M1_Table_MN_j_m_T2,2,4)</f>
        <v>2742.4316159999994</v>
      </c>
      <c r="Q24" s="16"/>
      <c r="R24" s="16"/>
    </row>
    <row r="25" spans="1:18" ht="20.100000000000001" customHeight="1" x14ac:dyDescent="0.2">
      <c r="D25" s="15" t="str">
        <f>INDEX(X_Table_Feedlot_MMS_Stage2,4,1)</f>
        <v>Composting (passive windrow)</v>
      </c>
      <c r="E25" s="15">
        <f ca="1">INDEX(M1_Table_MN_j_m_T2_Consumer_1,3,2)</f>
        <v>1250.3589396480006</v>
      </c>
      <c r="F25" s="15">
        <f ca="1">INDEX(M1_Table_MN_j_m_T2_Consumer_1,3,3)</f>
        <v>1898.7379568640001</v>
      </c>
      <c r="G25" s="15">
        <f ca="1">INDEX(M1_Table_MN_j_m_T2_Consumer_1,3,4)</f>
        <v>2742.4316159999994</v>
      </c>
      <c r="H25" s="16"/>
      <c r="I25" s="16"/>
      <c r="M25" s="15" t="str">
        <f>INDEX(X_Table_Feedlot_MMS_Stage2,4,1)</f>
        <v>Composting (passive windrow)</v>
      </c>
      <c r="N25" s="15">
        <f ca="1">INDEX(M1_Table_MN_j_m_T2,3,2)</f>
        <v>1250.3589396480006</v>
      </c>
      <c r="O25" s="15">
        <f ca="1">INDEX(M1_Table_MN_j_m_T2,3,3)</f>
        <v>1898.7379568640001</v>
      </c>
      <c r="P25" s="15">
        <f ca="1">INDEX(M1_Table_MN_j_m_T2,3,4)</f>
        <v>2742.4316159999994</v>
      </c>
      <c r="Q25" s="16"/>
      <c r="R25" s="16"/>
    </row>
    <row r="26" spans="1:18" ht="20.100000000000001" customHeight="1" x14ac:dyDescent="0.2">
      <c r="A26" s="6" t="s">
        <v>2</v>
      </c>
      <c r="D26" s="15" t="str">
        <f>INDEX(X_Table_Feedlot_MMS_Stage2,5,1)</f>
        <v>Direct application</v>
      </c>
      <c r="E26" s="15" t="s">
        <v>124</v>
      </c>
      <c r="F26" s="15" t="s">
        <v>124</v>
      </c>
      <c r="G26" s="15" t="s">
        <v>124</v>
      </c>
      <c r="H26" s="16"/>
      <c r="I26" s="16"/>
      <c r="M26" s="15" t="str">
        <f>INDEX(X_Table_Feedlot_MMS_Stage2,5,1)</f>
        <v>Direct application</v>
      </c>
      <c r="N26" s="15" t="s">
        <v>124</v>
      </c>
      <c r="O26" s="15" t="s">
        <v>124</v>
      </c>
      <c r="P26" s="15" t="s">
        <v>124</v>
      </c>
      <c r="Q26" s="16"/>
      <c r="R26" s="16"/>
    </row>
    <row r="27" spans="1:18" ht="20.100000000000001" customHeight="1" x14ac:dyDescent="0.2">
      <c r="A27" s="5" t="str">
        <f>HYPERLINK("#'3.1.1.1-2 Enteric Methane'!A1", "3.1.1.1-2 Enteric Methane")</f>
        <v>3.1.1.1-2 Enteric Methane</v>
      </c>
      <c r="D27" s="15" t="str">
        <f>INDEX(X_Table_Feedlot_MMS_Stage3,3,1)</f>
        <v>Anaerobic lagoon</v>
      </c>
      <c r="E27" s="15">
        <f ca="1">INDEX(M1_Table_MN_j_m1_T3,2,2)</f>
        <v>333.78508800000009</v>
      </c>
      <c r="F27" s="15">
        <f ca="1">INDEX(M1_Table_MN_j_m1_T3,2,3)</f>
        <v>506.87078400000007</v>
      </c>
      <c r="G27" s="15">
        <f ca="1">INDEX(M1_Table_MN_j_m1_T3,2,4)</f>
        <v>732.09599999999978</v>
      </c>
      <c r="H27" s="16"/>
      <c r="I27" s="16"/>
      <c r="M27" s="15" t="str">
        <f>INDEX(X_Table_Feedlot_MMS_Stage3,3,1)</f>
        <v>Anaerobic lagoon</v>
      </c>
      <c r="N27" s="15">
        <f ca="1">INDEX(M2_Table_MN_j_m1_T3,2,2)</f>
        <v>333.78508800000009</v>
      </c>
      <c r="O27" s="15">
        <f ca="1">INDEX(M2_Table_MN_j_m1_T3,2,3)</f>
        <v>506.87078400000007</v>
      </c>
      <c r="P27" s="15">
        <f ca="1">INDEX(M2_Table_MN_j_m1_T3,2,4)</f>
        <v>732.09599999999978</v>
      </c>
      <c r="Q27" s="16"/>
      <c r="R27" s="16"/>
    </row>
    <row r="28" spans="1:18" ht="20.100000000000001" customHeight="1" x14ac:dyDescent="0.2">
      <c r="A28" s="5" t="str">
        <f>HYPERLINK("#'4.1.1.1-2 Methane'!A1", "4.1.1.1-2 Manure Methane")</f>
        <v>4.1.1.1-2 Manure Methane</v>
      </c>
    </row>
    <row r="29" spans="1:18" ht="20.100000000000001" customHeight="1" x14ac:dyDescent="0.2">
      <c r="A29" s="5" t="str">
        <f>HYPERLINK("#'4.1.1.3-4 Direct N20'!A1", "4.1.1.3-4 Manure Direct N2O")</f>
        <v>4.1.1.3-4 Manure Direct N2O</v>
      </c>
      <c r="D29" s="118" t="s">
        <v>434</v>
      </c>
    </row>
    <row r="30" spans="1:18" ht="20.100000000000001" customHeight="1" x14ac:dyDescent="0.2">
      <c r="A30" s="117" t="str">
        <f>HYPERLINK("#'4.1.1.5-6 Atmos Deposition'!A1", "4.1.1.5-6 Manure Atmos Dep")</f>
        <v>4.1.1.5-6 Manure Atmos Dep</v>
      </c>
      <c r="D30" s="119" t="s">
        <v>435</v>
      </c>
    </row>
    <row r="31" spans="1:18" ht="20.100000000000001" customHeight="1" x14ac:dyDescent="0.2">
      <c r="A31" s="5" t="str">
        <f>HYPERLINK("#'4.1.1.9 Manure applied to soils'!A1", "4.1.1.9 Manure applied to soils")</f>
        <v>4.1.1.9 Manure applied to soils</v>
      </c>
      <c r="D31" s="128" t="s">
        <v>367</v>
      </c>
      <c r="E31" s="128" t="s">
        <v>419</v>
      </c>
    </row>
    <row r="32" spans="1:18" ht="20.100000000000001" customHeight="1" x14ac:dyDescent="0.2">
      <c r="A32" s="5" t="str">
        <f>HYPERLINK("#'8.1.1.1-2 Transport fuel'!A1", "8.1.1.1-2 Transport fuel")</f>
        <v>8.1.1.1-2 Transport fuel</v>
      </c>
      <c r="D32" s="15" t="str">
        <f>INDEX(X_Table_Feedlot_MMS_Stage1,2,1)</f>
        <v>Drylot (feed pad)</v>
      </c>
      <c r="E32" s="15">
        <f>_xlfn.XLOOKUP(D32, Table_SourceData_Feedlot_FracGASMmT[NIR definition], Table_SourceData_Feedlot_FracGASMmT[FracGASMmT])</f>
        <v>0.6</v>
      </c>
      <c r="F32" s="16" t="str">
        <f>G15</f>
        <v>(kg NH3-N + NOx-N)/kg N</v>
      </c>
    </row>
    <row r="33" spans="1:19" ht="20.100000000000001" customHeight="1" x14ac:dyDescent="0.2">
      <c r="A33" s="5" t="str">
        <f>HYPERLINK("#'8.2.1.1-2 Stationary fuel'!A1", "8.2.1.1-2 Stationary fuel")</f>
        <v>8.2.1.1-2 Stationary fuel</v>
      </c>
      <c r="D33" s="15" t="str">
        <f>INDEX(X_Table_Feedlot_MMS_Stage2,3,1)</f>
        <v>Solid storage</v>
      </c>
      <c r="E33" s="15">
        <f>_xlfn.XLOOKUP(D33, Table_SourceData_Feedlot_FracGASMmT[NIR definition], Table_SourceData_Feedlot_FracGASMmT[FracGASMmT])</f>
        <v>0.25</v>
      </c>
      <c r="F33" s="16"/>
    </row>
    <row r="34" spans="1:19" ht="20.100000000000001" customHeight="1" x14ac:dyDescent="0.2">
      <c r="A34" s="5" t="str">
        <f>HYPERLINK("#'10.1.1-2 Solid waste treatment'!A1", "10.1.1.1-2 Solid waste")</f>
        <v>10.1.1.1-2 Solid waste</v>
      </c>
      <c r="D34" s="15" t="str">
        <f>INDEX(X_Table_Feedlot_MMS_Stage2,4,1)</f>
        <v>Composting (passive windrow)</v>
      </c>
      <c r="E34" s="15">
        <f>_xlfn.XLOOKUP(D34, Table_SourceData_Feedlot_FracGASMmT[NIR definition], Table_SourceData_Feedlot_FracGASMmT[FracGASMmT])</f>
        <v>0.4</v>
      </c>
      <c r="F34" s="16"/>
    </row>
    <row r="35" spans="1:19" ht="20.100000000000001" customHeight="1" x14ac:dyDescent="0.2">
      <c r="A35" s="5" t="str">
        <f>HYPERLINK("#'14.1.1-2 Purchased electricity'!A1", "14.1.1-2 Purchased electricity")</f>
        <v>14.1.1-2 Purchased electricity</v>
      </c>
      <c r="D35" s="15" t="str">
        <f>INDEX(X_Table_Feedlot_MMS_Stage3,3,1)</f>
        <v>Anaerobic lagoon</v>
      </c>
      <c r="E35" s="15">
        <f>_xlfn.XLOOKUP(D35, Table_SourceData_Feedlot_FracGASMmT[NIR definition], Table_SourceData_Feedlot_FracGASMmT[FracGASMmT])</f>
        <v>0.35</v>
      </c>
      <c r="F35" s="16"/>
    </row>
    <row r="36" spans="1:19" ht="20.100000000000001" customHeight="1" x14ac:dyDescent="0.2">
      <c r="A36" s="5" t="str">
        <f>HYPERLINK("#'15 Scope 3'!A1", "15 Scope 3")</f>
        <v>15 Scope 3</v>
      </c>
    </row>
    <row r="37" spans="1:19" ht="20.100000000000001" customHeight="1" x14ac:dyDescent="0.2">
      <c r="A37" s="5" t="str">
        <f>HYPERLINK("#'Calcs - Manure sent off-site'!A1", "Calcs - Manure sent off-site")</f>
        <v>Calcs - Manure sent off-site</v>
      </c>
      <c r="D37" s="118" t="s">
        <v>436</v>
      </c>
      <c r="M37" s="118" t="s">
        <v>437</v>
      </c>
    </row>
    <row r="38" spans="1:19" ht="20.100000000000001" customHeight="1" x14ac:dyDescent="0.2">
      <c r="A38" s="5" t="str">
        <f>HYPERLINK("#'5.1.1.1-2 Inorganic fert N2O'!A1", "5.1.1.1-2 Inorganic fert N2O")</f>
        <v>5.1.1.1-2 Inorganic fert N2O</v>
      </c>
      <c r="D38" s="119" t="s">
        <v>432</v>
      </c>
      <c r="M38" s="119" t="s">
        <v>433</v>
      </c>
    </row>
    <row r="39" spans="1:19" ht="20.100000000000001" customHeight="1" x14ac:dyDescent="0.2">
      <c r="A39" s="5" t="str">
        <f>HYPERLINK("#'5.1.1.3-4 Inorganic fert CO2'!A1", "5.1.1.3-4 Inorganic fert CO2")</f>
        <v>5.1.1.3-4 Inorganic fert CO2</v>
      </c>
      <c r="D39" s="128" t="s">
        <v>367</v>
      </c>
      <c r="E39" s="120" t="s">
        <v>289</v>
      </c>
      <c r="F39" s="120" t="s">
        <v>290</v>
      </c>
      <c r="G39" s="120" t="s">
        <v>291</v>
      </c>
      <c r="M39" s="128" t="s">
        <v>367</v>
      </c>
      <c r="N39" s="120" t="s">
        <v>289</v>
      </c>
      <c r="O39" s="120" t="s">
        <v>290</v>
      </c>
      <c r="P39" s="120" t="s">
        <v>291</v>
      </c>
    </row>
    <row r="40" spans="1:19" ht="20.100000000000001" customHeight="1" x14ac:dyDescent="0.2">
      <c r="A40" s="5" t="str">
        <f>HYPERLINK("#'5.2.1.1-2 Organic Fert N2O'!A1", "5.2.1.1-2 Organic Fert N2O")</f>
        <v>5.2.1.1-2 Organic Fert N2O</v>
      </c>
      <c r="D40" s="15" t="str">
        <f>INDEX(X_Table_Feedlot_MMS_Stage1,2,1)</f>
        <v>Drylot (feed pad)</v>
      </c>
      <c r="E40" s="15">
        <f ca="1">(E23 * $E32)</f>
        <v>10013.552640000004</v>
      </c>
      <c r="F40" s="15">
        <f ca="1">(F23 * $E32)</f>
        <v>15206.123520000001</v>
      </c>
      <c r="G40" s="15">
        <f ca="1">(G23 * $E32)</f>
        <v>21962.879999999994</v>
      </c>
      <c r="H40" s="16" t="str">
        <f>$E$12</f>
        <v>kg N</v>
      </c>
      <c r="I40" s="16"/>
      <c r="M40" s="15" t="str">
        <f>INDEX(X_Table_Feedlot_MMS_Stage1,2,1)</f>
        <v>Drylot (feed pad)</v>
      </c>
      <c r="N40" s="15">
        <f ca="1">(N23 * $E32)</f>
        <v>10013.552640000004</v>
      </c>
      <c r="O40" s="15">
        <f ca="1">(O23 * $E32)</f>
        <v>15206.123520000001</v>
      </c>
      <c r="P40" s="15">
        <f ca="1">(P23 * $E32)</f>
        <v>21962.879999999994</v>
      </c>
      <c r="Q40" s="16" t="str">
        <f>$E$12</f>
        <v>kg N</v>
      </c>
      <c r="R40" s="16"/>
    </row>
    <row r="41" spans="1:19" ht="20.100000000000001" customHeight="1" x14ac:dyDescent="0.2">
      <c r="A41" s="5" t="str">
        <f>HYPERLINK("#'5.3.1.1-2 Lime CO2'!A1", "5.3.1.1-2 Lime CO2")</f>
        <v>5.3.1.1-2 Lime CO2</v>
      </c>
      <c r="D41" s="15" t="str">
        <f>INDEX(X_Table_Feedlot_MMS_Stage2,3,1)</f>
        <v>Solid storage</v>
      </c>
      <c r="E41" s="15">
        <f ca="1">(E24 * $E33)</f>
        <v>312.58973491200015</v>
      </c>
      <c r="F41" s="15">
        <f ca="1">(F24 * $E33)</f>
        <v>474.68448921600003</v>
      </c>
      <c r="G41" s="15">
        <f ca="1">(G24 * $E33)</f>
        <v>685.60790399999985</v>
      </c>
      <c r="H41" s="16"/>
      <c r="I41" s="16"/>
      <c r="M41" s="15" t="str">
        <f>INDEX(X_Table_Feedlot_MMS_Stage2,3,1)</f>
        <v>Solid storage</v>
      </c>
      <c r="N41" s="15">
        <f ca="1">(N24 * $E33)</f>
        <v>312.58973491200015</v>
      </c>
      <c r="O41" s="15">
        <f ca="1">(O24 * $E33)</f>
        <v>474.68448921600003</v>
      </c>
      <c r="P41" s="15">
        <f ca="1">(P24 * $E33)</f>
        <v>685.60790399999985</v>
      </c>
    </row>
    <row r="42" spans="1:19" ht="20.100000000000001" customHeight="1" x14ac:dyDescent="0.2">
      <c r="A42" s="5" t="str">
        <f>HYPERLINK("#'5.4.1.1-4 Atmos deposition'!A1", "5.4.1.1-4 Atmos deposition")</f>
        <v>5.4.1.1-4 Atmos deposition</v>
      </c>
      <c r="D42" s="15" t="str">
        <f>INDEX(X_Table_Feedlot_MMS_Stage2,4,1)</f>
        <v>Composting (passive windrow)</v>
      </c>
      <c r="E42" s="15">
        <f ca="1">(E25 * $E34)</f>
        <v>500.14357585920027</v>
      </c>
      <c r="F42" s="15">
        <f ca="1">(F25 * $E34)</f>
        <v>759.49518274560012</v>
      </c>
      <c r="G42" s="15">
        <f ca="1">(G25 * $E34)</f>
        <v>1096.9726463999998</v>
      </c>
      <c r="H42" s="16"/>
      <c r="I42" s="16"/>
      <c r="M42" s="15" t="str">
        <f>INDEX(X_Table_Feedlot_MMS_Stage2,4,1)</f>
        <v>Composting (passive windrow)</v>
      </c>
      <c r="N42" s="15">
        <f ca="1">(N25 * $E34)</f>
        <v>500.14357585920027</v>
      </c>
      <c r="O42" s="15">
        <f ca="1">(O25 * $E34)</f>
        <v>759.49518274560012</v>
      </c>
      <c r="P42" s="15">
        <f ca="1">(P25 * $E34)</f>
        <v>1096.9726463999998</v>
      </c>
    </row>
    <row r="43" spans="1:19" ht="20.100000000000001" customHeight="1" x14ac:dyDescent="0.2">
      <c r="A43" s="5" t="str">
        <f>HYPERLINK("#'5.5.1.1-2 Leaching and runoff'!A1", "5.5.1.1-2 Leaching and runoff")</f>
        <v>5.5.1.1-2 Leaching and runoff</v>
      </c>
      <c r="D43" s="15" t="str">
        <f>INDEX(X_Table_Feedlot_MMS_Stage2,5,1)</f>
        <v>Direct application</v>
      </c>
      <c r="E43" s="15" t="s">
        <v>124</v>
      </c>
      <c r="F43" s="15" t="s">
        <v>124</v>
      </c>
      <c r="G43" s="15" t="s">
        <v>124</v>
      </c>
      <c r="H43" s="16"/>
      <c r="I43" s="16"/>
      <c r="M43" s="15" t="str">
        <f>INDEX(X_Table_Feedlot_MMS_Stage2,5,1)</f>
        <v>Direct application</v>
      </c>
      <c r="N43" s="15" t="s">
        <v>124</v>
      </c>
      <c r="O43" s="15" t="s">
        <v>124</v>
      </c>
      <c r="P43" s="15" t="s">
        <v>124</v>
      </c>
    </row>
    <row r="44" spans="1:19" ht="20.100000000000001" customHeight="1" x14ac:dyDescent="0.2">
      <c r="D44" s="15" t="str">
        <f>INDEX(X_Table_Feedlot_MMS_Stage3,3,1)</f>
        <v>Anaerobic lagoon</v>
      </c>
      <c r="E44" s="15">
        <f ca="1">(E27 * $E35)</f>
        <v>116.82478080000003</v>
      </c>
      <c r="F44" s="15">
        <f ca="1">(F27 * $E35)</f>
        <v>177.40477440000001</v>
      </c>
      <c r="G44" s="15">
        <f ca="1">(G27 * $E35)</f>
        <v>256.23359999999991</v>
      </c>
      <c r="H44" s="16"/>
      <c r="I44" s="16"/>
      <c r="M44" s="15" t="str">
        <f>INDEX(X_Table_Feedlot_MMS_Stage3,3,1)</f>
        <v>Anaerobic lagoon</v>
      </c>
      <c r="N44" s="15">
        <f ca="1">(N27 * $E35)</f>
        <v>116.82478080000003</v>
      </c>
      <c r="O44" s="15">
        <f ca="1">(O27 * $E35)</f>
        <v>177.40477440000001</v>
      </c>
      <c r="P44" s="15">
        <f ca="1">(P27 * $E35)</f>
        <v>256.23359999999991</v>
      </c>
    </row>
    <row r="46" spans="1:19" ht="20.100000000000001" customHeight="1" x14ac:dyDescent="0.2">
      <c r="A46" s="80" t="s">
        <v>1</v>
      </c>
      <c r="D46" s="88" t="s">
        <v>438</v>
      </c>
      <c r="E46" s="83">
        <f ca="1">SUM(E40:G44)</f>
        <v>51562.512848332786</v>
      </c>
      <c r="F46" s="130" t="str">
        <f>$E$12</f>
        <v>kg N</v>
      </c>
      <c r="M46" s="88" t="s">
        <v>438</v>
      </c>
      <c r="N46" s="83">
        <f ca="1">SUM(N40:P44)</f>
        <v>51562.512848332786</v>
      </c>
      <c r="O46" s="130" t="str">
        <f>$E$12</f>
        <v>kg N</v>
      </c>
    </row>
    <row r="47" spans="1:19" ht="20.100000000000001" customHeight="1" x14ac:dyDescent="0.2">
      <c r="A47" s="5" t="str">
        <f>HYPERLINK("#'Constants - Feedlot'!A1", "Constants - Feedlot")</f>
        <v>Constants - Feedlot</v>
      </c>
    </row>
    <row r="48" spans="1:19" ht="20.100000000000001" customHeight="1" x14ac:dyDescent="0.2">
      <c r="A48" s="5" t="str">
        <f>HYPERLINK("#'Constants - Common livestock'!A1", "Constants - Common Livestock")</f>
        <v>Constants - Common Livestock</v>
      </c>
      <c r="C48" s="131"/>
      <c r="D48" s="131"/>
      <c r="E48" s="131"/>
      <c r="F48" s="131"/>
      <c r="G48" s="131"/>
      <c r="H48" s="131"/>
      <c r="I48" s="131"/>
      <c r="J48" s="131"/>
      <c r="L48" s="131"/>
      <c r="M48" s="131"/>
      <c r="N48" s="131"/>
      <c r="O48" s="131"/>
      <c r="P48" s="131"/>
      <c r="Q48" s="131"/>
      <c r="R48" s="131"/>
      <c r="S48" s="131"/>
    </row>
    <row r="49" spans="1:18" ht="20.100000000000001" customHeight="1" x14ac:dyDescent="0.2">
      <c r="A49" s="5" t="str">
        <f>HYPERLINK("#'Constants - Electricity'!A1", "Constants - Electricity")</f>
        <v>Constants - Electricity</v>
      </c>
    </row>
    <row r="50" spans="1:18" ht="20.100000000000001" customHeight="1" x14ac:dyDescent="0.2">
      <c r="A50" s="5" t="str">
        <f>HYPERLINK("#'Constants - Fertiliser'!A1", "Constants - Fertiliser")</f>
        <v>Constants - Fertiliser</v>
      </c>
      <c r="D50" s="2" t="s">
        <v>1321</v>
      </c>
    </row>
    <row r="51" spans="1:18" ht="20.100000000000001" customHeight="1" x14ac:dyDescent="0.2">
      <c r="A51" s="5" t="str">
        <f>HYPERLINK("#'Constants - Fuel'!A1", "Constants - Fuel")</f>
        <v>Constants - Fuel</v>
      </c>
      <c r="D51" s="17" t="s">
        <v>1322</v>
      </c>
    </row>
    <row r="52" spans="1:18" ht="20.100000000000001" customHeight="1" x14ac:dyDescent="0.2">
      <c r="A52" s="5" t="str">
        <f>HYPERLINK("#'Constants - Scope 3'!A1", "Constants - Scope 3")</f>
        <v>Constants - Scope 3</v>
      </c>
      <c r="D52" s="112"/>
      <c r="E52" s="112"/>
    </row>
    <row r="53" spans="1:18" ht="20.100000000000001" customHeight="1" x14ac:dyDescent="0.2">
      <c r="A53" s="5" t="str">
        <f>HYPERLINK("#'Constants - Solid Waste'!A1", "Constants - Solid Waste")</f>
        <v>Constants - Solid Waste</v>
      </c>
    </row>
    <row r="54" spans="1:18" ht="20.100000000000001" customHeight="1" x14ac:dyDescent="0.2">
      <c r="A54" s="5" t="str">
        <f>HYPERLINK("#'Constants - Common'!A1", "Constants - Common")</f>
        <v>Constants - Common</v>
      </c>
      <c r="D54" s="2"/>
    </row>
    <row r="55" spans="1:18" ht="20.100000000000001" customHeight="1" x14ac:dyDescent="0.2">
      <c r="A55" s="5" t="str">
        <f>HYPERLINK("#'Acknowledgements'!A1", "Acknowledgements")</f>
        <v>Acknowledgements</v>
      </c>
      <c r="D55" s="75" t="s">
        <v>321</v>
      </c>
      <c r="E55" s="1" t="s">
        <v>1323</v>
      </c>
    </row>
    <row r="56" spans="1:18" ht="20.100000000000001" customHeight="1" x14ac:dyDescent="0.2">
      <c r="D56" s="75" t="s">
        <v>118</v>
      </c>
      <c r="E56" s="9" t="s">
        <v>12</v>
      </c>
    </row>
    <row r="58" spans="1:18" ht="20.100000000000001" customHeight="1" x14ac:dyDescent="0.2">
      <c r="D58" s="113" t="s">
        <v>1317</v>
      </c>
      <c r="E58" s="121" t="s">
        <v>1324</v>
      </c>
      <c r="F58" s="122"/>
      <c r="G58" s="113" t="s">
        <v>445</v>
      </c>
      <c r="H58" s="115" t="s">
        <v>1332</v>
      </c>
      <c r="I58" s="113">
        <f ca="1">$E$46</f>
        <v>51562.512848332786</v>
      </c>
      <c r="M58" s="113" t="s">
        <v>1317</v>
      </c>
      <c r="N58" s="121" t="s">
        <v>1324</v>
      </c>
      <c r="O58" s="122"/>
      <c r="P58" s="113" t="s">
        <v>445</v>
      </c>
      <c r="Q58" s="115" t="s">
        <v>1332</v>
      </c>
      <c r="R58" s="124">
        <f ca="1">$N$46</f>
        <v>51562.512848332786</v>
      </c>
    </row>
    <row r="59" spans="1:18" ht="20.100000000000001" customHeight="1" x14ac:dyDescent="0.2">
      <c r="D59" s="113" t="s">
        <v>1325</v>
      </c>
      <c r="E59" s="121" t="s">
        <v>1326</v>
      </c>
      <c r="F59" s="122"/>
      <c r="G59" s="113" t="s">
        <v>1314</v>
      </c>
      <c r="H59" s="115" t="s">
        <v>1227</v>
      </c>
      <c r="I59" s="113">
        <f>Common_InputFunctions.Utility_LookupN2OEFFromProdIrrigationRainfall($I$61,$I$62,$I$63,Table_SourceData_Common_EFN2O[Production system only],Table_SourceData_Common_EFN2O[Irrigation method],Table_SourceData_Common_EFN2O[Rainfall zone],Table_SourceData_Common_EFN2O[EFN2O])</f>
        <v>1.8E-3</v>
      </c>
      <c r="M59" s="113" t="s">
        <v>1325</v>
      </c>
      <c r="N59" s="121" t="s">
        <v>1326</v>
      </c>
      <c r="O59" s="122"/>
      <c r="P59" s="113" t="s">
        <v>1314</v>
      </c>
      <c r="Q59" s="115" t="s">
        <v>1227</v>
      </c>
      <c r="R59" s="124"/>
    </row>
    <row r="60" spans="1:18" ht="20.100000000000001" customHeight="1" x14ac:dyDescent="0.2">
      <c r="D60" s="113" t="s">
        <v>1311</v>
      </c>
      <c r="E60" s="121" t="s">
        <v>1312</v>
      </c>
      <c r="F60" s="122"/>
      <c r="G60" s="113"/>
      <c r="H60" s="115" t="s">
        <v>1227</v>
      </c>
      <c r="I60" s="113">
        <f>Common_InputFunctions.Utility_LookupValueInTableNumber("N2O",Table_GasToMolecularConversionFactor[Gas],Table_GasToMolecularConversionFactor[Conversion factor combined])</f>
        <v>1.5714285714285714</v>
      </c>
      <c r="M60" s="113" t="s">
        <v>1311</v>
      </c>
      <c r="N60" s="121" t="s">
        <v>1312</v>
      </c>
      <c r="O60" s="122"/>
      <c r="P60" s="113"/>
      <c r="Q60" s="115" t="s">
        <v>1227</v>
      </c>
      <c r="R60" s="124"/>
    </row>
    <row r="61" spans="1:18" ht="20.100000000000001" customHeight="1" x14ac:dyDescent="0.2">
      <c r="D61" s="113" t="s">
        <v>1327</v>
      </c>
      <c r="E61" s="121" t="s">
        <v>1328</v>
      </c>
      <c r="F61" s="122"/>
      <c r="G61" s="113"/>
      <c r="H61" s="114" t="s">
        <v>1196</v>
      </c>
      <c r="I61" s="113" t="str">
        <f>'Input - Feedlot'!$E$45</f>
        <v>Pasture</v>
      </c>
      <c r="M61" s="113" t="s">
        <v>1327</v>
      </c>
      <c r="N61" s="121" t="s">
        <v>1328</v>
      </c>
      <c r="O61" s="122"/>
      <c r="P61" s="113"/>
      <c r="Q61" s="114" t="s">
        <v>1196</v>
      </c>
      <c r="R61" s="124"/>
    </row>
    <row r="62" spans="1:18" ht="20.100000000000001" customHeight="1" x14ac:dyDescent="0.2">
      <c r="D62" s="113" t="s">
        <v>1223</v>
      </c>
      <c r="E62" s="121" t="s">
        <v>1329</v>
      </c>
      <c r="F62" s="122"/>
      <c r="G62" s="113"/>
      <c r="H62" s="114" t="s">
        <v>1196</v>
      </c>
      <c r="I62" s="113" t="str">
        <f>'Input - Feedlot'!$E$46</f>
        <v>Not irrigated</v>
      </c>
      <c r="M62" s="113" t="s">
        <v>1223</v>
      </c>
      <c r="N62" s="121" t="s">
        <v>1329</v>
      </c>
      <c r="O62" s="122"/>
      <c r="P62" s="113"/>
      <c r="Q62" s="114" t="s">
        <v>1196</v>
      </c>
      <c r="R62" s="124"/>
    </row>
    <row r="63" spans="1:18" ht="20.100000000000001" customHeight="1" x14ac:dyDescent="0.2">
      <c r="D63" s="113" t="s">
        <v>1330</v>
      </c>
      <c r="E63" s="121" t="s">
        <v>1331</v>
      </c>
      <c r="F63" s="122"/>
      <c r="G63" s="113"/>
      <c r="H63" s="114" t="s">
        <v>1196</v>
      </c>
      <c r="I63" s="113" t="str">
        <f>X_Cell_Site_RainfallZone</f>
        <v>High rainfall</v>
      </c>
      <c r="M63" s="113" t="s">
        <v>1330</v>
      </c>
      <c r="N63" s="121" t="s">
        <v>1331</v>
      </c>
      <c r="O63" s="122"/>
      <c r="P63" s="113"/>
      <c r="Q63" s="114" t="s">
        <v>1196</v>
      </c>
      <c r="R63" s="124"/>
    </row>
    <row r="65" spans="1:16" ht="20.100000000000001" customHeight="1" x14ac:dyDescent="0.2">
      <c r="D65" s="85" t="s">
        <v>439</v>
      </c>
      <c r="E65" s="86">
        <f ca="1">((I58 * I59 * I60) * 10 ^ -3)</f>
        <v>0.1458482506281413</v>
      </c>
      <c r="F65" s="95" t="str">
        <f>$E$56</f>
        <v>t N2O</v>
      </c>
      <c r="M65" s="85" t="s">
        <v>439</v>
      </c>
      <c r="N65" s="86">
        <f ca="1">((R58 * I59 * I60) * 10 ^ -3)</f>
        <v>0.1458482506281413</v>
      </c>
      <c r="O65" s="95" t="str">
        <f>$E$56</f>
        <v>t N2O</v>
      </c>
    </row>
    <row r="66" spans="1:16" ht="20.100000000000001" customHeight="1" x14ac:dyDescent="0.2">
      <c r="A66" s="79" t="str">
        <f>HYPERLINK("#A1", "▲ Back to top")</f>
        <v>▲ Back to top</v>
      </c>
    </row>
    <row r="67" spans="1:16" ht="20.100000000000001" customHeight="1" x14ac:dyDescent="0.2">
      <c r="D67" s="124" t="str" cm="1">
        <f t="array" ref="D67:E68">Common_Equations.Common_ConvertN2OToCO2e_Arguments()</f>
        <v>EN2O</v>
      </c>
      <c r="E67" s="126" t="str">
        <v>Nitrous oxide emissions (t N2O)</v>
      </c>
      <c r="F67" s="127"/>
      <c r="G67" s="15">
        <f ca="1">VEERG_4_1_1_5__1_TotalAnnualAtmosphericDepositionEmissions_Result_Method1</f>
        <v>0.1458482506281413</v>
      </c>
      <c r="M67" s="124" t="str" cm="1">
        <f t="array" ref="M67:N68">Common_Equations.Common_ConvertN2OToCO2e_Arguments()</f>
        <v>EN2O</v>
      </c>
      <c r="N67" s="126" t="str">
        <v>Nitrous oxide emissions (t N2O)</v>
      </c>
      <c r="O67" s="127"/>
      <c r="P67" s="15">
        <f ca="1">VEERG_4_1_1_5__1_TotalAnnualAtmosphericDepositionEmissions_Result_Method2</f>
        <v>0.1458482506281413</v>
      </c>
    </row>
    <row r="68" spans="1:16" ht="20.100000000000001" customHeight="1" x14ac:dyDescent="0.2">
      <c r="D68" s="124" t="str">
        <v>GWPN2O</v>
      </c>
      <c r="E68" s="126" t="str">
        <v>Global warming potential for nitrous oxide (t CO2-e / t N2O)</v>
      </c>
      <c r="F68" s="127"/>
      <c r="G68" s="15">
        <f>Common_InputFunctions.Utility_LookupValueInTableNumber("N2O",Table_GWPData[Gas],Table_GWPData[CO2-e factor])</f>
        <v>265</v>
      </c>
      <c r="M68" s="124" t="str">
        <v>GWPN2O</v>
      </c>
      <c r="N68" s="126" t="str">
        <v>Global warming potential for nitrous oxide (t CO2-e / t N2O)</v>
      </c>
      <c r="O68" s="127"/>
      <c r="P68" s="15">
        <f>Common_InputFunctions.Utility_LookupValueInTableNumber("N2O",Table_GWPData[Gas],Table_GWPData[CO2-e factor])</f>
        <v>265</v>
      </c>
    </row>
    <row r="70" spans="1:16" ht="20.100000000000001" customHeight="1" x14ac:dyDescent="0.2">
      <c r="D70" s="83" t="s">
        <v>427</v>
      </c>
      <c r="E70" s="83" cm="1">
        <f t="array" aca="1" ref="E70" ca="1">Common_Equations.Common_ConvertN2OToCO2e(G67,G68)</f>
        <v>38.649786416457445</v>
      </c>
      <c r="F70" s="89" t="str" cm="1">
        <f t="array" ref="F70">Common_Equations.Common_ConvertN2OToCO2e_Unit()</f>
        <v>t CO2e</v>
      </c>
      <c r="M70" s="83" t="s">
        <v>427</v>
      </c>
      <c r="N70" s="83" cm="1">
        <f t="array" aca="1" ref="N70" ca="1">Common_Equations.Common_ConvertN2OToCO2e(P67,P68)</f>
        <v>38.649786416457445</v>
      </c>
      <c r="O70" s="89" t="str" cm="1">
        <f t="array" ref="O70">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9C451-BCD9-4E28-B97F-89D96B78E4D7}">
  <sheetPr>
    <tabColor rgb="FF008000"/>
  </sheetPr>
  <dimension ref="A1:S11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20" customFormat="1" ht="30" customHeight="1" x14ac:dyDescent="0.35">
      <c r="A1" s="10" t="e" vm="1">
        <v>#VALUE!</v>
      </c>
      <c r="C1" s="20" t="s">
        <v>440</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1333</v>
      </c>
    </row>
    <row r="6" spans="1:19" ht="20.100000000000001" customHeight="1" x14ac:dyDescent="0.2">
      <c r="D6" s="17" t="s">
        <v>1334</v>
      </c>
    </row>
    <row r="7" spans="1:19" ht="20.100000000000001" customHeight="1" x14ac:dyDescent="0.2">
      <c r="D7" s="112"/>
      <c r="E7" s="112"/>
    </row>
    <row r="8" spans="1:19" ht="20.100000000000001" customHeight="1" x14ac:dyDescent="0.2">
      <c r="A8" s="7" t="s">
        <v>0</v>
      </c>
    </row>
    <row r="9" spans="1:19" ht="20.100000000000001" customHeight="1" x14ac:dyDescent="0.2">
      <c r="A9" s="5" t="str">
        <f>HYPERLINK("#'Input - Enterprise'!A1", "Enterprise")</f>
        <v>Enterprise</v>
      </c>
      <c r="D9" s="2"/>
    </row>
    <row r="10" spans="1:19" ht="20.100000000000001" customHeight="1" x14ac:dyDescent="0.2">
      <c r="A10" s="5" t="str">
        <f>HYPERLINK("#'Input - Site'!A1", "Site")</f>
        <v>Site</v>
      </c>
    </row>
    <row r="11" spans="1:19" ht="20.100000000000001" customHeight="1" x14ac:dyDescent="0.2">
      <c r="A11" s="5" t="str">
        <f>HYPERLINK("#'Input - Feedlot'!A1", "Feedlot")</f>
        <v>Feedlot</v>
      </c>
      <c r="D11" s="75" t="s">
        <v>321</v>
      </c>
      <c r="E11" s="1" t="s">
        <v>1335</v>
      </c>
    </row>
    <row r="12" spans="1:19" ht="20.100000000000001" customHeight="1" x14ac:dyDescent="0.2">
      <c r="A12" s="5" t="str">
        <f>HYPERLINK("#'Input - Livestock sales'!A1", "Livestock sales")</f>
        <v>Livestock sales</v>
      </c>
      <c r="D12" s="75" t="s">
        <v>118</v>
      </c>
      <c r="E12" s="9" t="s">
        <v>445</v>
      </c>
    </row>
    <row r="13" spans="1:19" ht="20.100000000000001" customHeight="1" x14ac:dyDescent="0.2">
      <c r="A13" s="5" t="str">
        <f>HYPERLINK("#'Input - Beef cattle purchases'!A1", "Beef cattle purchases")</f>
        <v>Beef cattle purchases</v>
      </c>
    </row>
    <row r="14" spans="1:19" ht="20.100000000000001" customHeight="1" x14ac:dyDescent="0.2">
      <c r="A14" s="5" t="str">
        <f>HYPERLINK("#'Input - Fuel'!A1", "Fuel")</f>
        <v>Fuel</v>
      </c>
      <c r="D14" s="113" t="s">
        <v>1336</v>
      </c>
      <c r="E14" s="121" t="s">
        <v>1337</v>
      </c>
      <c r="F14" s="132"/>
      <c r="G14" s="122"/>
      <c r="H14" s="113" t="s">
        <v>445</v>
      </c>
      <c r="I14" s="115" t="s">
        <v>1343</v>
      </c>
      <c r="J14" s="116" t="str" cm="1">
        <f t="array" aca="1" ref="J14" ca="1">HYPERLINK(Common_InputFunctions.Utility_SourceHyperlink($D$19),$D$19)</f>
        <v>M1_Table_MN_j_m_T-2-3</v>
      </c>
    </row>
    <row r="15" spans="1:19" ht="20.100000000000001" customHeight="1" x14ac:dyDescent="0.2">
      <c r="A15" s="5" t="str">
        <f>HYPERLINK("#'Input - Electricity'!A1", "Electricity")</f>
        <v>Electricity</v>
      </c>
      <c r="D15" s="113" t="s">
        <v>1338</v>
      </c>
      <c r="E15" s="121" t="s">
        <v>1339</v>
      </c>
      <c r="F15" s="132"/>
      <c r="G15" s="122"/>
      <c r="H15" s="113" t="s">
        <v>1314</v>
      </c>
      <c r="I15" s="115" t="s">
        <v>1227</v>
      </c>
      <c r="J15" s="116" t="str" cm="1">
        <f t="array" aca="1" ref="J15" ca="1">HYPERLINK(Common_InputFunctions.Utility_SourceHyperlink($D$27),$D$27)</f>
        <v>Table_EF_j_m_T-2-3</v>
      </c>
    </row>
    <row r="16" spans="1:19" ht="20.100000000000001" customHeight="1" x14ac:dyDescent="0.2">
      <c r="A16" s="5" t="str">
        <f>HYPERLINK("#'Input - Common farm inputs'!A1", "Common farm inputs")</f>
        <v>Common farm inputs</v>
      </c>
      <c r="D16" s="113" t="s">
        <v>1340</v>
      </c>
      <c r="E16" s="121" t="s">
        <v>1341</v>
      </c>
      <c r="F16" s="132"/>
      <c r="G16" s="122"/>
      <c r="H16" s="113" t="s">
        <v>448</v>
      </c>
      <c r="I16" s="115" t="s">
        <v>1227</v>
      </c>
      <c r="J16" s="116" t="str" cm="1">
        <f t="array" aca="1" ref="J16" ca="1">HYPERLINK(Common_InputFunctions.Utility_SourceHyperlink($D$36),$D$36)</f>
        <v>Table_FracGASM_m_T-2-3</v>
      </c>
    </row>
    <row r="17" spans="1:18" ht="20.100000000000001" customHeight="1" x14ac:dyDescent="0.2">
      <c r="A17" s="5" t="str">
        <f>HYPERLINK("#'Input - Livestock farm Inputs'!A1", "Livestock farm Inputs")</f>
        <v>Livestock farm Inputs</v>
      </c>
      <c r="D17" s="113" t="s">
        <v>451</v>
      </c>
      <c r="E17" s="121" t="s">
        <v>1342</v>
      </c>
      <c r="F17" s="132"/>
      <c r="G17" s="122"/>
      <c r="H17" s="113" t="s">
        <v>299</v>
      </c>
      <c r="I17" s="114" t="s">
        <v>1196</v>
      </c>
      <c r="J17" s="116" t="str" cm="1">
        <f t="array" aca="1" ref="J17" ca="1">HYPERLINK(Common_InputFunctions.Utility_SourceHyperlink($D$45),$D$45)</f>
        <v>Table_PF</v>
      </c>
    </row>
    <row r="18" spans="1:18" ht="20.100000000000001" customHeight="1" x14ac:dyDescent="0.2">
      <c r="A18" s="5" t="str">
        <f>HYPERLINK("#'Input - Freight'!A1", "Freight")</f>
        <v>Freight</v>
      </c>
    </row>
    <row r="19" spans="1:18" ht="20.100000000000001" customHeight="1" x14ac:dyDescent="0.2">
      <c r="A19" s="5" t="str">
        <f>HYPERLINK("#'Input - Solid waste'!A1", "Solid waste")</f>
        <v>Solid waste</v>
      </c>
      <c r="D19" s="118" t="s">
        <v>441</v>
      </c>
      <c r="N19" s="118" t="s">
        <v>442</v>
      </c>
    </row>
    <row r="20" spans="1:18" ht="20.100000000000001" customHeight="1" x14ac:dyDescent="0.2">
      <c r="A20" s="5" t="str">
        <f>HYPERLINK("#'Input - Manure sent off-site'!A1", "Manure sent off-site")</f>
        <v>Manure sent off-site</v>
      </c>
      <c r="D20" s="119" t="s">
        <v>443</v>
      </c>
      <c r="N20" s="119" t="s">
        <v>444</v>
      </c>
    </row>
    <row r="21" spans="1:18" ht="20.100000000000001" customHeight="1" x14ac:dyDescent="0.2">
      <c r="A21" s="5" t="str">
        <f>HYPERLINK("#'Input - Data quality'!A1", "Data quality")</f>
        <v>Data quality</v>
      </c>
      <c r="D21" s="120" t="s">
        <v>367</v>
      </c>
      <c r="E21" s="120" t="s">
        <v>289</v>
      </c>
      <c r="F21" s="120" t="s">
        <v>290</v>
      </c>
      <c r="G21" s="120" t="s">
        <v>291</v>
      </c>
      <c r="N21" s="120" t="s">
        <v>367</v>
      </c>
      <c r="O21" s="120" t="s">
        <v>289</v>
      </c>
      <c r="P21" s="120" t="s">
        <v>290</v>
      </c>
      <c r="Q21" s="120" t="s">
        <v>291</v>
      </c>
    </row>
    <row r="22" spans="1:18" ht="20.100000000000001" customHeight="1" x14ac:dyDescent="0.2">
      <c r="A22" s="5" t="str">
        <f>HYPERLINK("#'Input - Fert Prod System'!A1", "Fert Prod System")</f>
        <v>Fert Prod System</v>
      </c>
      <c r="D22" s="15" t="str">
        <f>INDEX(X_Table_Feedlot_MMS_Stage2,3,1)</f>
        <v>Solid storage</v>
      </c>
      <c r="E22" s="15">
        <f ca="1">INDEX(M1_Table_MN_j_m_T2_Consumer_1,2,2)</f>
        <v>1250.3589396480006</v>
      </c>
      <c r="F22" s="15">
        <f ca="1">INDEX(M1_Table_MN_j_m_T2_Consumer_1,2,3)</f>
        <v>1898.7379568640001</v>
      </c>
      <c r="G22" s="15">
        <f ca="1">INDEX(M1_Table_MN_j_m_T2_Consumer_1,2,4)</f>
        <v>2742.4316159999994</v>
      </c>
      <c r="H22" s="16" t="s">
        <v>445</v>
      </c>
      <c r="I22" s="16"/>
      <c r="J22" s="16"/>
      <c r="N22" s="15" t="str">
        <f>INDEX(X_Table_Feedlot_MMS_Stage2,3,1)</f>
        <v>Solid storage</v>
      </c>
      <c r="O22" s="15">
        <f ca="1">INDEX(M1_Table_MN_j_m_T2,2,2)</f>
        <v>1250.3589396480006</v>
      </c>
      <c r="P22" s="15">
        <f ca="1">INDEX(M1_Table_MN_j_m_T2,2,3)</f>
        <v>1898.7379568640001</v>
      </c>
      <c r="Q22" s="15">
        <f ca="1">INDEX(M1_Table_MN_j_m_T2,2,4)</f>
        <v>2742.4316159999994</v>
      </c>
      <c r="R22" s="16" t="s">
        <v>445</v>
      </c>
    </row>
    <row r="23" spans="1:18" ht="20.100000000000001" customHeight="1" x14ac:dyDescent="0.2">
      <c r="A23" s="5" t="str">
        <f>HYPERLINK("#'Input - Fertiliser'!A1", "Fertiliser")</f>
        <v>Fertiliser</v>
      </c>
      <c r="D23" s="15" t="str">
        <f>INDEX(X_Table_Feedlot_MMS_Stage2,4,1)</f>
        <v>Composting (passive windrow)</v>
      </c>
      <c r="E23" s="15">
        <f ca="1">INDEX(M1_Table_MN_j_m_T2_Consumer_1,3,2)</f>
        <v>1250.3589396480006</v>
      </c>
      <c r="F23" s="15">
        <f ca="1">INDEX(M1_Table_MN_j_m_T2_Consumer_1,3,3)</f>
        <v>1898.7379568640001</v>
      </c>
      <c r="G23" s="15">
        <f ca="1">INDEX(M1_Table_MN_j_m_T2_Consumer_1,3,4)</f>
        <v>2742.4316159999994</v>
      </c>
      <c r="H23" s="16"/>
      <c r="I23" s="16"/>
      <c r="J23" s="16"/>
      <c r="N23" s="15" t="str">
        <f>INDEX(X_Table_Feedlot_MMS_Stage2,4,1)</f>
        <v>Composting (passive windrow)</v>
      </c>
      <c r="O23" s="15">
        <f ca="1">INDEX(M1_Table_MN_j_m_T2,3,2)</f>
        <v>1250.3589396480006</v>
      </c>
      <c r="P23" s="15">
        <f ca="1">INDEX(M1_Table_MN_j_m_T2,3,3)</f>
        <v>1898.7379568640001</v>
      </c>
      <c r="Q23" s="15">
        <f ca="1">INDEX(M1_Table_MN_j_m_T2,3,4)</f>
        <v>2742.4316159999994</v>
      </c>
      <c r="R23" s="16"/>
    </row>
    <row r="24" spans="1:18" ht="20.100000000000001" customHeight="1" x14ac:dyDescent="0.2">
      <c r="D24" s="15" t="str">
        <f>INDEX(X_Table_Feedlot_MMS_Stage2,5,1)</f>
        <v>Direct application</v>
      </c>
      <c r="E24" s="15">
        <f ca="1">INDEX(M1_Table_MN_j_m_T2_Consumer_1,4,2)</f>
        <v>3751.0768189440014</v>
      </c>
      <c r="F24" s="15">
        <f ca="1">INDEX(M1_Table_MN_j_m_T2_Consumer_1,4,3)</f>
        <v>5696.2138705919997</v>
      </c>
      <c r="G24" s="15">
        <f ca="1">INDEX(M1_Table_MN_j_m_T2_Consumer_1,4,4)</f>
        <v>8227.2948479999977</v>
      </c>
      <c r="N24" s="15" t="str">
        <f>INDEX(X_Table_Feedlot_MMS_Stage2,5,1)</f>
        <v>Direct application</v>
      </c>
      <c r="O24" s="15">
        <f ca="1">INDEX(M1_Table_MN_j_m_T2,4,2)</f>
        <v>3751.0768189440014</v>
      </c>
      <c r="P24" s="15">
        <f ca="1">INDEX(M1_Table_MN_j_m_T2,4,3)</f>
        <v>5696.2138705919997</v>
      </c>
      <c r="Q24" s="15">
        <f ca="1">INDEX(M1_Table_MN_j_m_T2,4,4)</f>
        <v>8227.2948479999977</v>
      </c>
      <c r="R24" s="16"/>
    </row>
    <row r="25" spans="1:18" ht="20.100000000000001" customHeight="1" x14ac:dyDescent="0.2">
      <c r="D25" s="15" t="str">
        <f>INDEX(X_Table_Feedlot_MMS_Stage3,3,1)</f>
        <v>Anaerobic lagoon</v>
      </c>
      <c r="E25" s="15">
        <f ca="1">INDEX(M1_Table_MN_j_m1_T3,2,2)</f>
        <v>333.78508800000009</v>
      </c>
      <c r="F25" s="15">
        <f ca="1">INDEX(M1_Table_MN_j_m1_T3,2,3)</f>
        <v>506.87078400000007</v>
      </c>
      <c r="G25" s="15">
        <f ca="1">INDEX(M1_Table_MN_j_m1_T3,2,4)</f>
        <v>732.09599999999978</v>
      </c>
      <c r="H25" s="16"/>
      <c r="I25" s="16"/>
      <c r="J25" s="16"/>
      <c r="N25" s="15" t="str">
        <f>INDEX(X_Table_Feedlot_MMS_Stage3,3,1)</f>
        <v>Anaerobic lagoon</v>
      </c>
      <c r="O25" s="15">
        <f ca="1">INDEX(M2_Table_MN_j_m1_T3,2,2)</f>
        <v>333.78508800000009</v>
      </c>
      <c r="P25" s="15">
        <f ca="1">INDEX(M2_Table_MN_j_m1_T3,2,3)</f>
        <v>506.87078400000007</v>
      </c>
      <c r="Q25" s="15">
        <f ca="1">INDEX(M2_Table_MN_j_m1_T3,2,4)</f>
        <v>732.09599999999978</v>
      </c>
      <c r="R25" s="16"/>
    </row>
    <row r="26" spans="1:18" ht="20.100000000000001" customHeight="1" x14ac:dyDescent="0.2">
      <c r="A26" s="6" t="s">
        <v>2</v>
      </c>
    </row>
    <row r="27" spans="1:18" ht="20.100000000000001" customHeight="1" x14ac:dyDescent="0.2">
      <c r="A27" s="5" t="str">
        <f>HYPERLINK("#'3.1.1.1-2 Enteric Methane'!A1", "3.1.1.1-2 Enteric Methane")</f>
        <v>3.1.1.1-2 Enteric Methane</v>
      </c>
      <c r="D27" s="118" t="s">
        <v>446</v>
      </c>
    </row>
    <row r="28" spans="1:18" ht="20.100000000000001" customHeight="1" x14ac:dyDescent="0.2">
      <c r="A28" s="5" t="str">
        <f>HYPERLINK("#'4.1.1.1-2 Methane'!A1", "4.1.1.1-2 Manure Methane")</f>
        <v>4.1.1.1-2 Manure Methane</v>
      </c>
      <c r="D28" s="119" t="s">
        <v>418</v>
      </c>
    </row>
    <row r="29" spans="1:18" ht="20.100000000000001" customHeight="1" x14ac:dyDescent="0.2">
      <c r="A29" s="5" t="str">
        <f>HYPERLINK("#'4.1.1.3-4 Direct N20'!A1", "4.1.1.3-4 Manure Direct N2O")</f>
        <v>4.1.1.3-4 Manure Direct N2O</v>
      </c>
      <c r="D29" s="128" t="s">
        <v>367</v>
      </c>
      <c r="E29" s="128" t="s">
        <v>419</v>
      </c>
    </row>
    <row r="30" spans="1:18" ht="20.100000000000001" customHeight="1" x14ac:dyDescent="0.2">
      <c r="A30" s="5" t="str">
        <f>HYPERLINK("#'4.1.1.5-6 Atmos Deposition'!A1", "4.1.1.5-6 Manure Atmos Dep")</f>
        <v>4.1.1.5-6 Manure Atmos Dep</v>
      </c>
      <c r="D30" s="15" t="str">
        <f>INDEX(X_Table_Feedlot_MMS_Stage1,2,1)</f>
        <v>Drylot (feed pad)</v>
      </c>
      <c r="E30" s="15">
        <f>_xlfn.XLOOKUP(D30, Table_SourceData_Feedlot_NO2EFs[NIR definition], Table_SourceData_Feedlot_NO2EFs[EF mT])</f>
        <v>5.4000000000000003E-3</v>
      </c>
      <c r="F30" s="16" t="s">
        <v>447</v>
      </c>
    </row>
    <row r="31" spans="1:18" ht="20.100000000000001" customHeight="1" x14ac:dyDescent="0.2">
      <c r="A31" s="117" t="str">
        <f>HYPERLINK("#'4.1.1.9 Manure applied to soils'!A1", "4.1.1.9 Manure applied to soils")</f>
        <v>4.1.1.9 Manure applied to soils</v>
      </c>
      <c r="D31" s="15" t="str">
        <f>INDEX(X_Table_Feedlot_MMS_Stage2,3,1)</f>
        <v>Solid storage</v>
      </c>
      <c r="E31" s="15">
        <f>_xlfn.XLOOKUP($D$31, Table_SourceData_Feedlot_NO2EFs[NIR definition], Table_SourceData_Feedlot_NO2EFs[EF mT])</f>
        <v>5.0000000000000001E-3</v>
      </c>
      <c r="F31" s="16"/>
    </row>
    <row r="32" spans="1:18" ht="20.100000000000001" customHeight="1" x14ac:dyDescent="0.2">
      <c r="A32" s="5" t="str">
        <f>HYPERLINK("#'8.1.1.1-2 Transport fuel'!A1", "8.1.1.1-2 Transport fuel")</f>
        <v>8.1.1.1-2 Transport fuel</v>
      </c>
      <c r="D32" s="15" t="str">
        <f>INDEX(X_Table_Feedlot_MMS_Stage2,4,1)</f>
        <v>Composting (passive windrow)</v>
      </c>
      <c r="E32" s="15">
        <f>_xlfn.XLOOKUP($D$32, Table_SourceData_Feedlot_NO2EFs[NIR definition], Table_SourceData_Feedlot_NO2EFs[EF mT])</f>
        <v>0.01</v>
      </c>
      <c r="F32" s="16"/>
    </row>
    <row r="33" spans="1:10" ht="20.100000000000001" customHeight="1" x14ac:dyDescent="0.2">
      <c r="A33" s="5" t="str">
        <f>HYPERLINK("#'8.2.1.1-2 Stationary fuel'!A1", "8.2.1.1-2 Stationary fuel")</f>
        <v>8.2.1.1-2 Stationary fuel</v>
      </c>
      <c r="D33" s="15" t="s">
        <v>81</v>
      </c>
      <c r="E33" s="15">
        <f>_xlfn.XLOOKUP($D$33, Table_SourceData_Feedlot_NO2EFs[NIR definition], Table_SourceData_Feedlot_NO2EFs[EF mT])</f>
        <v>0</v>
      </c>
      <c r="F33" s="16"/>
    </row>
    <row r="34" spans="1:10" ht="20.100000000000001" customHeight="1" x14ac:dyDescent="0.2">
      <c r="A34" s="5" t="str">
        <f>HYPERLINK("#'10.1.1-2 Solid waste treatment'!A1", "10.1.1.1-2 Solid waste")</f>
        <v>10.1.1.1-2 Solid waste</v>
      </c>
      <c r="D34" s="15" t="str">
        <f>INDEX(X_Table_Feedlot_MMS_Stage3,3,1)</f>
        <v>Anaerobic lagoon</v>
      </c>
      <c r="E34" s="15">
        <f>_xlfn.XLOOKUP($D$34, Table_SourceData_Feedlot_NO2EFs[NIR definition], Table_SourceData_Feedlot_NO2EFs[EF mT])</f>
        <v>0</v>
      </c>
      <c r="F34" s="16"/>
    </row>
    <row r="35" spans="1:10" ht="20.100000000000001" customHeight="1" x14ac:dyDescent="0.2">
      <c r="A35" s="5" t="str">
        <f>HYPERLINK("#'14.1.1-2 Purchased electricity'!A1", "14.1.1-2 Purchased electricity")</f>
        <v>14.1.1-2 Purchased electricity</v>
      </c>
    </row>
    <row r="36" spans="1:10" ht="20.100000000000001" customHeight="1" x14ac:dyDescent="0.2">
      <c r="A36" s="5" t="str">
        <f>HYPERLINK("#'15 Scope 3'!A1", "15 Scope 3")</f>
        <v>15 Scope 3</v>
      </c>
      <c r="D36" s="118" t="s">
        <v>434</v>
      </c>
    </row>
    <row r="37" spans="1:10" ht="20.100000000000001" customHeight="1" x14ac:dyDescent="0.2">
      <c r="A37" s="5" t="str">
        <f>HYPERLINK("#'Calcs - Manure sent off-site'!A1", "Calcs - Manure sent off-site")</f>
        <v>Calcs - Manure sent off-site</v>
      </c>
      <c r="D37" s="119" t="s">
        <v>435</v>
      </c>
    </row>
    <row r="38" spans="1:10" ht="20.100000000000001" customHeight="1" x14ac:dyDescent="0.2">
      <c r="A38" s="5" t="str">
        <f>HYPERLINK("#'5.1.1.1-2 Inorganic fert N2O'!A1", "5.1.1.1-2 Inorganic fert N2O")</f>
        <v>5.1.1.1-2 Inorganic fert N2O</v>
      </c>
      <c r="D38" s="128" t="s">
        <v>367</v>
      </c>
      <c r="E38" s="128" t="s">
        <v>419</v>
      </c>
    </row>
    <row r="39" spans="1:10" ht="20.100000000000001" customHeight="1" x14ac:dyDescent="0.2">
      <c r="A39" s="5" t="str">
        <f>HYPERLINK("#'5.1.1.3-4 Inorganic fert CO2'!A1", "5.1.1.3-4 Inorganic fert CO2")</f>
        <v>5.1.1.3-4 Inorganic fert CO2</v>
      </c>
      <c r="D39" s="15" t="str">
        <f>INDEX(X_Table_Feedlot_MMS_Stage1,2,1)</f>
        <v>Drylot (feed pad)</v>
      </c>
      <c r="E39" s="15">
        <f>_xlfn.XLOOKUP(D39, Table_SourceData_Feedlot_FracGASMmT[NIR definition], Table_SourceData_Feedlot_FracGASMmT[FracGASMmT])</f>
        <v>0.6</v>
      </c>
      <c r="F39" s="16" t="s">
        <v>448</v>
      </c>
    </row>
    <row r="40" spans="1:10" ht="20.100000000000001" customHeight="1" x14ac:dyDescent="0.2">
      <c r="A40" s="5" t="str">
        <f>HYPERLINK("#'5.2.1.1-2 Organic Fert N2O'!A1", "5.2.1.1-2 Organic Fert N2O")</f>
        <v>5.2.1.1-2 Organic Fert N2O</v>
      </c>
      <c r="D40" s="15" t="str">
        <f>INDEX(X_Table_Feedlot_MMS_Stage2,3,1)</f>
        <v>Solid storage</v>
      </c>
      <c r="E40" s="15">
        <f>_xlfn.XLOOKUP(D40, Table_SourceData_Feedlot_FracGASMmT[NIR definition], Table_SourceData_Feedlot_FracGASMmT[FracGASMmT])</f>
        <v>0.25</v>
      </c>
      <c r="F40" s="16"/>
    </row>
    <row r="41" spans="1:10" ht="20.100000000000001" customHeight="1" x14ac:dyDescent="0.2">
      <c r="A41" s="5" t="str">
        <f>HYPERLINK("#'5.3.1.1-2 Lime CO2'!A1", "5.3.1.1-2 Lime CO2")</f>
        <v>5.3.1.1-2 Lime CO2</v>
      </c>
      <c r="D41" s="15" t="str">
        <f>INDEX(X_Table_Feedlot_MMS_Stage2,4,1)</f>
        <v>Composting (passive windrow)</v>
      </c>
      <c r="E41" s="15">
        <f>_xlfn.XLOOKUP(D41, Table_SourceData_Feedlot_FracGASMmT[NIR definition], Table_SourceData_Feedlot_FracGASMmT[FracGASMmT])</f>
        <v>0.4</v>
      </c>
      <c r="F41" s="16"/>
    </row>
    <row r="42" spans="1:10" ht="20.100000000000001" customHeight="1" x14ac:dyDescent="0.2">
      <c r="A42" s="5" t="str">
        <f>HYPERLINK("#'5.4.1.1-4 Atmos deposition'!A1", "5.4.1.1-4 Atmos deposition")</f>
        <v>5.4.1.1-4 Atmos deposition</v>
      </c>
      <c r="D42" s="15" t="str">
        <f>INDEX(X_Table_Feedlot_MMS_Stage2,5,1)</f>
        <v>Direct application</v>
      </c>
      <c r="E42" s="15">
        <f>_xlfn.XLOOKUP(D42, Table_SourceData_Feedlot_FracGASMmT[NIR definition], Table_SourceData_Feedlot_FracGASMmT[FracGASMmT])</f>
        <v>0</v>
      </c>
      <c r="F42" s="16"/>
    </row>
    <row r="43" spans="1:10" ht="20.100000000000001" customHeight="1" x14ac:dyDescent="0.2">
      <c r="A43" s="5" t="str">
        <f>HYPERLINK("#'5.5.1.1-2 Leaching and runoff'!A1", "5.5.1.1-2 Leaching and runoff")</f>
        <v>5.5.1.1-2 Leaching and runoff</v>
      </c>
      <c r="D43" s="15" t="str">
        <f>INDEX(X_Table_Feedlot_MMS_Stage3,3,1)</f>
        <v>Anaerobic lagoon</v>
      </c>
      <c r="E43" s="15">
        <f>_xlfn.XLOOKUP(D43, Table_SourceData_Feedlot_FracGASMmT[NIR definition], Table_SourceData_Feedlot_FracGASMmT[FracGASMmT])</f>
        <v>0.35</v>
      </c>
      <c r="F43" s="16"/>
    </row>
    <row r="45" spans="1:10" ht="20.100000000000001" customHeight="1" x14ac:dyDescent="0.2">
      <c r="D45" s="118" t="s">
        <v>449</v>
      </c>
    </row>
    <row r="46" spans="1:10" ht="20.100000000000001" customHeight="1" x14ac:dyDescent="0.2">
      <c r="A46" s="80" t="s">
        <v>1</v>
      </c>
      <c r="D46" s="119" t="s">
        <v>450</v>
      </c>
    </row>
    <row r="47" spans="1:10" ht="20.100000000000001" customHeight="1" x14ac:dyDescent="0.2">
      <c r="A47" s="5" t="str">
        <f>HYPERLINK("#'Constants - Feedlot'!A1", "Constants - Feedlot")</f>
        <v>Constants - Feedlot</v>
      </c>
      <c r="D47" s="99" t="s">
        <v>367</v>
      </c>
      <c r="E47" s="99" t="s">
        <v>451</v>
      </c>
    </row>
    <row r="48" spans="1:10" ht="20.100000000000001" customHeight="1" x14ac:dyDescent="0.2">
      <c r="A48" s="5" t="str">
        <f>HYPERLINK("#'Constants - Common livestock'!A1", "Constants - Common Livestock")</f>
        <v>Constants - Common Livestock</v>
      </c>
      <c r="D48" s="15" t="str">
        <f>INDEX(X_Table_Feedlot_MMS_Stage2,3,1)</f>
        <v>Solid storage</v>
      </c>
      <c r="E48" s="15">
        <f ca="1">SUM(OFFSET(X_Table_Feedlot_MMS_Stage2_Destinations, 2,1,1,2))</f>
        <v>0.75</v>
      </c>
      <c r="F48" s="16" t="s">
        <v>299</v>
      </c>
      <c r="H48" s="16"/>
      <c r="I48" s="16"/>
      <c r="J48" s="16"/>
    </row>
    <row r="49" spans="1:19" ht="20.100000000000001" customHeight="1" x14ac:dyDescent="0.2">
      <c r="A49" s="5" t="str">
        <f>HYPERLINK("#'Constants - Electricity'!A1", "Constants - Electricity")</f>
        <v>Constants - Electricity</v>
      </c>
      <c r="D49" s="15" t="str">
        <f>INDEX(X_Table_Feedlot_MMS_Stage2,4,1)</f>
        <v>Composting (passive windrow)</v>
      </c>
      <c r="E49" s="15">
        <f ca="1">SUM(OFFSET(X_Table_Feedlot_MMS_Stage2_Destinations, 3,1,1,2))</f>
        <v>0.75</v>
      </c>
      <c r="F49" s="16"/>
      <c r="H49" s="16"/>
      <c r="I49" s="16"/>
      <c r="J49" s="16"/>
    </row>
    <row r="50" spans="1:19" ht="20.100000000000001" customHeight="1" x14ac:dyDescent="0.2">
      <c r="A50" s="5" t="str">
        <f>HYPERLINK("#'Constants - Fertiliser'!A1", "Constants - Fertiliser")</f>
        <v>Constants - Fertiliser</v>
      </c>
      <c r="D50" s="15" t="str">
        <f>INDEX(X_Table_Feedlot_MMS_Stage2,5,1)</f>
        <v>Direct application</v>
      </c>
      <c r="E50" s="15">
        <f ca="1">SUM(OFFSET(X_Table_Feedlot_MMS_Stage2_Destinations, 4,1,1,2))</f>
        <v>1</v>
      </c>
      <c r="F50" s="16"/>
      <c r="H50" s="16"/>
      <c r="I50" s="16"/>
      <c r="J50" s="16"/>
    </row>
    <row r="51" spans="1:19" ht="20.100000000000001" customHeight="1" x14ac:dyDescent="0.2">
      <c r="A51" s="5" t="str">
        <f>HYPERLINK("#'Constants - Fuel'!A1", "Constants - Fuel")</f>
        <v>Constants - Fuel</v>
      </c>
      <c r="D51" s="15" t="str">
        <f>INDEX(X_Table_Feedlot_MMS_Stage3,3,1)</f>
        <v>Anaerobic lagoon</v>
      </c>
      <c r="E51" s="15">
        <f ca="1">SUM(OFFSET(X_Table_Feedlot_MMS_Stage3_Destinations, 2,1,1,2))</f>
        <v>0.75</v>
      </c>
      <c r="F51" s="16"/>
      <c r="H51" s="16"/>
      <c r="I51" s="16"/>
      <c r="J51" s="16"/>
    </row>
    <row r="52" spans="1:19" ht="20.100000000000001" customHeight="1" x14ac:dyDescent="0.2">
      <c r="A52" s="5" t="str">
        <f>HYPERLINK("#'Constants - Scope 3'!A1", "Constants - Scope 3")</f>
        <v>Constants - Scope 3</v>
      </c>
    </row>
    <row r="53" spans="1:19" ht="20.100000000000001" customHeight="1" x14ac:dyDescent="0.2">
      <c r="A53" s="5" t="str">
        <f>HYPERLINK("#'Constants - Solid Waste'!A1", "Constants - Solid Waste")</f>
        <v>Constants - Solid Waste</v>
      </c>
      <c r="D53" s="118" t="s">
        <v>452</v>
      </c>
      <c r="N53" s="118" t="s">
        <v>453</v>
      </c>
    </row>
    <row r="54" spans="1:19" ht="20.100000000000001" customHeight="1" x14ac:dyDescent="0.2">
      <c r="A54" s="5" t="str">
        <f>HYPERLINK("#'Constants - Common'!A1", "Constants - Common")</f>
        <v>Constants - Common</v>
      </c>
      <c r="D54" s="119" t="s">
        <v>454</v>
      </c>
      <c r="N54" s="119" t="s">
        <v>455</v>
      </c>
    </row>
    <row r="55" spans="1:19" ht="20.100000000000001" customHeight="1" x14ac:dyDescent="0.2">
      <c r="A55" s="5" t="str">
        <f>HYPERLINK("#'Acknowledgements'!A1", "Acknowledgements")</f>
        <v>Acknowledgements</v>
      </c>
      <c r="D55" s="120" t="s">
        <v>367</v>
      </c>
      <c r="E55" s="120" t="s">
        <v>289</v>
      </c>
      <c r="F55" s="120" t="s">
        <v>290</v>
      </c>
      <c r="G55" s="120" t="s">
        <v>291</v>
      </c>
      <c r="N55" s="120" t="s">
        <v>367</v>
      </c>
      <c r="O55" s="120" t="s">
        <v>289</v>
      </c>
      <c r="P55" s="120" t="s">
        <v>290</v>
      </c>
      <c r="Q55" s="120" t="s">
        <v>291</v>
      </c>
    </row>
    <row r="56" spans="1:19" ht="20.100000000000001" customHeight="1" x14ac:dyDescent="0.2">
      <c r="D56" s="15" t="str">
        <f>INDEX(X_Table_Feedlot_MMS_Stage2,3,1)</f>
        <v>Solid storage</v>
      </c>
      <c r="E56" s="15">
        <f ca="1">((E22 * (1 - (_xlfn.XLOOKUP($D56,$D$30:$D$34,$E$30:$E$34)) - (_xlfn.XLOOKUP($D56,$D$39:$D$43,$E$39:$E$43)))) * $E48)</f>
        <v>698.63805752832036</v>
      </c>
      <c r="F56" s="15">
        <f ca="1">((F22 * (1 - (_xlfn.XLOOKUP($D56,$D$30:$D$34,$E$30:$E$34)) - (_xlfn.XLOOKUP($D56,$D$39:$D$43,$E$39:$E$43)))) * $E48)</f>
        <v>1060.9198333977599</v>
      </c>
      <c r="G56" s="15">
        <f ca="1">((G22 * (1 - (_xlfn.XLOOKUP($D56,$D$30:$D$34,$E$30:$E$34)) - (_xlfn.XLOOKUP($D56,$D$39:$D$43,$E$39:$E$43)))) * $E48)</f>
        <v>1532.3336654399995</v>
      </c>
      <c r="H56" s="16" t="str">
        <f>$E$12</f>
        <v>kg N</v>
      </c>
      <c r="I56" s="16"/>
      <c r="J56" s="16"/>
      <c r="N56" s="15" t="str">
        <f>INDEX(X_Table_Feedlot_MMS_Stage2,3,1)</f>
        <v>Solid storage</v>
      </c>
      <c r="O56" s="15">
        <f ca="1">((O22 * (1 - (_xlfn.XLOOKUP($N56,$D$30:$D$34,$E$30:$E$34)) - (_xlfn.XLOOKUP($N56,$D$39:$D$43,$E$39:$E$43)))) * $E48)</f>
        <v>698.63805752832036</v>
      </c>
      <c r="P56" s="15">
        <f ca="1">((P22 * (1 - (_xlfn.XLOOKUP($N56,$D$30:$D$34,$E$30:$E$34)) - (_xlfn.XLOOKUP($N56,$D$39:$D$43,$E$39:$E$43)))) * $E48)</f>
        <v>1060.9198333977599</v>
      </c>
      <c r="Q56" s="15">
        <f ca="1">((Q22 * (1 - (_xlfn.XLOOKUP($N56,$D$30:$D$34,$E$30:$E$34)) - (_xlfn.XLOOKUP($N56,$D$39:$D$43,$E$39:$E$43)))) * $E48)</f>
        <v>1532.3336654399995</v>
      </c>
      <c r="R56" s="16" t="str">
        <f>$E$12</f>
        <v>kg N</v>
      </c>
    </row>
    <row r="57" spans="1:19" ht="20.100000000000001" customHeight="1" x14ac:dyDescent="0.2">
      <c r="D57" s="15" t="str">
        <f>INDEX(X_Table_Feedlot_MMS_Stage2,4,1)</f>
        <v>Composting (passive windrow)</v>
      </c>
      <c r="E57" s="15">
        <f ca="1">((E23 * (1 - (_xlfn.XLOOKUP($D57,$D$30:$D$34,$E$30:$E$34)) - (_xlfn.XLOOKUP($D57,$D$39:$D$43,$E$39:$E$43)))) * $E49)</f>
        <v>553.2838307942402</v>
      </c>
      <c r="F57" s="15">
        <f ca="1">((F23 * (1 - (_xlfn.XLOOKUP($D57,$D$30:$D$34,$E$30:$E$34)) - (_xlfn.XLOOKUP($D57,$D$39:$D$43,$E$39:$E$43)))) * $E49)</f>
        <v>840.19154591231995</v>
      </c>
      <c r="G57" s="15">
        <f ca="1">((G23 * (1 - (_xlfn.XLOOKUP($D57,$D$30:$D$34,$E$30:$E$34)) - (_xlfn.XLOOKUP($D57,$D$39:$D$43,$E$39:$E$43)))) * $E49)</f>
        <v>1213.5259900799997</v>
      </c>
      <c r="H57" s="16"/>
      <c r="I57" s="16"/>
      <c r="J57" s="16"/>
      <c r="N57" s="15" t="str">
        <f>INDEX(X_Table_Feedlot_MMS_Stage2,4,1)</f>
        <v>Composting (passive windrow)</v>
      </c>
      <c r="O57" s="15">
        <f ca="1">((O23 * (1 - (_xlfn.XLOOKUP($N57,$D$30:$D$34,$E$30:$E$34)) - (_xlfn.XLOOKUP($N57,$D$39:$D$43,$E$39:$E$43)))) * $E49)</f>
        <v>553.2838307942402</v>
      </c>
      <c r="P57" s="15">
        <f ca="1">((P23 * (1 - (_xlfn.XLOOKUP($N57,$D$30:$D$34,$E$30:$E$34)) - (_xlfn.XLOOKUP($N57,$D$39:$D$43,$E$39:$E$43)))) * $E49)</f>
        <v>840.19154591231995</v>
      </c>
      <c r="Q57" s="15">
        <f ca="1">((Q23 * (1 - (_xlfn.XLOOKUP($N57,$D$30:$D$34,$E$30:$E$34)) - (_xlfn.XLOOKUP($N57,$D$39:$D$43,$E$39:$E$43)))) * $E49)</f>
        <v>1213.5259900799997</v>
      </c>
      <c r="R57" s="16"/>
    </row>
    <row r="58" spans="1:19" ht="20.100000000000001" customHeight="1" x14ac:dyDescent="0.2">
      <c r="D58" s="15" t="str">
        <f>INDEX(X_Table_Feedlot_MMS_Stage2,5,1)</f>
        <v>Direct application</v>
      </c>
      <c r="E58" s="15">
        <f ca="1">((E24 * (1 - (_xlfn.XLOOKUP($D58,$D$30:$D$34,$E$30:$E$34)) - (_xlfn.XLOOKUP($D58,$D$39:$D$43,$E$39:$E$43)))) * $E50)</f>
        <v>3751.0768189440014</v>
      </c>
      <c r="F58" s="15">
        <f ca="1">((F24 * (1 - (_xlfn.XLOOKUP($D58,$D$30:$D$34,$E$30:$E$34)) - (_xlfn.XLOOKUP($D58,$D$39:$D$43,$E$39:$E$43)))) * $E50)</f>
        <v>5696.2138705919997</v>
      </c>
      <c r="G58" s="15">
        <f ca="1">((G24 * (1 - (_xlfn.XLOOKUP($D58,$D$30:$D$34,$E$30:$E$34)) - (_xlfn.XLOOKUP($D58,$D$39:$D$43,$E$39:$E$43)))) * $E50)</f>
        <v>8227.2948479999977</v>
      </c>
      <c r="H58" s="16"/>
      <c r="I58" s="16"/>
      <c r="J58" s="16"/>
      <c r="N58" s="15" t="str">
        <f>INDEX(X_Table_Feedlot_MMS_Stage2,5,1)</f>
        <v>Direct application</v>
      </c>
      <c r="O58" s="15">
        <f ca="1">((O24 * (1 - (_xlfn.XLOOKUP($N58,$D$30:$D$34,$E$30:$E$34)) - (_xlfn.XLOOKUP($N58,$D$39:$D$43,$E$39:$E$43)))) * $E50)</f>
        <v>3751.0768189440014</v>
      </c>
      <c r="P58" s="15">
        <f ca="1">((P24 * (1 - (_xlfn.XLOOKUP($N58,$D$30:$D$34,$E$30:$E$34)) - (_xlfn.XLOOKUP($N58,$D$39:$D$43,$E$39:$E$43)))) * $E50)</f>
        <v>5696.2138705919997</v>
      </c>
      <c r="Q58" s="15">
        <f ca="1">((Q24 * (1 - (_xlfn.XLOOKUP($N58,$D$30:$D$34,$E$30:$E$34)) - (_xlfn.XLOOKUP($N58,$D$39:$D$43,$E$39:$E$43)))) * $E50)</f>
        <v>8227.2948479999977</v>
      </c>
      <c r="R58" s="16"/>
    </row>
    <row r="59" spans="1:19" ht="20.100000000000001" customHeight="1" x14ac:dyDescent="0.2">
      <c r="D59" s="15" t="str">
        <f>INDEX(X_Table_Feedlot_MMS_Stage3,3,1)</f>
        <v>Anaerobic lagoon</v>
      </c>
      <c r="E59" s="15">
        <f ca="1">((E25 * (1 - (_xlfn.XLOOKUP($D59,$D$30:$D$34,$E$30:$E$34)) - (_xlfn.XLOOKUP($D59,$D$39:$D$43,$E$39:$E$43)))) * $E51)</f>
        <v>162.72023040000005</v>
      </c>
      <c r="F59" s="15">
        <f ca="1">((F25 * (1 - (_xlfn.XLOOKUP($D59,$D$30:$D$34,$E$30:$E$34)) - (_xlfn.XLOOKUP($D59,$D$39:$D$43,$E$39:$E$43)))) * $E51)</f>
        <v>247.09950720000006</v>
      </c>
      <c r="G59" s="15">
        <f ca="1">((G25 * (1 - (_xlfn.XLOOKUP($D59,$D$30:$D$34,$E$30:$E$34)) - (_xlfn.XLOOKUP($D59,$D$39:$D$43,$E$39:$E$43)))) * $E51)</f>
        <v>356.89679999999987</v>
      </c>
      <c r="H59" s="16"/>
      <c r="I59" s="16"/>
      <c r="J59" s="16"/>
      <c r="N59" s="15" t="str">
        <f>INDEX(X_Table_Feedlot_MMS_Stage3,3,1)</f>
        <v>Anaerobic lagoon</v>
      </c>
      <c r="O59" s="15">
        <f ca="1">((O25 * (1 - (_xlfn.XLOOKUP($N59,$D$30:$D$34,$E$30:$E$34)) - (_xlfn.XLOOKUP($N59,$D$39:$D$43,$E$39:$E$43)))) * $E51)</f>
        <v>162.72023040000005</v>
      </c>
      <c r="P59" s="15">
        <f ca="1">((P25 * (1 - (_xlfn.XLOOKUP($N59,$D$30:$D$34,$E$30:$E$34)) - (_xlfn.XLOOKUP($N59,$D$39:$D$43,$E$39:$E$43)))) * $E51)</f>
        <v>247.09950720000006</v>
      </c>
      <c r="Q59" s="15">
        <f ca="1">((Q25 * (1 - (_xlfn.XLOOKUP($N59,$D$30:$D$34,$E$30:$E$34)) - (_xlfn.XLOOKUP($N59,$D$39:$D$43,$E$39:$E$43)))) * $E51)</f>
        <v>356.89679999999987</v>
      </c>
      <c r="R59" s="16"/>
    </row>
    <row r="61" spans="1:19" ht="20.100000000000001" customHeight="1" x14ac:dyDescent="0.2">
      <c r="D61" s="85" t="s">
        <v>456</v>
      </c>
      <c r="E61" s="86">
        <f ca="1">SUM(E56:G59)</f>
        <v>24340.194998288636</v>
      </c>
      <c r="F61" s="95" t="str">
        <f>$E$12</f>
        <v>kg N</v>
      </c>
      <c r="N61" s="85" t="s">
        <v>456</v>
      </c>
      <c r="O61" s="86">
        <f ca="1">SUM(O56:Q59)</f>
        <v>24340.194998288636</v>
      </c>
      <c r="P61" s="95" t="str">
        <f>$E$12</f>
        <v>kg N</v>
      </c>
    </row>
    <row r="64" spans="1:19" ht="20.100000000000001" customHeight="1" x14ac:dyDescent="0.2">
      <c r="C64" s="83"/>
      <c r="D64" s="83"/>
      <c r="E64" s="83"/>
      <c r="F64" s="83"/>
      <c r="G64" s="83"/>
      <c r="H64" s="83"/>
      <c r="I64" s="83"/>
      <c r="J64" s="83"/>
      <c r="K64" s="83"/>
      <c r="M64" s="83"/>
      <c r="N64" s="83"/>
      <c r="O64" s="83"/>
      <c r="P64" s="83"/>
      <c r="Q64" s="83"/>
      <c r="R64" s="83"/>
      <c r="S64" s="83"/>
    </row>
    <row r="65" spans="1:14" ht="20.100000000000001" customHeight="1" x14ac:dyDescent="0.2">
      <c r="D65" s="2" t="s">
        <v>1344</v>
      </c>
    </row>
    <row r="66" spans="1:14" ht="20.100000000000001" customHeight="1" x14ac:dyDescent="0.2">
      <c r="A66" s="79" t="str">
        <f>HYPERLINK("#A1", "▲ Back to top")</f>
        <v>▲ Back to top</v>
      </c>
      <c r="D66" s="17" t="s">
        <v>1345</v>
      </c>
    </row>
    <row r="67" spans="1:14" ht="20.100000000000001" customHeight="1" x14ac:dyDescent="0.2">
      <c r="D67" s="112"/>
      <c r="E67" s="112"/>
    </row>
    <row r="69" spans="1:14" ht="20.100000000000001" customHeight="1" x14ac:dyDescent="0.2">
      <c r="D69" s="2"/>
    </row>
    <row r="71" spans="1:14" ht="20.100000000000001" customHeight="1" x14ac:dyDescent="0.2">
      <c r="D71" s="75" t="s">
        <v>321</v>
      </c>
      <c r="E71" s="1" t="s">
        <v>1346</v>
      </c>
    </row>
    <row r="72" spans="1:14" ht="20.100000000000001" customHeight="1" x14ac:dyDescent="0.2">
      <c r="D72" s="75" t="s">
        <v>118</v>
      </c>
      <c r="E72" s="9" t="s">
        <v>445</v>
      </c>
    </row>
    <row r="74" spans="1:14" ht="20.100000000000001" customHeight="1" x14ac:dyDescent="0.2">
      <c r="D74" s="113" t="s">
        <v>1336</v>
      </c>
      <c r="E74" s="121" t="s">
        <v>1337</v>
      </c>
      <c r="F74" s="132"/>
      <c r="G74" s="122"/>
      <c r="H74" s="113" t="s">
        <v>445</v>
      </c>
      <c r="I74" s="115" t="s">
        <v>1343</v>
      </c>
      <c r="J74" s="116" t="str" cm="1">
        <f t="array" aca="1" ref="J74" ca="1">HYPERLINK(Common_InputFunctions.Utility_SourceHyperlink($D$19),$D$19)</f>
        <v>M1_Table_MN_j_m_T-2-3</v>
      </c>
    </row>
    <row r="75" spans="1:14" ht="20.100000000000001" customHeight="1" x14ac:dyDescent="0.2">
      <c r="D75" s="113" t="s">
        <v>1338</v>
      </c>
      <c r="E75" s="121" t="s">
        <v>1339</v>
      </c>
      <c r="F75" s="132"/>
      <c r="G75" s="122"/>
      <c r="H75" s="113" t="s">
        <v>1314</v>
      </c>
      <c r="I75" s="115" t="s">
        <v>1227</v>
      </c>
      <c r="J75" s="116" t="str" cm="1">
        <f t="array" aca="1" ref="J75" ca="1">HYPERLINK(Common_InputFunctions.Utility_SourceHyperlink($D$27),$D$27)</f>
        <v>Table_EF_j_m_T-2-3</v>
      </c>
    </row>
    <row r="76" spans="1:14" ht="20.100000000000001" customHeight="1" x14ac:dyDescent="0.2">
      <c r="D76" s="113" t="s">
        <v>1340</v>
      </c>
      <c r="E76" s="121" t="s">
        <v>1341</v>
      </c>
      <c r="F76" s="132"/>
      <c r="G76" s="122"/>
      <c r="H76" s="113" t="s">
        <v>448</v>
      </c>
      <c r="I76" s="115" t="s">
        <v>1227</v>
      </c>
      <c r="J76" s="116" t="str" cm="1">
        <f t="array" aca="1" ref="J76" ca="1">HYPERLINK(Common_InputFunctions.Utility_SourceHyperlink($D$36),$D$36)</f>
        <v>Table_FracGASM_m_T-2-3</v>
      </c>
    </row>
    <row r="77" spans="1:14" ht="20.100000000000001" customHeight="1" x14ac:dyDescent="0.2">
      <c r="D77" s="113" t="s">
        <v>451</v>
      </c>
      <c r="E77" s="121" t="s">
        <v>1342</v>
      </c>
      <c r="F77" s="132"/>
      <c r="G77" s="122"/>
      <c r="H77" s="113" t="s">
        <v>299</v>
      </c>
      <c r="I77" s="114" t="s">
        <v>1196</v>
      </c>
      <c r="J77" s="116" t="str" cm="1">
        <f t="array" aca="1" ref="J77" ca="1">HYPERLINK(Common_InputFunctions.Utility_SourceHyperlink($D$45),$D$45)</f>
        <v>Table_PF</v>
      </c>
    </row>
    <row r="79" spans="1:14" ht="20.100000000000001" customHeight="1" x14ac:dyDescent="0.2">
      <c r="D79" s="118" t="s">
        <v>457</v>
      </c>
      <c r="N79" s="118" t="s">
        <v>458</v>
      </c>
    </row>
    <row r="80" spans="1:14" ht="20.100000000000001" customHeight="1" x14ac:dyDescent="0.2">
      <c r="D80" s="119" t="s">
        <v>459</v>
      </c>
      <c r="N80" s="119" t="s">
        <v>460</v>
      </c>
    </row>
    <row r="81" spans="1:19" ht="20.100000000000001" customHeight="1" x14ac:dyDescent="0.2">
      <c r="D81" s="120" t="s">
        <v>367</v>
      </c>
      <c r="E81" s="120" t="s">
        <v>289</v>
      </c>
      <c r="F81" s="120" t="s">
        <v>290</v>
      </c>
      <c r="G81" s="120" t="s">
        <v>291</v>
      </c>
      <c r="N81" s="120" t="s">
        <v>367</v>
      </c>
      <c r="O81" s="120" t="s">
        <v>289</v>
      </c>
      <c r="P81" s="120" t="s">
        <v>290</v>
      </c>
      <c r="Q81" s="120" t="s">
        <v>291</v>
      </c>
    </row>
    <row r="82" spans="1:19" ht="20.100000000000001" customHeight="1" x14ac:dyDescent="0.2">
      <c r="D82" s="15" t="str">
        <f>INDEX(X_Table_Feedlot_MMS_Stage2,3,1)</f>
        <v>Solid storage</v>
      </c>
      <c r="E82" s="15">
        <f ca="1">((E22 * (1 - (_xlfn.XLOOKUP($D82, $D$30:$D$34,$E$30:$E$34)) - (_xlfn.XLOOKUP($D82,$D$39:$D$43,$E$39:$E$43)))) * (1 - $E48))</f>
        <v>232.87935250944011</v>
      </c>
      <c r="F82" s="15">
        <f ca="1">((F22 * (1 - (_xlfn.XLOOKUP($D82, $D$30:$D$34,$E$30:$E$34)) - (_xlfn.XLOOKUP($D82,$D$39:$D$43,$E$39:$E$43)))) * (1 - $E48))</f>
        <v>353.63994446592</v>
      </c>
      <c r="G82" s="15">
        <f ca="1">((G22 * (1 - (_xlfn.XLOOKUP($D82, $D$30:$D$34,$E$30:$E$34)) - (_xlfn.XLOOKUP($D82,$D$39:$D$43,$E$39:$E$43)))) * (1 - $E48))</f>
        <v>510.77788847999989</v>
      </c>
      <c r="H82" s="16" t="str">
        <f>$E$12</f>
        <v>kg N</v>
      </c>
      <c r="I82" s="16"/>
      <c r="J82" s="16"/>
      <c r="N82" s="15" t="str">
        <f>INDEX(X_Table_Feedlot_MMS_Stage2,3,1)</f>
        <v>Solid storage</v>
      </c>
      <c r="O82" s="15">
        <f ca="1">((O22 * (1 - (_xlfn.XLOOKUP($N82, $D$30:$D$34,$E$30:$E$34)) - (_xlfn.XLOOKUP($N82,$D$39:$D$43,$E$39:$E$43)))) * (1 - $E48))</f>
        <v>232.87935250944011</v>
      </c>
      <c r="P82" s="15">
        <f ca="1">((P22 * (1 - (_xlfn.XLOOKUP($N82, $D$30:$D$34,$E$30:$E$34)) - (_xlfn.XLOOKUP($N82,$D$39:$D$43,$E$39:$E$43)))) * (1 - $E48))</f>
        <v>353.63994446592</v>
      </c>
      <c r="Q82" s="15">
        <f ca="1">((Q22 * (1 - (_xlfn.XLOOKUP($N82, $D$30:$D$34,$E$30:$E$34)) - (_xlfn.XLOOKUP($N82,$D$39:$D$43,$E$39:$E$43)))) * (1 - $E48))</f>
        <v>510.77788847999989</v>
      </c>
      <c r="R82" s="16" t="str">
        <f>$E$12</f>
        <v>kg N</v>
      </c>
    </row>
    <row r="83" spans="1:19" ht="20.100000000000001" customHeight="1" x14ac:dyDescent="0.2">
      <c r="D83" s="15" t="str">
        <f>INDEX(X_Table_Feedlot_MMS_Stage2,4,1)</f>
        <v>Composting (passive windrow)</v>
      </c>
      <c r="E83" s="15">
        <f ca="1">((E23 * (1 - (_xlfn.XLOOKUP($D83, $D$30:$D$34,$E$30:$E$34)) - (_xlfn.XLOOKUP($D83,$D$39:$D$43,$E$39:$E$43)))) * (1 - $E49))</f>
        <v>184.42794359808008</v>
      </c>
      <c r="F83" s="15">
        <f ca="1">((F23 * (1 - (_xlfn.XLOOKUP($D83, $D$30:$D$34,$E$30:$E$34)) - (_xlfn.XLOOKUP($D83,$D$39:$D$43,$E$39:$E$43)))) * (1 - $E49))</f>
        <v>280.06384863744</v>
      </c>
      <c r="G83" s="15">
        <f ca="1">((G23 * (1 - (_xlfn.XLOOKUP($D83, $D$30:$D$34,$E$30:$E$34)) - (_xlfn.XLOOKUP($D83,$D$39:$D$43,$E$39:$E$43)))) * (1 - $E49))</f>
        <v>404.5086633599999</v>
      </c>
      <c r="H83" s="16"/>
      <c r="I83" s="16"/>
      <c r="J83" s="16"/>
      <c r="N83" s="15" t="str">
        <f>INDEX(X_Table_Feedlot_MMS_Stage2,4,1)</f>
        <v>Composting (passive windrow)</v>
      </c>
      <c r="O83" s="15">
        <f ca="1">((O23 * (1 - (_xlfn.XLOOKUP($N83, $D$30:$D$34,$E$30:$E$34)) - (_xlfn.XLOOKUP($N83,$D$39:$D$43,$E$39:$E$43)))) * (1 - $E49))</f>
        <v>184.42794359808008</v>
      </c>
      <c r="P83" s="15">
        <f ca="1">((P23 * (1 - (_xlfn.XLOOKUP($N83, $D$30:$D$34,$E$30:$E$34)) - (_xlfn.XLOOKUP($N83,$D$39:$D$43,$E$39:$E$43)))) * (1 - $E49))</f>
        <v>280.06384863744</v>
      </c>
      <c r="Q83" s="15">
        <f ca="1">((Q23 * (1 - (_xlfn.XLOOKUP($N83, $D$30:$D$34,$E$30:$E$34)) - (_xlfn.XLOOKUP($N83,$D$39:$D$43,$E$39:$E$43)))) * (1 - $E49))</f>
        <v>404.5086633599999</v>
      </c>
      <c r="R83" s="16"/>
    </row>
    <row r="84" spans="1:19" ht="20.100000000000001" customHeight="1" x14ac:dyDescent="0.2">
      <c r="D84" s="15" t="str">
        <f>INDEX(X_Table_Feedlot_MMS_Stage2,5,1)</f>
        <v>Direct application</v>
      </c>
      <c r="E84" s="15">
        <f ca="1">((E24 * (1 - (_xlfn.XLOOKUP($D84, $D$30:$D$34,$E$30:$E$34)) - (_xlfn.XLOOKUP($D84,$D$39:$D$43,$E$39:$E$43)))) * (1 - $E50))</f>
        <v>0</v>
      </c>
      <c r="F84" s="15">
        <f ca="1">((F24 * (1 - (_xlfn.XLOOKUP($D84, $D$30:$D$34,$E$30:$E$34)) - (_xlfn.XLOOKUP($D84,$D$39:$D$43,$E$39:$E$43)))) * (1 - $E50))</f>
        <v>0</v>
      </c>
      <c r="G84" s="15">
        <f ca="1">((G24 * (1 - (_xlfn.XLOOKUP($D84, $D$30:$D$34,$E$30:$E$34)) - (_xlfn.XLOOKUP($D84,$D$39:$D$43,$E$39:$E$43)))) * (1 - $E50))</f>
        <v>0</v>
      </c>
      <c r="H84" s="16"/>
      <c r="I84" s="16"/>
      <c r="J84" s="16"/>
      <c r="N84" s="15" t="str">
        <f>INDEX(X_Table_Feedlot_MMS_Stage2,5,1)</f>
        <v>Direct application</v>
      </c>
      <c r="O84" s="15">
        <f ca="1">((O24 * (1 - (_xlfn.XLOOKUP($N84, $D$30:$D$34,$E$30:$E$34)) - (_xlfn.XLOOKUP($N84,$D$39:$D$43,$E$39:$E$43)))) * (1 - $E50))</f>
        <v>0</v>
      </c>
      <c r="P84" s="15">
        <f ca="1">((P24 * (1 - (_xlfn.XLOOKUP($N84, $D$30:$D$34,$E$30:$E$34)) - (_xlfn.XLOOKUP($N84,$D$39:$D$43,$E$39:$E$43)))) * (1 - $E50))</f>
        <v>0</v>
      </c>
      <c r="Q84" s="15">
        <f ca="1">((Q24 * (1 - (_xlfn.XLOOKUP($N84, $D$30:$D$34,$E$30:$E$34)) - (_xlfn.XLOOKUP($N84,$D$39:$D$43,$E$39:$E$43)))) * (1 - $E50))</f>
        <v>0</v>
      </c>
      <c r="R84" s="16"/>
    </row>
    <row r="85" spans="1:19" ht="20.100000000000001" customHeight="1" x14ac:dyDescent="0.2">
      <c r="D85" s="15" t="str">
        <f>INDEX(X_Table_Feedlot_MMS_Stage3,3,1)</f>
        <v>Anaerobic lagoon</v>
      </c>
      <c r="E85" s="15">
        <f ca="1">((E25 * (1 - (_xlfn.XLOOKUP($D85, $D$30:$D$34,$E$30:$E$34)) - (_xlfn.XLOOKUP($D85,$D$39:$D$43,$E$39:$E$43)))) * (1 - $E51))</f>
        <v>54.240076800000018</v>
      </c>
      <c r="F85" s="15">
        <f ca="1">((F25 * (1 - (_xlfn.XLOOKUP($D85, $D$30:$D$34,$E$30:$E$34)) - (_xlfn.XLOOKUP($D85,$D$39:$D$43,$E$39:$E$43)))) * (1 - $E51))</f>
        <v>82.366502400000016</v>
      </c>
      <c r="G85" s="15">
        <f ca="1">((G25 * (1 - (_xlfn.XLOOKUP($D85, $D$30:$D$34,$E$30:$E$34)) - (_xlfn.XLOOKUP($D85,$D$39:$D$43,$E$39:$E$43)))) * (1 - $E51))</f>
        <v>118.96559999999997</v>
      </c>
      <c r="H85" s="16"/>
      <c r="I85" s="16"/>
      <c r="J85" s="16"/>
      <c r="N85" s="15" t="str">
        <f>INDEX(X_Table_Feedlot_MMS_Stage3,3,1)</f>
        <v>Anaerobic lagoon</v>
      </c>
      <c r="O85" s="15">
        <f ca="1">((O25 * (1 - (_xlfn.XLOOKUP($N85, $D$30:$D$34,$E$30:$E$34)) - (_xlfn.XLOOKUP($N85,$D$39:$D$43,$E$39:$E$43)))) * (1 - $E51))</f>
        <v>54.240076800000018</v>
      </c>
      <c r="P85" s="15">
        <f ca="1">((P25 * (1 - (_xlfn.XLOOKUP($N85, $D$30:$D$34,$E$30:$E$34)) - (_xlfn.XLOOKUP($N85,$D$39:$D$43,$E$39:$E$43)))) * (1 - $E51))</f>
        <v>82.366502400000016</v>
      </c>
      <c r="Q85" s="15">
        <f ca="1">((Q25 * (1 - (_xlfn.XLOOKUP($N85, $D$30:$D$34,$E$30:$E$34)) - (_xlfn.XLOOKUP($N85,$D$39:$D$43,$E$39:$E$43)))) * (1 - $E51))</f>
        <v>118.96559999999997</v>
      </c>
      <c r="R85" s="16"/>
    </row>
    <row r="87" spans="1:19" ht="20.100000000000001" customHeight="1" x14ac:dyDescent="0.2">
      <c r="D87" s="85" t="s">
        <v>461</v>
      </c>
      <c r="E87" s="86">
        <f ca="1">SUM(E82:G85)</f>
        <v>2221.8698202508799</v>
      </c>
      <c r="F87" s="95" t="str">
        <f>$E$12</f>
        <v>kg N</v>
      </c>
      <c r="N87" s="85" t="s">
        <v>461</v>
      </c>
      <c r="O87" s="86">
        <f ca="1">SUM(O82:Q85)</f>
        <v>2221.8698202508799</v>
      </c>
      <c r="P87" s="95" t="str">
        <f>$E$12</f>
        <v>kg N</v>
      </c>
    </row>
    <row r="90" spans="1:19" ht="20.100000000000001" customHeight="1" x14ac:dyDescent="0.2">
      <c r="C90" s="83"/>
      <c r="D90" s="83"/>
      <c r="E90" s="83"/>
      <c r="F90" s="83"/>
      <c r="G90" s="83"/>
      <c r="H90" s="83"/>
      <c r="I90" s="83"/>
      <c r="J90" s="83"/>
      <c r="K90" s="83"/>
      <c r="L90" s="133"/>
      <c r="M90" s="83"/>
      <c r="N90" s="83"/>
      <c r="O90" s="83"/>
      <c r="P90" s="83"/>
      <c r="Q90" s="83"/>
      <c r="R90" s="83"/>
      <c r="S90" s="83"/>
    </row>
    <row r="91" spans="1:19" ht="20.100000000000001" customHeight="1" x14ac:dyDescent="0.2">
      <c r="D91" s="129" t="str">
        <f>"Below are applications of " &amp; D6 &amp; " that are applied to the following contexts:"</f>
        <v>Below are applications of VEERG 2026: 4.1.1.9, Equation (1) that are applied to the following contexts:</v>
      </c>
      <c r="E91" s="43"/>
      <c r="F91" s="43"/>
      <c r="G91" s="43"/>
      <c r="H91" s="44"/>
    </row>
    <row r="92" spans="1:19" ht="20.100000000000001" customHeight="1" x14ac:dyDescent="0.2">
      <c r="D92" s="45" t="s">
        <v>462</v>
      </c>
      <c r="E92" s="46"/>
      <c r="F92" s="46"/>
      <c r="G92" s="46"/>
      <c r="H92" s="47"/>
    </row>
    <row r="94" spans="1:19" ht="20.100000000000001" customHeight="1" x14ac:dyDescent="0.2">
      <c r="D94" s="2" t="s">
        <v>463</v>
      </c>
    </row>
    <row r="95" spans="1:19" ht="20.100000000000001" customHeight="1" x14ac:dyDescent="0.2">
      <c r="D95" s="118" t="s">
        <v>464</v>
      </c>
    </row>
    <row r="96" spans="1:19" ht="20.100000000000001" customHeight="1" x14ac:dyDescent="0.2">
      <c r="A96" s="79" t="str">
        <f>HYPERLINK("#A1", "▲ Back to top")</f>
        <v>▲ Back to top</v>
      </c>
      <c r="D96" s="119" t="s">
        <v>465</v>
      </c>
    </row>
    <row r="97" spans="4:18" ht="20.100000000000001" customHeight="1" x14ac:dyDescent="0.2">
      <c r="D97" s="99" t="s">
        <v>367</v>
      </c>
      <c r="E97" s="99" t="s">
        <v>466</v>
      </c>
    </row>
    <row r="98" spans="4:18" ht="20.100000000000001" customHeight="1" x14ac:dyDescent="0.2">
      <c r="D98" s="15" t="str">
        <f>INDEX(X_Table_Feedlot_MMS_Stage2,3,1)</f>
        <v>Solid storage</v>
      </c>
      <c r="E98" s="15">
        <f>INDEX(X_Table_Feedlot_MMS_Stage2_Destinations,3,2)</f>
        <v>0.25</v>
      </c>
      <c r="F98" s="16" t="s">
        <v>299</v>
      </c>
    </row>
    <row r="99" spans="4:18" ht="20.100000000000001" customHeight="1" x14ac:dyDescent="0.2">
      <c r="D99" s="15" t="str">
        <f>INDEX(X_Table_Feedlot_MMS_Stage2,4,1)</f>
        <v>Composting (passive windrow)</v>
      </c>
      <c r="E99" s="15">
        <f>INDEX(X_Table_Feedlot_MMS_Stage2_Destinations,4,2)</f>
        <v>0.25</v>
      </c>
      <c r="F99" s="16"/>
    </row>
    <row r="100" spans="4:18" ht="20.100000000000001" customHeight="1" x14ac:dyDescent="0.2">
      <c r="D100" s="15" t="str">
        <f>INDEX(X_Table_Feedlot_MMS_Stage2,5,1)</f>
        <v>Direct application</v>
      </c>
      <c r="E100" s="15">
        <v>0</v>
      </c>
      <c r="F100" s="16"/>
    </row>
    <row r="101" spans="4:18" ht="20.100000000000001" customHeight="1" x14ac:dyDescent="0.2">
      <c r="D101" s="15" t="str">
        <f>INDEX(X_Table_Feedlot_MMS_Stage3,3,1)</f>
        <v>Anaerobic lagoon</v>
      </c>
      <c r="E101" s="15">
        <f>INDEX(X_Table_Feedlot_MMS_Stage3_Destinations,3,2)</f>
        <v>0.25</v>
      </c>
      <c r="F101" s="16"/>
    </row>
    <row r="103" spans="4:18" ht="20.100000000000001" customHeight="1" x14ac:dyDescent="0.2">
      <c r="D103" s="118" t="s">
        <v>467</v>
      </c>
      <c r="N103" s="118" t="s">
        <v>468</v>
      </c>
    </row>
    <row r="104" spans="4:18" ht="20.100000000000001" customHeight="1" x14ac:dyDescent="0.2">
      <c r="D104" s="119" t="s">
        <v>469</v>
      </c>
      <c r="N104" s="119" t="s">
        <v>470</v>
      </c>
    </row>
    <row r="105" spans="4:18" ht="20.100000000000001" customHeight="1" x14ac:dyDescent="0.2">
      <c r="D105" s="120" t="s">
        <v>367</v>
      </c>
      <c r="E105" s="120" t="s">
        <v>289</v>
      </c>
      <c r="F105" s="120" t="s">
        <v>290</v>
      </c>
      <c r="G105" s="120" t="s">
        <v>291</v>
      </c>
      <c r="N105" s="120" t="s">
        <v>367</v>
      </c>
      <c r="O105" s="120" t="s">
        <v>289</v>
      </c>
      <c r="P105" s="120" t="s">
        <v>290</v>
      </c>
      <c r="Q105" s="120" t="s">
        <v>291</v>
      </c>
    </row>
    <row r="106" spans="4:18" ht="20.100000000000001" customHeight="1" x14ac:dyDescent="0.2">
      <c r="D106" s="15" t="str">
        <f>INDEX(X_Table_Feedlot_MMS_Stage2,3,1)</f>
        <v>Solid storage</v>
      </c>
      <c r="E106" s="15">
        <f ca="1">((E22 * (1 - (_xlfn.XLOOKUP($D106,$D$30:$D$34,$E$30:$E$34)) - (_xlfn.XLOOKUP($D106,$D$39:$D$43,$E$39:$E$43)))) * $E98)</f>
        <v>232.87935250944011</v>
      </c>
      <c r="F106" s="15">
        <f ca="1">((F22 * (1 - (_xlfn.XLOOKUP($D106,$D$30:$D$34,$E$30:$E$34)) - (_xlfn.XLOOKUP($D106,$D$39:$D$43,$E$39:$E$43)))) * $E98)</f>
        <v>353.63994446592</v>
      </c>
      <c r="G106" s="15">
        <f ca="1">((G22 * (1 - (_xlfn.XLOOKUP($D106,$D$30:$D$34,$E$30:$E$34)) - (_xlfn.XLOOKUP($D106,$D$39:$D$43,$E$39:$E$43)))) * $E98)</f>
        <v>510.77788847999989</v>
      </c>
      <c r="H106" s="16" t="str">
        <f>$E$12</f>
        <v>kg N</v>
      </c>
      <c r="I106" s="16"/>
      <c r="J106" s="16"/>
      <c r="N106" s="15" t="str">
        <f>INDEX(X_Table_Feedlot_MMS_Stage2,3,1)</f>
        <v>Solid storage</v>
      </c>
      <c r="O106" s="15">
        <f ca="1">((O22 * (1 - (_xlfn.XLOOKUP($N106,$D$30:$D$34,$E$30:$E$34)) - (_xlfn.XLOOKUP($N106,$D$39:$D$43,$E$39:$E$43)))) * $E98)</f>
        <v>232.87935250944011</v>
      </c>
      <c r="P106" s="15">
        <f ca="1">((P22 * (1 - (_xlfn.XLOOKUP($N106,$D$30:$D$34,$E$30:$E$34)) - (_xlfn.XLOOKUP($N106,$D$39:$D$43,$E$39:$E$43)))) * $E98)</f>
        <v>353.63994446592</v>
      </c>
      <c r="Q106" s="15">
        <f ca="1">((Q22 * (1 - (_xlfn.XLOOKUP($N106,$D$30:$D$34,$E$30:$E$34)) - (_xlfn.XLOOKUP($N106,$D$39:$D$43,$E$39:$E$43)))) * $E98)</f>
        <v>510.77788847999989</v>
      </c>
      <c r="R106" s="16" t="str">
        <f>$E$12</f>
        <v>kg N</v>
      </c>
    </row>
    <row r="107" spans="4:18" ht="20.100000000000001" customHeight="1" x14ac:dyDescent="0.2">
      <c r="D107" s="15" t="str">
        <f>INDEX(X_Table_Feedlot_MMS_Stage2,4,1)</f>
        <v>Composting (passive windrow)</v>
      </c>
      <c r="E107" s="15">
        <f ca="1">((E23 * (1 - (_xlfn.XLOOKUP($D107,$D$30:$D$34,$E$30:$E$34)) - (_xlfn.XLOOKUP($D107,$D$39:$D$43,$E$39:$E$43)))) * $E99)</f>
        <v>184.42794359808008</v>
      </c>
      <c r="F107" s="15">
        <f ca="1">((F23 * (1 - (_xlfn.XLOOKUP($D107,$D$30:$D$34,$E$30:$E$34)) - (_xlfn.XLOOKUP($D107,$D$39:$D$43,$E$39:$E$43)))) * $E99)</f>
        <v>280.06384863744</v>
      </c>
      <c r="G107" s="15">
        <f ca="1">((G23 * (1 - (_xlfn.XLOOKUP($D107,$D$30:$D$34,$E$30:$E$34)) - (_xlfn.XLOOKUP($D107,$D$39:$D$43,$E$39:$E$43)))) * $E99)</f>
        <v>404.5086633599999</v>
      </c>
      <c r="H107" s="16"/>
      <c r="I107" s="16"/>
      <c r="J107" s="16"/>
      <c r="N107" s="15" t="str">
        <f>INDEX(X_Table_Feedlot_MMS_Stage2,4,1)</f>
        <v>Composting (passive windrow)</v>
      </c>
      <c r="O107" s="15">
        <f ca="1">((O23 * (1 - (_xlfn.XLOOKUP($N107,$D$30:$D$34,$E$30:$E$34)) - (_xlfn.XLOOKUP($N107,$D$39:$D$43,$E$39:$E$43)))) * $E99)</f>
        <v>184.42794359808008</v>
      </c>
      <c r="P107" s="15">
        <f ca="1">((P23 * (1 - (_xlfn.XLOOKUP($N107,$D$30:$D$34,$E$30:$E$34)) - (_xlfn.XLOOKUP($N107,$D$39:$D$43,$E$39:$E$43)))) * $E99)</f>
        <v>280.06384863744</v>
      </c>
      <c r="Q107" s="15">
        <f ca="1">((Q23 * (1 - (_xlfn.XLOOKUP($N107,$D$30:$D$34,$E$30:$E$34)) - (_xlfn.XLOOKUP($N107,$D$39:$D$43,$E$39:$E$43)))) * $E99)</f>
        <v>404.5086633599999</v>
      </c>
      <c r="R107" s="16"/>
    </row>
    <row r="108" spans="4:18" ht="20.100000000000001" customHeight="1" x14ac:dyDescent="0.2">
      <c r="D108" s="15" t="str">
        <f>INDEX(X_Table_Feedlot_MMS_Stage2,5,1)</f>
        <v>Direct application</v>
      </c>
      <c r="E108" s="15">
        <f ca="1">((E24 * (1 - (_xlfn.XLOOKUP($D108,$D$30:$D$34,$E$30:$E$34)) - (_xlfn.XLOOKUP($D108,$D$39:$D$43,$E$39:$E$43)))) * $E100)</f>
        <v>0</v>
      </c>
      <c r="F108" s="15">
        <f ca="1">((F24 * (1 - (_xlfn.XLOOKUP($D108,$D$30:$D$34,$E$30:$E$34)) - (_xlfn.XLOOKUP($D108,$D$39:$D$43,$E$39:$E$43)))) * $E100)</f>
        <v>0</v>
      </c>
      <c r="G108" s="15">
        <f ca="1">((G24 * (1 - (_xlfn.XLOOKUP($D108,$D$30:$D$34,$E$30:$E$34)) - (_xlfn.XLOOKUP($D108,$D$39:$D$43,$E$39:$E$43)))) * $E100)</f>
        <v>0</v>
      </c>
      <c r="H108" s="16"/>
      <c r="I108" s="16"/>
      <c r="J108" s="16"/>
      <c r="N108" s="15" t="str">
        <f>INDEX(X_Table_Feedlot_MMS_Stage2,5,1)</f>
        <v>Direct application</v>
      </c>
      <c r="O108" s="15">
        <f ca="1">((O24 * (1 - (_xlfn.XLOOKUP($N108,$D$30:$D$34,$E$30:$E$34)) - (_xlfn.XLOOKUP($N108,$D$39:$D$43,$E$39:$E$43)))) * $E100)</f>
        <v>0</v>
      </c>
      <c r="P108" s="15">
        <f ca="1">((P24 * (1 - (_xlfn.XLOOKUP($N108,$D$30:$D$34,$E$30:$E$34)) - (_xlfn.XLOOKUP($N108,$D$39:$D$43,$E$39:$E$43)))) * $E100)</f>
        <v>0</v>
      </c>
      <c r="Q108" s="15">
        <f ca="1">((Q24 * (1 - (_xlfn.XLOOKUP($N108,$D$30:$D$34,$E$30:$E$34)) - (_xlfn.XLOOKUP($N108,$D$39:$D$43,$E$39:$E$43)))) * $E100)</f>
        <v>0</v>
      </c>
      <c r="R108" s="16"/>
    </row>
    <row r="109" spans="4:18" ht="20.100000000000001" customHeight="1" x14ac:dyDescent="0.2">
      <c r="D109" s="15" t="str">
        <f>INDEX(X_Table_Feedlot_MMS_Stage3,3,1)</f>
        <v>Anaerobic lagoon</v>
      </c>
      <c r="E109" s="15">
        <f ca="1">((E25 * (1 - (_xlfn.XLOOKUP($D109,$D$30:$D$34,$E$30:$E$34)) - (_xlfn.XLOOKUP($D109,$D$39:$D$43,$E$39:$E$43)))) * $E101)</f>
        <v>54.240076800000018</v>
      </c>
      <c r="F109" s="15">
        <f ca="1">((F25 * (1 - (_xlfn.XLOOKUP($D109,$D$30:$D$34,$E$30:$E$34)) - (_xlfn.XLOOKUP($D109,$D$39:$D$43,$E$39:$E$43)))) * $E101)</f>
        <v>82.366502400000016</v>
      </c>
      <c r="G109" s="15">
        <f ca="1">((G25 * (1 - (_xlfn.XLOOKUP($D109,$D$30:$D$34,$E$30:$E$34)) - (_xlfn.XLOOKUP($D109,$D$39:$D$43,$E$39:$E$43)))) * $E101)</f>
        <v>118.96559999999997</v>
      </c>
      <c r="H109" s="16"/>
      <c r="I109" s="16"/>
      <c r="J109" s="16"/>
      <c r="N109" s="15" t="str">
        <f>INDEX(X_Table_Feedlot_MMS_Stage3,3,1)</f>
        <v>Anaerobic lagoon</v>
      </c>
      <c r="O109" s="15">
        <f ca="1">((O25 * (1 - (_xlfn.XLOOKUP($N109,$D$30:$D$34,$E$30:$E$34)) - (_xlfn.XLOOKUP($N109,$D$39:$D$43,$E$39:$E$43)))) * $E101)</f>
        <v>54.240076800000018</v>
      </c>
      <c r="P109" s="15">
        <f ca="1">((P25 * (1 - (_xlfn.XLOOKUP($N109,$D$30:$D$34,$E$30:$E$34)) - (_xlfn.XLOOKUP($N109,$D$39:$D$43,$E$39:$E$43)))) * $E101)</f>
        <v>82.366502400000016</v>
      </c>
      <c r="Q109" s="15">
        <f ca="1">((Q25 * (1 - (_xlfn.XLOOKUP($N109,$D$30:$D$34,$E$30:$E$34)) - (_xlfn.XLOOKUP($N109,$D$39:$D$43,$E$39:$E$43)))) * $E101)</f>
        <v>118.96559999999997</v>
      </c>
      <c r="R109" s="16"/>
    </row>
    <row r="111" spans="4:18" ht="20.100000000000001" customHeight="1" x14ac:dyDescent="0.2">
      <c r="D111" s="85" t="s">
        <v>471</v>
      </c>
      <c r="E111" s="86">
        <f ca="1">SUM(E106:G109)</f>
        <v>2221.8698202508799</v>
      </c>
      <c r="F111" s="95" t="str">
        <f>$E$12</f>
        <v>kg N</v>
      </c>
      <c r="N111" s="85" t="s">
        <v>471</v>
      </c>
      <c r="O111" s="86">
        <f ca="1">SUM(O106:Q109)</f>
        <v>2221.8698202508799</v>
      </c>
      <c r="P111" s="95" t="str">
        <f>$E$12</f>
        <v>kg N</v>
      </c>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A6A58-83E5-4940-A413-5C32FA617C28}">
  <sheetPr>
    <tabColor rgb="FF008000"/>
  </sheetPr>
  <dimension ref="A1:R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596</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1347</v>
      </c>
      <c r="K5" s="2" t="s">
        <v>1349</v>
      </c>
      <c r="O5" s="152"/>
      <c r="P5" s="152"/>
      <c r="Q5" s="152"/>
    </row>
    <row r="6" spans="1:18" ht="20.100000000000001" customHeight="1" x14ac:dyDescent="0.2">
      <c r="D6" s="17" t="s">
        <v>1348</v>
      </c>
      <c r="K6" s="17" t="s">
        <v>1350</v>
      </c>
      <c r="O6" s="152"/>
      <c r="P6" s="152"/>
      <c r="Q6" s="152"/>
    </row>
    <row r="7" spans="1:18" ht="20.100000000000001" customHeight="1" x14ac:dyDescent="0.2">
      <c r="D7" s="112"/>
      <c r="E7" s="112"/>
      <c r="K7" s="112"/>
      <c r="L7" s="112"/>
      <c r="O7" s="152"/>
      <c r="P7" s="152"/>
      <c r="Q7" s="152"/>
    </row>
    <row r="8" spans="1:18" ht="20.100000000000001" customHeight="1" x14ac:dyDescent="0.2">
      <c r="A8" s="7" t="s">
        <v>0</v>
      </c>
      <c r="E8" s="112"/>
      <c r="L8" s="112"/>
      <c r="O8" s="152"/>
      <c r="P8" s="152"/>
      <c r="Q8" s="152"/>
    </row>
    <row r="9" spans="1:18" ht="20.100000000000001" customHeight="1" x14ac:dyDescent="0.2">
      <c r="A9" s="5" t="str">
        <f>HYPERLINK("#'Input - Enterprise'!A1", "Enterprise")</f>
        <v>Enterprise</v>
      </c>
      <c r="G9" s="17"/>
      <c r="O9" s="152"/>
      <c r="P9" s="152"/>
      <c r="Q9" s="152"/>
    </row>
    <row r="10" spans="1:18" ht="20.100000000000001" customHeight="1" x14ac:dyDescent="0.2">
      <c r="A10" s="5" t="str">
        <f>HYPERLINK("#'Input - Site'!A1", "Site")</f>
        <v>Site</v>
      </c>
      <c r="O10" s="152"/>
      <c r="P10" s="152"/>
      <c r="Q10" s="152"/>
    </row>
    <row r="11" spans="1:18" ht="20.100000000000001" customHeight="1" x14ac:dyDescent="0.2">
      <c r="A11" s="5" t="str">
        <f>HYPERLINK("#'Input - Feedlot'!A1", "Feedlot")</f>
        <v>Feedlot</v>
      </c>
      <c r="D11" s="75" t="s">
        <v>321</v>
      </c>
      <c r="E11" s="1" t="s">
        <v>1351</v>
      </c>
      <c r="K11" s="75" t="s">
        <v>321</v>
      </c>
      <c r="L11" s="1" t="s">
        <v>1352</v>
      </c>
      <c r="O11" s="152"/>
      <c r="P11" s="152"/>
      <c r="Q11" s="152"/>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Fuel'!A1", "Fuel")</f>
        <v>Fuel</v>
      </c>
      <c r="D14" s="113" t="s">
        <v>1353</v>
      </c>
      <c r="E14" s="121" t="s">
        <v>1354</v>
      </c>
      <c r="F14" s="122"/>
      <c r="G14" s="113" t="s">
        <v>1364</v>
      </c>
      <c r="H14" s="114" t="s">
        <v>1196</v>
      </c>
      <c r="I14" s="116" t="str" cm="1">
        <f t="array" aca="1" ref="I14" ca="1">HYPERLINK(Common_InputFunctions.Utility_SourceHyperlink($D$22), $D$22)</f>
        <v>Table_E_g</v>
      </c>
      <c r="K14" s="113" t="s">
        <v>1367</v>
      </c>
      <c r="L14" s="113" t="s">
        <v>1368</v>
      </c>
      <c r="M14" s="113"/>
      <c r="N14" s="113" t="s">
        <v>651</v>
      </c>
      <c r="O14" s="114" t="s">
        <v>1196</v>
      </c>
      <c r="P14" s="116" t="str" cm="1">
        <f t="array" aca="1" ref="P14" ca="1">HYPERLINK(Common_InputFunctions.Utility_SourceHyperlink($D$22), $D$22)</f>
        <v>Table_E_g</v>
      </c>
      <c r="Q14" s="152"/>
    </row>
    <row r="15" spans="1:18" ht="20.100000000000001" customHeight="1" x14ac:dyDescent="0.2">
      <c r="A15" s="5" t="str">
        <f>HYPERLINK("#'Input - Electricity'!A1", "Electricity")</f>
        <v>Electricity</v>
      </c>
      <c r="D15" s="113" t="s">
        <v>1355</v>
      </c>
      <c r="E15" s="121" t="s">
        <v>1356</v>
      </c>
      <c r="F15" s="122"/>
      <c r="G15" s="113" t="s">
        <v>1365</v>
      </c>
      <c r="H15" s="115" t="s">
        <v>1227</v>
      </c>
      <c r="I15" s="116" t="str" cm="1">
        <f t="array" aca="1" ref="I15" ca="1">HYPERLINK(Common_InputFunctions.Utility_SourceHyperlink($D$22), $D$22)</f>
        <v>Table_E_g</v>
      </c>
      <c r="K15" s="113" t="s">
        <v>1355</v>
      </c>
      <c r="L15" s="113" t="s">
        <v>1369</v>
      </c>
      <c r="M15" s="113"/>
      <c r="N15" s="113" t="s">
        <v>1372</v>
      </c>
      <c r="O15" s="115" t="s">
        <v>1227</v>
      </c>
      <c r="P15" s="116" t="str" cm="1">
        <f t="array" aca="1" ref="P15" ca="1">HYPERLINK(Common_InputFunctions.Utility_SourceHyperlink($D$22), $D$22)</f>
        <v>Table_E_g</v>
      </c>
      <c r="Q15" s="152"/>
    </row>
    <row r="16" spans="1:18" ht="20.100000000000001" customHeight="1" x14ac:dyDescent="0.2">
      <c r="A16" s="5" t="str">
        <f>HYPERLINK("#'Input - Common farm inputs'!A1", "Common farm inputs")</f>
        <v>Common farm inputs</v>
      </c>
      <c r="D16" s="113" t="s">
        <v>1357</v>
      </c>
      <c r="E16" s="121" t="s">
        <v>1358</v>
      </c>
      <c r="F16" s="122"/>
      <c r="G16" s="113" t="s">
        <v>1366</v>
      </c>
      <c r="H16" s="115" t="s">
        <v>1227</v>
      </c>
      <c r="I16" s="116" t="str" cm="1">
        <f t="array" aca="1" ref="I16" ca="1">HYPERLINK(Common_InputFunctions.Utility_SourceHyperlink($D$22), $D$22)</f>
        <v>Table_E_g</v>
      </c>
      <c r="K16" s="113" t="s">
        <v>1370</v>
      </c>
      <c r="L16" s="113" t="s">
        <v>1371</v>
      </c>
      <c r="M16" s="113"/>
      <c r="N16" s="113" t="s">
        <v>1373</v>
      </c>
      <c r="O16" s="115" t="s">
        <v>1227</v>
      </c>
      <c r="P16" s="116" t="str" cm="1">
        <f t="array" aca="1" ref="P16" ca="1">HYPERLINK(Common_InputFunctions.Utility_SourceHyperlink($D$22), $D$22)</f>
        <v>Table_E_g</v>
      </c>
      <c r="Q16" s="152"/>
    </row>
    <row r="17" spans="1:17" ht="20.100000000000001" customHeight="1" x14ac:dyDescent="0.2">
      <c r="A17" s="5" t="str">
        <f>HYPERLINK("#'Input - Livestock farm Inputs'!A1", "Livestock farm Inputs")</f>
        <v>Livestock farm Inputs</v>
      </c>
      <c r="D17" s="113" t="s">
        <v>1359</v>
      </c>
      <c r="E17" s="121" t="s">
        <v>649</v>
      </c>
      <c r="F17" s="122"/>
      <c r="G17" s="113"/>
      <c r="H17" s="115" t="s">
        <v>1227</v>
      </c>
      <c r="I17" s="116"/>
      <c r="J17" s="152"/>
      <c r="P17" s="152"/>
      <c r="Q17" s="152"/>
    </row>
    <row r="18" spans="1:17" ht="20.100000000000001" customHeight="1" x14ac:dyDescent="0.2">
      <c r="A18" s="5" t="str">
        <f>HYPERLINK("#'Input - Freight'!A1", "Freight")</f>
        <v>Freight</v>
      </c>
      <c r="D18" s="113" t="s">
        <v>1360</v>
      </c>
      <c r="E18" s="121" t="s">
        <v>1361</v>
      </c>
      <c r="F18" s="122"/>
      <c r="G18" s="113"/>
      <c r="H18" s="115" t="s">
        <v>1227</v>
      </c>
      <c r="I18" s="116"/>
      <c r="J18" s="152"/>
      <c r="L18" s="152"/>
      <c r="M18" s="152"/>
      <c r="N18" s="152"/>
      <c r="O18" s="152"/>
      <c r="P18" s="152"/>
      <c r="Q18" s="152"/>
    </row>
    <row r="19" spans="1:17" ht="20.100000000000001" customHeight="1" x14ac:dyDescent="0.2">
      <c r="A19" s="5" t="str">
        <f>HYPERLINK("#'Input - Solid waste'!A1", "Solid waste")</f>
        <v>Solid waste</v>
      </c>
      <c r="D19" s="113" t="s">
        <v>1362</v>
      </c>
      <c r="E19" s="121" t="s">
        <v>1363</v>
      </c>
      <c r="F19" s="122"/>
      <c r="G19" s="113"/>
      <c r="H19" s="115" t="s">
        <v>1227</v>
      </c>
      <c r="I19" s="116"/>
      <c r="J19" s="152"/>
      <c r="L19" s="152"/>
      <c r="M19" s="152"/>
      <c r="N19" s="152"/>
      <c r="O19" s="152"/>
      <c r="P19" s="152"/>
      <c r="Q19" s="152"/>
    </row>
    <row r="20" spans="1:17" ht="20.100000000000001" customHeight="1" x14ac:dyDescent="0.2">
      <c r="A20" s="5" t="str">
        <f>HYPERLINK("#'Input - Manure sent off-site'!A1", "Manure sent off-site")</f>
        <v>Manure sent off-site</v>
      </c>
      <c r="D20" s="113">
        <v>1</v>
      </c>
      <c r="E20" s="121" t="s">
        <v>235</v>
      </c>
      <c r="F20" s="122"/>
      <c r="G20" s="113"/>
      <c r="H20" s="115" t="s">
        <v>1227</v>
      </c>
      <c r="I20" s="116"/>
      <c r="J20" s="152"/>
      <c r="L20" s="152"/>
      <c r="M20" s="152"/>
      <c r="N20" s="152"/>
      <c r="O20" s="152"/>
      <c r="P20" s="152"/>
      <c r="Q20" s="152"/>
    </row>
    <row r="21" spans="1:17" ht="20.100000000000001" customHeight="1" x14ac:dyDescent="0.2">
      <c r="A21" s="5" t="str">
        <f>HYPERLINK("#'Input - Data quality'!A1", "Data quality")</f>
        <v>Data quality</v>
      </c>
      <c r="O21" s="152"/>
      <c r="P21" s="152"/>
      <c r="Q21" s="152"/>
    </row>
    <row r="22" spans="1:17" ht="20.100000000000001" customHeight="1" x14ac:dyDescent="0.2">
      <c r="A22" s="5" t="str">
        <f>HYPERLINK("#'Input - Fert Prod System'!A1", "Fert Prod System")</f>
        <v>Fert Prod System</v>
      </c>
      <c r="D22" s="118" t="s">
        <v>597</v>
      </c>
    </row>
    <row r="23" spans="1:17" ht="20.100000000000001" customHeight="1" x14ac:dyDescent="0.2">
      <c r="A23" s="5" t="str">
        <f>HYPERLINK("#'Input - Fertiliser'!A1", "Fertiliser")</f>
        <v>Fertiliser</v>
      </c>
      <c r="D23" s="119" t="s">
        <v>598</v>
      </c>
    </row>
    <row r="24" spans="1:17" ht="20.100000000000001" customHeight="1" x14ac:dyDescent="0.2">
      <c r="D24" s="120" t="s">
        <v>599</v>
      </c>
      <c r="E24" s="120" t="s">
        <v>600</v>
      </c>
      <c r="F24" s="120" t="s">
        <v>601</v>
      </c>
      <c r="G24" s="120" t="s">
        <v>602</v>
      </c>
      <c r="H24" s="120" t="s">
        <v>603</v>
      </c>
      <c r="I24" s="120" t="s">
        <v>604</v>
      </c>
      <c r="J24" s="120" t="s">
        <v>605</v>
      </c>
      <c r="K24" s="120" t="s">
        <v>606</v>
      </c>
      <c r="L24" s="78" t="s">
        <v>607</v>
      </c>
      <c r="M24" s="120" t="s">
        <v>608</v>
      </c>
      <c r="N24" s="120" t="s">
        <v>609</v>
      </c>
      <c r="O24" s="120" t="s">
        <v>610</v>
      </c>
      <c r="P24" s="120" t="s">
        <v>611</v>
      </c>
      <c r="Q24" s="120" t="s">
        <v>612</v>
      </c>
    </row>
    <row r="25" spans="1:17" ht="20.100000000000001" customHeight="1" x14ac:dyDescent="0.2">
      <c r="D25" s="24" t="str">
        <f>Table_FuelTypesPerUse[[#Headers],[Cars and light commercial vehicles]]</f>
        <v>Cars and light commercial vehicles</v>
      </c>
      <c r="E25" s="153" t="str">
        <f>'Constants - Fuel'!$E$10</f>
        <v>Gasoline</v>
      </c>
      <c r="F25" s="153"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54" cm="1">
        <f t="array" ref="L25">Fuel_InputFunctions.Fuel_TotalConsumption(Table_Input_Fuel[Amount consumed], Table_Input_Fuel[Fuel use (select)], D25, Table_Input_Fuel[Fuel type (select)],F25)</f>
        <v>0</v>
      </c>
      <c r="M25" s="154" t="str" cm="1">
        <f t="array" ref="M25">Common_InputFunctions.Utility_LookupValueInTable(F25,Table_FuelTypes_Units[Fuel type],Table_FuelTypes_Units[Unit])</f>
        <v>kL</v>
      </c>
      <c r="N25" s="155">
        <f>((($L25 * $G25 * $H25) * 10 ^ -3))</f>
        <v>0</v>
      </c>
      <c r="O25" s="155">
        <f>((($L25 * $G25 * $I25) * 10 ^ -3))</f>
        <v>0</v>
      </c>
      <c r="P25" s="155">
        <f>((($L25 * $G25 * $J25) * 10 ^ -3))</f>
        <v>0</v>
      </c>
      <c r="Q25" s="155">
        <f>((L25 * G25 * K25) * 10 ^ -3)</f>
        <v>0</v>
      </c>
    </row>
    <row r="26" spans="1:17" ht="20.100000000000001" customHeight="1" x14ac:dyDescent="0.2">
      <c r="A26" s="6" t="s">
        <v>2</v>
      </c>
      <c r="D26" s="156" t="str">
        <f t="shared" ref="D26:D32" si="0">$D$25</f>
        <v>Cars and light commercial vehicles</v>
      </c>
      <c r="E26" s="153" t="str">
        <f>'Constants - Fuel'!$E$11</f>
        <v>Diesel oil</v>
      </c>
      <c r="F26" s="153"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54" cm="1">
        <f t="array" ref="L26">Fuel_InputFunctions.Fuel_TotalConsumption(Table_Input_Fuel[Amount consumed], Table_Input_Fuel[Fuel use (select)], D26, Table_Input_Fuel[Fuel type (select)],F26)</f>
        <v>10</v>
      </c>
      <c r="M26" s="154" t="str" cm="1">
        <f t="array" ref="M26">Common_InputFunctions.Utility_LookupValueInTable(F26,Table_FuelTypes_Units[Fuel type],Table_FuelTypes_Units[Unit])</f>
        <v>kL</v>
      </c>
      <c r="N26" s="155">
        <f>((($L26 * $G26 * $H26) * 10 ^ -3))</f>
        <v>26.981400000000001</v>
      </c>
      <c r="O26" s="155">
        <f>((($L26 * $G26 * $I26) * 10 ^ -3))</f>
        <v>3.8600000000000001E-3</v>
      </c>
      <c r="P26" s="155">
        <f>((($L26 * $G26 * $J26) * 10 ^ -3))</f>
        <v>0.193</v>
      </c>
      <c r="Q26" s="155">
        <f>((L26 * G26 * K26) * 10 ^ -3)</f>
        <v>6.6778000000000004</v>
      </c>
    </row>
    <row r="27" spans="1:17" ht="20.100000000000001" customHeight="1" x14ac:dyDescent="0.2">
      <c r="A27" s="5" t="str">
        <f>HYPERLINK("#'3.1.1.1-2 Enteric Methane'!A1", "3.1.1.1-2 Enteric Methane")</f>
        <v>3.1.1.1-2 Enteric Methane</v>
      </c>
      <c r="D27" s="156" t="str">
        <f t="shared" si="0"/>
        <v>Cars and light commercial vehicles</v>
      </c>
      <c r="E27" s="153" t="str">
        <f>'Constants - Fuel'!$E$12</f>
        <v>Liquefied petroleum gas (LPG)</v>
      </c>
      <c r="F27" s="153"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54" cm="1">
        <f t="array" ref="L27">Fuel_InputFunctions.Fuel_TotalConsumption(Table_Input_Fuel[Amount consumed], Table_Input_Fuel[Fuel use (select)], D27, Table_Input_Fuel[Fuel type (select)],F27)</f>
        <v>0</v>
      </c>
      <c r="M27" s="154" t="str" cm="1">
        <f t="array" ref="M27">Common_InputFunctions.Utility_LookupValueInTable(F27,Table_FuelTypes_Units[Fuel type],Table_FuelTypes_Units[Unit])</f>
        <v>kL</v>
      </c>
      <c r="N27" s="155">
        <f>((($L27 * $G27 * $H27) * 10 ^ -3))</f>
        <v>0</v>
      </c>
      <c r="O27" s="155">
        <f>((($L27 * $G27 * $I27) * 10 ^ -3))</f>
        <v>0</v>
      </c>
      <c r="P27" s="155">
        <f>((($L27 * $G27 * $J27) * 10 ^ -3))</f>
        <v>0</v>
      </c>
      <c r="Q27" s="155">
        <f>((L27 * G27 * K27) * 10 ^ -3)</f>
        <v>0</v>
      </c>
    </row>
    <row r="28" spans="1:17" ht="20.100000000000001" customHeight="1" x14ac:dyDescent="0.2">
      <c r="A28" s="5" t="str">
        <f>HYPERLINK("#'4.1.1.1-2 Methane'!A1", "4.1.1.1-2 Manure Methane")</f>
        <v>4.1.1.1-2 Manure Methane</v>
      </c>
      <c r="D28" s="156" t="str">
        <f t="shared" si="0"/>
        <v>Cars and light commercial vehicles</v>
      </c>
      <c r="E28" s="153" t="str">
        <f>'Constants - Fuel'!$E$13</f>
        <v>Fuel oil</v>
      </c>
      <c r="F28" s="153"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54" cm="1">
        <f t="array" ref="L28">Fuel_InputFunctions.Fuel_TotalConsumption(Table_Input_Fuel[Amount consumed], Table_Input_Fuel[Fuel use (select)], D28, Table_Input_Fuel[Fuel type (select)],F28)</f>
        <v>0</v>
      </c>
      <c r="M28" s="154" t="str" cm="1">
        <f t="array" ref="M28">Common_InputFunctions.Utility_LookupValueInTable(F28,Table_FuelTypes_Units[Fuel type],Table_FuelTypes_Units[Unit])</f>
        <v>kL</v>
      </c>
      <c r="N28" s="155">
        <f>((($L28 * $G28 * $H28) * 10 ^ -3))</f>
        <v>0</v>
      </c>
      <c r="O28" s="155">
        <f>((($L28 * $G28 * $I28) * 10 ^ -3))</f>
        <v>0</v>
      </c>
      <c r="P28" s="155">
        <f>((($L28 * $G28 * $J28) * 10 ^ -3))</f>
        <v>0</v>
      </c>
      <c r="Q28" s="155">
        <f>((L28 * G28 * K28) * 10 ^ -3)</f>
        <v>0</v>
      </c>
    </row>
    <row r="29" spans="1:17" ht="20.100000000000001" customHeight="1" x14ac:dyDescent="0.2">
      <c r="A29" s="5" t="str">
        <f>HYPERLINK("#'4.1.1.3-4 Direct N20'!A1", "4.1.1.3-4 Manure Direct N2O")</f>
        <v>4.1.1.3-4 Manure Direct N2O</v>
      </c>
      <c r="D29" s="156" t="str">
        <f t="shared" si="0"/>
        <v>Cars and light commercial vehicles</v>
      </c>
      <c r="E29" s="153" t="str">
        <f>'Constants - Fuel'!$E$14</f>
        <v>Ethanol</v>
      </c>
      <c r="F29" s="153"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54" cm="1">
        <f t="array" ref="L29">Fuel_InputFunctions.Fuel_TotalConsumption(Table_Input_Fuel[Amount consumed], Table_Input_Fuel[Fuel use (select)], D29, Table_Input_Fuel[Fuel type (select)],F29)</f>
        <v>0</v>
      </c>
      <c r="M29" s="154" t="str" cm="1">
        <f t="array" ref="M29">Common_InputFunctions.Utility_LookupValueInTable(F29,Table_FuelTypes_Units[Fuel type],Table_FuelTypes_Units[Unit])</f>
        <v>kL</v>
      </c>
      <c r="N29" s="155">
        <f>((($L29 * $G29 * $H29) * 10 ^ -3))</f>
        <v>0</v>
      </c>
      <c r="O29" s="155">
        <f>((($L29 * $G29 * $I29) * 10 ^ -3))</f>
        <v>0</v>
      </c>
      <c r="P29" s="155">
        <f>((($L29 * $G29 * $J29) * 10 ^ -3))</f>
        <v>0</v>
      </c>
      <c r="Q29" s="155">
        <f>((L29 * G29 * (IF(ISNUMBER(K29),K29,0))) * 10 ^ -3)</f>
        <v>0</v>
      </c>
    </row>
    <row r="30" spans="1:17" ht="20.100000000000001" customHeight="1" x14ac:dyDescent="0.2">
      <c r="A30" s="5" t="str">
        <f>HYPERLINK("#'4.1.1.5-6 Atmos Deposition'!A1", "4.1.1.5-6 Manure Atmos Dep")</f>
        <v>4.1.1.5-6 Manure Atmos Dep</v>
      </c>
      <c r="D30" s="156" t="str">
        <f t="shared" si="0"/>
        <v>Cars and light commercial vehicles</v>
      </c>
      <c r="E30" s="153" t="str">
        <f>'Constants - Fuel'!$E$15</f>
        <v>Biodiesel</v>
      </c>
      <c r="F30" s="153"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54" cm="1">
        <f t="array" ref="L30">Fuel_InputFunctions.Fuel_TotalConsumption(Table_Input_Fuel[Amount consumed], Table_Input_Fuel[Fuel use (select)], D30, Table_Input_Fuel[Fuel type (select)],F30)</f>
        <v>0</v>
      </c>
      <c r="M30" s="154" t="str" cm="1">
        <f t="array" ref="M30">Common_InputFunctions.Utility_LookupValueInTable(F30,Table_FuelTypes_Units[Fuel type],Table_FuelTypes_Units[Unit])</f>
        <v>kL</v>
      </c>
      <c r="N30" s="155">
        <f>((($L30 * $G30 * $H30) * 10 ^ -3))</f>
        <v>0</v>
      </c>
      <c r="O30" s="155">
        <f>((($L30 * $G30 * $I30) * 10 ^ -3))</f>
        <v>0</v>
      </c>
      <c r="P30" s="155">
        <f>((($L30 * $G30 * $J30) * 10 ^ -3))</f>
        <v>0</v>
      </c>
      <c r="Q30" s="155">
        <f>((L30 * G30 * (IF(ISNUMBER(K30),K30,0))) * 10 ^ -3)</f>
        <v>0</v>
      </c>
    </row>
    <row r="31" spans="1:17" ht="20.100000000000001" customHeight="1" x14ac:dyDescent="0.2">
      <c r="A31" s="5" t="str">
        <f>HYPERLINK("#'4.1.1.9 Manure applied to soils'!A1", "4.1.1.9 Manure applied to soils")</f>
        <v>4.1.1.9 Manure applied to soils</v>
      </c>
      <c r="D31" s="156" t="str">
        <f t="shared" si="0"/>
        <v>Cars and light commercial vehicles</v>
      </c>
      <c r="E31" s="153" t="str">
        <f>'Constants - Fuel'!$E$16</f>
        <v>Renewable diesel</v>
      </c>
      <c r="F31" s="153"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54" cm="1">
        <f t="array" ref="L31">Fuel_InputFunctions.Fuel_TotalConsumption(Table_Input_Fuel[Amount consumed], Table_Input_Fuel[Fuel use (select)], D31, Table_Input_Fuel[Fuel type (select)],F31)</f>
        <v>0</v>
      </c>
      <c r="M31" s="154" t="str" cm="1">
        <f t="array" ref="M31">Common_InputFunctions.Utility_LookupValueInTable(F31,Table_FuelTypes_Units[Fuel type],Table_FuelTypes_Units[Unit])</f>
        <v>kL</v>
      </c>
      <c r="N31" s="155">
        <f>((($L31 * $G31 * $H31) * 10 ^ -3))</f>
        <v>0</v>
      </c>
      <c r="O31" s="155">
        <f>((($L31 * $G31 * $I31) * 10 ^ -3))</f>
        <v>0</v>
      </c>
      <c r="P31" s="155">
        <f>((($L31 * $G31 * $J31) * 10 ^ -3))</f>
        <v>0</v>
      </c>
      <c r="Q31" s="155">
        <f>((L31 * G31 * (IF(ISNUMBER(K31),K31,0))) * 10 ^ -3)</f>
        <v>0</v>
      </c>
    </row>
    <row r="32" spans="1:17" ht="20.100000000000001" customHeight="1" x14ac:dyDescent="0.2">
      <c r="A32" s="117" t="str">
        <f>HYPERLINK("#'8.1.1.1-2 Transport fuel'!A1", "8.1.1.1-2 Transport fuel")</f>
        <v>8.1.1.1-2 Transport fuel</v>
      </c>
      <c r="D32" s="156" t="str">
        <f t="shared" si="0"/>
        <v>Cars and light commercial vehicles</v>
      </c>
      <c r="E32" s="153" t="str">
        <f>'Constants - Fuel'!$E$17</f>
        <v>Other biofuels</v>
      </c>
      <c r="F32" s="153"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0" t="str" cm="1">
        <f t="array" ref="K32">IFERROR(_xlfn.XLOOKUP(1, (Table_Fuel_EFs_Transport[Fuel combusted]=$E32)*(Table_Fuel_EFs_Transport[Transport type]=$D$25), Table_Fuel_EFs_Transport[Scope 3 Emission Factor (kg CO2 - e / GJ)]), 0)</f>
        <v>NE</v>
      </c>
      <c r="L32" s="157" cm="1">
        <f t="array" ref="L32">Fuel_InputFunctions.Fuel_TotalConsumption(Table_Input_Fuel[Amount consumed], Table_Input_Fuel[Fuel use (select)], D32, Table_Input_Fuel[Fuel type (select)],F32)</f>
        <v>0</v>
      </c>
      <c r="M32" s="154" t="str" cm="1">
        <f t="array" ref="M32">Common_InputFunctions.Utility_LookupValueInTable(F32,Table_FuelTypes_Units[Fuel type],Table_FuelTypes_Units[Unit])</f>
        <v>kL</v>
      </c>
      <c r="N32" s="158">
        <f>((($L32 * $G32 * $H32) * 10 ^ -3))</f>
        <v>0</v>
      </c>
      <c r="O32" s="158">
        <f>((($L32 * $G32 * $I32) * 10 ^ -3))</f>
        <v>0</v>
      </c>
      <c r="P32" s="158">
        <f>((($L32 * $G32 * $J32) * 10 ^ -3))</f>
        <v>0</v>
      </c>
      <c r="Q32" s="155">
        <f>((L32 * G32 * (IF(ISNUMBER(K32),K32,0))) * 10 ^ -3)</f>
        <v>0</v>
      </c>
    </row>
    <row r="33" spans="1:17" ht="20.100000000000001" customHeight="1" x14ac:dyDescent="0.2">
      <c r="A33" s="5" t="str">
        <f>HYPERLINK("#'8.2.1.1-2 Stationary fuel'!A1", "8.2.1.1-2 Stationary fuel")</f>
        <v>8.2.1.1-2 Stationary fuel</v>
      </c>
      <c r="D33" s="159" t="str">
        <f>Table_FuelTypesPerUse[[#Headers],[Off-road Agriculture and forestry equipment]]</f>
        <v>Off-road Agriculture and forestry equipment</v>
      </c>
      <c r="E33" s="160" t="str">
        <f>'Constants - Fuel'!$E$11</f>
        <v>Diesel oil</v>
      </c>
      <c r="F33" s="160" t="str">
        <f>'Constants - Fuel'!H131</f>
        <v>Diesel</v>
      </c>
      <c r="G33" s="161" cm="1">
        <f t="array" ref="G33">IFERROR(_xlfn.XLOOKUP(1, (Table_Fuel_EFs_Transport[Fuel combusted]=$E33)*(Table_Fuel_EFs_Transport[Transport type]=$D$33), Table_Fuel_EFs_Transport[Energy Content Factor (GJ per unit of fuel)]), 0)</f>
        <v>38.6</v>
      </c>
      <c r="H33" s="161" cm="1">
        <f t="array" ref="H33">IFERROR(_xlfn.XLOOKUP(1, (Table_Fuel_EFs_Transport[Fuel combusted]=$E33)*(Table_Fuel_EFs_Transport[Transport type]=$D$33), Table_Fuel_EFs_Transport[Scope 1 Emission Factor (kg CO2 - e / GJ) CO2]), 0)</f>
        <v>69.900000000000006</v>
      </c>
      <c r="I33" s="161" cm="1">
        <f t="array" ref="I33">IFERROR(_xlfn.XLOOKUP(1, (Table_Fuel_EFs_Transport[Fuel combusted]=$E33)*(Table_Fuel_EFs_Transport[Transport type]=$D$33), Table_Fuel_EFs_Transport[Scope 1 Emission Factor (kg CO2 - e / GJ) CH4]), 0)</f>
        <v>0.3</v>
      </c>
      <c r="J33" s="161" cm="1">
        <f t="array" ref="J33">IFERROR(_xlfn.XLOOKUP(1, (Table_Fuel_EFs_Transport[Fuel combusted]=$E33)*(Table_Fuel_EFs_Transport[Transport type]=$D$33), Table_Fuel_EFs_Transport[Scope 1 Emission Factor (kg CO2 - e / GJ) N2O]), 0)</f>
        <v>0.5</v>
      </c>
      <c r="K33" s="162" cm="1">
        <f t="array" ref="K33">IFERROR(_xlfn.XLOOKUP(1, (Table_Fuel_EFs_Transport[Fuel combusted]=$E33)*(Table_Fuel_EFs_Transport[Transport type]=$D$25), Table_Fuel_EFs_Transport[Scope 3 Emission Factor (kg CO2 - e / GJ)]), 0)</f>
        <v>17.3</v>
      </c>
      <c r="L33" s="163" cm="1">
        <f t="array" ref="L33">Fuel_InputFunctions.Fuel_TotalConsumption(Table_Input_Fuel[Amount consumed], Table_Input_Fuel[Fuel use (select)], D33, Table_Input_Fuel[Fuel type (select)],F33)</f>
        <v>10</v>
      </c>
      <c r="M33" s="164" t="str" cm="1">
        <f t="array" ref="M33">Common_InputFunctions.Utility_LookupValueInTable(F33,Table_FuelTypes_Units[Fuel type],Table_FuelTypes_Units[Unit])</f>
        <v>kL</v>
      </c>
      <c r="N33" s="165">
        <f>((($L33 * $G33 * $H33) * 10 ^ -3))</f>
        <v>26.981400000000001</v>
      </c>
      <c r="O33" s="165">
        <f>((($L33 * $G33 * $I33) * 10 ^ -3))</f>
        <v>0.1158</v>
      </c>
      <c r="P33" s="165">
        <f>((($L33 * $G33 * $J33) * 10 ^ -3))</f>
        <v>0.193</v>
      </c>
      <c r="Q33" s="166">
        <f>((L33 * G33 * K33) * 10 ^ -3)</f>
        <v>6.6778000000000004</v>
      </c>
    </row>
    <row r="34" spans="1:17" ht="20.100000000000001" customHeight="1" x14ac:dyDescent="0.2">
      <c r="A34" s="5" t="str">
        <f>HYPERLINK("#'10.1.1-2 Solid waste treatment'!A1", "10.1.1.1-2 Solid waste")</f>
        <v>10.1.1.1-2 Solid waste</v>
      </c>
      <c r="D34" s="159" t="str">
        <f>Table_FuelTypesPerUse[[#Headers],[Aviation]]</f>
        <v>Aviation</v>
      </c>
      <c r="E34" s="160" t="str">
        <f>'Constants - Fuel'!$E$28</f>
        <v>Gasoline for use as fuel in an aircraft</v>
      </c>
      <c r="F34" s="160" t="str">
        <f>'Constants - Fuel'!$F$131</f>
        <v>Avgas</v>
      </c>
      <c r="G34" s="167" cm="1">
        <f t="array" ref="G34">IFERROR(_xlfn.XLOOKUP(1, (Table_Fuel_EFs_Transport[Fuel combusted]=$E34)*(Table_Fuel_EFs_Transport[Transport type]=$D$34), Table_Fuel_EFs_Transport[Energy Content Factor (GJ per unit of fuel)]), 0)</f>
        <v>33.1</v>
      </c>
      <c r="H34" s="167" cm="1">
        <f t="array" ref="H34">IFERROR(_xlfn.XLOOKUP(1, (Table_Fuel_EFs_Transport[Fuel combusted]=$E34)*(Table_Fuel_EFs_Transport[Transport type]=$D$34), Table_Fuel_EFs_Transport[Scope 1 Emission Factor (kg CO2 - e / GJ) CO2]), 0)</f>
        <v>67</v>
      </c>
      <c r="I34" s="167" cm="1">
        <f t="array" ref="I34">IFERROR(_xlfn.XLOOKUP(1, (Table_Fuel_EFs_Transport[Fuel combusted]=$E34)*(Table_Fuel_EFs_Transport[Transport type]=$D$34), Table_Fuel_EFs_Transport[Scope 1 Emission Factor (kg CO2 - e / GJ) CH4]), 0)</f>
        <v>0.06</v>
      </c>
      <c r="J34" s="167" cm="1">
        <f t="array" ref="J34">IFERROR(_xlfn.XLOOKUP(1, (Table_Fuel_EFs_Transport[Fuel combusted]=$E34)*(Table_Fuel_EFs_Transport[Transport type]=$D$34), Table_Fuel_EFs_Transport[Scope 1 Emission Factor (kg CO2 - e / GJ) N2O]), 0)</f>
        <v>0.6</v>
      </c>
      <c r="K34" s="167" cm="1">
        <f t="array" ref="K34">IFERROR(_xlfn.XLOOKUP(1, (Table_Fuel_EFs_Transport[Fuel combusted]=$E34)*(Table_Fuel_EFs_Transport[Transport type]=$D$25), Table_Fuel_EFs_Transport[Scope 3 Emission Factor (kg CO2 - e / GJ)]), 0)</f>
        <v>0</v>
      </c>
      <c r="L34" s="164" cm="1">
        <f t="array" ref="L34">Fuel_InputFunctions.Fuel_TotalConsumption(Table_Input_Fuel[Amount consumed], Table_Input_Fuel[Fuel use (select)], D34, Table_Input_Fuel[Fuel type (select)],F34)</f>
        <v>0</v>
      </c>
      <c r="M34" s="164" t="str" cm="1">
        <f t="array" ref="M34">Common_InputFunctions.Utility_LookupValueInTable(F34,Table_FuelTypes_Units[Fuel type],Table_FuelTypes_Units[Unit])</f>
        <v>kL</v>
      </c>
      <c r="N34" s="165">
        <f>((($L34 * $G34 * $H34) * 10 ^ -3))</f>
        <v>0</v>
      </c>
      <c r="O34" s="165">
        <f>((($L34 * $G34 * $I34) * 10 ^ -3))</f>
        <v>0</v>
      </c>
      <c r="P34" s="165">
        <f>((($L34 * $G34 * $J34) * 10 ^ -3))</f>
        <v>0</v>
      </c>
      <c r="Q34" s="165">
        <f>((L34 * G34 * K34) * 10 ^ -3)</f>
        <v>0</v>
      </c>
    </row>
    <row r="35" spans="1:17" ht="20.100000000000001" customHeight="1" x14ac:dyDescent="0.2">
      <c r="A35" s="5" t="str">
        <f>HYPERLINK("#'14.1.1-2 Purchased electricity'!A1", "14.1.1-2 Purchased electricity")</f>
        <v>14.1.1-2 Purchased electricity</v>
      </c>
      <c r="D35" s="156" t="str">
        <f>$D$34</f>
        <v>Aviation</v>
      </c>
      <c r="E35" s="153" t="str">
        <f>'Constants - Fuel'!$E$29</f>
        <v>Kerosene for use as fuel in an aircraft</v>
      </c>
      <c r="F35" s="153"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54" cm="1">
        <f t="array" ref="L35">Fuel_InputFunctions.Fuel_TotalConsumption(Table_Input_Fuel[Amount consumed], Table_Input_Fuel[Fuel use (select)], D35, Table_Input_Fuel[Fuel type (select)],F35)</f>
        <v>0</v>
      </c>
      <c r="M35" s="154" t="str" cm="1">
        <f t="array" ref="M35">Common_InputFunctions.Utility_LookupValueInTable(F35,Table_FuelTypes_Units[Fuel type],Table_FuelTypes_Units[Unit])</f>
        <v>kL</v>
      </c>
      <c r="N35" s="155">
        <f>((($L35 * $G35 * $H35) * 10 ^ -3))</f>
        <v>0</v>
      </c>
      <c r="O35" s="155">
        <f>((($L35 * $G35 * $I35) * 10 ^ -3))</f>
        <v>0</v>
      </c>
      <c r="P35" s="155">
        <f>((($L35 * $G35 * $J35) * 10 ^ -3))</f>
        <v>0</v>
      </c>
      <c r="Q35" s="155">
        <f>((L35 * G35 * K35) * 10 ^ -3)</f>
        <v>0</v>
      </c>
    </row>
    <row r="36" spans="1:17" ht="20.100000000000001" customHeight="1" x14ac:dyDescent="0.2">
      <c r="A36" s="5" t="str">
        <f>HYPERLINK("#'15 Scope 3'!A1", "15 Scope 3")</f>
        <v>15 Scope 3</v>
      </c>
      <c r="D36" s="156" t="str">
        <f>$D$34</f>
        <v>Aviation</v>
      </c>
      <c r="E36" s="153" t="str">
        <f>'Constants - Fuel'!$E$30</f>
        <v>Renewable aviation kerosene</v>
      </c>
      <c r="F36" s="153" t="str">
        <f>'Constants - Fuel'!$F$133</f>
        <v>Renewable aviation kerosene</v>
      </c>
      <c r="G36" s="150" cm="1">
        <f t="array" ref="G36">IFERROR(_xlfn.XLOOKUP(1, (Table_Fuel_EFs_Transport[Fuel combusted]=$E36)*(Table_Fuel_EFs_Transport[Transport type]=$D$34), Table_Fuel_EFs_Transport[Energy Content Factor (GJ per unit of fuel)]), 0)</f>
        <v>36.799999999999997</v>
      </c>
      <c r="H36" s="150" cm="1">
        <f t="array" ref="H36">IFERROR(_xlfn.XLOOKUP(1, (Table_Fuel_EFs_Transport[Fuel combusted]=$E36)*(Table_Fuel_EFs_Transport[Transport type]=$D$34), Table_Fuel_EFs_Transport[Scope 1 Emission Factor (kg CO2 - e / GJ) CO2]), 0)</f>
        <v>0</v>
      </c>
      <c r="I36" s="150" cm="1">
        <f t="array" ref="I36">IFERROR(_xlfn.XLOOKUP(1, (Table_Fuel_EFs_Transport[Fuel combusted]=$E36)*(Table_Fuel_EFs_Transport[Transport type]=$D$34), Table_Fuel_EFs_Transport[Scope 1 Emission Factor (kg CO2 - e / GJ) CH4]), 0)</f>
        <v>0.01</v>
      </c>
      <c r="J36" s="150" cm="1">
        <f t="array" ref="J36">IFERROR(_xlfn.XLOOKUP(1, (Table_Fuel_EFs_Transport[Fuel combusted]=$E36)*(Table_Fuel_EFs_Transport[Transport type]=$D$34), Table_Fuel_EFs_Transport[Scope 1 Emission Factor (kg CO2 - e / GJ) N2O]), 0)</f>
        <v>0.6</v>
      </c>
      <c r="K36" s="150" cm="1">
        <f t="array" ref="K36">IFERROR(_xlfn.XLOOKUP(1, (Table_Fuel_EFs_Transport[Fuel combusted]=$E36)*(Table_Fuel_EFs_Transport[Transport type]=$D$25), Table_Fuel_EFs_Transport[Scope 3 Emission Factor (kg CO2 - e / GJ)]), 0)</f>
        <v>0</v>
      </c>
      <c r="L36" s="157" cm="1">
        <f t="array" ref="L36">Fuel_InputFunctions.Fuel_TotalConsumption(Table_Input_Fuel[Amount consumed], Table_Input_Fuel[Fuel use (select)], D36, Table_Input_Fuel[Fuel type (select)],F36)</f>
        <v>0</v>
      </c>
      <c r="M36" s="154" t="str" cm="1">
        <f t="array" ref="M36">Common_InputFunctions.Utility_LookupValueInTable(F36,Table_FuelTypes_Units[Fuel type],Table_FuelTypes_Units[Unit])</f>
        <v>kL</v>
      </c>
      <c r="N36" s="155">
        <f>((($L36 * $G36 * $H36) * 10 ^ -3))</f>
        <v>0</v>
      </c>
      <c r="O36" s="155">
        <f>((($L36 * $G36 * $I36) * 10 ^ -3))</f>
        <v>0</v>
      </c>
      <c r="P36" s="155">
        <f>((($L36 * $G36 * $J36) * 10 ^ -3))</f>
        <v>0</v>
      </c>
      <c r="Q36" s="158">
        <f>((L36 * G36 * K36) * 10 ^ -3)</f>
        <v>0</v>
      </c>
    </row>
    <row r="37" spans="1:17" ht="20.100000000000001" customHeight="1" x14ac:dyDescent="0.2">
      <c r="A37" s="5" t="str">
        <f>HYPERLINK("#'Calcs - Manure sent off-site'!A1", "Calcs - Manure sent off-site")</f>
        <v>Calcs - Manure sent off-site</v>
      </c>
      <c r="D37" s="159" t="str">
        <f>Table_FuelTypesPerUse[[#Headers],[Vessels]]</f>
        <v>Vessels</v>
      </c>
      <c r="E37" s="160" t="str">
        <f>'Constants - Fuel'!$E$10</f>
        <v>Gasoline</v>
      </c>
      <c r="F37" s="160" t="str">
        <f>'Constants - Fuel'!$I$131</f>
        <v>Petrol</v>
      </c>
      <c r="G37" s="167" cm="1">
        <f t="array" ref="G37">IFERROR(_xlfn.XLOOKUP(1, (Table_Fuel_EFs_Transport[Fuel combusted]=$E37)*(Table_Fuel_EFs_Transport[Transport type]=$D$37), Table_Fuel_EFs_Transport[Energy Content Factor (GJ per unit of fuel)]), 0)</f>
        <v>34.200000000000003</v>
      </c>
      <c r="H37" s="167" cm="1">
        <f t="array" ref="H37">IFERROR(_xlfn.XLOOKUP(1, (Table_Fuel_EFs_Transport[Fuel combusted]=$E37)*(Table_Fuel_EFs_Transport[Transport type]=$D$37), Table_Fuel_EFs_Transport[Scope 1 Emission Factor (kg CO2 - e / GJ) CO2]), 0)</f>
        <v>67.400000000000006</v>
      </c>
      <c r="I37" s="167" cm="1">
        <f t="array" ref="I37">IFERROR(_xlfn.XLOOKUP(1, (Table_Fuel_EFs_Transport[Fuel combusted]=$E37)*(Table_Fuel_EFs_Transport[Transport type]=$D$37), Table_Fuel_EFs_Transport[Scope 1 Emission Factor (kg CO2 - e / GJ) CH4]), 0)</f>
        <v>10.1</v>
      </c>
      <c r="J37" s="167" cm="1">
        <f t="array" ref="J37">IFERROR(_xlfn.XLOOKUP(1, (Table_Fuel_EFs_Transport[Fuel combusted]=$E37)*(Table_Fuel_EFs_Transport[Transport type]=$D$37), Table_Fuel_EFs_Transport[Scope 1 Emission Factor (kg CO2 - e / GJ) N2O]), 0)</f>
        <v>0.3</v>
      </c>
      <c r="K37" s="167" cm="1">
        <f t="array" ref="K37">IFERROR(_xlfn.XLOOKUP(1, (Table_Fuel_EFs_Transport[Fuel combusted]=$E37)*(Table_Fuel_EFs_Transport[Transport type]=$D$25), Table_Fuel_EFs_Transport[Scope 3 Emission Factor (kg CO2 - e / GJ)]), 0)</f>
        <v>17.2</v>
      </c>
      <c r="L37" s="164" cm="1">
        <f t="array" ref="L37">Fuel_InputFunctions.Fuel_TotalConsumption(Table_Input_Fuel[Amount consumed], Table_Input_Fuel[Fuel use (select)], D37, Table_Input_Fuel[Fuel type (select)],F37)</f>
        <v>0</v>
      </c>
      <c r="M37" s="168" t="str" cm="1">
        <f t="array" ref="M37">Common_InputFunctions.Utility_LookupValueInTable(F37,Table_FuelTypes_Units[Fuel type],Table_FuelTypes_Units[Unit])</f>
        <v>kL</v>
      </c>
      <c r="N37" s="165">
        <f>((($L37 * $G37 * $H37) * 10 ^ -3))</f>
        <v>0</v>
      </c>
      <c r="O37" s="165">
        <f>((($L37 * $G37 * $I37) * 10 ^ -3))</f>
        <v>0</v>
      </c>
      <c r="P37" s="165">
        <f>((($L37 * $G37 * $J37) * 10 ^ -3))</f>
        <v>0</v>
      </c>
      <c r="Q37" s="165">
        <f>((L37 * G37 * K37) * 10 ^ -3)</f>
        <v>0</v>
      </c>
    </row>
    <row r="38" spans="1:17" ht="20.100000000000001" customHeight="1" x14ac:dyDescent="0.2">
      <c r="A38" s="5" t="str">
        <f>HYPERLINK("#'5.1.1.1-2 Inorganic fert N2O'!A1", "5.1.1.1-2 Inorganic fert N2O")</f>
        <v>5.1.1.1-2 Inorganic fert N2O</v>
      </c>
      <c r="D38" s="156" t="str">
        <f>$D$37</f>
        <v>Vessels</v>
      </c>
      <c r="E38" s="153" t="str">
        <f>'Constants - Fuel'!$E$11</f>
        <v>Diesel oil</v>
      </c>
      <c r="F38" s="153"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54" cm="1">
        <f t="array" ref="L38">Fuel_InputFunctions.Fuel_TotalConsumption(Table_Input_Fuel[Amount consumed], Table_Input_Fuel[Fuel use (select)], D38, Table_Input_Fuel[Fuel type (select)],F38)</f>
        <v>0</v>
      </c>
      <c r="M38" s="154" t="str" cm="1">
        <f t="array" ref="M38">Common_InputFunctions.Utility_LookupValueInTable(F38,Table_FuelTypes_Units[Fuel type],Table_FuelTypes_Units[Unit])</f>
        <v>kL</v>
      </c>
      <c r="N38" s="155">
        <f>((($L38 * $G38 * $H38) * 10 ^ -3))</f>
        <v>0</v>
      </c>
      <c r="O38" s="155">
        <f>((($L38 * $G38 * $I38) * 10 ^ -3))</f>
        <v>0</v>
      </c>
      <c r="P38" s="155">
        <f>((($L38 * $G38 * $J38) * 10 ^ -3))</f>
        <v>0</v>
      </c>
      <c r="Q38" s="155">
        <f>((L38 * G38 * K38) * 10 ^ -3)</f>
        <v>0</v>
      </c>
    </row>
    <row r="39" spans="1:17" ht="20.100000000000001" customHeight="1" x14ac:dyDescent="0.2">
      <c r="A39" s="5" t="str">
        <f>HYPERLINK("#'5.1.1.3-4 Inorganic fert CO2'!A1", "5.1.1.3-4 Inorganic fert CO2")</f>
        <v>5.1.1.3-4 Inorganic fert CO2</v>
      </c>
      <c r="D39" s="156" t="str">
        <f>$D$37</f>
        <v>Vessels</v>
      </c>
      <c r="E39" s="153" t="str">
        <f>'Constants - Fuel'!E33</f>
        <v>Fuel Oil</v>
      </c>
      <c r="F39" s="153"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54" cm="1">
        <f t="array" ref="L39">Fuel_InputFunctions.Fuel_TotalConsumption(Table_Input_Fuel[Amount consumed], Table_Input_Fuel[Fuel use (select)], D39, Table_Input_Fuel[Fuel type (select)],F39)</f>
        <v>10</v>
      </c>
      <c r="M39" s="154" t="str" cm="1">
        <f t="array" ref="M39">Common_InputFunctions.Utility_LookupValueInTable(F39,Table_FuelTypes_Units[Fuel type],Table_FuelTypes_Units[Unit])</f>
        <v>kL</v>
      </c>
      <c r="N39" s="155">
        <f>((($L39 * $G39 * $H39) * 10 ^ -3))</f>
        <v>29.219199999999997</v>
      </c>
      <c r="O39" s="155">
        <f>((($L39 * $G39 * $I39) * 10 ^ -3))</f>
        <v>7.9400000000000012E-2</v>
      </c>
      <c r="P39" s="155">
        <f>((($L39 * $G39 * $J39) * 10 ^ -3))</f>
        <v>0.19850000000000001</v>
      </c>
      <c r="Q39" s="155">
        <f>((L39 * G39 * K39) * 10 ^ -3)</f>
        <v>7.1459999999999999</v>
      </c>
    </row>
    <row r="40" spans="1:17" ht="20.100000000000001" customHeight="1" x14ac:dyDescent="0.2">
      <c r="A40" s="5" t="str">
        <f>HYPERLINK("#'5.2.1.1-2 Organic Fert N2O'!A1", "5.2.1.1-2 Organic Fert N2O")</f>
        <v>5.2.1.1-2 Organic Fert N2O</v>
      </c>
      <c r="H40" s="152"/>
      <c r="I40" s="152"/>
      <c r="J40" s="152"/>
      <c r="L40" s="152"/>
      <c r="M40" s="152"/>
      <c r="N40" s="152"/>
      <c r="O40" s="152"/>
      <c r="P40" s="152"/>
      <c r="Q40" s="152"/>
    </row>
    <row r="41" spans="1:17" ht="20.100000000000001" customHeight="1" x14ac:dyDescent="0.2">
      <c r="A41" s="5" t="str">
        <f>HYPERLINK("#'5.3.1.1-2 Lime CO2'!A1", "5.3.1.1-2 Lime CO2")</f>
        <v>5.3.1.1-2 Lime CO2</v>
      </c>
      <c r="H41" s="152"/>
      <c r="I41" s="152"/>
      <c r="J41" s="152"/>
      <c r="L41" s="152"/>
      <c r="M41" s="152"/>
      <c r="N41" s="152"/>
      <c r="O41" s="152"/>
      <c r="P41" s="152"/>
      <c r="Q41" s="152"/>
    </row>
    <row r="42" spans="1:17" ht="20.100000000000001" customHeight="1" x14ac:dyDescent="0.2">
      <c r="A42" s="5" t="str">
        <f>HYPERLINK("#'5.4.1.1-4 Atmos deposition'!A1", "5.4.1.1-4 Atmos deposition")</f>
        <v>5.4.1.1-4 Atmos deposition</v>
      </c>
      <c r="D42" s="169" t="str">
        <f>"Total scope 1 - " &amp; D25</f>
        <v>Total scope 1 - Cars and light commercial vehicles</v>
      </c>
      <c r="E42" s="170"/>
      <c r="F42" s="171"/>
    </row>
    <row r="43" spans="1:17" ht="20.100000000000001" customHeight="1" x14ac:dyDescent="0.2">
      <c r="A43" s="5" t="str">
        <f>HYPERLINK("#'5.5.1.1-2 Leaching and runoff'!A1", "5.5.1.1-2 Leaching and runoff")</f>
        <v>5.5.1.1-2 Leaching and runoff</v>
      </c>
      <c r="D43" s="24" t="s">
        <v>613</v>
      </c>
      <c r="E43" s="172">
        <f>SUM(N25:N32)+N("Partial sum")</f>
        <v>26.981400000000001</v>
      </c>
      <c r="F43" s="16" t="str">
        <f>$E$12</f>
        <v>t CO2-e</v>
      </c>
    </row>
    <row r="44" spans="1:17" ht="20.100000000000001" customHeight="1" x14ac:dyDescent="0.2">
      <c r="D44" s="24" t="s">
        <v>614</v>
      </c>
      <c r="E44" s="172">
        <f>SUM(O25:O32)+N("Partial sum")</f>
        <v>3.8600000000000001E-3</v>
      </c>
      <c r="F44" s="16" t="str">
        <f t="shared" ref="F44:F46" si="1">$E$12</f>
        <v>t CO2-e</v>
      </c>
    </row>
    <row r="45" spans="1:17" ht="20.100000000000001" customHeight="1" x14ac:dyDescent="0.2">
      <c r="D45" s="24" t="s">
        <v>615</v>
      </c>
      <c r="E45" s="172">
        <f>SUM(P25:P32)+N("Partial sum")</f>
        <v>0.193</v>
      </c>
      <c r="F45" s="16" t="str">
        <f t="shared" si="1"/>
        <v>t CO2-e</v>
      </c>
    </row>
    <row r="46" spans="1:17" ht="20.100000000000001" customHeight="1" x14ac:dyDescent="0.2">
      <c r="A46" s="80" t="s">
        <v>1</v>
      </c>
      <c r="D46" s="24" t="s">
        <v>239</v>
      </c>
      <c r="E46" s="172">
        <f>SUM(Q25:Q32)+N("Partial sum")</f>
        <v>6.6778000000000004</v>
      </c>
      <c r="F46" s="16" t="str">
        <f t="shared" si="1"/>
        <v>t CO2-e</v>
      </c>
    </row>
    <row r="47" spans="1:17" ht="20.100000000000001" customHeight="1" x14ac:dyDescent="0.2">
      <c r="A47" s="5" t="str">
        <f>HYPERLINK("#'Constants - Feedlot'!A1", "Constants - Feedlot")</f>
        <v>Constants - Feedlot</v>
      </c>
      <c r="D47" s="152"/>
      <c r="E47" s="152"/>
      <c r="F47" s="152"/>
    </row>
    <row r="48" spans="1:17" ht="20.100000000000001" customHeight="1" x14ac:dyDescent="0.2">
      <c r="A48" s="5" t="str">
        <f>HYPERLINK("#'Constants - Common livestock'!A1", "Constants - Common Livestock")</f>
        <v>Constants - Common Livestock</v>
      </c>
      <c r="D48" s="169" t="str">
        <f>"Total scope 1 - " &amp; D33</f>
        <v>Total scope 1 - Off-road Agriculture and forestry equipment</v>
      </c>
      <c r="E48" s="173"/>
      <c r="F48" s="171"/>
      <c r="H48" s="152"/>
      <c r="I48" s="152"/>
      <c r="J48" s="152"/>
      <c r="L48" s="152"/>
      <c r="M48" s="152"/>
      <c r="N48" s="152"/>
      <c r="O48" s="152"/>
      <c r="P48" s="152"/>
      <c r="Q48" s="152"/>
    </row>
    <row r="49" spans="1:17" ht="20.100000000000001" customHeight="1" x14ac:dyDescent="0.2">
      <c r="A49" s="5" t="str">
        <f>HYPERLINK("#'Constants - Electricity'!A1", "Constants - Electricity")</f>
        <v>Constants - Electricity</v>
      </c>
      <c r="D49" s="24" t="s">
        <v>613</v>
      </c>
      <c r="E49" s="172">
        <f>SUM(N33:N33)+N("Partial sum")</f>
        <v>26.981400000000001</v>
      </c>
      <c r="F49" s="16" t="str">
        <f t="shared" ref="F49:F52" si="2">$E$12</f>
        <v>t CO2-e</v>
      </c>
      <c r="H49" s="152"/>
      <c r="I49" s="152"/>
      <c r="J49" s="152"/>
      <c r="L49" s="152"/>
      <c r="M49" s="152"/>
      <c r="N49" s="152"/>
      <c r="O49" s="152"/>
      <c r="P49" s="152"/>
      <c r="Q49" s="152"/>
    </row>
    <row r="50" spans="1:17" ht="20.100000000000001" customHeight="1" x14ac:dyDescent="0.2">
      <c r="A50" s="5" t="str">
        <f>HYPERLINK("#'Constants - Fertiliser'!A1", "Constants - Fertiliser")</f>
        <v>Constants - Fertiliser</v>
      </c>
      <c r="D50" s="24" t="s">
        <v>614</v>
      </c>
      <c r="E50" s="172">
        <f>SUM(O33:O33)+N("Partial sum")</f>
        <v>0.1158</v>
      </c>
      <c r="F50" s="16" t="str">
        <f t="shared" si="2"/>
        <v>t CO2-e</v>
      </c>
      <c r="H50" s="152"/>
      <c r="I50" s="152"/>
      <c r="J50" s="152"/>
      <c r="L50" s="152"/>
      <c r="M50" s="152"/>
      <c r="N50" s="152"/>
      <c r="O50" s="152"/>
      <c r="P50" s="152"/>
      <c r="Q50" s="152"/>
    </row>
    <row r="51" spans="1:17" ht="20.100000000000001" customHeight="1" x14ac:dyDescent="0.2">
      <c r="A51" s="5" t="str">
        <f>HYPERLINK("#'Constants - Fuel'!A1", "Constants - Fuel")</f>
        <v>Constants - Fuel</v>
      </c>
      <c r="D51" s="24" t="s">
        <v>615</v>
      </c>
      <c r="E51" s="172">
        <f>SUM(P33:P33)+N("Partial sum")</f>
        <v>0.193</v>
      </c>
      <c r="F51" s="16" t="str">
        <f t="shared" si="2"/>
        <v>t CO2-e</v>
      </c>
      <c r="H51" s="152"/>
      <c r="I51" s="152"/>
      <c r="J51" s="152"/>
      <c r="L51" s="152"/>
      <c r="M51" s="152"/>
      <c r="N51" s="152"/>
      <c r="O51" s="152"/>
      <c r="P51" s="152"/>
      <c r="Q51" s="152"/>
    </row>
    <row r="52" spans="1:17" ht="20.100000000000001" customHeight="1" x14ac:dyDescent="0.2">
      <c r="A52" s="5" t="str">
        <f>HYPERLINK("#'Constants - Scope 3'!A1", "Constants - Scope 3")</f>
        <v>Constants - Scope 3</v>
      </c>
      <c r="D52" s="24" t="s">
        <v>239</v>
      </c>
      <c r="E52" s="172">
        <f>SUM(Q33)+N("Partial sum")</f>
        <v>6.6778000000000004</v>
      </c>
      <c r="F52" s="16" t="str">
        <f t="shared" si="2"/>
        <v>t CO2-e</v>
      </c>
      <c r="H52" s="152"/>
      <c r="I52" s="152"/>
      <c r="J52" s="152"/>
      <c r="L52" s="152"/>
      <c r="M52" s="152"/>
      <c r="N52" s="152"/>
      <c r="O52" s="152"/>
      <c r="P52" s="152"/>
      <c r="Q52" s="152"/>
    </row>
    <row r="53" spans="1:17" ht="20.100000000000001" customHeight="1" x14ac:dyDescent="0.2">
      <c r="A53" s="5" t="str">
        <f>HYPERLINK("#'Constants - Solid Waste'!A1", "Constants - Solid Waste")</f>
        <v>Constants - Solid Waste</v>
      </c>
      <c r="D53" s="152"/>
      <c r="E53" s="174"/>
      <c r="F53" s="152"/>
      <c r="G53" s="152"/>
      <c r="H53" s="152"/>
      <c r="I53" s="152"/>
      <c r="J53" s="152"/>
      <c r="L53" s="152"/>
      <c r="M53" s="152"/>
      <c r="N53" s="152"/>
      <c r="O53" s="152"/>
      <c r="P53" s="152"/>
      <c r="Q53" s="152"/>
    </row>
    <row r="54" spans="1:17" ht="20.100000000000001" customHeight="1" x14ac:dyDescent="0.2">
      <c r="A54" s="5" t="str">
        <f>HYPERLINK("#'Constants - Common'!A1", "Constants - Common")</f>
        <v>Constants - Common</v>
      </c>
      <c r="D54" s="169" t="str">
        <f>"Total scope 1 - " &amp; D34</f>
        <v>Total scope 1 - Aviation</v>
      </c>
      <c r="E54" s="173"/>
      <c r="F54" s="171"/>
      <c r="G54" s="152"/>
      <c r="H54" s="152"/>
      <c r="I54" s="152"/>
      <c r="J54" s="152"/>
      <c r="L54" s="152"/>
      <c r="M54" s="152"/>
      <c r="N54" s="152"/>
      <c r="O54" s="152"/>
      <c r="P54" s="152"/>
      <c r="Q54" s="152"/>
    </row>
    <row r="55" spans="1:17" ht="20.100000000000001" customHeight="1" x14ac:dyDescent="0.2">
      <c r="A55" s="5" t="str">
        <f>HYPERLINK("#'Acknowledgements'!A1", "Acknowledgements")</f>
        <v>Acknowledgements</v>
      </c>
      <c r="D55" s="24" t="s">
        <v>613</v>
      </c>
      <c r="E55" s="172">
        <f>SUM(N34:N36)+N("Partial sum")</f>
        <v>0</v>
      </c>
      <c r="F55" s="16" t="str">
        <f t="shared" ref="F55:F58" si="3">$E$12</f>
        <v>t CO2-e</v>
      </c>
      <c r="G55" s="152"/>
      <c r="H55" s="152"/>
      <c r="I55" s="152"/>
      <c r="J55" s="152"/>
      <c r="L55" s="152"/>
      <c r="M55" s="152"/>
      <c r="N55" s="152"/>
      <c r="O55" s="152"/>
      <c r="P55" s="152"/>
      <c r="Q55" s="152"/>
    </row>
    <row r="56" spans="1:17" ht="20.100000000000001" customHeight="1" x14ac:dyDescent="0.2">
      <c r="D56" s="24" t="s">
        <v>614</v>
      </c>
      <c r="E56" s="172">
        <f>SUM(O34:O36)+N("Partial sum")</f>
        <v>0</v>
      </c>
      <c r="F56" s="16" t="str">
        <f t="shared" si="3"/>
        <v>t CO2-e</v>
      </c>
      <c r="G56" s="152"/>
      <c r="H56" s="152"/>
      <c r="I56" s="152"/>
      <c r="J56" s="152"/>
      <c r="L56" s="152"/>
      <c r="M56" s="152"/>
      <c r="N56" s="152"/>
      <c r="O56" s="152"/>
      <c r="P56" s="152"/>
      <c r="Q56" s="152"/>
    </row>
    <row r="57" spans="1:17" ht="20.100000000000001" customHeight="1" x14ac:dyDescent="0.2">
      <c r="D57" s="24" t="s">
        <v>615</v>
      </c>
      <c r="E57" s="172">
        <f>SUM(P34:P36)+N("Partial sum")</f>
        <v>0</v>
      </c>
      <c r="F57" s="16" t="str">
        <f t="shared" si="3"/>
        <v>t CO2-e</v>
      </c>
      <c r="G57" s="152"/>
      <c r="H57" s="152"/>
      <c r="I57" s="152"/>
      <c r="J57" s="152"/>
      <c r="L57" s="152"/>
      <c r="M57" s="152"/>
      <c r="N57" s="152"/>
      <c r="O57" s="152"/>
      <c r="P57" s="152"/>
      <c r="Q57" s="152"/>
    </row>
    <row r="58" spans="1:17" ht="20.100000000000001" customHeight="1" x14ac:dyDescent="0.2">
      <c r="D58" s="24" t="s">
        <v>239</v>
      </c>
      <c r="E58" s="172">
        <f>SUM(Q34:Q36)+N("Partial sum")</f>
        <v>0</v>
      </c>
      <c r="F58" s="16" t="str">
        <f t="shared" si="3"/>
        <v>t CO2-e</v>
      </c>
      <c r="G58" s="152"/>
      <c r="H58" s="152"/>
      <c r="I58" s="152"/>
      <c r="J58" s="152"/>
      <c r="L58" s="152"/>
      <c r="M58" s="152"/>
      <c r="N58" s="152"/>
      <c r="O58" s="152"/>
      <c r="P58" s="152"/>
      <c r="Q58" s="152"/>
    </row>
    <row r="59" spans="1:17" ht="20.100000000000001" customHeight="1" x14ac:dyDescent="0.2">
      <c r="D59" s="152"/>
      <c r="E59" s="174"/>
      <c r="F59" s="152"/>
      <c r="G59" s="152"/>
      <c r="H59" s="152"/>
      <c r="I59" s="152"/>
      <c r="J59" s="152"/>
      <c r="L59" s="152"/>
      <c r="M59" s="152"/>
      <c r="N59" s="152"/>
      <c r="O59" s="152"/>
      <c r="P59" s="152"/>
      <c r="Q59" s="152"/>
    </row>
    <row r="60" spans="1:17" ht="20.100000000000001" customHeight="1" x14ac:dyDescent="0.2">
      <c r="D60" s="169" t="str">
        <f>"Total scope 1 - " &amp; D37</f>
        <v>Total scope 1 - Vessels</v>
      </c>
      <c r="E60" s="173"/>
      <c r="F60" s="171"/>
      <c r="G60" s="152"/>
      <c r="H60" s="152"/>
      <c r="I60" s="152"/>
      <c r="J60" s="152"/>
      <c r="L60" s="152"/>
      <c r="M60" s="152"/>
      <c r="N60" s="152"/>
      <c r="O60" s="152"/>
      <c r="P60" s="152"/>
      <c r="Q60" s="152"/>
    </row>
    <row r="61" spans="1:17" ht="20.100000000000001" customHeight="1" x14ac:dyDescent="0.2">
      <c r="D61" s="24" t="s">
        <v>613</v>
      </c>
      <c r="E61" s="172">
        <f>SUM(N37:N39)+N("Partial sum")</f>
        <v>29.219199999999997</v>
      </c>
      <c r="F61" s="16" t="str">
        <f t="shared" ref="F61:F64" si="4">$E$12</f>
        <v>t CO2-e</v>
      </c>
      <c r="G61" s="152"/>
      <c r="H61" s="152"/>
      <c r="I61" s="152"/>
      <c r="J61" s="152"/>
      <c r="L61" s="152"/>
      <c r="M61" s="152"/>
      <c r="N61" s="152"/>
      <c r="O61" s="152"/>
      <c r="P61" s="152"/>
      <c r="Q61" s="152"/>
    </row>
    <row r="62" spans="1:17" ht="20.100000000000001" customHeight="1" x14ac:dyDescent="0.2">
      <c r="D62" s="24" t="s">
        <v>614</v>
      </c>
      <c r="E62" s="172">
        <f>SUM(O37:O39)+N("Partial sum")</f>
        <v>7.9400000000000012E-2</v>
      </c>
      <c r="F62" s="16" t="str">
        <f t="shared" si="4"/>
        <v>t CO2-e</v>
      </c>
      <c r="G62" s="152"/>
      <c r="H62" s="152"/>
      <c r="I62" s="152"/>
      <c r="J62" s="152"/>
      <c r="L62" s="152"/>
      <c r="M62" s="152"/>
      <c r="N62" s="152"/>
      <c r="O62" s="152"/>
      <c r="P62" s="152"/>
      <c r="Q62" s="152"/>
    </row>
    <row r="63" spans="1:17" ht="20.100000000000001" customHeight="1" x14ac:dyDescent="0.2">
      <c r="D63" s="24" t="s">
        <v>615</v>
      </c>
      <c r="E63" s="172">
        <f>SUM(P37:P39)+N("Partial sum")</f>
        <v>0.19850000000000001</v>
      </c>
      <c r="F63" s="16" t="str">
        <f t="shared" si="4"/>
        <v>t CO2-e</v>
      </c>
      <c r="G63" s="152"/>
      <c r="H63" s="152"/>
      <c r="I63" s="152"/>
      <c r="J63" s="152"/>
      <c r="L63" s="152"/>
      <c r="M63" s="152"/>
      <c r="N63" s="152"/>
      <c r="O63" s="152"/>
      <c r="P63" s="152"/>
      <c r="Q63" s="152"/>
    </row>
    <row r="64" spans="1:17" ht="20.100000000000001" customHeight="1" x14ac:dyDescent="0.2">
      <c r="D64" s="24" t="s">
        <v>239</v>
      </c>
      <c r="E64" s="172">
        <f>SUM(Q37:Q39)+N("Partial sum")</f>
        <v>7.1459999999999999</v>
      </c>
      <c r="F64" s="16" t="str">
        <f t="shared" si="4"/>
        <v>t CO2-e</v>
      </c>
      <c r="G64" s="152"/>
      <c r="H64" s="152"/>
      <c r="I64" s="152"/>
      <c r="J64" s="152"/>
      <c r="L64" s="152"/>
      <c r="M64" s="152"/>
      <c r="N64" s="152"/>
      <c r="O64" s="152"/>
      <c r="P64" s="152"/>
      <c r="Q64" s="152"/>
    </row>
    <row r="65" spans="1:17" ht="20.100000000000001" customHeight="1" x14ac:dyDescent="0.2">
      <c r="G65" s="152"/>
      <c r="H65" s="152"/>
      <c r="I65" s="152"/>
      <c r="J65" s="152"/>
      <c r="L65" s="152"/>
      <c r="M65" s="152"/>
      <c r="N65" s="152"/>
      <c r="O65" s="152"/>
      <c r="P65" s="152"/>
      <c r="Q65" s="152"/>
    </row>
    <row r="66" spans="1:17" ht="20.100000000000001" customHeight="1" x14ac:dyDescent="0.2">
      <c r="A66" s="79" t="str">
        <f>HYPERLINK("#A1", "▲ Back to top")</f>
        <v>▲ Back to top</v>
      </c>
      <c r="D66" s="169" t="s">
        <v>616</v>
      </c>
      <c r="E66" s="175"/>
      <c r="F66" s="171"/>
      <c r="G66" s="152"/>
      <c r="H66" s="152"/>
      <c r="I66" s="152"/>
      <c r="J66" s="152"/>
      <c r="L66" s="152"/>
      <c r="M66" s="152"/>
      <c r="N66" s="152"/>
      <c r="O66" s="152"/>
      <c r="P66" s="152"/>
      <c r="Q66" s="152"/>
    </row>
    <row r="67" spans="1:17" ht="20.100000000000001" customHeight="1" x14ac:dyDescent="0.2">
      <c r="D67" s="24" t="s">
        <v>613</v>
      </c>
      <c r="E67" s="172">
        <f>E43+E49+E55+E61</f>
        <v>83.182000000000002</v>
      </c>
      <c r="F67" s="16" t="str">
        <f t="shared" ref="F67:F70" si="5">$E$12</f>
        <v>t CO2-e</v>
      </c>
      <c r="G67" s="152"/>
    </row>
    <row r="68" spans="1:17" ht="20.100000000000001" customHeight="1" x14ac:dyDescent="0.2">
      <c r="D68" s="24" t="s">
        <v>614</v>
      </c>
      <c r="E68" s="172">
        <f t="shared" ref="E68:E70" si="6">E44+E50+E56+E62</f>
        <v>0.19906000000000001</v>
      </c>
      <c r="F68" s="16" t="str">
        <f t="shared" si="5"/>
        <v>t CO2-e</v>
      </c>
      <c r="G68" s="152"/>
    </row>
    <row r="69" spans="1:17" ht="20.100000000000001" customHeight="1" x14ac:dyDescent="0.2">
      <c r="D69" s="24" t="s">
        <v>615</v>
      </c>
      <c r="E69" s="172">
        <f t="shared" si="6"/>
        <v>0.58450000000000002</v>
      </c>
      <c r="F69" s="16" t="str">
        <f t="shared" si="5"/>
        <v>t CO2-e</v>
      </c>
      <c r="G69" s="152"/>
    </row>
    <row r="70" spans="1:17" ht="20.100000000000001" customHeight="1" x14ac:dyDescent="0.2">
      <c r="D70" s="24" t="s">
        <v>239</v>
      </c>
      <c r="E70" s="172">
        <f t="shared" si="6"/>
        <v>20.5016</v>
      </c>
      <c r="F70" s="16" t="str">
        <f t="shared" si="5"/>
        <v>t CO2-e</v>
      </c>
      <c r="G70" s="152"/>
    </row>
    <row r="71" spans="1:17" ht="20.100000000000001" customHeight="1" x14ac:dyDescent="0.2">
      <c r="G71" s="152"/>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331CD145-3EDF-4235-A524-C8831575FDC2}"/>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85AE7-8802-4AB1-BACF-8887978B2B97}">
  <sheetPr>
    <tabColor rgb="FF008000"/>
  </sheetPr>
  <dimension ref="A1:R7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617</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1374</v>
      </c>
      <c r="K5" s="2" t="s">
        <v>1376</v>
      </c>
      <c r="O5" s="152"/>
      <c r="P5" s="152"/>
      <c r="Q5" s="152"/>
      <c r="R5" s="152"/>
    </row>
    <row r="6" spans="1:18" ht="20.100000000000001" customHeight="1" x14ac:dyDescent="0.2">
      <c r="D6" s="17" t="s">
        <v>1375</v>
      </c>
      <c r="K6" s="17" t="s">
        <v>1377</v>
      </c>
      <c r="O6" s="152"/>
      <c r="P6" s="152"/>
      <c r="Q6" s="152"/>
      <c r="R6" s="152"/>
    </row>
    <row r="7" spans="1:18" ht="20.100000000000001" customHeight="1" x14ac:dyDescent="0.2">
      <c r="D7" s="112"/>
      <c r="E7" s="112"/>
      <c r="K7" s="25" t="s">
        <v>1378</v>
      </c>
      <c r="O7" s="152"/>
      <c r="P7" s="152"/>
      <c r="Q7" s="152"/>
      <c r="R7" s="152"/>
    </row>
    <row r="8" spans="1:18" ht="20.100000000000001" customHeight="1" x14ac:dyDescent="0.2">
      <c r="A8" s="7" t="s">
        <v>0</v>
      </c>
      <c r="K8" s="112"/>
      <c r="L8" s="112"/>
      <c r="O8" s="152"/>
      <c r="P8" s="152"/>
      <c r="Q8" s="152"/>
      <c r="R8" s="152"/>
    </row>
    <row r="9" spans="1:18" ht="20.100000000000001" customHeight="1" x14ac:dyDescent="0.2">
      <c r="A9" s="5" t="str">
        <f>HYPERLINK("#'Input - Enterprise'!A1", "Enterprise")</f>
        <v>Enterprise</v>
      </c>
      <c r="G9" s="17"/>
      <c r="O9" s="152"/>
      <c r="P9" s="152"/>
      <c r="Q9" s="152"/>
      <c r="R9" s="152"/>
    </row>
    <row r="10" spans="1:18" ht="20.100000000000001" customHeight="1" x14ac:dyDescent="0.2">
      <c r="A10" s="5" t="str">
        <f>HYPERLINK("#'Input - Site'!A1", "Site")</f>
        <v>Site</v>
      </c>
      <c r="O10" s="152"/>
      <c r="P10" s="152"/>
      <c r="Q10" s="152"/>
      <c r="R10" s="152"/>
    </row>
    <row r="11" spans="1:18" ht="20.100000000000001" customHeight="1" x14ac:dyDescent="0.2">
      <c r="A11" s="5" t="str">
        <f>HYPERLINK("#'Input - Feedlot'!A1", "Feedlot")</f>
        <v>Feedlot</v>
      </c>
      <c r="D11" s="75" t="s">
        <v>321</v>
      </c>
      <c r="E11" s="1" t="s">
        <v>1351</v>
      </c>
      <c r="K11" s="75" t="s">
        <v>321</v>
      </c>
      <c r="L11" s="1" t="s">
        <v>1379</v>
      </c>
      <c r="O11" s="152"/>
      <c r="P11" s="152"/>
      <c r="Q11" s="152"/>
      <c r="R11" s="152"/>
    </row>
    <row r="12" spans="1:18" ht="20.100000000000001" customHeight="1" x14ac:dyDescent="0.2">
      <c r="A12" s="5" t="str">
        <f>HYPERLINK("#'Input - Livestock sales'!A1", "Livestock sales")</f>
        <v>Livestock sales</v>
      </c>
      <c r="D12" s="75" t="s">
        <v>118</v>
      </c>
      <c r="E12" s="9" t="s">
        <v>251</v>
      </c>
      <c r="K12" s="75" t="s">
        <v>118</v>
      </c>
      <c r="L12" s="9" t="s">
        <v>7</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Fuel'!A1", "Fuel")</f>
        <v>Fuel</v>
      </c>
      <c r="D14" s="113" t="s">
        <v>1380</v>
      </c>
      <c r="E14" s="121" t="s">
        <v>1381</v>
      </c>
      <c r="F14" s="122"/>
      <c r="G14" s="113" t="s">
        <v>1364</v>
      </c>
      <c r="H14" s="114" t="s">
        <v>1196</v>
      </c>
      <c r="I14" s="116" t="str" cm="1">
        <f t="array" aca="1" ref="I14" ca="1">HYPERLINK(Common_InputFunctions.Utility_SourceHyperlink($D$22), $D$22)</f>
        <v>Table_E_g</v>
      </c>
      <c r="K14" s="113" t="s">
        <v>1380</v>
      </c>
      <c r="L14" s="113" t="s">
        <v>1388</v>
      </c>
      <c r="M14" s="113"/>
      <c r="N14" s="113" t="s">
        <v>651</v>
      </c>
      <c r="O14" s="114" t="s">
        <v>1196</v>
      </c>
      <c r="P14" s="116" t="str" cm="1">
        <f t="array" aca="1" ref="P14" ca="1">HYPERLINK(Common_InputFunctions.Utility_SourceHyperlink($D$22), $D$22)</f>
        <v>Table_E_g</v>
      </c>
      <c r="Q14" s="152"/>
    </row>
    <row r="15" spans="1:18" ht="20.100000000000001" customHeight="1" x14ac:dyDescent="0.2">
      <c r="A15" s="5" t="str">
        <f>HYPERLINK("#'Input - Electricity'!A1", "Electricity")</f>
        <v>Electricity</v>
      </c>
      <c r="D15" s="113" t="s">
        <v>1382</v>
      </c>
      <c r="E15" s="121" t="s">
        <v>1383</v>
      </c>
      <c r="F15" s="122"/>
      <c r="G15" s="113" t="s">
        <v>1365</v>
      </c>
      <c r="H15" s="115" t="s">
        <v>1227</v>
      </c>
      <c r="I15" s="116" t="str" cm="1">
        <f t="array" aca="1" ref="I15" ca="1">HYPERLINK(Common_InputFunctions.Utility_SourceHyperlink($D$22), $D$22)</f>
        <v>Table_E_g</v>
      </c>
      <c r="K15" s="113" t="s">
        <v>1382</v>
      </c>
      <c r="L15" s="113" t="s">
        <v>1389</v>
      </c>
      <c r="M15" s="113"/>
      <c r="N15" s="113" t="s">
        <v>1394</v>
      </c>
      <c r="O15" s="115" t="s">
        <v>1227</v>
      </c>
      <c r="P15" s="116" t="str" cm="1">
        <f t="array" aca="1" ref="P15" ca="1">HYPERLINK(Common_InputFunctions.Utility_SourceHyperlink($D$22), $D$22)</f>
        <v>Table_E_g</v>
      </c>
      <c r="Q15" s="152"/>
    </row>
    <row r="16" spans="1:18" ht="20.100000000000001" customHeight="1" x14ac:dyDescent="0.2">
      <c r="A16" s="5" t="str">
        <f>HYPERLINK("#'Input - Common farm inputs'!A1", "Common farm inputs")</f>
        <v>Common farm inputs</v>
      </c>
      <c r="D16" s="113" t="s">
        <v>1384</v>
      </c>
      <c r="E16" s="121" t="s">
        <v>1385</v>
      </c>
      <c r="F16" s="122"/>
      <c r="G16" s="113" t="s">
        <v>1366</v>
      </c>
      <c r="H16" s="115" t="s">
        <v>1227</v>
      </c>
      <c r="I16" s="116" t="str" cm="1">
        <f t="array" aca="1" ref="I16" ca="1">HYPERLINK(Common_InputFunctions.Utility_SourceHyperlink($D$22), $D$22)</f>
        <v>Table_E_g</v>
      </c>
      <c r="K16" s="113" t="s">
        <v>1390</v>
      </c>
      <c r="L16" s="113" t="s">
        <v>1391</v>
      </c>
      <c r="M16" s="113"/>
      <c r="N16" s="113" t="s">
        <v>1373</v>
      </c>
      <c r="O16" s="115" t="s">
        <v>1227</v>
      </c>
      <c r="P16" s="116" t="str" cm="1">
        <f t="array" aca="1" ref="P16" ca="1">HYPERLINK(Common_InputFunctions.Utility_SourceHyperlink($D$22), $D$22)</f>
        <v>Table_E_g</v>
      </c>
      <c r="Q16" s="152"/>
    </row>
    <row r="17" spans="1:17" ht="20.100000000000001" customHeight="1" x14ac:dyDescent="0.2">
      <c r="A17" s="5" t="str">
        <f>HYPERLINK("#'Input - Livestock farm Inputs'!A1", "Livestock farm Inputs")</f>
        <v>Livestock farm Inputs</v>
      </c>
      <c r="D17" s="113" t="s">
        <v>1359</v>
      </c>
      <c r="E17" s="121" t="s">
        <v>649</v>
      </c>
      <c r="F17" s="122"/>
      <c r="G17" s="113"/>
      <c r="H17" s="115" t="s">
        <v>1227</v>
      </c>
      <c r="I17" s="116"/>
      <c r="J17" s="152"/>
      <c r="K17" s="113" t="s">
        <v>1223</v>
      </c>
      <c r="L17" s="121" t="s">
        <v>1224</v>
      </c>
      <c r="M17" s="122"/>
      <c r="N17" s="113"/>
      <c r="O17" s="114" t="s">
        <v>1196</v>
      </c>
      <c r="P17" s="113" t="str">
        <f>X_Cell_Site_State</f>
        <v>Western Australia</v>
      </c>
      <c r="Q17" s="152"/>
    </row>
    <row r="18" spans="1:17" ht="20.100000000000001" customHeight="1" x14ac:dyDescent="0.2">
      <c r="A18" s="5" t="str">
        <f>HYPERLINK("#'Input - Freight'!A1", "Freight")</f>
        <v>Freight</v>
      </c>
      <c r="D18" s="113" t="s">
        <v>1386</v>
      </c>
      <c r="E18" s="121" t="s">
        <v>1387</v>
      </c>
      <c r="F18" s="122"/>
      <c r="G18" s="113"/>
      <c r="H18" s="115" t="s">
        <v>1227</v>
      </c>
      <c r="I18" s="116"/>
      <c r="J18" s="152"/>
      <c r="K18" s="113" t="s">
        <v>1392</v>
      </c>
      <c r="L18" s="121" t="s">
        <v>1393</v>
      </c>
      <c r="M18" s="122"/>
      <c r="N18" s="113"/>
      <c r="O18" s="114" t="s">
        <v>1196</v>
      </c>
      <c r="P18" s="113" t="str">
        <f>X_Cell_Fuel_IsMetroLocation</f>
        <v>Metro</v>
      </c>
      <c r="Q18" s="152"/>
    </row>
    <row r="19" spans="1:17" ht="20.100000000000001" customHeight="1" x14ac:dyDescent="0.2">
      <c r="A19" s="5" t="str">
        <f>HYPERLINK("#'Input - Solid waste'!A1", "Solid waste")</f>
        <v>Solid waste</v>
      </c>
      <c r="D19" s="113" t="s">
        <v>1362</v>
      </c>
      <c r="E19" s="121" t="s">
        <v>1363</v>
      </c>
      <c r="F19" s="122"/>
      <c r="G19" s="113"/>
      <c r="H19" s="115" t="s">
        <v>1227</v>
      </c>
      <c r="I19" s="116"/>
      <c r="J19" s="152"/>
      <c r="L19" s="152"/>
      <c r="N19" s="152"/>
      <c r="O19" s="152"/>
      <c r="P19" s="152"/>
      <c r="Q19" s="152"/>
    </row>
    <row r="20" spans="1:17" ht="20.100000000000001" customHeight="1" x14ac:dyDescent="0.2">
      <c r="A20" s="5" t="str">
        <f>HYPERLINK("#'Input - Manure sent off-site'!A1", "Manure sent off-site")</f>
        <v>Manure sent off-site</v>
      </c>
      <c r="D20" s="113">
        <v>1</v>
      </c>
      <c r="E20" s="121" t="s">
        <v>235</v>
      </c>
      <c r="F20" s="122"/>
      <c r="G20" s="113"/>
      <c r="H20" s="115" t="s">
        <v>1227</v>
      </c>
      <c r="I20" s="116"/>
      <c r="J20" s="152"/>
      <c r="L20" s="152"/>
      <c r="N20" s="152"/>
      <c r="O20" s="152"/>
      <c r="P20" s="152"/>
      <c r="Q20" s="152"/>
    </row>
    <row r="21" spans="1:17" ht="20.100000000000001" customHeight="1" x14ac:dyDescent="0.2">
      <c r="A21" s="5" t="str">
        <f>HYPERLINK("#'Input - Data quality'!A1", "Data quality")</f>
        <v>Data quality</v>
      </c>
      <c r="O21" s="152"/>
      <c r="P21" s="152"/>
      <c r="Q21" s="152"/>
    </row>
    <row r="22" spans="1:17" ht="20.100000000000001" customHeight="1" x14ac:dyDescent="0.2">
      <c r="A22" s="5" t="str">
        <f>HYPERLINK("#'Input - Fert Prod System'!A1", "Fert Prod System")</f>
        <v>Fert Prod System</v>
      </c>
      <c r="D22" s="118" t="s">
        <v>597</v>
      </c>
    </row>
    <row r="23" spans="1:17" ht="20.100000000000001" customHeight="1" x14ac:dyDescent="0.2">
      <c r="A23" s="5" t="str">
        <f>HYPERLINK("#'Input - Fertiliser'!A1", "Fertiliser")</f>
        <v>Fertiliser</v>
      </c>
      <c r="D23" s="119" t="s">
        <v>618</v>
      </c>
    </row>
    <row r="24" spans="1:17" ht="20.100000000000001" customHeight="1" x14ac:dyDescent="0.2">
      <c r="D24" s="120" t="s">
        <v>599</v>
      </c>
      <c r="E24" s="120" t="s">
        <v>600</v>
      </c>
      <c r="F24" s="120" t="s">
        <v>601</v>
      </c>
      <c r="G24" s="120" t="s">
        <v>619</v>
      </c>
      <c r="H24" s="120" t="s">
        <v>620</v>
      </c>
      <c r="I24" s="120" t="s">
        <v>621</v>
      </c>
      <c r="J24" s="120" t="s">
        <v>622</v>
      </c>
      <c r="K24" s="120" t="s">
        <v>623</v>
      </c>
      <c r="L24" s="78" t="s">
        <v>624</v>
      </c>
      <c r="M24" s="120" t="s">
        <v>608</v>
      </c>
      <c r="N24" s="120" t="s">
        <v>609</v>
      </c>
      <c r="O24" s="120" t="s">
        <v>610</v>
      </c>
      <c r="P24" s="120" t="s">
        <v>611</v>
      </c>
      <c r="Q24" s="120" t="s">
        <v>625</v>
      </c>
    </row>
    <row r="25" spans="1:17" ht="20.100000000000001" customHeight="1" x14ac:dyDescent="0.2">
      <c r="D25" s="24" t="str">
        <f>Table_FuelTypesPerUse[[#Headers],[Generators]]</f>
        <v>Generators</v>
      </c>
      <c r="E25" s="153" t="str">
        <f>'Constants - Fuel'!$D$58</f>
        <v>Automotive gasoline / petrol (other than for use as fuel in an aircraft)</v>
      </c>
      <c r="F25" s="153"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54" cm="1">
        <f t="array" ref="L25">Fuel_InputFunctions.Fuel_TotalConsumption(Table_Input_Fuel[Amount consumed], Table_Input_Fuel[Fuel use (select)], D25, Table_Input_Fuel[Fuel type (select)],F25)</f>
        <v>0</v>
      </c>
      <c r="M25" s="154" t="str" cm="1">
        <f t="array" ref="M25">Common_InputFunctions.Utility_LookupValueInTable(F25,Table_FuelTypes_Units[Fuel type],Table_FuelTypes_Units[Unit])</f>
        <v>kL</v>
      </c>
      <c r="N25" s="176">
        <f>((($L25 * $G25 * H25) * 10 ^ -3))</f>
        <v>0</v>
      </c>
      <c r="O25" s="176">
        <f>((($L25 * $G25 * I25) * 10 ^ -3))</f>
        <v>0</v>
      </c>
      <c r="P25" s="176">
        <f>((($L25 * $G25 * J25) * 10 ^ -3))</f>
        <v>0</v>
      </c>
      <c r="Q25" s="176">
        <f>((($L25 * $G25 * ((IF(ISNUMBER(K25), K25, 0)))) * 10 ^ -3))</f>
        <v>0</v>
      </c>
    </row>
    <row r="26" spans="1:17" ht="20.100000000000001" customHeight="1" x14ac:dyDescent="0.2">
      <c r="A26" s="6" t="s">
        <v>2</v>
      </c>
      <c r="D26" s="156" t="str">
        <f t="shared" ref="D26:D31" si="0">$D$25</f>
        <v>Generators</v>
      </c>
      <c r="E26" s="153" t="str">
        <f>'Constants - Fuel'!$D$63</f>
        <v>Diesel oil</v>
      </c>
      <c r="F26" s="153"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54" cm="1">
        <f t="array" ref="L26">Fuel_InputFunctions.Fuel_TotalConsumption(Table_Input_Fuel[Amount consumed], Table_Input_Fuel[Fuel use (select)], D26, Table_Input_Fuel[Fuel type (select)],F26)</f>
        <v>0</v>
      </c>
      <c r="M26" s="154" t="str" cm="1">
        <f t="array" ref="M26">Common_InputFunctions.Utility_LookupValueInTable(F26,Table_FuelTypes_Units[Fuel type],Table_FuelTypes_Units[Unit])</f>
        <v>kL</v>
      </c>
      <c r="N26" s="176">
        <f>((($L26 * $G26 * H26) * 10 ^ -3))</f>
        <v>0</v>
      </c>
      <c r="O26" s="176">
        <f>((($L26 * $G26 * I26) * 10 ^ -3))</f>
        <v>0</v>
      </c>
      <c r="P26" s="176">
        <f>((($L26 * $G26 * J26) * 10 ^ -3))</f>
        <v>0</v>
      </c>
      <c r="Q26" s="176">
        <f>((($L26 * $G26 * ((IF(ISNUMBER(K26), K26, 0)))) * 10 ^ -3))</f>
        <v>0</v>
      </c>
    </row>
    <row r="27" spans="1:17" ht="20.100000000000001" customHeight="1" x14ac:dyDescent="0.2">
      <c r="A27" s="5" t="str">
        <f>HYPERLINK("#'3.1.1.1-2 Enteric Methane'!A1", "3.1.1.1-2 Enteric Methane")</f>
        <v>3.1.1.1-2 Enteric Methane</v>
      </c>
      <c r="D27" s="156" t="str">
        <f t="shared" si="0"/>
        <v>Generators</v>
      </c>
      <c r="E27" s="153" t="str">
        <f>'Constants - Fuel'!$D$67</f>
        <v>Liquefied petroleum gas (LPG)</v>
      </c>
      <c r="F27" s="153"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54" cm="1">
        <f t="array" ref="L27">Fuel_InputFunctions.Fuel_TotalConsumption(Table_Input_Fuel[Amount consumed], Table_Input_Fuel[Fuel use (select)], D27, Table_Input_Fuel[Fuel type (select)],F27)</f>
        <v>0</v>
      </c>
      <c r="M27" s="154" t="str" cm="1">
        <f t="array" ref="M27">Common_InputFunctions.Utility_LookupValueInTable(F27,Table_FuelTypes_Units[Fuel type],Table_FuelTypes_Units[Unit])</f>
        <v>kL</v>
      </c>
      <c r="N27" s="176">
        <f>((($L27 * $G27 * H27) * 10 ^ -3))</f>
        <v>0</v>
      </c>
      <c r="O27" s="176">
        <f>((($L27 * $G27 * I27) * 10 ^ -3))</f>
        <v>0</v>
      </c>
      <c r="P27" s="176">
        <f>((($L27 * $G27 * J27) * 10 ^ -3))</f>
        <v>0</v>
      </c>
      <c r="Q27" s="176">
        <f>((($L27 * $G27 * ((IF(ISNUMBER(K27), K27, 0)))) * 10 ^ -3))</f>
        <v>0</v>
      </c>
    </row>
    <row r="28" spans="1:17" ht="20.100000000000001" customHeight="1" x14ac:dyDescent="0.2">
      <c r="A28" s="5" t="str">
        <f>HYPERLINK("#'4.1.1.1-2 Methane'!A1", "4.1.1.1-2 Manure Methane")</f>
        <v>4.1.1.1-2 Manure Methane</v>
      </c>
      <c r="D28" s="156" t="str">
        <f t="shared" si="0"/>
        <v>Generators</v>
      </c>
      <c r="E28" s="153" t="str">
        <f>'Constants - Fuel'!$D$73</f>
        <v>Biodiesel</v>
      </c>
      <c r="F28" s="153"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54" cm="1">
        <f t="array" ref="L28">Fuel_InputFunctions.Fuel_TotalConsumption(Table_Input_Fuel[Amount consumed], Table_Input_Fuel[Fuel use (select)], D28, Table_Input_Fuel[Fuel type (select)],F28)</f>
        <v>0</v>
      </c>
      <c r="M28" s="154" t="str" cm="1">
        <f t="array" ref="M28">Common_InputFunctions.Utility_LookupValueInTable(F28,Table_FuelTypes_Units[Fuel type],Table_FuelTypes_Units[Unit])</f>
        <v>kL</v>
      </c>
      <c r="N28" s="176">
        <f>((($L28 * $G28 * H28) * 10 ^ -3))</f>
        <v>0</v>
      </c>
      <c r="O28" s="176">
        <f>((($L28 * $G28 * I28) * 10 ^ -3))</f>
        <v>0</v>
      </c>
      <c r="P28" s="176">
        <f>((($L28 * $G28 * J28) * 10 ^ -3))</f>
        <v>0</v>
      </c>
      <c r="Q28" s="176">
        <f>((($L28 * $G28 * ((IF(ISNUMBER(K28), K28, 0)))) * 10 ^ -3))</f>
        <v>0</v>
      </c>
    </row>
    <row r="29" spans="1:17" ht="20.100000000000001" customHeight="1" x14ac:dyDescent="0.2">
      <c r="A29" s="5" t="str">
        <f>HYPERLINK("#'4.1.1.3-4 Direct N20'!A1", "4.1.1.3-4 Manure Direct N2O")</f>
        <v>4.1.1.3-4 Manure Direct N2O</v>
      </c>
      <c r="D29" s="156" t="str">
        <f t="shared" si="0"/>
        <v>Generators</v>
      </c>
      <c r="E29" s="153" t="str">
        <f>'Constants - Fuel'!$D$74</f>
        <v>Ethanol for use as a fuel in an internal combustion engine</v>
      </c>
      <c r="F29" s="153"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54" cm="1">
        <f t="array" ref="L29">Fuel_InputFunctions.Fuel_TotalConsumption(Table_Input_Fuel[Amount consumed], Table_Input_Fuel[Fuel use (select)], D29, Table_Input_Fuel[Fuel type (select)],F29)</f>
        <v>0</v>
      </c>
      <c r="M29" s="154" t="str" cm="1">
        <f t="array" ref="M29">Common_InputFunctions.Utility_LookupValueInTable(F29,Table_FuelTypes_Units[Fuel type],Table_FuelTypes_Units[Unit])</f>
        <v>kL</v>
      </c>
      <c r="N29" s="176">
        <f>((($L29 * $G29 * H29) * 10 ^ -3))</f>
        <v>0</v>
      </c>
      <c r="O29" s="176">
        <f>((($L29 * $G29 * I29) * 10 ^ -3))</f>
        <v>0</v>
      </c>
      <c r="P29" s="176">
        <f>((($L29 * $G29 * J29) * 10 ^ -3))</f>
        <v>0</v>
      </c>
      <c r="Q29" s="176">
        <f>((($L29 * $G29 * ((IF(ISNUMBER(K29), K29, 0)))) * 10 ^ -3))</f>
        <v>0</v>
      </c>
    </row>
    <row r="30" spans="1:17" ht="20.100000000000001" customHeight="1" x14ac:dyDescent="0.2">
      <c r="A30" s="5" t="str">
        <f>HYPERLINK("#'4.1.1.5-6 Atmos Deposition'!A1", "4.1.1.5-6 Manure Atmos Dep")</f>
        <v>4.1.1.5-6 Manure Atmos Dep</v>
      </c>
      <c r="D30" s="156" t="str">
        <f t="shared" si="0"/>
        <v>Generators</v>
      </c>
      <c r="E30" s="153" t="str">
        <f>'Constants - Fuel'!$D$75</f>
        <v>Biofuels other than those mentioned in the items above and below</v>
      </c>
      <c r="F30" s="153"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54" cm="1">
        <f t="array" ref="L30">Fuel_InputFunctions.Fuel_TotalConsumption(Table_Input_Fuel[Amount consumed], Table_Input_Fuel[Fuel use (select)], D30, Table_Input_Fuel[Fuel type (select)],F30)</f>
        <v>0</v>
      </c>
      <c r="M30" s="154" t="str" cm="1">
        <f t="array" ref="M30">Common_InputFunctions.Utility_LookupValueInTable(F30,Table_FuelTypes_Units[Fuel type],Table_FuelTypes_Units[Unit])</f>
        <v>kL</v>
      </c>
      <c r="N30" s="176">
        <f>((($L30 * $G30 * H30) * 10 ^ -3))</f>
        <v>0</v>
      </c>
      <c r="O30" s="176">
        <f>((($L30 * $G30 * I30) * 10 ^ -3))</f>
        <v>0</v>
      </c>
      <c r="P30" s="176">
        <f>((($L30 * $G30 * J30) * 10 ^ -3))</f>
        <v>0</v>
      </c>
      <c r="Q30" s="176">
        <f>((($L30 * $G30 * ((IF(ISNUMBER(K30), K30, 0)))) * 10 ^ -3))</f>
        <v>0</v>
      </c>
    </row>
    <row r="31" spans="1:17" ht="20.100000000000001" customHeight="1" x14ac:dyDescent="0.2">
      <c r="A31" s="5" t="str">
        <f>HYPERLINK("#'4.1.1.9 Manure applied to soils'!A1", "4.1.1.9 Manure applied to soils")</f>
        <v>4.1.1.9 Manure applied to soils</v>
      </c>
      <c r="D31" s="156" t="str">
        <f t="shared" si="0"/>
        <v>Generators</v>
      </c>
      <c r="E31" s="153" t="str">
        <f>'Constants - Fuel'!$D$77</f>
        <v>Renewable diesel</v>
      </c>
      <c r="F31" s="153" t="str">
        <f>'Constants - Fuel'!D137</f>
        <v>Renewable diesel</v>
      </c>
      <c r="G31" s="150">
        <f>IFERROR(_xlfn.XLOOKUP($E31, Table_Fuel_EFs_StationaryLiquid[Fuel combusted], Table_Fuel_EFs_StationaryLiquid[Energy Content Factor (GJ per unit of fuel)]),0)</f>
        <v>38.6</v>
      </c>
      <c r="H31" s="150">
        <f>IFERROR(_xlfn.XLOOKUP($E31, Table_Fuel_EFs_StationaryLiquid[Fuel combusted], Table_Fuel_EFs_StationaryLiquid[Scope 1 Emission Factor (kg CO2 - e / GJ) CO2]),0)</f>
        <v>0</v>
      </c>
      <c r="I31" s="150">
        <f>IFERROR(_xlfn.XLOOKUP($E31, Table_Fuel_EFs_StationaryLiquid[Fuel combusted], Table_Fuel_EFs_StationaryLiquid[Scope 1 Emission Factor (kg CO2 - e / GJ) CH4]),0)</f>
        <v>0.1</v>
      </c>
      <c r="J31" s="150">
        <f>IFERROR(_xlfn.XLOOKUP($E31, Table_Fuel_EFs_StationaryLiquid[Fuel combusted], Table_Fuel_EFs_StationaryLiquid[Scope 1 Emission Factor (kg CO2 - e / GJ) N2O]),0)</f>
        <v>0.2</v>
      </c>
      <c r="K31" s="150" t="str">
        <f>IFERROR(_xlfn.XLOOKUP($E31, Table_Fuel_EFs_StationaryLiquid[Fuel combusted], Table_Fuel_EFs_StationaryLiquid[Scope 3 Emission Factor (kg CO2 - e / GJ)]),0)</f>
        <v>NE</v>
      </c>
      <c r="L31" s="157" cm="1">
        <f t="array" ref="L31">Fuel_InputFunctions.Fuel_TotalConsumption(Table_Input_Fuel[Amount consumed], Table_Input_Fuel[Fuel use (select)], D31, Table_Input_Fuel[Fuel type (select)],F31)</f>
        <v>0</v>
      </c>
      <c r="M31" s="157" t="str" cm="1">
        <f t="array" ref="M31">Common_InputFunctions.Utility_LookupValueInTable(F31,Table_FuelTypes_Units[Fuel type],Table_FuelTypes_Units[Unit])</f>
        <v>kL</v>
      </c>
      <c r="N31" s="177">
        <f>((($L31 * $G31 * H31) * 10 ^ -3))</f>
        <v>0</v>
      </c>
      <c r="O31" s="177">
        <f>((($L31 * $G31 * I31) * 10 ^ -3))</f>
        <v>0</v>
      </c>
      <c r="P31" s="177">
        <f>((($L31 * $G31 * J31) * 10 ^ -3))</f>
        <v>0</v>
      </c>
      <c r="Q31" s="177">
        <f>((($L31 * $G31 * ((IF(ISNUMBER(K31), K31, 0)))) * 10 ^ -3))</f>
        <v>0</v>
      </c>
    </row>
    <row r="32" spans="1:17" ht="20.100000000000001" customHeight="1" x14ac:dyDescent="0.2">
      <c r="A32" s="5" t="str">
        <f>HYPERLINK("#'8.1.1.1-2 Transport fuel'!A1", "8.1.1.1-2 Transport fuel")</f>
        <v>8.1.1.1-2 Transport fuel</v>
      </c>
      <c r="D32" s="159" t="str">
        <f>Table_FuelTypesPerUse[[#Headers],[Power standalone machinery or heating]]</f>
        <v>Power standalone machinery or heating</v>
      </c>
      <c r="E32" s="160" t="str">
        <f>'Constants - Fuel'!$D$58</f>
        <v>Automotive gasoline / petrol (other than for use as fuel in an aircraft)</v>
      </c>
      <c r="F32" s="160" t="str">
        <f>'Constants - Fuel'!E131</f>
        <v>Petrol</v>
      </c>
      <c r="G32" s="167">
        <f>IFERROR(_xlfn.XLOOKUP($E32, Table_Fuel_EFs_StationaryLiquid[Fuel combusted], Table_Fuel_EFs_StationaryLiquid[Energy Content Factor (GJ per unit of fuel)]),0)</f>
        <v>34.200000000000003</v>
      </c>
      <c r="H32" s="167">
        <f>IFERROR(_xlfn.XLOOKUP($E32, Table_Fuel_EFs_StationaryLiquid[Fuel combusted], Table_Fuel_EFs_StationaryLiquid[Scope 1 Emission Factor (kg CO2 - e / GJ) CO2]),0)</f>
        <v>67.400000000000006</v>
      </c>
      <c r="I32" s="167">
        <f>IFERROR(_xlfn.XLOOKUP($E32, Table_Fuel_EFs_StationaryLiquid[Fuel combusted], Table_Fuel_EFs_StationaryLiquid[Scope 1 Emission Factor (kg CO2 - e / GJ) CH4]),0)</f>
        <v>0.2</v>
      </c>
      <c r="J32" s="167">
        <f>IFERROR(_xlfn.XLOOKUP($E32, Table_Fuel_EFs_StationaryLiquid[Fuel combusted], Table_Fuel_EFs_StationaryLiquid[Scope 1 Emission Factor (kg CO2 - e / GJ) N2O]),0)</f>
        <v>0.2</v>
      </c>
      <c r="K32" s="167">
        <f>IFERROR(_xlfn.XLOOKUP($E32, Table_Fuel_EFs_StationaryLiquid[Fuel combusted], Table_Fuel_EFs_StationaryLiquid[Scope 3 Emission Factor (kg CO2 - e / GJ)]),0)</f>
        <v>17.2</v>
      </c>
      <c r="L32" s="163" cm="1">
        <f t="array" ref="L32">Fuel_InputFunctions.Fuel_TotalConsumption(Table_Input_Fuel[Amount consumed], Table_Input_Fuel[Fuel use (select)], D32, Table_Input_Fuel[Fuel type (select)],F32)</f>
        <v>10</v>
      </c>
      <c r="M32" s="164" t="str" cm="1">
        <f t="array" ref="M32">Common_InputFunctions.Utility_LookupValueInTable(F32,Table_FuelTypes_Units[Fuel type],Table_FuelTypes_Units[Unit])</f>
        <v>kL</v>
      </c>
      <c r="N32" s="178">
        <f>((($L32 * $G32 * H32) * 10 ^ -3))</f>
        <v>23.050800000000002</v>
      </c>
      <c r="O32" s="178">
        <f>((($L32 * $G32 * I32) * 10 ^ -3))</f>
        <v>6.8400000000000002E-2</v>
      </c>
      <c r="P32" s="178">
        <f>((($L32 * $G32 * J32) * 10 ^ -3))</f>
        <v>6.8400000000000002E-2</v>
      </c>
      <c r="Q32" s="178">
        <f>((($L32 * $G32 * ((IF(ISNUMBER(K32), K32, 0)))) * 10 ^ -3))</f>
        <v>5.8823999999999996</v>
      </c>
    </row>
    <row r="33" spans="1:17" ht="20.100000000000001" customHeight="1" x14ac:dyDescent="0.2">
      <c r="A33" s="117" t="str">
        <f>HYPERLINK("#'8.2.1.1-2 Stationary fuel'!A1", "8.2.1.1-2 Stationary fuel")</f>
        <v>8.2.1.1-2 Stationary fuel</v>
      </c>
      <c r="D33" s="156" t="str">
        <f t="shared" ref="D33:D40" si="1">$D$32</f>
        <v>Power standalone machinery or heating</v>
      </c>
      <c r="E33" s="153" t="str">
        <f>'Constants - Fuel'!$D$63</f>
        <v>Diesel oil</v>
      </c>
      <c r="F33" s="153"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76">
        <f>((($L33 * $G33 * H33) * 10 ^ -3))</f>
        <v>0</v>
      </c>
      <c r="O33" s="176">
        <f>((($L33 * $G33 * I33) * 10 ^ -3))</f>
        <v>0</v>
      </c>
      <c r="P33" s="176">
        <f>((($L33 * $G33 * J33) * 10 ^ -3))</f>
        <v>0</v>
      </c>
      <c r="Q33" s="176">
        <f>((($L33 * $G33 * ((IF(ISNUMBER(K33), K33, 0)))) * 10 ^ -3))</f>
        <v>0</v>
      </c>
    </row>
    <row r="34" spans="1:17" ht="20.100000000000001" customHeight="1" x14ac:dyDescent="0.2">
      <c r="A34" s="5" t="str">
        <f>HYPERLINK("#'10.1.1-2 Solid waste treatment'!A1", "10.1.1.1-2 Solid waste")</f>
        <v>10.1.1.1-2 Solid waste</v>
      </c>
      <c r="D34" s="156" t="str">
        <f t="shared" si="1"/>
        <v>Power standalone machinery or heating</v>
      </c>
      <c r="E34" s="153" t="str">
        <f>'Constants - Fuel'!$D$67</f>
        <v>Liquefied petroleum gas (LPG)</v>
      </c>
      <c r="F34" s="153"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76">
        <f>((($L34 * $G34 * H34) * 10 ^ -3))</f>
        <v>0</v>
      </c>
      <c r="O34" s="176">
        <f>((($L34 * $G34 * I34) * 10 ^ -3))</f>
        <v>0</v>
      </c>
      <c r="P34" s="176">
        <f>((($L34 * $G34 * J34) * 10 ^ -3))</f>
        <v>0</v>
      </c>
      <c r="Q34" s="176">
        <f>((($L34 * $G34 * ((IF(ISNUMBER(K34), K34, 0)))) * 10 ^ -3))</f>
        <v>0</v>
      </c>
    </row>
    <row r="35" spans="1:17" ht="20.100000000000001" customHeight="1" x14ac:dyDescent="0.2">
      <c r="A35" s="5" t="str">
        <f>HYPERLINK("#'14.1.1-2 Purchased electricity'!A1", "14.1.1-2 Purchased electricity")</f>
        <v>14.1.1-2 Purchased electricity</v>
      </c>
      <c r="D35" s="156" t="str">
        <f t="shared" si="1"/>
        <v>Power standalone machinery or heating</v>
      </c>
      <c r="E35" s="153" t="str">
        <f>'Constants - Fuel'!$D$73</f>
        <v>Biodiesel</v>
      </c>
      <c r="F35" s="153"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76">
        <f>((($L35 * $G35 * H35) * 10 ^ -3))</f>
        <v>0</v>
      </c>
      <c r="O35" s="176">
        <f>((($L35 * $G35 * I35) * 10 ^ -3))</f>
        <v>0</v>
      </c>
      <c r="P35" s="176">
        <f>((($L35 * $G35 * J35) * 10 ^ -3))</f>
        <v>0</v>
      </c>
      <c r="Q35" s="176">
        <f>((($L35 * $G35 * ((IF(ISNUMBER(K35), K35, 0)))) * 10 ^ -3))</f>
        <v>0</v>
      </c>
    </row>
    <row r="36" spans="1:17" ht="20.100000000000001" customHeight="1" x14ac:dyDescent="0.2">
      <c r="A36" s="5" t="str">
        <f>HYPERLINK("#'15 Scope 3'!A1", "15 Scope 3")</f>
        <v>15 Scope 3</v>
      </c>
      <c r="D36" s="156" t="str">
        <f t="shared" si="1"/>
        <v>Power standalone machinery or heating</v>
      </c>
      <c r="E36" s="153" t="str">
        <f>'Constants - Fuel'!$D$74</f>
        <v>Ethanol for use as a fuel in an internal combustion engine</v>
      </c>
      <c r="F36" s="153"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76">
        <f>((($L36 * $G36 * H36) * 10 ^ -3))</f>
        <v>0</v>
      </c>
      <c r="O36" s="176">
        <f>((($L36 * $G36 * I36) * 10 ^ -3))</f>
        <v>0</v>
      </c>
      <c r="P36" s="176">
        <f>((($L36 * $G36 * J36) * 10 ^ -3))</f>
        <v>0</v>
      </c>
      <c r="Q36" s="176">
        <f>((($L36 * $G36 * ((IF(ISNUMBER(K36), K36, 0)))) * 10 ^ -3))</f>
        <v>0</v>
      </c>
    </row>
    <row r="37" spans="1:17" ht="20.100000000000001" customHeight="1" x14ac:dyDescent="0.2">
      <c r="A37" s="5" t="str">
        <f>HYPERLINK("#'Calcs - Manure sent off-site'!A1", "Calcs - Manure sent off-site")</f>
        <v>Calcs - Manure sent off-site</v>
      </c>
      <c r="D37" s="156" t="str">
        <f t="shared" si="1"/>
        <v>Power standalone machinery or heating</v>
      </c>
      <c r="E37" s="153" t="str">
        <f>'Constants - Fuel'!$D$75</f>
        <v>Biofuels other than those mentioned in the items above and below</v>
      </c>
      <c r="F37" s="153"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76">
        <f>((($L37 * $G37 * H37) * 10 ^ -3))</f>
        <v>0</v>
      </c>
      <c r="O37" s="176">
        <f>((($L37 * $G37 * I37) * 10 ^ -3))</f>
        <v>0</v>
      </c>
      <c r="P37" s="176">
        <f>((($L37 * $G37 * J37) * 10 ^ -3))</f>
        <v>0</v>
      </c>
      <c r="Q37" s="176">
        <f>((($L37 * $G37 * ((IF(ISNUMBER(K37), K37, 0)))) * 10 ^ -3))</f>
        <v>0</v>
      </c>
    </row>
    <row r="38" spans="1:17" ht="20.100000000000001" customHeight="1" x14ac:dyDescent="0.2">
      <c r="A38" s="5" t="str">
        <f>HYPERLINK("#'5.1.1.1-2 Inorganic fert N2O'!A1", "5.1.1.1-2 Inorganic fert N2O")</f>
        <v>5.1.1.1-2 Inorganic fert N2O</v>
      </c>
      <c r="D38" s="156" t="str">
        <f t="shared" si="1"/>
        <v>Power standalone machinery or heating</v>
      </c>
      <c r="E38" s="153" t="str">
        <f>'Constants - Fuel'!$D$77</f>
        <v>Renewable diesel</v>
      </c>
      <c r="F38" s="153"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76">
        <f>((($L38 * $G38 * H38) * 10 ^ -3))</f>
        <v>0</v>
      </c>
      <c r="O38" s="176">
        <f>((($L38 * $G38 * I38) * 10 ^ -3))</f>
        <v>0</v>
      </c>
      <c r="P38" s="176">
        <f>((($L38 * $G38 * J38) * 10 ^ -3))</f>
        <v>0</v>
      </c>
      <c r="Q38" s="176">
        <f>((($L38 * $G38 * ((IF(ISNUMBER(K38), K38, 0)))) * 10 ^ -3))</f>
        <v>0</v>
      </c>
    </row>
    <row r="39" spans="1:17" ht="20.100000000000001" customHeight="1" x14ac:dyDescent="0.2">
      <c r="A39" s="5" t="str">
        <f>HYPERLINK("#'5.1.1.3-4 Inorganic fert CO2'!A1", "5.1.1.3-4 Inorganic fert CO2")</f>
        <v>5.1.1.3-4 Inorganic fert CO2</v>
      </c>
      <c r="D39" s="156" t="str">
        <f t="shared" si="1"/>
        <v>Power standalone machinery or heating</v>
      </c>
      <c r="E39" s="153" t="str">
        <f>'Constants - Fuel'!$D$103</f>
        <v>Natural gas distributed in a pipeline - Gigajoules</v>
      </c>
      <c r="F39" s="153"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54" cm="1">
        <f t="array" ref="L39">Fuel_InputFunctions.Fuel_TotalConsumption(Table_Input_Fuel[Amount consumed], Table_Input_Fuel[Fuel use (select)], D39, Table_Input_Fuel[Fuel type (select)],F39)</f>
        <v>0</v>
      </c>
      <c r="M39" s="154" t="str" cm="1">
        <f t="array" ref="M39">Common_InputFunctions.Utility_LookupValueInTable(F39,Table_FuelTypes_Units[Fuel type],Table_FuelTypes_Units[Unit])</f>
        <v>GJ</v>
      </c>
      <c r="N39" s="176">
        <f>((($L39 * $G39 * H39) * 10 ^ -3))</f>
        <v>0</v>
      </c>
      <c r="O39" s="176">
        <f>((($L39 * $G39 * I39) * 10 ^ -3))</f>
        <v>0</v>
      </c>
      <c r="P39" s="176">
        <f>((($L39 * $G39 * J39) * 10 ^ -3))</f>
        <v>0</v>
      </c>
      <c r="Q39" s="176">
        <f>((($L39 * $G39 * ((IF(ISNUMBER(K39), K39, 0)))) * 10 ^ -3))</f>
        <v>0</v>
      </c>
    </row>
    <row r="40" spans="1:17" ht="20.100000000000001" customHeight="1" x14ac:dyDescent="0.2">
      <c r="A40" s="5" t="str">
        <f>HYPERLINK("#'5.2.1.1-2 Organic Fert N2O'!A1", "5.2.1.1-2 Organic Fert N2O")</f>
        <v>5.2.1.1-2 Organic Fert N2O</v>
      </c>
      <c r="D40" s="156" t="str">
        <f t="shared" si="1"/>
        <v>Power standalone machinery or heating</v>
      </c>
      <c r="E40" s="153" t="str">
        <f>'Constants - Fuel'!$D$104</f>
        <v>Town gas - Gigajoules</v>
      </c>
      <c r="F40" s="153"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54" cm="1">
        <f t="array" ref="L40">Fuel_InputFunctions.Fuel_TotalConsumption(Table_Input_Fuel[Amount consumed], Table_Input_Fuel[Fuel use (select)], D40, Table_Input_Fuel[Fuel type (select)],F40)</f>
        <v>100</v>
      </c>
      <c r="M40" s="154" t="str" cm="1">
        <f t="array" ref="M40">Common_InputFunctions.Utility_LookupValueInTable(F40,Table_FuelTypes_Units[Fuel type],Table_FuelTypes_Units[Unit])</f>
        <v>GJ</v>
      </c>
      <c r="N40" s="176">
        <f>((($L40 * $G40 * H40) * 10 ^ -3))</f>
        <v>6.0200000000000005</v>
      </c>
      <c r="O40" s="176">
        <f>((($L40 * $G40 * I40) * 10 ^ -3))</f>
        <v>4.0000000000000001E-3</v>
      </c>
      <c r="P40" s="176">
        <f>((($L40 * $G40 * J40) * 10 ^ -3))</f>
        <v>3.0000000000000001E-3</v>
      </c>
      <c r="Q40" s="176">
        <f>((($L40 * $G40 * ((IF(ISNUMBER(K40), K40, 0)))) * 10 ^ -3))</f>
        <v>0.41</v>
      </c>
    </row>
    <row r="41" spans="1:17" ht="20.100000000000001" customHeight="1" x14ac:dyDescent="0.2">
      <c r="A41" s="5" t="str">
        <f>HYPERLINK("#'5.3.1.1-2 Lime CO2'!A1", "5.3.1.1-2 Lime CO2")</f>
        <v>5.3.1.1-2 Lime CO2</v>
      </c>
    </row>
    <row r="42" spans="1:17" ht="20.100000000000001" customHeight="1" x14ac:dyDescent="0.2">
      <c r="A42" s="5" t="str">
        <f>HYPERLINK("#'5.4.1.1-4 Atmos deposition'!A1", "5.4.1.1-4 Atmos deposition")</f>
        <v>5.4.1.1-4 Atmos deposition</v>
      </c>
      <c r="D42" s="169" t="str">
        <f>"Total scope 1 - " &amp; D25</f>
        <v>Total scope 1 - Generators</v>
      </c>
      <c r="E42" s="170"/>
      <c r="F42" s="171"/>
    </row>
    <row r="43" spans="1:17" ht="20.100000000000001" customHeight="1" x14ac:dyDescent="0.2">
      <c r="A43" s="5" t="str">
        <f>HYPERLINK("#'5.5.1.1-2 Leaching and runoff'!A1", "5.5.1.1-2 Leaching and runoff")</f>
        <v>5.5.1.1-2 Leaching and runoff</v>
      </c>
      <c r="D43" s="24" t="s">
        <v>613</v>
      </c>
      <c r="E43" s="172">
        <f>SUM(N25:N31)+N("Partial sum")</f>
        <v>0</v>
      </c>
      <c r="F43" s="16" t="str">
        <f>$E$12</f>
        <v>t CO2-e</v>
      </c>
    </row>
    <row r="44" spans="1:17" ht="20.100000000000001" customHeight="1" x14ac:dyDescent="0.2">
      <c r="D44" s="24" t="s">
        <v>614</v>
      </c>
      <c r="E44" s="172">
        <f>SUM(O25:O31)+N("Partial sum")</f>
        <v>0</v>
      </c>
      <c r="F44" s="16" t="str">
        <f t="shared" ref="F44:F46" si="2">$E$12</f>
        <v>t CO2-e</v>
      </c>
    </row>
    <row r="45" spans="1:17" ht="20.100000000000001" customHeight="1" x14ac:dyDescent="0.2">
      <c r="D45" s="24" t="s">
        <v>615</v>
      </c>
      <c r="E45" s="172">
        <f>SUM(P25:P31)+N("Partial sum")</f>
        <v>0</v>
      </c>
      <c r="F45" s="16" t="str">
        <f t="shared" si="2"/>
        <v>t CO2-e</v>
      </c>
    </row>
    <row r="46" spans="1:17" ht="20.100000000000001" customHeight="1" x14ac:dyDescent="0.2">
      <c r="A46" s="80" t="s">
        <v>1</v>
      </c>
      <c r="D46" s="24" t="s">
        <v>239</v>
      </c>
      <c r="E46" s="172">
        <f>SUM(Q25:Q31)+N("Partial sum")</f>
        <v>0</v>
      </c>
      <c r="F46" s="16" t="str">
        <f t="shared" si="2"/>
        <v>t CO2-e</v>
      </c>
    </row>
    <row r="47" spans="1:17" ht="20.100000000000001" customHeight="1" x14ac:dyDescent="0.2">
      <c r="A47" s="5" t="str">
        <f>HYPERLINK("#'Constants - Feedlot'!A1", "Constants - Feedlot")</f>
        <v>Constants - Feedlot</v>
      </c>
      <c r="H47" s="152"/>
      <c r="I47" s="152"/>
      <c r="J47" s="152"/>
      <c r="L47" s="152"/>
      <c r="N47" s="152"/>
      <c r="O47" s="152"/>
      <c r="P47" s="152"/>
      <c r="Q47" s="152"/>
    </row>
    <row r="48" spans="1:17" ht="20.100000000000001" customHeight="1" x14ac:dyDescent="0.2">
      <c r="A48" s="5" t="str">
        <f>HYPERLINK("#'Constants - Common livestock'!A1", "Constants - Common Livestock")</f>
        <v>Constants - Common Livestock</v>
      </c>
      <c r="D48" s="169" t="str">
        <f>"Total scope 1 - " &amp; D32</f>
        <v>Total scope 1 - Power standalone machinery or heating</v>
      </c>
      <c r="E48" s="173"/>
      <c r="F48" s="171"/>
      <c r="H48" s="152"/>
      <c r="I48" s="152"/>
      <c r="J48" s="152"/>
      <c r="L48" s="152"/>
      <c r="N48" s="152"/>
      <c r="O48" s="152"/>
      <c r="P48" s="152"/>
      <c r="Q48" s="152"/>
    </row>
    <row r="49" spans="1:17" ht="20.100000000000001" customHeight="1" x14ac:dyDescent="0.2">
      <c r="A49" s="5" t="str">
        <f>HYPERLINK("#'Constants - Electricity'!A1", "Constants - Electricity")</f>
        <v>Constants - Electricity</v>
      </c>
      <c r="D49" s="24" t="s">
        <v>613</v>
      </c>
      <c r="E49" s="172">
        <f>SUM(N32:N40)+N("Partial sum")</f>
        <v>29.070800000000002</v>
      </c>
      <c r="F49" s="16" t="str">
        <f t="shared" ref="F49:F52" si="3">$E$12</f>
        <v>t CO2-e</v>
      </c>
      <c r="H49" s="152"/>
      <c r="I49" s="152"/>
      <c r="J49" s="152"/>
      <c r="L49" s="152"/>
      <c r="N49" s="152"/>
      <c r="O49" s="152"/>
      <c r="P49" s="152"/>
      <c r="Q49" s="152"/>
    </row>
    <row r="50" spans="1:17" ht="20.100000000000001" customHeight="1" x14ac:dyDescent="0.2">
      <c r="A50" s="5" t="str">
        <f>HYPERLINK("#'Constants - Fertiliser'!A1", "Constants - Fertiliser")</f>
        <v>Constants - Fertiliser</v>
      </c>
      <c r="D50" s="24" t="s">
        <v>614</v>
      </c>
      <c r="E50" s="172">
        <f>SUM(O32:O40)+N("Partial sum")</f>
        <v>7.2400000000000006E-2</v>
      </c>
      <c r="F50" s="16" t="str">
        <f t="shared" si="3"/>
        <v>t CO2-e</v>
      </c>
      <c r="H50" s="152"/>
      <c r="I50" s="152"/>
      <c r="J50" s="152"/>
      <c r="L50" s="152"/>
      <c r="N50" s="152"/>
      <c r="O50" s="152"/>
      <c r="P50" s="152"/>
      <c r="Q50" s="152"/>
    </row>
    <row r="51" spans="1:17" ht="20.100000000000001" customHeight="1" x14ac:dyDescent="0.2">
      <c r="A51" s="5" t="str">
        <f>HYPERLINK("#'Constants - Fuel'!A1", "Constants - Fuel")</f>
        <v>Constants - Fuel</v>
      </c>
      <c r="D51" s="24" t="s">
        <v>615</v>
      </c>
      <c r="E51" s="172">
        <f>SUM(P32:P40)+N("Partial sum")</f>
        <v>7.1400000000000005E-2</v>
      </c>
      <c r="F51" s="16" t="str">
        <f t="shared" si="3"/>
        <v>t CO2-e</v>
      </c>
      <c r="H51" s="152"/>
      <c r="I51" s="152"/>
      <c r="J51" s="152"/>
      <c r="L51" s="152"/>
      <c r="N51" s="152"/>
      <c r="O51" s="152"/>
      <c r="P51" s="152"/>
      <c r="Q51" s="152"/>
    </row>
    <row r="52" spans="1:17" ht="20.100000000000001" customHeight="1" x14ac:dyDescent="0.2">
      <c r="A52" s="5" t="str">
        <f>HYPERLINK("#'Constants - Scope 3'!A1", "Constants - Scope 3")</f>
        <v>Constants - Scope 3</v>
      </c>
      <c r="D52" s="24" t="s">
        <v>239</v>
      </c>
      <c r="E52" s="172">
        <f>SUM(Q32:Q40)+N("Partial sum")</f>
        <v>6.2923999999999998</v>
      </c>
      <c r="F52" s="16" t="str">
        <f t="shared" si="3"/>
        <v>t CO2-e</v>
      </c>
      <c r="G52" s="152"/>
      <c r="H52" s="152"/>
      <c r="I52" s="152"/>
      <c r="J52" s="152"/>
      <c r="L52" s="152"/>
      <c r="N52" s="152"/>
      <c r="O52" s="152"/>
      <c r="P52" s="152"/>
      <c r="Q52" s="152"/>
    </row>
    <row r="53" spans="1:17" ht="20.100000000000001" customHeight="1" x14ac:dyDescent="0.2">
      <c r="A53" s="5" t="str">
        <f>HYPERLINK("#'Constants - Solid Waste'!A1", "Constants - Solid Waste")</f>
        <v>Constants - Solid Waste</v>
      </c>
      <c r="G53" s="152"/>
      <c r="H53" s="152"/>
      <c r="I53" s="152"/>
      <c r="J53" s="152"/>
      <c r="L53" s="152"/>
      <c r="N53" s="152"/>
      <c r="O53" s="152"/>
      <c r="P53" s="152"/>
      <c r="Q53" s="152"/>
    </row>
    <row r="54" spans="1:17" ht="20.100000000000001" customHeight="1" x14ac:dyDescent="0.2">
      <c r="A54" s="5" t="str">
        <f>HYPERLINK("#'Constants - Common'!A1", "Constants - Common")</f>
        <v>Constants - Common</v>
      </c>
      <c r="D54" s="169" t="s">
        <v>626</v>
      </c>
      <c r="E54" s="173"/>
      <c r="F54" s="171"/>
      <c r="G54" s="152"/>
      <c r="H54" s="152"/>
      <c r="I54" s="152"/>
      <c r="J54" s="152"/>
      <c r="L54" s="152"/>
      <c r="N54" s="152"/>
      <c r="O54" s="152"/>
      <c r="P54" s="152"/>
      <c r="Q54" s="152"/>
    </row>
    <row r="55" spans="1:17" ht="20.100000000000001" customHeight="1" x14ac:dyDescent="0.2">
      <c r="A55" s="5" t="str">
        <f>HYPERLINK("#'Acknowledgements'!A1", "Acknowledgements")</f>
        <v>Acknowledgements</v>
      </c>
      <c r="D55" s="24" t="s">
        <v>613</v>
      </c>
      <c r="E55" s="172">
        <f>E43+E49</f>
        <v>29.070800000000002</v>
      </c>
      <c r="F55" s="16" t="str">
        <f t="shared" ref="F55:F58" si="4">$E$12</f>
        <v>t CO2-e</v>
      </c>
      <c r="G55" s="152"/>
      <c r="H55" s="152"/>
      <c r="I55" s="152"/>
      <c r="J55" s="152"/>
      <c r="L55" s="152"/>
      <c r="N55" s="152"/>
      <c r="O55" s="152"/>
      <c r="P55" s="152"/>
      <c r="Q55" s="152"/>
    </row>
    <row r="56" spans="1:17" ht="20.100000000000001" customHeight="1" x14ac:dyDescent="0.2">
      <c r="D56" s="24" t="s">
        <v>614</v>
      </c>
      <c r="E56" s="172">
        <f>E44+E50</f>
        <v>7.2400000000000006E-2</v>
      </c>
      <c r="F56" s="16" t="str">
        <f t="shared" si="4"/>
        <v>t CO2-e</v>
      </c>
      <c r="H56" s="152"/>
    </row>
    <row r="57" spans="1:17" ht="20.100000000000001" customHeight="1" x14ac:dyDescent="0.2">
      <c r="D57" s="24" t="s">
        <v>615</v>
      </c>
      <c r="E57" s="172">
        <f>E45+E51</f>
        <v>7.1400000000000005E-2</v>
      </c>
      <c r="F57" s="16" t="str">
        <f t="shared" si="4"/>
        <v>t CO2-e</v>
      </c>
      <c r="G57" s="152"/>
      <c r="H57" s="152"/>
      <c r="I57" s="152"/>
      <c r="J57" s="152"/>
      <c r="L57" s="152"/>
      <c r="N57" s="152"/>
      <c r="O57" s="152"/>
      <c r="P57" s="152"/>
      <c r="Q57" s="152"/>
    </row>
    <row r="58" spans="1:17" ht="20.100000000000001" customHeight="1" x14ac:dyDescent="0.2">
      <c r="D58" s="24" t="s">
        <v>239</v>
      </c>
      <c r="E58" s="172">
        <f>E46+E52</f>
        <v>6.2923999999999998</v>
      </c>
      <c r="F58" s="16" t="str">
        <f t="shared" si="4"/>
        <v>t CO2-e</v>
      </c>
      <c r="G58" s="152"/>
      <c r="H58" s="152"/>
      <c r="I58" s="152"/>
      <c r="J58" s="152"/>
      <c r="L58" s="152"/>
      <c r="N58" s="152"/>
      <c r="O58" s="152"/>
      <c r="P58" s="152"/>
      <c r="Q58" s="152"/>
    </row>
    <row r="59" spans="1:17" ht="20.100000000000001" customHeight="1" x14ac:dyDescent="0.2">
      <c r="G59" s="152"/>
      <c r="H59" s="152"/>
      <c r="I59" s="152"/>
      <c r="J59" s="152"/>
      <c r="L59" s="152"/>
      <c r="N59" s="152"/>
      <c r="O59" s="152"/>
      <c r="P59" s="152"/>
      <c r="Q59" s="152"/>
    </row>
    <row r="60" spans="1:17" ht="20.100000000000001" customHeight="1" x14ac:dyDescent="0.2">
      <c r="G60" s="152"/>
      <c r="H60" s="152"/>
      <c r="I60" s="152"/>
      <c r="J60" s="152"/>
      <c r="L60" s="152"/>
      <c r="N60" s="152"/>
      <c r="O60" s="152"/>
      <c r="P60" s="152"/>
      <c r="Q60" s="152"/>
    </row>
    <row r="61" spans="1:17" ht="20.100000000000001" customHeight="1" x14ac:dyDescent="0.2">
      <c r="G61" s="152"/>
      <c r="H61" s="152"/>
      <c r="I61" s="152"/>
      <c r="J61" s="152"/>
      <c r="L61" s="152"/>
      <c r="N61" s="152"/>
      <c r="O61" s="152"/>
      <c r="P61" s="152"/>
      <c r="Q61" s="152"/>
    </row>
    <row r="62" spans="1:17" ht="20.100000000000001" customHeight="1" x14ac:dyDescent="0.2">
      <c r="G62" s="152"/>
      <c r="H62" s="152"/>
      <c r="I62" s="152"/>
      <c r="J62" s="152"/>
      <c r="L62" s="152"/>
      <c r="N62" s="152"/>
      <c r="O62" s="152"/>
      <c r="P62" s="152"/>
      <c r="Q62" s="152"/>
    </row>
    <row r="63" spans="1:17" ht="20.100000000000001" customHeight="1" x14ac:dyDescent="0.2">
      <c r="G63" s="152"/>
      <c r="H63" s="152"/>
      <c r="I63" s="152"/>
      <c r="J63" s="152"/>
      <c r="L63" s="152"/>
      <c r="N63" s="152"/>
      <c r="O63" s="152"/>
      <c r="P63" s="152"/>
      <c r="Q63" s="152"/>
    </row>
    <row r="64" spans="1:17" ht="20.100000000000001" customHeight="1" x14ac:dyDescent="0.2">
      <c r="G64" s="152"/>
      <c r="H64" s="152"/>
      <c r="I64" s="152"/>
      <c r="J64" s="152"/>
      <c r="L64" s="152"/>
      <c r="N64" s="152"/>
      <c r="O64" s="152"/>
      <c r="P64" s="152"/>
      <c r="Q64" s="152"/>
    </row>
    <row r="65" spans="7:17" ht="20.100000000000001" customHeight="1" x14ac:dyDescent="0.2">
      <c r="G65" s="152"/>
      <c r="H65" s="152"/>
      <c r="I65" s="152"/>
      <c r="J65" s="152"/>
      <c r="L65" s="152"/>
      <c r="N65" s="152"/>
      <c r="O65" s="152"/>
      <c r="P65" s="152"/>
      <c r="Q65" s="152"/>
    </row>
    <row r="66" spans="7:17" ht="20.100000000000001" customHeight="1" x14ac:dyDescent="0.2">
      <c r="G66" s="152"/>
      <c r="H66" s="152"/>
      <c r="I66" s="152"/>
      <c r="J66" s="152"/>
      <c r="L66" s="152"/>
      <c r="N66" s="152"/>
      <c r="O66" s="152"/>
      <c r="P66" s="152"/>
      <c r="Q66" s="152"/>
    </row>
    <row r="67" spans="7:17" ht="20.100000000000001" customHeight="1" x14ac:dyDescent="0.2">
      <c r="G67" s="152"/>
    </row>
    <row r="68" spans="7:17" ht="20.100000000000001" customHeight="1" x14ac:dyDescent="0.2">
      <c r="G68" s="152"/>
    </row>
    <row r="69" spans="7:17" ht="20.100000000000001" customHeight="1" x14ac:dyDescent="0.2">
      <c r="G69" s="152"/>
    </row>
    <row r="70" spans="7:17" ht="20.100000000000001" customHeight="1" x14ac:dyDescent="0.2">
      <c r="G70" s="152"/>
    </row>
    <row r="71" spans="7:17" ht="20.100000000000001" customHeight="1" x14ac:dyDescent="0.2">
      <c r="G71" s="15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2618A-5428-424C-A587-2E0F615CB8CB}">
  <sheetPr>
    <tabColor rgb="FF008000"/>
  </sheetPr>
  <dimension ref="A1:L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267</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1395</v>
      </c>
    </row>
    <row r="6" spans="1:12" ht="20.100000000000001" customHeight="1" x14ac:dyDescent="0.2">
      <c r="D6" s="17" t="s">
        <v>1396</v>
      </c>
    </row>
    <row r="7" spans="1:12" ht="20.100000000000001" customHeight="1" x14ac:dyDescent="0.2">
      <c r="D7" s="112"/>
      <c r="E7" s="112"/>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321</v>
      </c>
      <c r="E10" s="1" t="s">
        <v>1397</v>
      </c>
    </row>
    <row r="11" spans="1:12" ht="20.100000000000001" customHeight="1" x14ac:dyDescent="0.2">
      <c r="A11" s="5" t="str">
        <f>HYPERLINK("#'Input - Feedlot'!A1", "Feedlot")</f>
        <v>Feedlot</v>
      </c>
      <c r="D11" s="75" t="s">
        <v>118</v>
      </c>
      <c r="E11" s="9" t="s">
        <v>1398</v>
      </c>
    </row>
    <row r="12" spans="1:12" ht="20.100000000000001" customHeight="1" x14ac:dyDescent="0.2">
      <c r="A12" s="5" t="str">
        <f>HYPERLINK("#'Input - Livestock sales'!A1", "Livestock sales")</f>
        <v>Livestock sales</v>
      </c>
    </row>
    <row r="13" spans="1:12" ht="20.100000000000001" customHeight="1" x14ac:dyDescent="0.2">
      <c r="A13" s="5" t="str">
        <f>HYPERLINK("#'Input - Beef cattle purchases'!A1", "Beef cattle purchases")</f>
        <v>Beef cattle purchases</v>
      </c>
      <c r="D13" s="113" t="s">
        <v>1399</v>
      </c>
      <c r="E13" s="121" t="s">
        <v>1400</v>
      </c>
      <c r="F13" s="122"/>
      <c r="G13" s="113" t="s">
        <v>1406</v>
      </c>
      <c r="H13" s="114" t="s">
        <v>1196</v>
      </c>
      <c r="I13" s="116" t="str" cm="1">
        <f t="array" aca="1" ref="I13" ca="1">HYPERLINK(Common_InputFunctions.Utility_SourceHyperlink($D$18),$D$18)</f>
        <v>Table_V_w_t_onsite</v>
      </c>
      <c r="J13" s="116" t="str" cm="1">
        <f t="array" aca="1" ref="J13" ca="1">HYPERLINK(Common_InputFunctions.Utility_SourceHyperlink($D$56),$D$56)</f>
        <v>Table_V_w_t_offsite</v>
      </c>
    </row>
    <row r="14" spans="1:12" ht="20.100000000000001" customHeight="1" x14ac:dyDescent="0.2">
      <c r="A14" s="5" t="str">
        <f>HYPERLINK("#'Input - Fuel'!A1", "Fuel")</f>
        <v>Fuel</v>
      </c>
      <c r="D14" s="113" t="s">
        <v>1401</v>
      </c>
      <c r="E14" s="121" t="s">
        <v>1402</v>
      </c>
      <c r="F14" s="122"/>
      <c r="G14" s="113" t="s">
        <v>1407</v>
      </c>
      <c r="H14" s="115" t="s">
        <v>1227</v>
      </c>
      <c r="I14" s="116" t="str" cm="1">
        <f t="array" aca="1" ref="I14" ca="1">HYPERLINK(Common_InputFunctions.Utility_SourceHyperlink($D$18),$D$18)</f>
        <v>Table_V_w_t_onsite</v>
      </c>
      <c r="J14" s="116" t="str" cm="1">
        <f t="array" aca="1" ref="J14" ca="1">HYPERLINK(Common_InputFunctions.Utility_SourceHyperlink($D$56),$D$56)</f>
        <v>Table_V_w_t_offsite</v>
      </c>
    </row>
    <row r="15" spans="1:12" ht="20.100000000000001" customHeight="1" x14ac:dyDescent="0.2">
      <c r="A15" s="5" t="str">
        <f>HYPERLINK("#'Input - Electricity'!A1", "Electricity")</f>
        <v>Electricity</v>
      </c>
      <c r="D15" s="113" t="s">
        <v>1403</v>
      </c>
      <c r="E15" s="121" t="s">
        <v>1404</v>
      </c>
      <c r="F15" s="122"/>
      <c r="G15" s="113"/>
      <c r="H15" s="114" t="s">
        <v>1196</v>
      </c>
      <c r="I15" s="116" t="str" cm="1">
        <f t="array" aca="1" ref="I15" ca="1">HYPERLINK(Common_InputFunctions.Utility_SourceHyperlink($D$18),$D$18)</f>
        <v>Table_V_w_t_onsite</v>
      </c>
      <c r="J15" s="116"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13" t="s">
        <v>1398</v>
      </c>
      <c r="E16" s="121" t="s">
        <v>1405</v>
      </c>
      <c r="F16" s="122"/>
      <c r="G16" s="113"/>
      <c r="H16" s="114" t="s">
        <v>1196</v>
      </c>
      <c r="I16" s="116" t="str" cm="1">
        <f t="array" aca="1" ref="I16" ca="1">HYPERLINK(Common_InputFunctions.Utility_SourceHyperlink($D$18),$D$18)</f>
        <v>Table_V_w_t_onsite</v>
      </c>
      <c r="J16" s="116"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18" t="s">
        <v>901</v>
      </c>
    </row>
    <row r="19" spans="1:9" ht="20.100000000000001" customHeight="1" x14ac:dyDescent="0.2">
      <c r="A19" s="5" t="str">
        <f>HYPERLINK("#'Input - Solid waste'!A1", "Solid waste")</f>
        <v>Solid waste</v>
      </c>
      <c r="D19" s="119" t="s">
        <v>902</v>
      </c>
    </row>
    <row r="20" spans="1:9" ht="20.100000000000001" customHeight="1" x14ac:dyDescent="0.2">
      <c r="A20" s="5" t="str">
        <f>HYPERLINK("#'Input - Manure sent off-site'!A1", "Manure sent off-site")</f>
        <v>Manure sent off-site</v>
      </c>
      <c r="D20" s="78" t="s">
        <v>903</v>
      </c>
      <c r="E20" s="78" t="s">
        <v>904</v>
      </c>
      <c r="F20" s="78"/>
      <c r="G20" s="78" t="s">
        <v>905</v>
      </c>
      <c r="H20" s="120" t="s">
        <v>906</v>
      </c>
      <c r="I20" s="120" t="s">
        <v>907</v>
      </c>
    </row>
    <row r="21" spans="1:9" ht="20.100000000000001" customHeight="1" x14ac:dyDescent="0.2">
      <c r="A21" s="5" t="str">
        <f>HYPERLINK("#'Input - Data quality'!A1", "Data quality")</f>
        <v>Data quality</v>
      </c>
      <c r="D21" s="113" t="str" cm="1">
        <f t="array" ref="D21:D54">Table_SourceData_WasteSolid_WasteTreatmentEFs[Treatment type t]</f>
        <v>Landfill</v>
      </c>
      <c r="E21" s="121" t="str" cm="1">
        <f t="array" ref="E21:E54">Table_SourceData_WasteSolid_WasteTreatmentEFs[Waste type w]</f>
        <v>Food waste (including animal carcasses, spoiled animal feed or crop)</v>
      </c>
      <c r="F21" s="226"/>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A22" s="5" t="str">
        <f>HYPERLINK("#'Input - Fert Prod System'!A1", "Fert Prod System")</f>
        <v>Fert Prod System</v>
      </c>
      <c r="D22" s="113" t="str">
        <v>Landfill</v>
      </c>
      <c r="E22" s="121" t="str">
        <v>Paper and cardboard</v>
      </c>
      <c r="F22" s="226"/>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5" t="str">
        <f>HYPERLINK("#'Input - Fertiliser'!A1", "Fertiliser")</f>
        <v>Fertiliser</v>
      </c>
      <c r="D23" s="113" t="str">
        <v>Landfill</v>
      </c>
      <c r="E23" s="121" t="str">
        <v>Green waste (including crop residues or prunings)</v>
      </c>
      <c r="F23" s="226"/>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D24" s="113" t="str">
        <v>Landfill</v>
      </c>
      <c r="E24" s="121" t="str">
        <v>Wood</v>
      </c>
      <c r="F24" s="226"/>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D25" s="113" t="str">
        <v>Landfill</v>
      </c>
      <c r="E25" s="121" t="str">
        <v>Textiles</v>
      </c>
      <c r="F25" s="226"/>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6" t="s">
        <v>2</v>
      </c>
      <c r="D26" s="113" t="str">
        <v>Landfill</v>
      </c>
      <c r="E26" s="121" t="str">
        <v>Sludge</v>
      </c>
      <c r="F26" s="226"/>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HYPERLINK("#'3.1.1.1-2 Enteric Methane'!A1", "3.1.1.1-2 Enteric Methane")</f>
        <v>3.1.1.1-2 Enteric Methane</v>
      </c>
      <c r="D27" s="113" t="str">
        <v>Landfill</v>
      </c>
      <c r="E27" s="121" t="str">
        <v>Rubber and leather</v>
      </c>
      <c r="F27" s="226"/>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5" t="str">
        <f>HYPERLINK("#'4.1.1.1-2 Methane'!A1", "4.1.1.1-2 Manure Methane")</f>
        <v>4.1.1.1-2 Manure Methane</v>
      </c>
      <c r="D28" s="113" t="str">
        <v>Landfill</v>
      </c>
      <c r="E28" s="121" t="str">
        <v>Inert waste (including concrete, metal, plastic or glass)</v>
      </c>
      <c r="F28" s="226"/>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HYPERLINK("#'4.1.1.3-4 Direct N20'!A1", "4.1.1.3-4 Manure Direct N2O")</f>
        <v>4.1.1.3-4 Manure Direct N2O</v>
      </c>
      <c r="D29" s="113" t="str">
        <v>Landfill</v>
      </c>
      <c r="E29" s="121" t="str">
        <v>Municipal solid waste</v>
      </c>
      <c r="F29" s="226"/>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HYPERLINK("#'4.1.1.5-6 Atmos Deposition'!A1", "4.1.1.5-6 Manure Atmos Dep")</f>
        <v>4.1.1.5-6 Manure Atmos Dep</v>
      </c>
      <c r="D30" s="113" t="str">
        <v>Landfill</v>
      </c>
      <c r="E30" s="121" t="str">
        <v>Commercial and industrial waste</v>
      </c>
      <c r="F30" s="226"/>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HYPERLINK("#'4.1.1.9 Manure applied to soils'!A1", "4.1.1.9 Manure applied to soils")</f>
        <v>4.1.1.9 Manure applied to soils</v>
      </c>
      <c r="D31" s="113" t="str">
        <v>Landfill</v>
      </c>
      <c r="E31" s="121" t="str">
        <v>Construction and demolition waste</v>
      </c>
      <c r="F31" s="226"/>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HYPERLINK("#'8.1.1.1-2 Transport fuel'!A1", "8.1.1.1-2 Transport fuel")</f>
        <v>8.1.1.1-2 Transport fuel</v>
      </c>
      <c r="D32" s="113" t="str">
        <v>Incineration</v>
      </c>
      <c r="E32" s="121" t="str">
        <v>Food waste, green waste, wood, sludge</v>
      </c>
      <c r="F32" s="226"/>
      <c r="G32" s="15" t="s">
        <v>772</v>
      </c>
      <c r="H32" s="15" t="s">
        <v>772</v>
      </c>
      <c r="I32" s="15" t="s">
        <v>772</v>
      </c>
    </row>
    <row r="33" spans="1:9" ht="20.100000000000001" customHeight="1" x14ac:dyDescent="0.2">
      <c r="A33" s="5" t="str">
        <f>HYPERLINK("#'8.2.1.1-2 Stationary fuel'!A1", "8.2.1.1-2 Stationary fuel")</f>
        <v>8.2.1.1-2 Stationary fuel</v>
      </c>
      <c r="D33" s="113" t="str">
        <v>Incineration</v>
      </c>
      <c r="E33" s="121" t="str">
        <v>Food waste (including animal carcasses, spoiled animal feed or crop)</v>
      </c>
      <c r="F33" s="226"/>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117" t="str">
        <f>HYPERLINK("#'10.1.1-2 Solid waste treatment'!A1", "10.1.1.1-2 Solid waste")</f>
        <v>10.1.1.1-2 Solid waste</v>
      </c>
      <c r="D34" s="113" t="str">
        <v>Incineration</v>
      </c>
      <c r="E34" s="121" t="str">
        <v>Green waste (including crop residues or prunings)</v>
      </c>
      <c r="F34" s="226"/>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5" t="str">
        <f>HYPERLINK("#'14.1.1-2 Purchased electricity'!A1", "14.1.1-2 Purchased electricity")</f>
        <v>14.1.1-2 Purchased electricity</v>
      </c>
      <c r="D35" s="113" t="str">
        <v>Incineration</v>
      </c>
      <c r="E35" s="121" t="str">
        <v>Wood</v>
      </c>
      <c r="F35" s="226"/>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HYPERLINK("#'15 Scope 3'!A1", "15 Scope 3")</f>
        <v>15 Scope 3</v>
      </c>
      <c r="D36" s="113" t="str">
        <v>Incineration</v>
      </c>
      <c r="E36" s="121" t="str">
        <v>Sludge</v>
      </c>
      <c r="F36" s="226"/>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HYPERLINK("#'Calcs - Manure sent off-site'!A1", "Calcs - Manure sent off-site")</f>
        <v>Calcs - Manure sent off-site</v>
      </c>
      <c r="D37" s="113" t="str">
        <v>Incineration</v>
      </c>
      <c r="E37" s="121" t="str">
        <v>Paper and cardboard</v>
      </c>
      <c r="F37" s="226"/>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A38" s="5" t="str">
        <f>HYPERLINK("#'5.1.1.1-2 Inorganic fert N2O'!A1", "5.1.1.1-2 Inorganic fert N2O")</f>
        <v>5.1.1.1-2 Inorganic fert N2O</v>
      </c>
      <c r="D38" s="113" t="str">
        <v>Incineration</v>
      </c>
      <c r="E38" s="121" t="str">
        <v>Textiles</v>
      </c>
      <c r="F38" s="226"/>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HYPERLINK("#'5.1.1.3-4 Inorganic fert CO2'!A1", "5.1.1.3-4 Inorganic fert CO2")</f>
        <v>5.1.1.3-4 Inorganic fert CO2</v>
      </c>
      <c r="D39" s="113" t="str">
        <v>Incineration</v>
      </c>
      <c r="E39" s="121" t="str">
        <v>Rubber and leather</v>
      </c>
      <c r="F39" s="226"/>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HYPERLINK("#'5.2.1.1-2 Organic Fert N2O'!A1", "5.2.1.1-2 Organic Fert N2O")</f>
        <v>5.2.1.1-2 Organic Fert N2O</v>
      </c>
      <c r="D40" s="113" t="str">
        <v>Incineration</v>
      </c>
      <c r="E40" s="113" t="str">
        <v>Inert waste (including concrete, metal, plastic or glass)</v>
      </c>
      <c r="F40" s="113"/>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HYPERLINK("#'5.3.1.1-2 Lime CO2'!A1", "5.3.1.1-2 Lime CO2")</f>
        <v>5.3.1.1-2 Lime CO2</v>
      </c>
      <c r="D41" s="113" t="str">
        <v>Incineration</v>
      </c>
      <c r="E41" s="121" t="str">
        <v>Municipal solid waste</v>
      </c>
      <c r="F41" s="122"/>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HYPERLINK("#'5.4.1.1-4 Atmos deposition'!A1", "5.4.1.1-4 Atmos deposition")</f>
        <v>5.4.1.1-4 Atmos deposition</v>
      </c>
      <c r="D42" s="113" t="str">
        <v>Incineration</v>
      </c>
      <c r="E42" s="121" t="str">
        <v>Commercial and industrial waste</v>
      </c>
      <c r="F42" s="122"/>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HYPERLINK("#'5.5.1.1-2 Leaching and runoff'!A1", "5.5.1.1-2 Leaching and runoff")</f>
        <v>5.5.1.1-2 Leaching and runoff</v>
      </c>
      <c r="D43" s="113" t="str">
        <v>Composting</v>
      </c>
      <c r="E43" s="121" t="str">
        <v>All organic waste</v>
      </c>
      <c r="F43" s="122"/>
      <c r="G43" s="15" t="s">
        <v>772</v>
      </c>
      <c r="H43" s="15" t="s">
        <v>772</v>
      </c>
      <c r="I43" s="15" t="s">
        <v>772</v>
      </c>
    </row>
    <row r="44" spans="1:9" ht="20.100000000000001" customHeight="1" x14ac:dyDescent="0.2">
      <c r="D44" s="113" t="str">
        <v>Composting</v>
      </c>
      <c r="E44" s="121" t="str">
        <v>Food waste (including animal carcasses, spoiled animal feed or crop)</v>
      </c>
      <c r="F44" s="122"/>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D45" s="113" t="str">
        <v>Composting</v>
      </c>
      <c r="E45" s="121" t="str">
        <v>Green waste (including crop residues or prunings)</v>
      </c>
      <c r="F45" s="122"/>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80" t="s">
        <v>1</v>
      </c>
      <c r="D46" s="113" t="str">
        <v>Composting</v>
      </c>
      <c r="E46" s="121" t="str">
        <v>Wood</v>
      </c>
      <c r="F46" s="122"/>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HYPERLINK("#'Constants - Feedlot'!A1", "Constants - Feedlot")</f>
        <v>Constants - Feedlot</v>
      </c>
      <c r="D47" s="113" t="str">
        <v>Composting</v>
      </c>
      <c r="E47" s="121" t="str">
        <v>Sludge</v>
      </c>
      <c r="F47" s="122"/>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A48" s="5" t="str">
        <f>HYPERLINK("#'Constants - Common livestock'!A1", "Constants - Common Livestock")</f>
        <v>Constants - Common Livestock</v>
      </c>
      <c r="D48" s="113" t="str">
        <v>Composting</v>
      </c>
      <c r="E48" s="121" t="str">
        <v>Paper and cardboard</v>
      </c>
      <c r="F48" s="122"/>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A49" s="5" t="str">
        <f>HYPERLINK("#'Constants - Electricity'!A1", "Constants - Electricity")</f>
        <v>Constants - Electricity</v>
      </c>
      <c r="D49" s="113" t="str">
        <v>Anaerobic digestion</v>
      </c>
      <c r="E49" s="121" t="str">
        <v>All organic waste</v>
      </c>
      <c r="F49" s="122"/>
      <c r="G49" s="15" t="s">
        <v>772</v>
      </c>
      <c r="H49" s="15" t="s">
        <v>772</v>
      </c>
      <c r="I49" s="15" t="s">
        <v>772</v>
      </c>
    </row>
    <row r="50" spans="1:9" ht="20.100000000000001" customHeight="1" x14ac:dyDescent="0.2">
      <c r="A50" s="5" t="str">
        <f>HYPERLINK("#'Constants - Fertiliser'!A1", "Constants - Fertiliser")</f>
        <v>Constants - Fertiliser</v>
      </c>
      <c r="D50" s="113" t="str">
        <v>Anaerobic digestion</v>
      </c>
      <c r="E50" s="121" t="str">
        <v>Food waste (including animal carcasses, spoiled animal feed or crop)</v>
      </c>
      <c r="F50" s="122"/>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5" t="str">
        <f>HYPERLINK("#'Constants - Fuel'!A1", "Constants - Fuel")</f>
        <v>Constants - Fuel</v>
      </c>
      <c r="D51" s="113" t="str">
        <v>Anaerobic digestion</v>
      </c>
      <c r="E51" s="121" t="str">
        <v>Green waste (including crop residues or prunings)</v>
      </c>
      <c r="F51" s="122"/>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HYPERLINK("#'Constants - Scope 3'!A1", "Constants - Scope 3")</f>
        <v>Constants - Scope 3</v>
      </c>
      <c r="D52" s="113" t="str">
        <v>Anaerobic digestion</v>
      </c>
      <c r="E52" s="121" t="str">
        <v>Wood</v>
      </c>
      <c r="F52" s="122"/>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HYPERLINK("#'Constants - Solid Waste'!A1", "Constants - Solid Waste")</f>
        <v>Constants - Solid Waste</v>
      </c>
      <c r="D53" s="113" t="str">
        <v>Anaerobic digestion</v>
      </c>
      <c r="E53" s="121" t="str">
        <v>Sludge</v>
      </c>
      <c r="F53" s="122"/>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HYPERLINK("#'Constants - Common'!A1", "Constants - Common")</f>
        <v>Constants - Common</v>
      </c>
      <c r="D54" s="113" t="str">
        <v>Anaerobic digestion</v>
      </c>
      <c r="E54" s="121" t="str">
        <v>Paper and cardboard</v>
      </c>
      <c r="F54" s="122"/>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5" spans="1:9" ht="20.100000000000001" customHeight="1" x14ac:dyDescent="0.2">
      <c r="A55" s="5" t="str">
        <f>HYPERLINK("#'Acknowledgements'!A1", "Acknowledgements")</f>
        <v>Acknowledgements</v>
      </c>
    </row>
    <row r="56" spans="1:9" ht="20.100000000000001" customHeight="1" x14ac:dyDescent="0.2">
      <c r="D56" s="118" t="s">
        <v>908</v>
      </c>
    </row>
    <row r="57" spans="1:9" ht="20.100000000000001" customHeight="1" x14ac:dyDescent="0.2">
      <c r="D57" s="119" t="s">
        <v>909</v>
      </c>
    </row>
    <row r="58" spans="1:9" ht="20.100000000000001" customHeight="1" x14ac:dyDescent="0.2">
      <c r="D58" s="78" t="s">
        <v>903</v>
      </c>
      <c r="E58" s="78" t="s">
        <v>904</v>
      </c>
      <c r="F58" s="78"/>
      <c r="G58" s="78" t="s">
        <v>905</v>
      </c>
      <c r="H58" s="120" t="s">
        <v>906</v>
      </c>
      <c r="I58" s="120" t="s">
        <v>907</v>
      </c>
    </row>
    <row r="59" spans="1:9" ht="20.100000000000001" customHeight="1" x14ac:dyDescent="0.2">
      <c r="D59" s="113" t="str" cm="1">
        <f t="array" ref="D59:D92">Table_SourceData_WasteSolid_WasteTreatmentEFs[Treatment type t]</f>
        <v>Landfill</v>
      </c>
      <c r="E59" s="121" t="str" cm="1">
        <f t="array" ref="E59:E92">Table_SourceData_WasteSolid_WasteTreatmentEFs[Waste type w]</f>
        <v>Food waste (including animal carcasses, spoiled animal feed or crop)</v>
      </c>
      <c r="F59" s="226"/>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D60" s="113" t="str">
        <v>Landfill</v>
      </c>
      <c r="E60" s="121" t="str">
        <v>Paper and cardboard</v>
      </c>
      <c r="F60" s="226"/>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13" t="str">
        <v>Landfill</v>
      </c>
      <c r="E61" s="121" t="str">
        <v>Green waste (including crop residues or prunings)</v>
      </c>
      <c r="F61" s="226"/>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13" t="str">
        <v>Landfill</v>
      </c>
      <c r="E62" s="121" t="str">
        <v>Wood</v>
      </c>
      <c r="F62" s="226"/>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13" t="str">
        <v>Landfill</v>
      </c>
      <c r="E63" s="121" t="str">
        <v>Textiles</v>
      </c>
      <c r="F63" s="226"/>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13" t="str">
        <v>Landfill</v>
      </c>
      <c r="E64" s="121" t="str">
        <v>Sludge</v>
      </c>
      <c r="F64" s="226"/>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1:9" ht="20.100000000000001" customHeight="1" x14ac:dyDescent="0.2">
      <c r="D65" s="113" t="str">
        <v>Landfill</v>
      </c>
      <c r="E65" s="121" t="str">
        <v>Rubber and leather</v>
      </c>
      <c r="F65" s="226"/>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1:9" ht="20.100000000000001" customHeight="1" x14ac:dyDescent="0.2">
      <c r="A66" s="79" t="str">
        <f>HYPERLINK("#A1", "▲ Back to top")</f>
        <v>▲ Back to top</v>
      </c>
      <c r="D66" s="113" t="str">
        <v>Landfill</v>
      </c>
      <c r="E66" s="121" t="str">
        <v>Inert waste (including concrete, metal, plastic or glass)</v>
      </c>
      <c r="F66" s="226"/>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1:9" ht="20.100000000000001" customHeight="1" x14ac:dyDescent="0.2">
      <c r="D67" s="113" t="str">
        <v>Landfill</v>
      </c>
      <c r="E67" s="121" t="str">
        <v>Municipal solid waste</v>
      </c>
      <c r="F67" s="226"/>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1:9" ht="20.100000000000001" customHeight="1" x14ac:dyDescent="0.2">
      <c r="D68" s="113" t="str">
        <v>Landfill</v>
      </c>
      <c r="E68" s="121" t="str">
        <v>Commercial and industrial waste</v>
      </c>
      <c r="F68" s="226"/>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1:9" ht="20.100000000000001" customHeight="1" x14ac:dyDescent="0.2">
      <c r="D69" s="113" t="str">
        <v>Landfill</v>
      </c>
      <c r="E69" s="121" t="str">
        <v>Construction and demolition waste</v>
      </c>
      <c r="F69" s="226"/>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1:9" ht="20.100000000000001" customHeight="1" x14ac:dyDescent="0.2">
      <c r="D70" s="113" t="str">
        <v>Incineration</v>
      </c>
      <c r="E70" s="121" t="str">
        <v>Food waste, green waste, wood, sludge</v>
      </c>
      <c r="F70" s="226"/>
      <c r="G70" s="15" t="s">
        <v>772</v>
      </c>
      <c r="H70" s="15" t="s">
        <v>772</v>
      </c>
      <c r="I70" s="15" t="s">
        <v>772</v>
      </c>
    </row>
    <row r="71" spans="1:9" ht="20.100000000000001" customHeight="1" x14ac:dyDescent="0.2">
      <c r="D71" s="113" t="str">
        <v>Incineration</v>
      </c>
      <c r="E71" s="121" t="str">
        <v>Food waste (including animal carcasses, spoiled animal feed or crop)</v>
      </c>
      <c r="F71" s="226"/>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1:9" ht="20.100000000000001" customHeight="1" x14ac:dyDescent="0.2">
      <c r="D72" s="113" t="str">
        <v>Incineration</v>
      </c>
      <c r="E72" s="121" t="str">
        <v>Green waste (including crop residues or prunings)</v>
      </c>
      <c r="F72" s="226"/>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1:9" ht="20.100000000000001" customHeight="1" x14ac:dyDescent="0.2">
      <c r="D73" s="113" t="str">
        <v>Incineration</v>
      </c>
      <c r="E73" s="121" t="str">
        <v>Wood</v>
      </c>
      <c r="F73" s="226"/>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1:9" ht="20.100000000000001" customHeight="1" x14ac:dyDescent="0.2">
      <c r="D74" s="113" t="str">
        <v>Incineration</v>
      </c>
      <c r="E74" s="121" t="str">
        <v>Sludge</v>
      </c>
      <c r="F74" s="226"/>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1:9" ht="20.100000000000001" customHeight="1" x14ac:dyDescent="0.2">
      <c r="D75" s="113" t="str">
        <v>Incineration</v>
      </c>
      <c r="E75" s="121" t="str">
        <v>Paper and cardboard</v>
      </c>
      <c r="F75" s="226"/>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1:9" ht="20.100000000000001" customHeight="1" x14ac:dyDescent="0.2">
      <c r="D76" s="113" t="str">
        <v>Incineration</v>
      </c>
      <c r="E76" s="121" t="str">
        <v>Textiles</v>
      </c>
      <c r="F76" s="226"/>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1:9" ht="20.100000000000001" customHeight="1" x14ac:dyDescent="0.2">
      <c r="D77" s="113" t="str">
        <v>Incineration</v>
      </c>
      <c r="E77" s="121" t="str">
        <v>Rubber and leather</v>
      </c>
      <c r="F77" s="226"/>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1:9" ht="20.100000000000001" customHeight="1" x14ac:dyDescent="0.2">
      <c r="D78" s="113" t="str">
        <v>Incineration</v>
      </c>
      <c r="E78" s="121" t="str">
        <v>Inert waste (including concrete, metal, plastic or glass)</v>
      </c>
      <c r="F78" s="226"/>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1:9" ht="20.100000000000001" customHeight="1" x14ac:dyDescent="0.2">
      <c r="D79" s="113" t="str">
        <v>Incineration</v>
      </c>
      <c r="E79" s="121" t="str">
        <v>Municipal solid waste</v>
      </c>
      <c r="F79" s="122"/>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1:9" ht="20.100000000000001" customHeight="1" x14ac:dyDescent="0.2">
      <c r="D80" s="113" t="str">
        <v>Incineration</v>
      </c>
      <c r="E80" s="121" t="str">
        <v>Commercial and industrial waste</v>
      </c>
      <c r="F80" s="122"/>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1:12" ht="20.100000000000001" customHeight="1" x14ac:dyDescent="0.2">
      <c r="D81" s="113" t="str">
        <v>Composting</v>
      </c>
      <c r="E81" s="121" t="str">
        <v>All organic waste</v>
      </c>
      <c r="F81" s="122"/>
      <c r="G81" s="15" t="s">
        <v>772</v>
      </c>
      <c r="H81" s="15" t="s">
        <v>772</v>
      </c>
      <c r="I81" s="15" t="s">
        <v>772</v>
      </c>
    </row>
    <row r="82" spans="1:12" ht="20.100000000000001" customHeight="1" x14ac:dyDescent="0.2">
      <c r="D82" s="113" t="str">
        <v>Composting</v>
      </c>
      <c r="E82" s="121" t="str">
        <v>Food waste (including animal carcasses, spoiled animal feed or crop)</v>
      </c>
      <c r="F82" s="122"/>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1:12" ht="20.100000000000001" customHeight="1" x14ac:dyDescent="0.2">
      <c r="D83" s="113" t="str">
        <v>Composting</v>
      </c>
      <c r="E83" s="121" t="str">
        <v>Green waste (including crop residues or prunings)</v>
      </c>
      <c r="F83" s="122"/>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1:12" ht="20.100000000000001" customHeight="1" x14ac:dyDescent="0.2">
      <c r="D84" s="113" t="str">
        <v>Composting</v>
      </c>
      <c r="E84" s="121" t="str">
        <v>Wood</v>
      </c>
      <c r="F84" s="122"/>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1:12" ht="20.100000000000001" customHeight="1" x14ac:dyDescent="0.2">
      <c r="D85" s="113" t="str">
        <v>Composting</v>
      </c>
      <c r="E85" s="121" t="str">
        <v>Sludge</v>
      </c>
      <c r="F85" s="122"/>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1:12" ht="20.100000000000001" customHeight="1" x14ac:dyDescent="0.2">
      <c r="D86" s="113" t="str">
        <v>Composting</v>
      </c>
      <c r="E86" s="121" t="str">
        <v>Paper and cardboard</v>
      </c>
      <c r="F86" s="122"/>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1:12" ht="20.100000000000001" customHeight="1" x14ac:dyDescent="0.2">
      <c r="D87" s="113" t="str">
        <v>Anaerobic digestion</v>
      </c>
      <c r="E87" s="121" t="str">
        <v>All organic waste</v>
      </c>
      <c r="F87" s="122"/>
      <c r="G87" s="15" t="s">
        <v>772</v>
      </c>
      <c r="H87" s="15" t="s">
        <v>772</v>
      </c>
      <c r="I87" s="15" t="s">
        <v>772</v>
      </c>
    </row>
    <row r="88" spans="1:12" ht="20.100000000000001" customHeight="1" x14ac:dyDescent="0.2">
      <c r="D88" s="113" t="str">
        <v>Anaerobic digestion</v>
      </c>
      <c r="E88" s="121" t="str">
        <v>Food waste (including animal carcasses, spoiled animal feed or crop)</v>
      </c>
      <c r="F88" s="122"/>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1:12" ht="20.100000000000001" customHeight="1" x14ac:dyDescent="0.2">
      <c r="D89" s="113" t="str">
        <v>Anaerobic digestion</v>
      </c>
      <c r="E89" s="121" t="str">
        <v>Green waste (including crop residues or prunings)</v>
      </c>
      <c r="F89" s="122"/>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1:12" ht="20.100000000000001" customHeight="1" x14ac:dyDescent="0.2">
      <c r="D90" s="113" t="str">
        <v>Anaerobic digestion</v>
      </c>
      <c r="E90" s="121" t="str">
        <v>Wood</v>
      </c>
      <c r="F90" s="122"/>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1:12" ht="20.100000000000001" customHeight="1" x14ac:dyDescent="0.2">
      <c r="D91" s="113" t="str">
        <v>Anaerobic digestion</v>
      </c>
      <c r="E91" s="121" t="str">
        <v>Sludge</v>
      </c>
      <c r="F91" s="122"/>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1:12" ht="20.100000000000001" customHeight="1" x14ac:dyDescent="0.2">
      <c r="D92" s="113" t="str">
        <v>Anaerobic digestion</v>
      </c>
      <c r="E92" s="121" t="str">
        <v>Paper and cardboard</v>
      </c>
      <c r="F92" s="122"/>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1:12" ht="20.100000000000001" customHeight="1" x14ac:dyDescent="0.2">
      <c r="C95" s="83"/>
      <c r="D95" s="83"/>
      <c r="E95" s="83"/>
      <c r="F95" s="83"/>
      <c r="G95" s="83"/>
      <c r="H95" s="83"/>
      <c r="I95" s="83"/>
      <c r="J95" s="83"/>
      <c r="K95" s="83"/>
      <c r="L95" s="83"/>
    </row>
    <row r="96" spans="1:12" ht="20.100000000000001" customHeight="1" x14ac:dyDescent="0.2">
      <c r="A96" s="79" t="str">
        <f>HYPERLINK("#A1", "▲ Back to top")</f>
        <v>▲ Back to top</v>
      </c>
      <c r="D96" s="2" t="s">
        <v>1408</v>
      </c>
    </row>
    <row r="97" spans="4:9" ht="20.100000000000001" customHeight="1" x14ac:dyDescent="0.2">
      <c r="D97" s="17" t="s">
        <v>1409</v>
      </c>
    </row>
    <row r="98" spans="4:9" ht="20.100000000000001" customHeight="1" x14ac:dyDescent="0.2">
      <c r="D98" s="25" t="s">
        <v>1410</v>
      </c>
    </row>
    <row r="99" spans="4:9" ht="20.100000000000001" customHeight="1" x14ac:dyDescent="0.2">
      <c r="D99" s="112"/>
      <c r="E99" s="112"/>
    </row>
    <row r="102" spans="4:9" ht="20.100000000000001" customHeight="1" x14ac:dyDescent="0.2">
      <c r="D102" s="75" t="s">
        <v>321</v>
      </c>
      <c r="E102" s="1" t="s">
        <v>1351</v>
      </c>
    </row>
    <row r="103" spans="4:9" ht="20.100000000000001" customHeight="1" x14ac:dyDescent="0.2">
      <c r="D103" s="75" t="s">
        <v>118</v>
      </c>
      <c r="E103" s="9" t="s">
        <v>7</v>
      </c>
    </row>
    <row r="105" spans="4:9" ht="20.100000000000001" customHeight="1" x14ac:dyDescent="0.2">
      <c r="D105" s="113" t="s">
        <v>1397</v>
      </c>
      <c r="E105" s="121" t="s">
        <v>1411</v>
      </c>
      <c r="F105" s="132"/>
      <c r="G105" s="122"/>
      <c r="H105" s="113" t="s">
        <v>1398</v>
      </c>
      <c r="I105" s="115" t="s">
        <v>1419</v>
      </c>
    </row>
    <row r="106" spans="4:9" ht="20.100000000000001" customHeight="1" x14ac:dyDescent="0.2">
      <c r="D106" s="113" t="s">
        <v>1412</v>
      </c>
      <c r="E106" s="121" t="s">
        <v>1413</v>
      </c>
      <c r="F106" s="132"/>
      <c r="G106" s="122"/>
      <c r="H106" s="113" t="s">
        <v>1420</v>
      </c>
      <c r="I106" s="115" t="s">
        <v>1227</v>
      </c>
    </row>
    <row r="107" spans="4:9" ht="20.100000000000001" customHeight="1" x14ac:dyDescent="0.2">
      <c r="D107" s="113" t="s">
        <v>1403</v>
      </c>
      <c r="E107" s="121" t="s">
        <v>1404</v>
      </c>
      <c r="F107" s="132"/>
      <c r="G107" s="122"/>
      <c r="H107" s="113"/>
      <c r="I107" s="114" t="s">
        <v>1196</v>
      </c>
    </row>
    <row r="108" spans="4:9" ht="20.100000000000001" customHeight="1" x14ac:dyDescent="0.2">
      <c r="D108" s="113" t="s">
        <v>1398</v>
      </c>
      <c r="E108" s="121" t="s">
        <v>1405</v>
      </c>
      <c r="F108" s="132"/>
      <c r="G108" s="122"/>
      <c r="H108" s="113"/>
      <c r="I108" s="114" t="s">
        <v>1196</v>
      </c>
    </row>
    <row r="109" spans="4:9" ht="20.100000000000001" customHeight="1" x14ac:dyDescent="0.2">
      <c r="D109" s="113" t="s">
        <v>1362</v>
      </c>
      <c r="E109" s="121" t="s">
        <v>1414</v>
      </c>
      <c r="F109" s="132"/>
      <c r="G109" s="122"/>
      <c r="H109" s="113"/>
      <c r="I109" s="114" t="s">
        <v>1196</v>
      </c>
    </row>
    <row r="110" spans="4:9" ht="20.100000000000001" customHeight="1" x14ac:dyDescent="0.2">
      <c r="D110" s="113" t="s">
        <v>1415</v>
      </c>
      <c r="E110" s="121" t="s">
        <v>1416</v>
      </c>
      <c r="F110" s="132"/>
      <c r="G110" s="122"/>
      <c r="H110" s="113" t="s">
        <v>19</v>
      </c>
      <c r="I110" s="115" t="s">
        <v>1421</v>
      </c>
    </row>
    <row r="111" spans="4:9" ht="20.100000000000001" customHeight="1" x14ac:dyDescent="0.2">
      <c r="D111" s="113" t="s">
        <v>1417</v>
      </c>
      <c r="E111" s="121" t="s">
        <v>1418</v>
      </c>
      <c r="F111" s="132"/>
      <c r="G111" s="122"/>
      <c r="H111" s="113" t="s">
        <v>19</v>
      </c>
      <c r="I111" s="114" t="s">
        <v>1196</v>
      </c>
    </row>
    <row r="113" spans="1:11" ht="20.100000000000001" customHeight="1" x14ac:dyDescent="0.2">
      <c r="D113" s="118" t="s">
        <v>910</v>
      </c>
    </row>
    <row r="114" spans="1:11" ht="20.100000000000001" customHeight="1" x14ac:dyDescent="0.2">
      <c r="D114" s="119" t="s">
        <v>911</v>
      </c>
    </row>
    <row r="115" spans="1:11" ht="20.100000000000001" customHeight="1" x14ac:dyDescent="0.2">
      <c r="D115" s="78" t="s">
        <v>903</v>
      </c>
      <c r="E115" s="78" t="s">
        <v>904</v>
      </c>
      <c r="F115" s="78"/>
      <c r="G115" s="78" t="s">
        <v>912</v>
      </c>
      <c r="H115" s="120" t="s">
        <v>913</v>
      </c>
      <c r="I115" s="120" t="s">
        <v>907</v>
      </c>
      <c r="J115" s="120" t="s">
        <v>914</v>
      </c>
      <c r="K115" s="120" t="s">
        <v>915</v>
      </c>
    </row>
    <row r="116" spans="1:11" ht="20.100000000000001" customHeight="1" x14ac:dyDescent="0.2">
      <c r="D116" s="113" t="str" cm="1">
        <f t="array" ref="D116:D149">Table_SourceData_WasteSolid_WasteTreatmentEFs[Treatment type t]</f>
        <v>Landfill</v>
      </c>
      <c r="E116" s="121" t="str" cm="1">
        <f t="array" ref="E116:E149">Table_SourceData_WasteSolid_WasteTreatmentEFs[Waste type w]</f>
        <v>Food waste (including animal carcasses, spoiled animal feed or crop)</v>
      </c>
      <c r="F116" s="226"/>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1:11" ht="20.100000000000001" customHeight="1" x14ac:dyDescent="0.2">
      <c r="D117" s="113" t="str">
        <v>Landfill</v>
      </c>
      <c r="E117" s="121" t="str">
        <v>Paper and cardboard</v>
      </c>
      <c r="F117" s="226"/>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1:11" ht="20.100000000000001" customHeight="1" x14ac:dyDescent="0.2">
      <c r="D118" s="113" t="str">
        <v>Landfill</v>
      </c>
      <c r="E118" s="121" t="str">
        <v>Green waste (including crop residues or prunings)</v>
      </c>
      <c r="F118" s="226"/>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1:11" ht="20.100000000000001" customHeight="1" x14ac:dyDescent="0.2">
      <c r="D119" s="113" t="str">
        <v>Landfill</v>
      </c>
      <c r="E119" s="121" t="str">
        <v>Wood</v>
      </c>
      <c r="F119" s="226"/>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1:11" ht="20.100000000000001" customHeight="1" x14ac:dyDescent="0.2">
      <c r="D120" s="113" t="str">
        <v>Landfill</v>
      </c>
      <c r="E120" s="121" t="str">
        <v>Textiles</v>
      </c>
      <c r="F120" s="226"/>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1:11" ht="20.100000000000001" customHeight="1" x14ac:dyDescent="0.2">
      <c r="D121" s="113" t="str">
        <v>Landfill</v>
      </c>
      <c r="E121" s="121" t="str">
        <v>Sludge</v>
      </c>
      <c r="F121" s="226"/>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1:11" ht="20.100000000000001" customHeight="1" x14ac:dyDescent="0.2">
      <c r="D122" s="113" t="str">
        <v>Landfill</v>
      </c>
      <c r="E122" s="121" t="str">
        <v>Rubber and leather</v>
      </c>
      <c r="F122" s="226"/>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1:11" ht="20.100000000000001" customHeight="1" x14ac:dyDescent="0.2">
      <c r="D123" s="113" t="str">
        <v>Landfill</v>
      </c>
      <c r="E123" s="121" t="str">
        <v>Inert waste (including concrete, metal, plastic or glass)</v>
      </c>
      <c r="F123" s="226"/>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1:11" ht="20.100000000000001" customHeight="1" x14ac:dyDescent="0.2">
      <c r="D124" s="113" t="str">
        <v>Landfill</v>
      </c>
      <c r="E124" s="121" t="str">
        <v>Municipal solid waste</v>
      </c>
      <c r="F124" s="226"/>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1:11" ht="20.100000000000001" customHeight="1" x14ac:dyDescent="0.2">
      <c r="D125" s="113" t="str">
        <v>Landfill</v>
      </c>
      <c r="E125" s="121" t="str">
        <v>Commercial and industrial waste</v>
      </c>
      <c r="F125" s="226"/>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1:11" ht="20.100000000000001" customHeight="1" x14ac:dyDescent="0.2">
      <c r="A126" s="79" t="str">
        <f>HYPERLINK("#A1", "▲ Back to top")</f>
        <v>▲ Back to top</v>
      </c>
      <c r="D126" s="113" t="str">
        <v>Landfill</v>
      </c>
      <c r="E126" s="121" t="str">
        <v>Construction and demolition waste</v>
      </c>
      <c r="F126" s="226"/>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1:11" ht="20.100000000000001" customHeight="1" x14ac:dyDescent="0.2">
      <c r="D127" s="113" t="str">
        <v>Incineration</v>
      </c>
      <c r="E127" s="121" t="str">
        <v>Food waste, green waste, wood, sludge</v>
      </c>
      <c r="F127" s="226"/>
      <c r="G127" s="15" t="s">
        <v>772</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1:11" ht="20.100000000000001" customHeight="1" x14ac:dyDescent="0.2">
      <c r="D128" s="113" t="str">
        <v>Incineration</v>
      </c>
      <c r="E128" s="121" t="str">
        <v>Food waste (including animal carcasses, spoiled animal feed or crop)</v>
      </c>
      <c r="F128" s="226"/>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916</v>
      </c>
      <c r="J128" s="15" t="s">
        <v>772</v>
      </c>
      <c r="K128" s="15" t="s">
        <v>772</v>
      </c>
    </row>
    <row r="129" spans="4:11" ht="20.100000000000001" customHeight="1" x14ac:dyDescent="0.2">
      <c r="D129" s="113" t="str">
        <v>Incineration</v>
      </c>
      <c r="E129" s="121" t="str">
        <v>Green waste (including crop residues or prunings)</v>
      </c>
      <c r="F129" s="226"/>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916</v>
      </c>
      <c r="J129" s="15" t="s">
        <v>772</v>
      </c>
      <c r="K129" s="15" t="s">
        <v>772</v>
      </c>
    </row>
    <row r="130" spans="4:11" ht="20.100000000000001" customHeight="1" x14ac:dyDescent="0.2">
      <c r="D130" s="113" t="str">
        <v>Incineration</v>
      </c>
      <c r="E130" s="121" t="str">
        <v>Wood</v>
      </c>
      <c r="F130" s="226"/>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916</v>
      </c>
      <c r="J130" s="15" t="s">
        <v>772</v>
      </c>
      <c r="K130" s="15" t="s">
        <v>772</v>
      </c>
    </row>
    <row r="131" spans="4:11" ht="20.100000000000001" customHeight="1" x14ac:dyDescent="0.2">
      <c r="D131" s="113" t="str">
        <v>Incineration</v>
      </c>
      <c r="E131" s="121" t="str">
        <v>Sludge</v>
      </c>
      <c r="F131" s="226"/>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916</v>
      </c>
      <c r="J131" s="15" t="s">
        <v>772</v>
      </c>
      <c r="K131" s="15" t="s">
        <v>772</v>
      </c>
    </row>
    <row r="132" spans="4:11" ht="20.100000000000001" customHeight="1" x14ac:dyDescent="0.2">
      <c r="D132" s="113" t="str">
        <v>Incineration</v>
      </c>
      <c r="E132" s="121" t="str">
        <v>Paper and cardboard</v>
      </c>
      <c r="F132" s="226"/>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4:11" ht="20.100000000000001" customHeight="1" x14ac:dyDescent="0.2">
      <c r="D133" s="113" t="str">
        <v>Incineration</v>
      </c>
      <c r="E133" s="121" t="str">
        <v>Textiles</v>
      </c>
      <c r="F133" s="226"/>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13" t="str">
        <v>Incineration</v>
      </c>
      <c r="E134" s="121" t="str">
        <v>Rubber and leather</v>
      </c>
      <c r="F134" s="226"/>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13" t="str">
        <v>Incineration</v>
      </c>
      <c r="E135" s="121" t="str">
        <v>Inert waste (including concrete, metal, plastic or glass)</v>
      </c>
      <c r="F135" s="226"/>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13" t="str">
        <v>Incineration</v>
      </c>
      <c r="E136" s="121" t="str">
        <v>Municipal solid waste</v>
      </c>
      <c r="F136" s="122"/>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13" t="str">
        <v>Incineration</v>
      </c>
      <c r="E137" s="121" t="str">
        <v>Commercial and industrial waste</v>
      </c>
      <c r="F137" s="122"/>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13" t="str">
        <v>Composting</v>
      </c>
      <c r="E138" s="121" t="str">
        <v>All organic waste</v>
      </c>
      <c r="F138" s="122"/>
      <c r="G138" s="15" t="s">
        <v>772</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4:11" ht="20.100000000000001" customHeight="1" x14ac:dyDescent="0.2">
      <c r="D139" s="113" t="str">
        <v>Composting</v>
      </c>
      <c r="E139" s="121" t="str">
        <v>Food waste (including animal carcasses, spoiled animal feed or crop)</v>
      </c>
      <c r="F139" s="122"/>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916</v>
      </c>
      <c r="J139" s="15" t="s">
        <v>772</v>
      </c>
      <c r="K139" s="15" t="s">
        <v>772</v>
      </c>
    </row>
    <row r="140" spans="4:11" ht="20.100000000000001" customHeight="1" x14ac:dyDescent="0.2">
      <c r="D140" s="113" t="str">
        <v>Composting</v>
      </c>
      <c r="E140" s="121" t="str">
        <v>Green waste (including crop residues or prunings)</v>
      </c>
      <c r="F140" s="122"/>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916</v>
      </c>
      <c r="J140" s="15" t="s">
        <v>772</v>
      </c>
      <c r="K140" s="15" t="s">
        <v>772</v>
      </c>
    </row>
    <row r="141" spans="4:11" ht="20.100000000000001" customHeight="1" x14ac:dyDescent="0.2">
      <c r="D141" s="113" t="str">
        <v>Composting</v>
      </c>
      <c r="E141" s="121" t="str">
        <v>Wood</v>
      </c>
      <c r="F141" s="122"/>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916</v>
      </c>
      <c r="J141" s="15" t="s">
        <v>772</v>
      </c>
      <c r="K141" s="15" t="s">
        <v>772</v>
      </c>
    </row>
    <row r="142" spans="4:11" ht="20.100000000000001" customHeight="1" x14ac:dyDescent="0.2">
      <c r="D142" s="113" t="str">
        <v>Composting</v>
      </c>
      <c r="E142" s="121" t="str">
        <v>Sludge</v>
      </c>
      <c r="F142" s="122"/>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916</v>
      </c>
      <c r="J142" s="15" t="s">
        <v>772</v>
      </c>
      <c r="K142" s="15" t="s">
        <v>772</v>
      </c>
    </row>
    <row r="143" spans="4:11" ht="20.100000000000001" customHeight="1" x14ac:dyDescent="0.2">
      <c r="D143" s="113" t="str">
        <v>Composting</v>
      </c>
      <c r="E143" s="121" t="str">
        <v>Paper and cardboard</v>
      </c>
      <c r="F143" s="122"/>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916</v>
      </c>
      <c r="J143" s="15" t="s">
        <v>772</v>
      </c>
      <c r="K143" s="15" t="s">
        <v>772</v>
      </c>
    </row>
    <row r="144" spans="4:11" ht="20.100000000000001" customHeight="1" x14ac:dyDescent="0.2">
      <c r="D144" s="113" t="str">
        <v>Anaerobic digestion</v>
      </c>
      <c r="E144" s="121" t="str">
        <v>All organic waste</v>
      </c>
      <c r="F144" s="122"/>
      <c r="G144" s="15" t="s">
        <v>772</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1:11" ht="20.100000000000001" customHeight="1" x14ac:dyDescent="0.2">
      <c r="D145" s="113" t="str">
        <v>Anaerobic digestion</v>
      </c>
      <c r="E145" s="121" t="str">
        <v>Food waste (including animal carcasses, spoiled animal feed or crop)</v>
      </c>
      <c r="F145" s="122"/>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916</v>
      </c>
      <c r="J145" s="15" t="s">
        <v>772</v>
      </c>
      <c r="K145" s="15" t="s">
        <v>772</v>
      </c>
    </row>
    <row r="146" spans="1:11" ht="20.100000000000001" customHeight="1" x14ac:dyDescent="0.2">
      <c r="D146" s="113" t="str">
        <v>Anaerobic digestion</v>
      </c>
      <c r="E146" s="121" t="str">
        <v>Green waste (including crop residues or prunings)</v>
      </c>
      <c r="F146" s="122"/>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916</v>
      </c>
      <c r="J146" s="15" t="s">
        <v>772</v>
      </c>
      <c r="K146" s="15" t="s">
        <v>772</v>
      </c>
    </row>
    <row r="147" spans="1:11" ht="20.100000000000001" customHeight="1" x14ac:dyDescent="0.2">
      <c r="D147" s="113" t="str">
        <v>Anaerobic digestion</v>
      </c>
      <c r="E147" s="121" t="str">
        <v>Wood</v>
      </c>
      <c r="F147" s="122"/>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916</v>
      </c>
      <c r="J147" s="15" t="s">
        <v>772</v>
      </c>
      <c r="K147" s="15" t="s">
        <v>772</v>
      </c>
    </row>
    <row r="148" spans="1:11" ht="20.100000000000001" customHeight="1" x14ac:dyDescent="0.2">
      <c r="D148" s="113" t="str">
        <v>Anaerobic digestion</v>
      </c>
      <c r="E148" s="121" t="str">
        <v>Sludge</v>
      </c>
      <c r="F148" s="122"/>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916</v>
      </c>
      <c r="J148" s="15" t="s">
        <v>772</v>
      </c>
      <c r="K148" s="15" t="s">
        <v>772</v>
      </c>
    </row>
    <row r="149" spans="1:11" ht="20.100000000000001" customHeight="1" x14ac:dyDescent="0.2">
      <c r="D149" s="113" t="str">
        <v>Anaerobic digestion</v>
      </c>
      <c r="E149" s="121" t="str">
        <v>Paper and cardboard</v>
      </c>
      <c r="F149" s="122"/>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916</v>
      </c>
      <c r="J149" s="15" t="s">
        <v>772</v>
      </c>
      <c r="K149" s="15" t="s">
        <v>772</v>
      </c>
    </row>
    <row r="151" spans="1:11" ht="20.100000000000001" customHeight="1" x14ac:dyDescent="0.2">
      <c r="D151" s="85" t="s">
        <v>917</v>
      </c>
      <c r="E151" s="86">
        <f>SUM(K116:K149)</f>
        <v>438.82805000000002</v>
      </c>
      <c r="F151" s="95" t="str">
        <f>$E$103</f>
        <v>t CO2e</v>
      </c>
    </row>
    <row r="154" spans="1:11" ht="20.100000000000001" customHeight="1" x14ac:dyDescent="0.2">
      <c r="D154" s="118" t="s">
        <v>918</v>
      </c>
    </row>
    <row r="155" spans="1:11" ht="20.100000000000001" customHeight="1" x14ac:dyDescent="0.2">
      <c r="D155" s="119" t="s">
        <v>919</v>
      </c>
    </row>
    <row r="156" spans="1:11" ht="20.100000000000001" customHeight="1" x14ac:dyDescent="0.2">
      <c r="A156" s="79" t="str">
        <f>HYPERLINK("#A1", "▲ Back to top")</f>
        <v>▲ Back to top</v>
      </c>
      <c r="D156" s="78" t="s">
        <v>903</v>
      </c>
      <c r="E156" s="78" t="s">
        <v>904</v>
      </c>
      <c r="F156" s="78"/>
      <c r="G156" s="78" t="s">
        <v>912</v>
      </c>
      <c r="H156" s="120" t="s">
        <v>913</v>
      </c>
      <c r="I156" s="120" t="s">
        <v>907</v>
      </c>
      <c r="J156" s="120" t="s">
        <v>914</v>
      </c>
      <c r="K156" s="120" t="s">
        <v>915</v>
      </c>
    </row>
    <row r="157" spans="1:11" ht="20.100000000000001" customHeight="1" x14ac:dyDescent="0.2">
      <c r="D157" s="113" t="str" cm="1">
        <f t="array" ref="D157:D190">Table_SourceData_WasteSolid_WasteTreatmentEFs[Treatment type t]</f>
        <v>Landfill</v>
      </c>
      <c r="E157" s="121" t="str" cm="1">
        <f t="array" ref="E157:E190">Table_SourceData_WasteSolid_WasteTreatmentEFs[Waste type w]</f>
        <v>Food waste (including animal carcasses, spoiled animal feed or crop)</v>
      </c>
      <c r="F157" s="226"/>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1:11" ht="20.100000000000001" customHeight="1" x14ac:dyDescent="0.2">
      <c r="D158" s="113" t="str">
        <v>Landfill</v>
      </c>
      <c r="E158" s="121" t="str">
        <v>Paper and cardboard</v>
      </c>
      <c r="F158" s="226"/>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1:11" ht="20.100000000000001" customHeight="1" x14ac:dyDescent="0.2">
      <c r="D159" s="113" t="str">
        <v>Landfill</v>
      </c>
      <c r="E159" s="121" t="str">
        <v>Green waste (including crop residues or prunings)</v>
      </c>
      <c r="F159" s="226"/>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1:11" ht="20.100000000000001" customHeight="1" x14ac:dyDescent="0.2">
      <c r="D160" s="113" t="str">
        <v>Landfill</v>
      </c>
      <c r="E160" s="121" t="str">
        <v>Wood</v>
      </c>
      <c r="F160" s="226"/>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13" t="str">
        <v>Landfill</v>
      </c>
      <c r="E161" s="121" t="str">
        <v>Textiles</v>
      </c>
      <c r="F161" s="226"/>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13" t="str">
        <v>Landfill</v>
      </c>
      <c r="E162" s="121" t="str">
        <v>Sludge</v>
      </c>
      <c r="F162" s="226"/>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13" t="str">
        <v>Landfill</v>
      </c>
      <c r="E163" s="121" t="str">
        <v>Rubber and leather</v>
      </c>
      <c r="F163" s="226"/>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13" t="str">
        <v>Landfill</v>
      </c>
      <c r="E164" s="121" t="str">
        <v>Inert waste (including concrete, metal, plastic or glass)</v>
      </c>
      <c r="F164" s="226"/>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13" t="str">
        <v>Landfill</v>
      </c>
      <c r="E165" s="121" t="str">
        <v>Municipal solid waste</v>
      </c>
      <c r="F165" s="226"/>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13" t="str">
        <v>Landfill</v>
      </c>
      <c r="E166" s="121" t="str">
        <v>Commercial and industrial waste</v>
      </c>
      <c r="F166" s="226"/>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13" t="str">
        <v>Landfill</v>
      </c>
      <c r="E167" s="121" t="str">
        <v>Construction and demolition waste</v>
      </c>
      <c r="F167" s="226"/>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13" t="str">
        <v>Incineration</v>
      </c>
      <c r="E168" s="121" t="str">
        <v>Food waste, green waste, wood, sludge</v>
      </c>
      <c r="F168" s="226"/>
      <c r="G168" s="15" t="s">
        <v>772</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13" t="str">
        <v>Incineration</v>
      </c>
      <c r="E169" s="121" t="str">
        <v>Food waste (including animal carcasses, spoiled animal feed or crop)</v>
      </c>
      <c r="F169" s="226"/>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916</v>
      </c>
      <c r="J169" s="15" t="s">
        <v>772</v>
      </c>
      <c r="K169" s="15" t="s">
        <v>772</v>
      </c>
    </row>
    <row r="170" spans="4:11" ht="20.100000000000001" customHeight="1" x14ac:dyDescent="0.2">
      <c r="D170" s="113" t="str">
        <v>Incineration</v>
      </c>
      <c r="E170" s="121" t="str">
        <v>Green waste (including crop residues or prunings)</v>
      </c>
      <c r="F170" s="226"/>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916</v>
      </c>
      <c r="J170" s="15" t="s">
        <v>772</v>
      </c>
      <c r="K170" s="15" t="s">
        <v>772</v>
      </c>
    </row>
    <row r="171" spans="4:11" ht="20.100000000000001" customHeight="1" x14ac:dyDescent="0.2">
      <c r="D171" s="113" t="str">
        <v>Incineration</v>
      </c>
      <c r="E171" s="121" t="str">
        <v>Wood</v>
      </c>
      <c r="F171" s="226"/>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916</v>
      </c>
      <c r="J171" s="15" t="s">
        <v>772</v>
      </c>
      <c r="K171" s="15" t="s">
        <v>772</v>
      </c>
    </row>
    <row r="172" spans="4:11" ht="20.100000000000001" customHeight="1" x14ac:dyDescent="0.2">
      <c r="D172" s="113" t="str">
        <v>Incineration</v>
      </c>
      <c r="E172" s="121" t="str">
        <v>Sludge</v>
      </c>
      <c r="F172" s="226"/>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916</v>
      </c>
      <c r="J172" s="15" t="s">
        <v>772</v>
      </c>
      <c r="K172" s="15" t="s">
        <v>772</v>
      </c>
    </row>
    <row r="173" spans="4:11" ht="20.100000000000001" customHeight="1" x14ac:dyDescent="0.2">
      <c r="D173" s="113" t="str">
        <v>Incineration</v>
      </c>
      <c r="E173" s="121" t="str">
        <v>Paper and cardboard</v>
      </c>
      <c r="F173" s="226"/>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13" t="str">
        <v>Incineration</v>
      </c>
      <c r="E174" s="121" t="str">
        <v>Textiles</v>
      </c>
      <c r="F174" s="226"/>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13" t="str">
        <v>Incineration</v>
      </c>
      <c r="E175" s="121" t="str">
        <v>Rubber and leather</v>
      </c>
      <c r="F175" s="226"/>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13" t="str">
        <v>Incineration</v>
      </c>
      <c r="E176" s="121" t="str">
        <v>Inert waste (including concrete, metal, plastic or glass)</v>
      </c>
      <c r="F176" s="226"/>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13" t="str">
        <v>Incineration</v>
      </c>
      <c r="E177" s="121" t="str">
        <v>Municipal solid waste</v>
      </c>
      <c r="F177" s="122"/>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D178" s="113" t="str">
        <v>Incineration</v>
      </c>
      <c r="E178" s="121" t="str">
        <v>Commercial and industrial waste</v>
      </c>
      <c r="F178" s="122"/>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D179" s="113" t="str">
        <v>Composting</v>
      </c>
      <c r="E179" s="121" t="str">
        <v>All organic waste</v>
      </c>
      <c r="F179" s="122"/>
      <c r="G179" s="15" t="s">
        <v>772</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13" t="str">
        <v>Composting</v>
      </c>
      <c r="E180" s="121" t="str">
        <v>Food waste (including animal carcasses, spoiled animal feed or crop)</v>
      </c>
      <c r="F180" s="122"/>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916</v>
      </c>
      <c r="J180" s="15" t="s">
        <v>772</v>
      </c>
      <c r="K180" s="15" t="s">
        <v>772</v>
      </c>
    </row>
    <row r="181" spans="1:11" ht="20.100000000000001" customHeight="1" x14ac:dyDescent="0.2">
      <c r="D181" s="113" t="str">
        <v>Composting</v>
      </c>
      <c r="E181" s="121" t="str">
        <v>Green waste (including crop residues or prunings)</v>
      </c>
      <c r="F181" s="122"/>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916</v>
      </c>
      <c r="J181" s="15" t="s">
        <v>772</v>
      </c>
      <c r="K181" s="15" t="s">
        <v>772</v>
      </c>
    </row>
    <row r="182" spans="1:11" ht="20.100000000000001" customHeight="1" x14ac:dyDescent="0.2">
      <c r="D182" s="113" t="str">
        <v>Composting</v>
      </c>
      <c r="E182" s="121" t="str">
        <v>Wood</v>
      </c>
      <c r="F182" s="122"/>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916</v>
      </c>
      <c r="J182" s="15" t="s">
        <v>772</v>
      </c>
      <c r="K182" s="15" t="s">
        <v>772</v>
      </c>
    </row>
    <row r="183" spans="1:11" ht="20.100000000000001" customHeight="1" x14ac:dyDescent="0.2">
      <c r="D183" s="113" t="str">
        <v>Composting</v>
      </c>
      <c r="E183" s="121" t="str">
        <v>Sludge</v>
      </c>
      <c r="F183" s="122"/>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916</v>
      </c>
      <c r="J183" s="15" t="s">
        <v>772</v>
      </c>
      <c r="K183" s="15" t="s">
        <v>772</v>
      </c>
    </row>
    <row r="184" spans="1:11" ht="20.100000000000001" customHeight="1" x14ac:dyDescent="0.2">
      <c r="D184" s="113" t="str">
        <v>Composting</v>
      </c>
      <c r="E184" s="121" t="str">
        <v>Paper and cardboard</v>
      </c>
      <c r="F184" s="122"/>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916</v>
      </c>
      <c r="J184" s="15" t="s">
        <v>772</v>
      </c>
      <c r="K184" s="15" t="s">
        <v>772</v>
      </c>
    </row>
    <row r="185" spans="1:11" ht="20.100000000000001" customHeight="1" x14ac:dyDescent="0.2">
      <c r="D185" s="113" t="str">
        <v>Anaerobic digestion</v>
      </c>
      <c r="E185" s="121" t="str">
        <v>All organic waste</v>
      </c>
      <c r="F185" s="122"/>
      <c r="G185" s="15" t="s">
        <v>772</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A186" s="79" t="str">
        <f>HYPERLINK("#A1", "▲ Back to top")</f>
        <v>▲ Back to top</v>
      </c>
      <c r="D186" s="113" t="str">
        <v>Anaerobic digestion</v>
      </c>
      <c r="E186" s="121" t="str">
        <v>Food waste (including animal carcasses, spoiled animal feed or crop)</v>
      </c>
      <c r="F186" s="122"/>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916</v>
      </c>
      <c r="J186" s="15" t="s">
        <v>772</v>
      </c>
      <c r="K186" s="15" t="s">
        <v>772</v>
      </c>
    </row>
    <row r="187" spans="1:11" ht="20.100000000000001" customHeight="1" x14ac:dyDescent="0.2">
      <c r="D187" s="113" t="str">
        <v>Anaerobic digestion</v>
      </c>
      <c r="E187" s="121" t="str">
        <v>Green waste (including crop residues or prunings)</v>
      </c>
      <c r="F187" s="122"/>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916</v>
      </c>
      <c r="J187" s="15" t="s">
        <v>772</v>
      </c>
      <c r="K187" s="15" t="s">
        <v>772</v>
      </c>
    </row>
    <row r="188" spans="1:11" ht="20.100000000000001" customHeight="1" x14ac:dyDescent="0.2">
      <c r="D188" s="113" t="str">
        <v>Anaerobic digestion</v>
      </c>
      <c r="E188" s="121" t="str">
        <v>Wood</v>
      </c>
      <c r="F188" s="122"/>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916</v>
      </c>
      <c r="J188" s="15" t="s">
        <v>772</v>
      </c>
      <c r="K188" s="15" t="s">
        <v>772</v>
      </c>
    </row>
    <row r="189" spans="1:11" ht="20.100000000000001" customHeight="1" x14ac:dyDescent="0.2">
      <c r="D189" s="113" t="str">
        <v>Anaerobic digestion</v>
      </c>
      <c r="E189" s="121" t="str">
        <v>Sludge</v>
      </c>
      <c r="F189" s="122"/>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916</v>
      </c>
      <c r="J189" s="15" t="s">
        <v>772</v>
      </c>
      <c r="K189" s="15" t="s">
        <v>772</v>
      </c>
    </row>
    <row r="190" spans="1:11" ht="20.100000000000001" customHeight="1" x14ac:dyDescent="0.2">
      <c r="D190" s="113" t="str">
        <v>Anaerobic digestion</v>
      </c>
      <c r="E190" s="121" t="str">
        <v>Paper and cardboard</v>
      </c>
      <c r="F190" s="122"/>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916</v>
      </c>
      <c r="J190" s="15" t="s">
        <v>772</v>
      </c>
      <c r="K190" s="15" t="s">
        <v>772</v>
      </c>
    </row>
    <row r="192" spans="1:11" ht="20.100000000000001" customHeight="1" x14ac:dyDescent="0.2">
      <c r="D192" s="85" t="s">
        <v>917</v>
      </c>
      <c r="E192" s="86">
        <f>SUM(K157:K190)</f>
        <v>441.15000000000003</v>
      </c>
      <c r="F192" s="95"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91C31C64-97D0-4256-8D2C-5F96F270DB80}"/>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31D4-E7B2-40C0-A67C-CBBB20CAB2E7}">
  <sheetPr>
    <tabColor rgb="FF008000"/>
  </sheetPr>
  <dimension ref="A1:K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563</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1422</v>
      </c>
    </row>
    <row r="6" spans="1:11" ht="20.100000000000001" customHeight="1" x14ac:dyDescent="0.2">
      <c r="D6" s="17" t="s">
        <v>1423</v>
      </c>
    </row>
    <row r="7" spans="1:11" ht="20.100000000000001" customHeight="1" x14ac:dyDescent="0.2">
      <c r="D7" s="25" t="s">
        <v>1424</v>
      </c>
    </row>
    <row r="8" spans="1:11" ht="20.100000000000001" customHeight="1" x14ac:dyDescent="0.2">
      <c r="A8" s="7" t="s">
        <v>0</v>
      </c>
      <c r="D8" s="112"/>
      <c r="E8" s="112"/>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Feedlot'!A1", "Feedlot")</f>
        <v>Feedlot</v>
      </c>
      <c r="D11" s="75" t="s">
        <v>321</v>
      </c>
      <c r="E11" s="1" t="s">
        <v>1425</v>
      </c>
    </row>
    <row r="12" spans="1:11" ht="20.100000000000001" customHeight="1" x14ac:dyDescent="0.2">
      <c r="A12" s="5" t="str">
        <f>HYPERLINK("#'Input - Livestock sales'!A1", "Livestock sales")</f>
        <v>Livestock sales</v>
      </c>
      <c r="D12" s="75" t="s">
        <v>118</v>
      </c>
      <c r="E12" s="9" t="s">
        <v>7</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Fuel'!A1", "Fuel")</f>
        <v>Fuel</v>
      </c>
      <c r="D14" s="113" t="s">
        <v>1426</v>
      </c>
      <c r="E14" s="121" t="s">
        <v>1427</v>
      </c>
      <c r="F14" s="122"/>
      <c r="G14" s="113" t="s">
        <v>533</v>
      </c>
      <c r="H14" s="114" t="s">
        <v>1196</v>
      </c>
      <c r="I14" s="121">
        <f>X_Cell_Electricity_Location_AmountPurchasedInkWh</f>
        <v>30000</v>
      </c>
      <c r="J14" s="122"/>
    </row>
    <row r="15" spans="1:11" ht="20.100000000000001" customHeight="1" x14ac:dyDescent="0.2">
      <c r="A15" s="5" t="str">
        <f>HYPERLINK("#'Input - Electricity'!A1", "Electricity")</f>
        <v>Electricity</v>
      </c>
      <c r="D15" s="113" t="s">
        <v>1428</v>
      </c>
      <c r="E15" s="121" t="s">
        <v>1429</v>
      </c>
      <c r="F15" s="122"/>
      <c r="G15" s="113" t="s">
        <v>1431</v>
      </c>
      <c r="H15" s="115" t="s">
        <v>1227</v>
      </c>
      <c r="I15" s="121" cm="1">
        <f t="array" ref="I15">Common_InputFunctions.Utility_LookupValueInTableNumber(I16,Table_SourceData_ElectricityEFs[State, Territory or grid description],Table_SourceData_ElectricityEFs[Scope 2 Emission Factors (kg CO2-e/kWh)])</f>
        <v>0.56000000000000005</v>
      </c>
      <c r="J15" s="122"/>
    </row>
    <row r="16" spans="1:11" ht="20.100000000000001" customHeight="1" x14ac:dyDescent="0.2">
      <c r="A16" s="5" t="str">
        <f>HYPERLINK("#'Input - Common farm inputs'!A1", "Common farm inputs")</f>
        <v>Common farm inputs</v>
      </c>
      <c r="D16" s="113" t="s">
        <v>1362</v>
      </c>
      <c r="E16" s="121" t="s">
        <v>1430</v>
      </c>
      <c r="F16" s="122"/>
      <c r="G16" s="113"/>
      <c r="H16" s="114" t="s">
        <v>1196</v>
      </c>
      <c r="I16" s="121" t="str">
        <f>X_Cell_Electricity_Location_GridElectricityPurchasedFrom</f>
        <v>Western Australia - North Western Interconnected System (NWIS)</v>
      </c>
      <c r="J16" s="122"/>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5" t="s">
        <v>564</v>
      </c>
      <c r="E18" s="86">
        <f>(I14 * I15 * 10 ^ -3)</f>
        <v>16.8</v>
      </c>
      <c r="F18" s="95"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3"/>
      <c r="D21" s="83"/>
      <c r="E21" s="83"/>
      <c r="F21" s="83"/>
      <c r="G21" s="83"/>
      <c r="H21" s="83"/>
      <c r="I21" s="83"/>
      <c r="J21" s="83"/>
      <c r="K21" s="83"/>
    </row>
    <row r="22" spans="1:11" ht="20.100000000000001" customHeight="1" x14ac:dyDescent="0.2">
      <c r="A22" s="5" t="str">
        <f>HYPERLINK("#'Input - Fert Prod System'!A1", "Fert Prod System")</f>
        <v>Fert Prod System</v>
      </c>
      <c r="D22" s="2" t="s">
        <v>1432</v>
      </c>
    </row>
    <row r="23" spans="1:11" ht="20.100000000000001" customHeight="1" x14ac:dyDescent="0.2">
      <c r="A23" s="5" t="str">
        <f>HYPERLINK("#'Input - Fertiliser'!A1", "Fertiliser")</f>
        <v>Fertiliser</v>
      </c>
      <c r="D23" s="17" t="s">
        <v>1433</v>
      </c>
    </row>
    <row r="24" spans="1:11" ht="20.100000000000001" customHeight="1" x14ac:dyDescent="0.2">
      <c r="D24" s="25" t="s">
        <v>1434</v>
      </c>
    </row>
    <row r="25" spans="1:11" ht="20.100000000000001" customHeight="1" x14ac:dyDescent="0.2">
      <c r="D25" s="112"/>
      <c r="E25" s="112"/>
    </row>
    <row r="26" spans="1:11" ht="20.100000000000001" customHeight="1" x14ac:dyDescent="0.2">
      <c r="A26" s="6" t="s">
        <v>2</v>
      </c>
    </row>
    <row r="27" spans="1:11" ht="20.100000000000001" customHeight="1" x14ac:dyDescent="0.2">
      <c r="A27" s="5" t="str">
        <f>HYPERLINK("#'3.1.1.1-2 Enteric Methane'!A1", "3.1.1.1-2 Enteric Methane")</f>
        <v>3.1.1.1-2 Enteric Methane</v>
      </c>
    </row>
    <row r="28" spans="1:11" ht="20.100000000000001" customHeight="1" x14ac:dyDescent="0.2">
      <c r="A28" s="5" t="str">
        <f>HYPERLINK("#'4.1.1.1-2 Methane'!A1", "4.1.1.1-2 Manure Methane")</f>
        <v>4.1.1.1-2 Manure Methane</v>
      </c>
      <c r="D28" s="75" t="s">
        <v>321</v>
      </c>
      <c r="E28" s="1" t="s">
        <v>1425</v>
      </c>
    </row>
    <row r="29" spans="1:11" ht="20.100000000000001" customHeight="1" x14ac:dyDescent="0.2">
      <c r="A29" s="5" t="str">
        <f>HYPERLINK("#'4.1.1.3-4 Direct N20'!A1", "4.1.1.3-4 Manure Direct N2O")</f>
        <v>4.1.1.3-4 Manure Direct N2O</v>
      </c>
      <c r="D29" s="75" t="s">
        <v>118</v>
      </c>
      <c r="E29" s="9" t="s">
        <v>7</v>
      </c>
    </row>
    <row r="30" spans="1:11" ht="20.100000000000001" customHeight="1" x14ac:dyDescent="0.2">
      <c r="A30" s="5" t="str">
        <f>HYPERLINK("#'4.1.1.5-6 Atmos Deposition'!A1", "4.1.1.5-6 Manure Atmos Dep")</f>
        <v>4.1.1.5-6 Manure Atmos Dep</v>
      </c>
    </row>
    <row r="31" spans="1:11" ht="20.100000000000001" customHeight="1" x14ac:dyDescent="0.2">
      <c r="A31" s="5" t="str">
        <f>HYPERLINK("#'4.1.1.9 Manure applied to soils'!A1", "4.1.1.9 Manure applied to soils")</f>
        <v>4.1.1.9 Manure applied to soils</v>
      </c>
      <c r="D31" s="113" t="s">
        <v>1426</v>
      </c>
      <c r="E31" s="121" t="s">
        <v>1427</v>
      </c>
      <c r="F31" s="132"/>
      <c r="G31" s="132"/>
      <c r="H31" s="113" t="s">
        <v>533</v>
      </c>
      <c r="I31" s="114" t="s">
        <v>1196</v>
      </c>
      <c r="J31" s="113">
        <f>X_Cell_Electricity_Market_AmountPurchasedExcludingGreenPower</f>
        <v>30000</v>
      </c>
    </row>
    <row r="32" spans="1:11" ht="20.100000000000001" customHeight="1" x14ac:dyDescent="0.2">
      <c r="A32" s="5" t="str">
        <f>HYPERLINK("#'8.1.1.1-2 Transport fuel'!A1", "8.1.1.1-2 Transport fuel")</f>
        <v>8.1.1.1-2 Transport fuel</v>
      </c>
      <c r="D32" s="113" t="s">
        <v>1435</v>
      </c>
      <c r="E32" s="121" t="s">
        <v>1436</v>
      </c>
      <c r="F32" s="132"/>
      <c r="G32" s="132"/>
      <c r="H32" s="113" t="s">
        <v>1197</v>
      </c>
      <c r="I32" s="114" t="s">
        <v>1196</v>
      </c>
      <c r="J32" s="144">
        <f>X_Cell_Electricity_Market_RenewablePowerPercentage</f>
        <v>0.1</v>
      </c>
    </row>
    <row r="33" spans="1:10" ht="20.100000000000001" customHeight="1" x14ac:dyDescent="0.2">
      <c r="A33" s="5" t="str">
        <f>HYPERLINK("#'8.2.1.1-2 Stationary fuel'!A1", "8.2.1.1-2 Stationary fuel")</f>
        <v>8.2.1.1-2 Stationary fuel</v>
      </c>
      <c r="D33" s="113" t="s">
        <v>1437</v>
      </c>
      <c r="E33" s="121" t="s">
        <v>1438</v>
      </c>
      <c r="F33" s="132"/>
      <c r="G33" s="132"/>
      <c r="H33" s="113" t="s">
        <v>1197</v>
      </c>
      <c r="I33" s="114" t="s">
        <v>1196</v>
      </c>
      <c r="J33" s="144" t="str">
        <f>IF(J37="ACT", X_Cell_Electricity_Market_JurisdictionalRenewablePowerPercentage, "N/A")</f>
        <v>N/A</v>
      </c>
    </row>
    <row r="34" spans="1:10" ht="20.100000000000001" customHeight="1" x14ac:dyDescent="0.2">
      <c r="A34" s="5" t="str">
        <f>HYPERLINK("#'10.1.1-2 Solid waste treatment'!A1", "10.1.1.1-2 Solid waste")</f>
        <v>10.1.1.1-2 Solid waste</v>
      </c>
      <c r="D34" s="113" t="s">
        <v>1439</v>
      </c>
      <c r="E34" s="121" t="s">
        <v>1440</v>
      </c>
      <c r="F34" s="132"/>
      <c r="G34" s="132"/>
      <c r="H34" s="113" t="s">
        <v>549</v>
      </c>
      <c r="I34" s="114" t="s">
        <v>1196</v>
      </c>
      <c r="J34" s="113">
        <f>(X_Cell_Electricity_Market_AmountPurchasedGreenPower*10^-3)+X_Cell_TotalElegibleVoluntarilySurrenderedRECs</f>
        <v>15</v>
      </c>
    </row>
    <row r="35" spans="1:10" ht="20.100000000000001" customHeight="1" x14ac:dyDescent="0.2">
      <c r="A35" s="117" t="str">
        <f>HYPERLINK("#'14.1.1-2 Purchased electricity'!A1", "14.1.1-2 Purchased electricity")</f>
        <v>14.1.1-2 Purchased electricity</v>
      </c>
      <c r="D35" s="113" t="s">
        <v>1441</v>
      </c>
      <c r="E35" s="121" t="s">
        <v>1442</v>
      </c>
      <c r="F35" s="132"/>
      <c r="G35" s="132"/>
      <c r="H35" s="113" t="s">
        <v>549</v>
      </c>
      <c r="I35" s="114" t="s">
        <v>1196</v>
      </c>
      <c r="J35" s="113">
        <f>X_Cell_TotalElegibleRECsForElectricityProducedOnSite</f>
        <v>0</v>
      </c>
    </row>
    <row r="36" spans="1:10" ht="20.100000000000001" customHeight="1" x14ac:dyDescent="0.2">
      <c r="A36" s="5" t="str">
        <f>HYPERLINK("#'15 Scope 3'!A1", "15 Scope 3")</f>
        <v>15 Scope 3</v>
      </c>
      <c r="D36" s="113" t="s">
        <v>1443</v>
      </c>
      <c r="E36" s="121" t="s">
        <v>1444</v>
      </c>
      <c r="F36" s="132"/>
      <c r="G36" s="132"/>
      <c r="H36" s="113" t="s">
        <v>1431</v>
      </c>
      <c r="I36" s="115" t="s">
        <v>1227</v>
      </c>
      <c r="J36" s="113" cm="1">
        <f t="array" ref="J36">Table_SourceData_ElectricityEFsMarketBased[Scope 2 EF (kg CO2-e/kWh)]</f>
        <v>0.81</v>
      </c>
    </row>
    <row r="37" spans="1:10" ht="20.100000000000001" customHeight="1" x14ac:dyDescent="0.2">
      <c r="A37" s="5" t="str">
        <f>HYPERLINK("#'Calcs - Manure sent off-site'!A1", "Calcs - Manure sent off-site")</f>
        <v>Calcs - Manure sent off-site</v>
      </c>
      <c r="D37" s="113" t="s">
        <v>1223</v>
      </c>
      <c r="E37" s="121" t="s">
        <v>1224</v>
      </c>
      <c r="F37" s="132"/>
      <c r="G37" s="122"/>
      <c r="H37" s="113"/>
      <c r="I37" s="114" t="s">
        <v>1196</v>
      </c>
      <c r="J37" s="113" t="str">
        <f>X_Cell_Site_State</f>
        <v>Western Australia</v>
      </c>
    </row>
    <row r="38" spans="1:10" ht="20.100000000000001" customHeight="1" x14ac:dyDescent="0.2">
      <c r="A38" s="5" t="str">
        <f>HYPERLINK("#'5.1.1.1-2 Inorganic fert N2O'!A1", "5.1.1.1-2 Inorganic fert N2O")</f>
        <v>5.1.1.1-2 Inorganic fert N2O</v>
      </c>
    </row>
    <row r="39" spans="1:10" ht="20.100000000000001" customHeight="1" x14ac:dyDescent="0.2">
      <c r="A39" s="5" t="str">
        <f>HYPERLINK("#'5.1.1.3-4 Inorganic fert CO2'!A1", "5.1.1.3-4 Inorganic fert CO2")</f>
        <v>5.1.1.3-4 Inorganic fert CO2</v>
      </c>
      <c r="D39" s="85" t="s">
        <v>564</v>
      </c>
      <c r="E39" s="86">
        <f>(((J31 * (1 - (J32 + (IF(ISNUMBER(J33), J33, 0))))) - ((J34 - J35) * 10 ^ 3)) * J36 * 10 ^ -3)</f>
        <v>9.7200000000000006</v>
      </c>
      <c r="F39" s="95" t="str">
        <f>E29</f>
        <v>t CO2e</v>
      </c>
    </row>
    <row r="40" spans="1:10" ht="20.100000000000001" customHeight="1" x14ac:dyDescent="0.2">
      <c r="A40" s="5" t="str">
        <f>HYPERLINK("#'5.2.1.1-2 Organic Fert N2O'!A1", "5.2.1.1-2 Organic Fert N2O")</f>
        <v>5.2.1.1-2 Organic Fert N2O</v>
      </c>
      <c r="H40" s="1" t="s">
        <v>557</v>
      </c>
    </row>
    <row r="41" spans="1:10" ht="20.100000000000001" customHeight="1" x14ac:dyDescent="0.2">
      <c r="A41" s="5" t="str">
        <f>HYPERLINK("#'5.3.1.1-2 Lime CO2'!A1", "5.3.1.1-2 Lime CO2")</f>
        <v>5.3.1.1-2 Lime CO2</v>
      </c>
    </row>
    <row r="42" spans="1:10" ht="20.100000000000001" customHeight="1" x14ac:dyDescent="0.2">
      <c r="A42" s="5" t="str">
        <f>HYPERLINK("#'5.4.1.1-4 Atmos deposition'!A1", "5.4.1.1-4 Atmos deposition")</f>
        <v>5.4.1.1-4 Atmos deposition</v>
      </c>
    </row>
    <row r="43" spans="1:10" ht="20.100000000000001" customHeight="1" x14ac:dyDescent="0.2">
      <c r="A43" s="5" t="str">
        <f>HYPERLINK("#'5.5.1.1-2 Leaching and runoff'!A1", "5.5.1.1-2 Leaching and runoff")</f>
        <v>5.5.1.1-2 Leaching and runoff</v>
      </c>
    </row>
    <row r="44" spans="1:10" ht="20.100000000000001" customHeight="1" x14ac:dyDescent="0.2">
      <c r="E44" s="140"/>
    </row>
    <row r="46" spans="1:10" ht="20.100000000000001" customHeight="1" x14ac:dyDescent="0.2">
      <c r="A46" s="80" t="s">
        <v>1</v>
      </c>
    </row>
    <row r="47" spans="1:10" ht="20.100000000000001" customHeight="1" x14ac:dyDescent="0.2">
      <c r="A47" s="5" t="str">
        <f>HYPERLINK("#'Constants - Feedlot'!A1", "Constants - Feedlot")</f>
        <v>Constants - Feedlot</v>
      </c>
    </row>
    <row r="48" spans="1:10"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FD734939-C570-4E9F-A5F6-7954529FE8BB}"/>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BABF-3D56-441F-A380-8F7EB5C10844}">
  <sheetPr>
    <tabColor theme="9" tint="-0.249977111117893"/>
  </sheetPr>
  <dimension ref="A1:AO65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1027</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1445</v>
      </c>
    </row>
    <row r="6" spans="1:41" ht="20.100000000000001" customHeight="1" x14ac:dyDescent="0.2">
      <c r="D6" s="17" t="s">
        <v>1446</v>
      </c>
    </row>
    <row r="7" spans="1:41" ht="20.100000000000001" customHeight="1" x14ac:dyDescent="0.2">
      <c r="D7" s="112"/>
      <c r="E7" s="112"/>
    </row>
    <row r="8" spans="1:41" ht="20.100000000000001" customHeight="1" x14ac:dyDescent="0.2">
      <c r="A8" s="7" t="s">
        <v>0</v>
      </c>
    </row>
    <row r="9" spans="1:41" ht="20.100000000000001" customHeight="1" x14ac:dyDescent="0.2">
      <c r="A9" s="5" t="str">
        <f>HYPERLINK("#'Input - Enterprise'!A1", "Enterprise")</f>
        <v>Enterprise</v>
      </c>
      <c r="H9" s="112"/>
    </row>
    <row r="10" spans="1:41" ht="20.100000000000001" customHeight="1" x14ac:dyDescent="0.2">
      <c r="A10" s="5" t="str">
        <f>HYPERLINK("#'Input - Site'!A1", "Site")</f>
        <v>Site</v>
      </c>
      <c r="D10" s="75" t="s">
        <v>321</v>
      </c>
      <c r="E10" s="1" t="s">
        <v>1143</v>
      </c>
    </row>
    <row r="11" spans="1:41" ht="20.100000000000001" customHeight="1" x14ac:dyDescent="0.2">
      <c r="A11" s="5" t="str">
        <f>HYPERLINK("#'Input - Feedlot'!A1", "Feedlot")</f>
        <v>Feedlot</v>
      </c>
      <c r="D11" s="75" t="s">
        <v>118</v>
      </c>
      <c r="E11" s="9" t="s">
        <v>7</v>
      </c>
    </row>
    <row r="12" spans="1:41" ht="20.100000000000001" customHeight="1" x14ac:dyDescent="0.2">
      <c r="A12" s="5" t="str">
        <f>HYPERLINK("#'Input - Livestock sales'!A1", "Livestock sales")</f>
        <v>Livestock sales</v>
      </c>
    </row>
    <row r="13" spans="1:41" ht="20.100000000000001" customHeight="1" x14ac:dyDescent="0.2">
      <c r="A13" s="5" t="str">
        <f>HYPERLINK("#'Input - Beef cattle purchases'!A1", "Beef cattle purchases")</f>
        <v>Beef cattle purchases</v>
      </c>
      <c r="D13" s="113" t="s">
        <v>1447</v>
      </c>
      <c r="E13" s="121" t="s">
        <v>1448</v>
      </c>
      <c r="F13" s="122"/>
      <c r="G13" s="113" t="s">
        <v>292</v>
      </c>
      <c r="H13" s="247" t="s">
        <v>1196</v>
      </c>
    </row>
    <row r="14" spans="1:41" ht="20.100000000000001" customHeight="1" x14ac:dyDescent="0.2">
      <c r="A14" s="5" t="str">
        <f>HYPERLINK("#'Input - Fuel'!A1", "Fuel")</f>
        <v>Fuel</v>
      </c>
      <c r="D14" s="113" t="s">
        <v>1449</v>
      </c>
      <c r="E14" s="121" t="s">
        <v>1450</v>
      </c>
      <c r="F14" s="122"/>
      <c r="G14" s="113" t="s">
        <v>1457</v>
      </c>
      <c r="H14" s="247" t="s">
        <v>1196</v>
      </c>
    </row>
    <row r="15" spans="1:41" ht="20.100000000000001" customHeight="1" x14ac:dyDescent="0.2">
      <c r="A15" s="5" t="str">
        <f>HYPERLINK("#'Input - Electricity'!A1", "Electricity")</f>
        <v>Electricity</v>
      </c>
      <c r="D15" s="113" t="s">
        <v>1451</v>
      </c>
      <c r="E15" s="121" t="s">
        <v>1452</v>
      </c>
      <c r="F15" s="122"/>
      <c r="G15" s="113" t="s">
        <v>1458</v>
      </c>
      <c r="H15" s="115" t="s">
        <v>1227</v>
      </c>
    </row>
    <row r="16" spans="1:41" ht="20.100000000000001" customHeight="1" x14ac:dyDescent="0.2">
      <c r="A16" s="5" t="str">
        <f>HYPERLINK("#'Input - Common farm inputs'!A1", "Common farm inputs")</f>
        <v>Common farm inputs</v>
      </c>
      <c r="D16" s="113" t="s">
        <v>1453</v>
      </c>
      <c r="E16" s="121" t="s">
        <v>1454</v>
      </c>
      <c r="F16" s="122"/>
      <c r="G16" s="113"/>
      <c r="H16" s="247" t="s">
        <v>1196</v>
      </c>
    </row>
    <row r="17" spans="1:16" ht="20.100000000000001" customHeight="1" x14ac:dyDescent="0.2">
      <c r="A17" s="5" t="str">
        <f>HYPERLINK("#'Input - Livestock farm Inputs'!A1", "Livestock farm Inputs")</f>
        <v>Livestock farm Inputs</v>
      </c>
      <c r="D17" s="113" t="s">
        <v>1455</v>
      </c>
      <c r="E17" s="121" t="s">
        <v>1456</v>
      </c>
      <c r="F17" s="122"/>
      <c r="G17" s="113"/>
      <c r="H17" s="247" t="s">
        <v>1196</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1028</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0" t="s">
        <v>1029</v>
      </c>
    </row>
    <row r="22" spans="1:16" ht="20.100000000000001" customHeight="1" x14ac:dyDescent="0.2">
      <c r="A22" s="5" t="str">
        <f>HYPERLINK("#'Input - Fert Prod System'!A1", "Fert Prod System")</f>
        <v>Fert Prod System</v>
      </c>
      <c r="D22" s="78" t="s">
        <v>1030</v>
      </c>
      <c r="E22" s="248" t="s">
        <v>1031</v>
      </c>
      <c r="F22" s="248" t="s">
        <v>1032</v>
      </c>
      <c r="G22" s="248" t="s">
        <v>1033</v>
      </c>
      <c r="H22" s="248" t="s">
        <v>1034</v>
      </c>
      <c r="I22" s="120" t="s">
        <v>1035</v>
      </c>
      <c r="J22" s="120" t="s">
        <v>1036</v>
      </c>
      <c r="K22" s="248" t="s">
        <v>1037</v>
      </c>
      <c r="L22" s="78" t="s">
        <v>1038</v>
      </c>
      <c r="M22" s="120" t="s">
        <v>1039</v>
      </c>
      <c r="N22" s="78" t="s">
        <v>1040</v>
      </c>
      <c r="O22" s="78" t="s">
        <v>1041</v>
      </c>
      <c r="P22" s="78" t="s">
        <v>1042</v>
      </c>
    </row>
    <row r="23" spans="1:16" ht="20.100000000000001" customHeight="1" x14ac:dyDescent="0.2">
      <c r="A23" s="5" t="str">
        <f>HYPERLINK("#'Input - Fertiliser'!A1", "Fertiliser")</f>
        <v>Fertiliser</v>
      </c>
      <c r="D23" s="15" t="str" cm="1">
        <f t="array" ref="D23:D32">IFERROR(INDEX(Table_Input_LivestockPurchases_Beefcattle[Transaction name], _xlfn.SEQUENCE(10)), "")</f>
        <v>Cows from Barry</v>
      </c>
      <c r="E23" s="15" t="str" cm="1">
        <f t="array" ref="E23:E32">IFERROR(INDEX(Table_Input_LivestockPurchases_Beefcattle[Purchase class (select)], _xlfn.SEQUENCE(10)), "")</f>
        <v>Cattle, for prime beef</v>
      </c>
      <c r="F23" s="15" t="str" cm="1">
        <f t="array" ref="F23:F32">IFERROR(_xlfn.XLOOKUP(INDEX(Table_Input_LivestockPurchases_Beefcattle[Source region (Select)], _xlfn.SEQUENCE(10)), Table_ProductRegions_Beefcattle[Region],Table_ProductRegions_Beefcattle[Scope3 region]), "")</f>
        <v>WA</v>
      </c>
      <c r="G23" s="15" cm="1">
        <f t="array" ref="G23:G32">IFERROR(INDEX(Table_Input_LivestockPurchases_Beefcattle[Quantity (head)], _xlfn.SEQUENCE(10)), "")</f>
        <v>100</v>
      </c>
      <c r="H23" s="15" cm="1">
        <f t="array" ref="H23:H32">IFERROR(INDEX(Table_Input_LivestockPurchases_Beefcattle[Liveweight (kg/head) Method 1], _xlfn.SEQUENCE(10)), 0)</f>
        <v>0</v>
      </c>
      <c r="I23" s="15" cm="1">
        <f t="array" ref="I23">Common_InputFunctions.Utility_LookupValueInTableTwoColumns(E23,F23,Table_SourceData_Scope3_Animals[Product],Table_SourceData_Scope3_Animals[Region of origin],Table_SourceData_Scope3_Animals[Emissions intensity], 0)</f>
        <v>20.8</v>
      </c>
      <c r="J23" s="249">
        <f>((G23 * H23 * I23) * 10 ^ -3)</f>
        <v>0</v>
      </c>
      <c r="K23" s="15" cm="1">
        <f t="array" ref="K23:K32">IFERROR(INDEX(Table_Input_LivestockPurchases_Beefcattle[Liveweight (kg/head) Method 2], _xlfn.SEQUENCE(10)), "")</f>
        <v>205</v>
      </c>
      <c r="L23" s="74">
        <v>20</v>
      </c>
      <c r="M23" s="249">
        <f>((G23 * K23 * (IF(L23, L23, I23))) * 10 ^ -3)</f>
        <v>410</v>
      </c>
      <c r="N23" s="33" t="s">
        <v>1043</v>
      </c>
      <c r="O23" s="13" t="s">
        <v>1044</v>
      </c>
      <c r="P23" t="s">
        <v>1045</v>
      </c>
    </row>
    <row r="24" spans="1:16" ht="20.100000000000001" customHeight="1" x14ac:dyDescent="0.2">
      <c r="D24" s="15">
        <v>0</v>
      </c>
      <c r="E24" s="15" t="str">
        <v>Cattle, for manufacturing beef</v>
      </c>
      <c r="F24" s="15" t="str">
        <v>WA</v>
      </c>
      <c r="G24" s="15">
        <v>100</v>
      </c>
      <c r="H24" s="15">
        <v>0</v>
      </c>
      <c r="I24" s="15" cm="1">
        <f t="array" ref="I24">Common_InputFunctions.Utility_LookupValueInTableTwoColumns(E24,F24,Table_SourceData_Scope3_Animals[Product],Table_SourceData_Scope3_Animals[Region of origin],Table_SourceData_Scope3_Animals[Emissions intensity], 0)</f>
        <v>13.1</v>
      </c>
      <c r="J24" s="249">
        <f>((G24 * H24 * I24) * 10 ^ -3)</f>
        <v>0</v>
      </c>
      <c r="K24" s="15">
        <v>465</v>
      </c>
      <c r="L24" s="74">
        <v>13</v>
      </c>
      <c r="M24" s="249">
        <f>((G24 * K24 * (IF(L24, L24, I24))) * 10 ^ -3)</f>
        <v>604.5</v>
      </c>
      <c r="N24" s="33"/>
      <c r="O24" s="13"/>
      <c r="P24" s="33"/>
    </row>
    <row r="25" spans="1:16" ht="20.100000000000001" customHeight="1" x14ac:dyDescent="0.2">
      <c r="D25" s="15">
        <v>0</v>
      </c>
      <c r="E25" s="15">
        <v>0</v>
      </c>
      <c r="F25" s="15" t="str">
        <v/>
      </c>
      <c r="G25" s="15">
        <v>0</v>
      </c>
      <c r="H25" s="15">
        <v>0</v>
      </c>
      <c r="I25" s="15" cm="1">
        <f t="array" ref="I25">Common_InputFunctions.Utility_LookupValueInTableTwoColumns(E25,F25,Table_SourceData_Scope3_Animals[Product],Table_SourceData_Scope3_Animals[Region of origin],Table_SourceData_Scope3_Animals[Emissions intensity], 0)</f>
        <v>0</v>
      </c>
      <c r="J25" s="249">
        <f>((G25 * H25 * I25) * 10 ^ -3)</f>
        <v>0</v>
      </c>
      <c r="K25" s="15">
        <v>0</v>
      </c>
      <c r="L25" s="74"/>
      <c r="M25" s="249">
        <f>((G25 * K25 * (IF(L25, L25, I25))) * 10 ^ -3)</f>
        <v>0</v>
      </c>
      <c r="N25" s="33"/>
      <c r="O25" s="13"/>
      <c r="P25" s="33"/>
    </row>
    <row r="26" spans="1:16" ht="20.100000000000001" customHeight="1" x14ac:dyDescent="0.2">
      <c r="A26" s="6" t="s">
        <v>2</v>
      </c>
      <c r="D26" s="15">
        <v>0</v>
      </c>
      <c r="E26" s="15">
        <v>0</v>
      </c>
      <c r="F26" s="15" t="str">
        <v/>
      </c>
      <c r="G26" s="15">
        <v>0</v>
      </c>
      <c r="H26" s="15">
        <v>0</v>
      </c>
      <c r="I26" s="15" cm="1">
        <f t="array" ref="I26">Common_InputFunctions.Utility_LookupValueInTableTwoColumns(E26,F26,Table_SourceData_Scope3_Animals[Product],Table_SourceData_Scope3_Animals[Region of origin],Table_SourceData_Scope3_Animals[Emissions intensity], 0)</f>
        <v>0</v>
      </c>
      <c r="J26" s="249">
        <f>((G26 * H26 * I26) * 10 ^ -3)</f>
        <v>0</v>
      </c>
      <c r="K26" s="15">
        <v>0</v>
      </c>
      <c r="L26" s="74"/>
      <c r="M26" s="249">
        <f>((G26 * K26 * (IF(L26, L26, I26))) * 10 ^ -3)</f>
        <v>0</v>
      </c>
      <c r="N26" s="33"/>
      <c r="O26" s="13"/>
      <c r="P26" s="33"/>
    </row>
    <row r="27" spans="1:16" ht="20.100000000000001" customHeight="1" x14ac:dyDescent="0.2">
      <c r="A27" s="5" t="str">
        <f>HYPERLINK("#'3.1.1.1-2 Enteric Methane'!A1", "3.1.1.1-2 Enteric Methane")</f>
        <v>3.1.1.1-2 Enteric Methane</v>
      </c>
      <c r="D27" s="15">
        <v>0</v>
      </c>
      <c r="E27" s="15">
        <v>0</v>
      </c>
      <c r="F27" s="15" t="str">
        <v/>
      </c>
      <c r="G27" s="15">
        <v>0</v>
      </c>
      <c r="H27" s="15">
        <v>0</v>
      </c>
      <c r="I27" s="15" cm="1">
        <f t="array" ref="I27">Common_InputFunctions.Utility_LookupValueInTableTwoColumns(E27,F27,Table_SourceData_Scope3_Animals[Product],Table_SourceData_Scope3_Animals[Region of origin],Table_SourceData_Scope3_Animals[Emissions intensity], 0)</f>
        <v>0</v>
      </c>
      <c r="J27" s="249">
        <f>((G27 * H27 * I27) * 10 ^ -3)</f>
        <v>0</v>
      </c>
      <c r="K27" s="15">
        <v>0</v>
      </c>
      <c r="L27" s="74"/>
      <c r="M27" s="249">
        <f>((G27 * K27 * (IF(L27, L27, I27))) * 10 ^ -3)</f>
        <v>0</v>
      </c>
      <c r="N27" s="33"/>
      <c r="O27" s="13"/>
      <c r="P27" s="33"/>
    </row>
    <row r="28" spans="1:16" ht="20.100000000000001" customHeight="1" x14ac:dyDescent="0.2">
      <c r="A28" s="5" t="str">
        <f>HYPERLINK("#'4.1.1.1-2 Methane'!A1", "4.1.1.1-2 Manure Methane")</f>
        <v>4.1.1.1-2 Manure Methane</v>
      </c>
      <c r="D28" s="15">
        <v>0</v>
      </c>
      <c r="E28" s="15">
        <v>0</v>
      </c>
      <c r="F28" s="15" t="str">
        <v/>
      </c>
      <c r="G28" s="15">
        <v>0</v>
      </c>
      <c r="H28" s="15">
        <v>0</v>
      </c>
      <c r="I28" s="15" cm="1">
        <f t="array" ref="I28">Common_InputFunctions.Utility_LookupValueInTableTwoColumns(E28,F28,Table_SourceData_Scope3_Animals[Product],Table_SourceData_Scope3_Animals[Region of origin],Table_SourceData_Scope3_Animals[Emissions intensity], 0)</f>
        <v>0</v>
      </c>
      <c r="J28" s="249">
        <f>((G28 * H28 * I28) * 10 ^ -3)</f>
        <v>0</v>
      </c>
      <c r="K28" s="15">
        <v>0</v>
      </c>
      <c r="L28" s="74"/>
      <c r="M28" s="249">
        <f>((G28 * K28 * (IF(L28, L28, I28))) * 10 ^ -3)</f>
        <v>0</v>
      </c>
      <c r="N28" s="33"/>
      <c r="O28" s="13"/>
      <c r="P28" s="33"/>
    </row>
    <row r="29" spans="1:16" ht="20.100000000000001" customHeight="1" x14ac:dyDescent="0.2">
      <c r="A29" s="5" t="str">
        <f>HYPERLINK("#'4.1.1.3-4 Direct N20'!A1", "4.1.1.3-4 Manure Direct N2O")</f>
        <v>4.1.1.3-4 Manure Direct N2O</v>
      </c>
      <c r="D29" s="15">
        <v>0</v>
      </c>
      <c r="E29" s="15">
        <v>0</v>
      </c>
      <c r="F29" s="15" t="str">
        <v/>
      </c>
      <c r="G29" s="15">
        <v>0</v>
      </c>
      <c r="H29" s="15">
        <v>0</v>
      </c>
      <c r="I29" s="15" cm="1">
        <f t="array" ref="I29">Common_InputFunctions.Utility_LookupValueInTableTwoColumns(E29,F29,Table_SourceData_Scope3_Animals[Product],Table_SourceData_Scope3_Animals[Region of origin],Table_SourceData_Scope3_Animals[Emissions intensity], 0)</f>
        <v>0</v>
      </c>
      <c r="J29" s="249">
        <f>((G29 * H29 * I29) * 10 ^ -3)</f>
        <v>0</v>
      </c>
      <c r="K29" s="15">
        <v>0</v>
      </c>
      <c r="L29" s="74"/>
      <c r="M29" s="249">
        <f>((G29 * K29 * (IF(L29, L29, I29))) * 10 ^ -3)</f>
        <v>0</v>
      </c>
      <c r="N29" s="33"/>
      <c r="O29" s="13"/>
      <c r="P29" s="33"/>
    </row>
    <row r="30" spans="1:16" ht="20.100000000000001" customHeight="1" x14ac:dyDescent="0.2">
      <c r="A30" s="5" t="str">
        <f>HYPERLINK("#'4.1.1.5-6 Atmos Deposition'!A1", "4.1.1.5-6 Manure Atmos Dep")</f>
        <v>4.1.1.5-6 Manure Atmos Dep</v>
      </c>
      <c r="D30" s="15">
        <v>0</v>
      </c>
      <c r="E30" s="15">
        <v>0</v>
      </c>
      <c r="F30" s="15" t="str">
        <v/>
      </c>
      <c r="G30" s="15">
        <v>0</v>
      </c>
      <c r="H30" s="15">
        <v>0</v>
      </c>
      <c r="I30" s="15" cm="1">
        <f t="array" ref="I30">Common_InputFunctions.Utility_LookupValueInTableTwoColumns(E30,F30,Table_SourceData_Scope3_Animals[Product],Table_SourceData_Scope3_Animals[Region of origin],Table_SourceData_Scope3_Animals[Emissions intensity], 0)</f>
        <v>0</v>
      </c>
      <c r="J30" s="249">
        <f>((G30 * H30 * I30) * 10 ^ -3)</f>
        <v>0</v>
      </c>
      <c r="K30" s="15">
        <v>0</v>
      </c>
      <c r="L30" s="74"/>
      <c r="M30" s="249">
        <f>((G30 * K30 * (IF(L30, L30, I30))) * 10 ^ -3)</f>
        <v>0</v>
      </c>
      <c r="N30" s="33"/>
      <c r="O30" s="13"/>
      <c r="P30" s="33"/>
    </row>
    <row r="31" spans="1:16" ht="20.100000000000001" customHeight="1" x14ac:dyDescent="0.2">
      <c r="A31" s="5" t="str">
        <f>HYPERLINK("#'4.1.1.9 Manure applied to soils'!A1", "4.1.1.9 Manure applied to soils")</f>
        <v>4.1.1.9 Manure applied to soils</v>
      </c>
      <c r="D31" s="15">
        <v>0</v>
      </c>
      <c r="E31" s="15">
        <v>0</v>
      </c>
      <c r="F31" s="15" t="str">
        <v/>
      </c>
      <c r="G31" s="15">
        <v>0</v>
      </c>
      <c r="H31" s="15">
        <v>0</v>
      </c>
      <c r="I31" s="15" cm="1">
        <f t="array" ref="I31">Common_InputFunctions.Utility_LookupValueInTableTwoColumns(E31,F31,Table_SourceData_Scope3_Animals[Product],Table_SourceData_Scope3_Animals[Region of origin],Table_SourceData_Scope3_Animals[Emissions intensity], 0)</f>
        <v>0</v>
      </c>
      <c r="J31" s="249">
        <f>((G31 * H31 * I31) * 10 ^ -3)</f>
        <v>0</v>
      </c>
      <c r="K31" s="15">
        <v>0</v>
      </c>
      <c r="L31" s="74"/>
      <c r="M31" s="249">
        <f>((G31 * K31 * (IF(L31, L31, I31))) * 10 ^ -3)</f>
        <v>0</v>
      </c>
      <c r="N31" s="33"/>
      <c r="O31" s="13"/>
      <c r="P31" s="33"/>
    </row>
    <row r="32" spans="1:16" ht="20.100000000000001" customHeight="1" x14ac:dyDescent="0.2">
      <c r="A32" s="5" t="str">
        <f>HYPERLINK("#'8.1.1.1-2 Transport fuel'!A1", "8.1.1.1-2 Transport fuel")</f>
        <v>8.1.1.1-2 Transport fuel</v>
      </c>
      <c r="D32" s="15">
        <v>0</v>
      </c>
      <c r="E32" s="15">
        <v>0</v>
      </c>
      <c r="F32" s="15" t="str">
        <v/>
      </c>
      <c r="G32" s="15">
        <v>0</v>
      </c>
      <c r="H32" s="15">
        <v>0</v>
      </c>
      <c r="I32" s="15" cm="1">
        <f t="array" ref="I32">Common_InputFunctions.Utility_LookupValueInTableTwoColumns(E32,F32,Table_SourceData_Scope3_Animals[Product],Table_SourceData_Scope3_Animals[Region of origin],Table_SourceData_Scope3_Animals[Emissions intensity], 0)</f>
        <v>0</v>
      </c>
      <c r="J32" s="249">
        <f>((G32 * H32 * I32) * 10 ^ -3)</f>
        <v>0</v>
      </c>
      <c r="K32" s="15">
        <v>0</v>
      </c>
      <c r="L32" s="74"/>
      <c r="M32" s="249">
        <f>((G32 * K32 * (IF(L32, L32, I32))) * 10 ^ -3)</f>
        <v>0</v>
      </c>
      <c r="N32" s="33"/>
      <c r="O32" s="13"/>
      <c r="P32" s="33"/>
    </row>
    <row r="33" spans="1:13" ht="20.100000000000001" customHeight="1" x14ac:dyDescent="0.2">
      <c r="A33" s="5" t="str">
        <f>HYPERLINK("#'8.2.1.1-2 Stationary fuel'!A1", "8.2.1.1-2 Stationary fuel")</f>
        <v>8.2.1.1-2 Stationary fuel</v>
      </c>
    </row>
    <row r="34" spans="1:13" ht="20.100000000000001" customHeight="1" x14ac:dyDescent="0.2">
      <c r="A34" s="5" t="str">
        <f>HYPERLINK("#'10.1.1-2 Solid waste treatment'!A1", "10.1.1.1-2 Solid waste")</f>
        <v>10.1.1.1-2 Solid waste</v>
      </c>
      <c r="D34" s="88" t="s">
        <v>1046</v>
      </c>
      <c r="E34" s="83">
        <f>SUM(J23:J32)</f>
        <v>0</v>
      </c>
      <c r="F34" s="89" t="str">
        <f>$E$11</f>
        <v>t CO2e</v>
      </c>
    </row>
    <row r="35" spans="1:13" ht="20.100000000000001" customHeight="1" x14ac:dyDescent="0.2">
      <c r="A35" s="5" t="str">
        <f>HYPERLINK("#'14.1.1-2 Purchased electricity'!A1", "14.1.1-2 Purchased electricity")</f>
        <v>14.1.1-2 Purchased electricity</v>
      </c>
      <c r="D35" s="88" t="s">
        <v>1047</v>
      </c>
      <c r="E35" s="83">
        <f>SUM(M23:M32)</f>
        <v>1014.5</v>
      </c>
      <c r="F35" s="89" t="str">
        <f>$E$11</f>
        <v>t CO2e</v>
      </c>
    </row>
    <row r="36" spans="1:13" ht="20.100000000000001" customHeight="1" x14ac:dyDescent="0.2">
      <c r="A36" s="117" t="str">
        <f>HYPERLINK("#'15 Scope 3'!A1", "15 Scope 3")</f>
        <v>15 Scope 3</v>
      </c>
    </row>
    <row r="37" spans="1:13" ht="20.100000000000001" customHeight="1" x14ac:dyDescent="0.2">
      <c r="A37" s="5" t="str">
        <f>HYPERLINK("#'Calcs - Manure sent off-site'!A1", "Calcs - Manure sent off-site")</f>
        <v>Calcs - Manure sent off-site</v>
      </c>
    </row>
    <row r="38" spans="1:13" ht="20.100000000000001" customHeight="1" x14ac:dyDescent="0.2">
      <c r="A38" s="5" t="str">
        <f>HYPERLINK("#'5.1.1.1-2 Inorganic fert N2O'!A1", "5.1.1.1-2 Inorganic fert N2O")</f>
        <v>5.1.1.1-2 Inorganic fert N2O</v>
      </c>
      <c r="D38" s="240" t="s">
        <v>1048</v>
      </c>
    </row>
    <row r="39" spans="1:13" ht="20.100000000000001" customHeight="1" x14ac:dyDescent="0.2">
      <c r="A39" s="5" t="str">
        <f>HYPERLINK("#'5.1.1.3-4 Inorganic fert CO2'!A1", "5.1.1.3-4 Inorganic fert CO2")</f>
        <v>5.1.1.3-4 Inorganic fert CO2</v>
      </c>
      <c r="D39" s="113" t="s">
        <v>1049</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HYPERLINK("#'5.2.1.1-2 Organic Fert N2O'!A1", "5.2.1.1-2 Organic Fert N2O")</f>
        <v>5.2.1.1-2 Organic Fert N2O</v>
      </c>
    </row>
    <row r="41" spans="1:13" ht="20.100000000000001" customHeight="1" x14ac:dyDescent="0.2">
      <c r="A41" s="5" t="str">
        <f>HYPERLINK("#'5.3.1.1-2 Lime CO2'!A1", "5.3.1.1-2 Lime CO2")</f>
        <v>5.3.1.1-2 Lime CO2</v>
      </c>
      <c r="D41" s="78" t="s">
        <v>1030</v>
      </c>
      <c r="E41" s="248" t="s">
        <v>1033</v>
      </c>
      <c r="F41" s="248" t="s">
        <v>1034</v>
      </c>
      <c r="G41" s="120" t="s">
        <v>1036</v>
      </c>
      <c r="H41" s="248" t="s">
        <v>1037</v>
      </c>
      <c r="I41" s="78" t="s">
        <v>1038</v>
      </c>
      <c r="J41" s="120" t="s">
        <v>1039</v>
      </c>
      <c r="K41" s="78" t="s">
        <v>1040</v>
      </c>
      <c r="L41" s="78" t="s">
        <v>1041</v>
      </c>
      <c r="M41" s="78" t="s">
        <v>1042</v>
      </c>
    </row>
    <row r="42" spans="1:13" ht="20.100000000000001" customHeight="1" x14ac:dyDescent="0.2">
      <c r="A42" s="5" t="str">
        <f>HYPERLINK("#'5.4.1.1-4 Atmos deposition'!A1", "5.4.1.1-4 Atmos deposition")</f>
        <v>5.4.1.1-4 Atmos deposition</v>
      </c>
      <c r="D42" s="15"/>
      <c r="E42" s="15"/>
      <c r="F42" s="15"/>
      <c r="G42" s="249">
        <f>((E42 * F42 * $E$39) * 10 ^ -3)</f>
        <v>0</v>
      </c>
      <c r="H42" s="15"/>
      <c r="I42" s="74">
        <v>4</v>
      </c>
      <c r="J42" s="249">
        <f>((E42 * H42 * (IF(I42,I42,$E$39))) * 10 ^ -3)</f>
        <v>0</v>
      </c>
      <c r="K42" s="33" t="s">
        <v>1043</v>
      </c>
      <c r="L42" s="13" t="s">
        <v>1044</v>
      </c>
      <c r="M42" t="s">
        <v>1045</v>
      </c>
    </row>
    <row r="43" spans="1:13" ht="20.100000000000001" customHeight="1" x14ac:dyDescent="0.2">
      <c r="A43" s="5" t="str">
        <f>HYPERLINK("#'5.5.1.1-2 Leaching and runoff'!A1", "5.5.1.1-2 Leaching and runoff")</f>
        <v>5.5.1.1-2 Leaching and runoff</v>
      </c>
      <c r="D43" s="15"/>
      <c r="E43" s="15"/>
      <c r="F43" s="15"/>
      <c r="G43" s="249">
        <f>((E43 * F43 * $E$39) * 10 ^ -3)</f>
        <v>0</v>
      </c>
      <c r="H43" s="15"/>
      <c r="I43" s="74"/>
      <c r="J43" s="249">
        <f>((E43 * H43 * (IF(I43,I43,$E$39))) * 10 ^ -3)</f>
        <v>0</v>
      </c>
      <c r="K43" s="33"/>
      <c r="L43" s="13"/>
      <c r="M43" s="33"/>
    </row>
    <row r="44" spans="1:13" ht="20.100000000000001" customHeight="1" x14ac:dyDescent="0.2">
      <c r="D44" s="15"/>
      <c r="E44" s="15"/>
      <c r="F44" s="15"/>
      <c r="G44" s="249">
        <f>((E44 * F44 * $E$39) * 10 ^ -3)</f>
        <v>0</v>
      </c>
      <c r="H44" s="15"/>
      <c r="I44" s="74"/>
      <c r="J44" s="249">
        <f>((E44 * H44 * (IF(I44,I44,$E$39))) * 10 ^ -3)</f>
        <v>0</v>
      </c>
      <c r="K44" s="33"/>
      <c r="L44" s="13"/>
      <c r="M44" s="33"/>
    </row>
    <row r="45" spans="1:13" ht="20.100000000000001" customHeight="1" x14ac:dyDescent="0.2">
      <c r="D45" s="15"/>
      <c r="E45" s="15"/>
      <c r="F45" s="15"/>
      <c r="G45" s="249">
        <f>((E45 * F45 * $E$39) * 10 ^ -3)</f>
        <v>0</v>
      </c>
      <c r="H45" s="15"/>
      <c r="I45" s="74"/>
      <c r="J45" s="249">
        <f>((E45 * H45 * (IF(I45,I45,$E$39))) * 10 ^ -3)</f>
        <v>0</v>
      </c>
      <c r="K45" s="33"/>
      <c r="L45" s="13"/>
      <c r="M45" s="33"/>
    </row>
    <row r="46" spans="1:13" ht="20.100000000000001" customHeight="1" x14ac:dyDescent="0.2">
      <c r="A46" s="80" t="s">
        <v>1</v>
      </c>
      <c r="D46" s="15"/>
      <c r="E46" s="15"/>
      <c r="F46" s="15"/>
      <c r="G46" s="249">
        <f>((E46 * F46 * $E$39) * 10 ^ -3)</f>
        <v>0</v>
      </c>
      <c r="H46" s="15"/>
      <c r="I46" s="74"/>
      <c r="J46" s="249">
        <f>((E46 * H46 * (IF(I46,I46,$E$39))) * 10 ^ -3)</f>
        <v>0</v>
      </c>
      <c r="K46" s="33"/>
      <c r="L46" s="13"/>
      <c r="M46" s="33"/>
    </row>
    <row r="47" spans="1:13" ht="20.100000000000001" customHeight="1" x14ac:dyDescent="0.2">
      <c r="A47" s="5" t="str">
        <f>HYPERLINK("#'Constants - Feedlot'!A1", "Constants - Feedlot")</f>
        <v>Constants - Feedlot</v>
      </c>
      <c r="D47" s="15"/>
      <c r="E47" s="15"/>
      <c r="F47" s="15"/>
      <c r="G47" s="249">
        <f>((E47 * F47 * $E$39) * 10 ^ -3)</f>
        <v>0</v>
      </c>
      <c r="H47" s="15"/>
      <c r="I47" s="74"/>
      <c r="J47" s="249">
        <f>((E47 * H47 * (IF(I47,I47,$E$39))) * 10 ^ -3)</f>
        <v>0</v>
      </c>
      <c r="K47" s="33"/>
      <c r="L47" s="13"/>
      <c r="M47" s="33"/>
    </row>
    <row r="48" spans="1:13" ht="20.100000000000001" customHeight="1" x14ac:dyDescent="0.2">
      <c r="A48" s="5" t="str">
        <f>HYPERLINK("#'Constants - Common livestock'!A1", "Constants - Common Livestock")</f>
        <v>Constants - Common Livestock</v>
      </c>
      <c r="D48" s="15"/>
      <c r="E48" s="15"/>
      <c r="F48" s="15"/>
      <c r="G48" s="249">
        <f>((E48 * F48 * $E$39) * 10 ^ -3)</f>
        <v>0</v>
      </c>
      <c r="H48" s="15"/>
      <c r="I48" s="74"/>
      <c r="J48" s="249">
        <f>((E48 * H48 * (IF(I48,I48,$E$39))) * 10 ^ -3)</f>
        <v>0</v>
      </c>
      <c r="K48" s="33"/>
      <c r="L48" s="13"/>
      <c r="M48" s="33"/>
    </row>
    <row r="49" spans="1:13" ht="20.100000000000001" customHeight="1" x14ac:dyDescent="0.2">
      <c r="A49" s="5" t="str">
        <f>HYPERLINK("#'Constants - Electricity'!A1", "Constants - Electricity")</f>
        <v>Constants - Electricity</v>
      </c>
      <c r="D49" s="15"/>
      <c r="E49" s="15"/>
      <c r="F49" s="15"/>
      <c r="G49" s="249">
        <f>((E49 * F49 * $E$39) * 10 ^ -3)</f>
        <v>0</v>
      </c>
      <c r="H49" s="15"/>
      <c r="I49" s="74"/>
      <c r="J49" s="249">
        <f>((E49 * H49 * (IF(I49,I49,$E$39))) * 10 ^ -3)</f>
        <v>0</v>
      </c>
      <c r="K49" s="33"/>
      <c r="L49" s="13"/>
      <c r="M49" s="33"/>
    </row>
    <row r="50" spans="1:13" ht="20.100000000000001" customHeight="1" x14ac:dyDescent="0.2">
      <c r="A50" s="5" t="str">
        <f>HYPERLINK("#'Constants - Fertiliser'!A1", "Constants - Fertiliser")</f>
        <v>Constants - Fertiliser</v>
      </c>
      <c r="D50" s="15"/>
      <c r="E50" s="15"/>
      <c r="F50" s="15"/>
      <c r="G50" s="249">
        <f>((E50 * F50 * $E$39) * 10 ^ -3)</f>
        <v>0</v>
      </c>
      <c r="H50" s="15"/>
      <c r="I50" s="74"/>
      <c r="J50" s="249">
        <f>((E50 * H50 * (IF(I50,I50,$E$39))) * 10 ^ -3)</f>
        <v>0</v>
      </c>
      <c r="K50" s="33"/>
      <c r="L50" s="13"/>
      <c r="M50" s="33"/>
    </row>
    <row r="51" spans="1:13" ht="20.100000000000001" customHeight="1" x14ac:dyDescent="0.2">
      <c r="A51" s="5" t="str">
        <f>HYPERLINK("#'Constants - Fuel'!A1", "Constants - Fuel")</f>
        <v>Constants - Fuel</v>
      </c>
      <c r="D51" s="15"/>
      <c r="E51" s="15"/>
      <c r="F51" s="15"/>
      <c r="G51" s="249">
        <f>((E51 * F51 * $E$39) * 10 ^ -3)</f>
        <v>0</v>
      </c>
      <c r="H51" s="15"/>
      <c r="I51" s="74"/>
      <c r="J51" s="249">
        <f>((E51 * H51 * (IF(I51,I51,$E$39))) * 10 ^ -3)</f>
        <v>0</v>
      </c>
      <c r="K51" s="33"/>
      <c r="L51" s="13"/>
      <c r="M51" s="33"/>
    </row>
    <row r="52" spans="1:13" ht="20.100000000000001" customHeight="1" x14ac:dyDescent="0.2">
      <c r="A52" s="5" t="str">
        <f>HYPERLINK("#'Constants - Scope 3'!A1", "Constants - Scope 3")</f>
        <v>Constants - Scope 3</v>
      </c>
    </row>
    <row r="53" spans="1:13" ht="20.100000000000001" customHeight="1" x14ac:dyDescent="0.2">
      <c r="A53" s="5" t="str">
        <f>HYPERLINK("#'Constants - Solid Waste'!A1", "Constants - Solid Waste")</f>
        <v>Constants - Solid Waste</v>
      </c>
      <c r="D53" s="88" t="s">
        <v>1050</v>
      </c>
      <c r="E53" s="83">
        <f>SUM(G42:G51)</f>
        <v>0</v>
      </c>
      <c r="F53" s="89" t="str">
        <f>$E$11</f>
        <v>t CO2e</v>
      </c>
    </row>
    <row r="54" spans="1:13" ht="20.100000000000001" customHeight="1" x14ac:dyDescent="0.2">
      <c r="A54" s="5" t="str">
        <f>HYPERLINK("#'Constants - Common'!A1", "Constants - Common")</f>
        <v>Constants - Common</v>
      </c>
      <c r="D54" s="88" t="s">
        <v>1051</v>
      </c>
      <c r="E54" s="83">
        <f>SUM(J42:J51)</f>
        <v>0</v>
      </c>
      <c r="F54" s="89" t="str">
        <f>$E$11</f>
        <v>t CO2e</v>
      </c>
    </row>
    <row r="55" spans="1:13" ht="20.100000000000001" customHeight="1" x14ac:dyDescent="0.2">
      <c r="A55" s="5" t="str">
        <f>HYPERLINK("#'Acknowledgements'!A1", "Acknowledgements")</f>
        <v>Acknowledgements</v>
      </c>
    </row>
    <row r="57" spans="1:13" ht="20.100000000000001" customHeight="1" x14ac:dyDescent="0.2">
      <c r="D57" s="240" t="s">
        <v>1052</v>
      </c>
    </row>
    <row r="58" spans="1:13" ht="20.100000000000001" customHeight="1" x14ac:dyDescent="0.2">
      <c r="D58" s="113" t="s">
        <v>1049</v>
      </c>
      <c r="E58" s="15" cm="1">
        <f t="array" ref="E58">Common_InputFunctions.Utility_LookupValueInTableNumber("Pigs", Table_SourceData_Scope3_Animals[Product],Table_SourceData_Scope3_Animals[Emissions intensity])</f>
        <v>3.38</v>
      </c>
    </row>
    <row r="60" spans="1:13" ht="20.100000000000001" customHeight="1" x14ac:dyDescent="0.2">
      <c r="D60" s="78" t="s">
        <v>1030</v>
      </c>
      <c r="E60" s="248" t="s">
        <v>1033</v>
      </c>
      <c r="F60" s="248" t="s">
        <v>1034</v>
      </c>
      <c r="G60" s="120" t="s">
        <v>1036</v>
      </c>
      <c r="H60" s="248" t="s">
        <v>1037</v>
      </c>
      <c r="I60" s="78" t="s">
        <v>1038</v>
      </c>
      <c r="J60" s="120" t="s">
        <v>1039</v>
      </c>
      <c r="K60" s="78" t="s">
        <v>1040</v>
      </c>
      <c r="L60" s="78" t="s">
        <v>1041</v>
      </c>
      <c r="M60" s="78" t="s">
        <v>1042</v>
      </c>
    </row>
    <row r="61" spans="1:13" ht="20.100000000000001" customHeight="1" x14ac:dyDescent="0.2">
      <c r="D61" s="15"/>
      <c r="E61" s="15"/>
      <c r="F61" s="15"/>
      <c r="G61" s="249">
        <f>((E61 * F61 * $E$58) * 10 ^ -3)</f>
        <v>0</v>
      </c>
      <c r="H61" s="15"/>
      <c r="I61" s="74">
        <v>3.38</v>
      </c>
      <c r="J61" s="249">
        <f>((E61 * H61 * (IF(I61, I61,$E$58))) * 10 ^ -3)</f>
        <v>0</v>
      </c>
      <c r="K61" s="33"/>
      <c r="L61" s="13"/>
      <c r="M61"/>
    </row>
    <row r="62" spans="1:13" ht="20.100000000000001" customHeight="1" x14ac:dyDescent="0.2">
      <c r="D62" s="15"/>
      <c r="E62" s="15"/>
      <c r="F62" s="15"/>
      <c r="G62" s="249">
        <f>((E62 * F62 * $E$58) * 10 ^ -3)</f>
        <v>0</v>
      </c>
      <c r="H62" s="15"/>
      <c r="I62" s="74">
        <v>3.3</v>
      </c>
      <c r="J62" s="249">
        <f>((E62 * H62 * (IF(I62, I62,$E$58))) * 10 ^ -3)</f>
        <v>0</v>
      </c>
      <c r="K62" s="33"/>
      <c r="L62" s="13"/>
      <c r="M62" s="33"/>
    </row>
    <row r="63" spans="1:13" ht="20.100000000000001" customHeight="1" x14ac:dyDescent="0.2">
      <c r="D63" s="15"/>
      <c r="E63" s="15"/>
      <c r="F63" s="15"/>
      <c r="G63" s="249">
        <f>((E63 * F63 * $E$58) * 10 ^ -3)</f>
        <v>0</v>
      </c>
      <c r="H63" s="15"/>
      <c r="I63" s="74"/>
      <c r="J63" s="249">
        <f>((E63 * H63 * (IF(I63, I63,$E$58))) * 10 ^ -3)</f>
        <v>0</v>
      </c>
      <c r="K63" s="33"/>
      <c r="L63" s="13"/>
      <c r="M63" s="33"/>
    </row>
    <row r="64" spans="1:13" ht="20.100000000000001" customHeight="1" x14ac:dyDescent="0.2">
      <c r="D64" s="15"/>
      <c r="E64" s="15"/>
      <c r="F64" s="15"/>
      <c r="G64" s="249">
        <f>((E64 * F64 * $E$58) * 10 ^ -3)</f>
        <v>0</v>
      </c>
      <c r="H64" s="15"/>
      <c r="I64" s="74"/>
      <c r="J64" s="249">
        <f>((E64 * H64 * (IF(I64, I64,$E$58))) * 10 ^ -3)</f>
        <v>0</v>
      </c>
      <c r="K64" s="33"/>
      <c r="L64" s="13"/>
      <c r="M64" s="33"/>
    </row>
    <row r="65" spans="1:13" ht="20.100000000000001" customHeight="1" x14ac:dyDescent="0.2">
      <c r="D65" s="15"/>
      <c r="E65" s="15"/>
      <c r="F65" s="15"/>
      <c r="G65" s="249">
        <f>((E65 * F65 * $E$58) * 10 ^ -3)</f>
        <v>0</v>
      </c>
      <c r="H65" s="15"/>
      <c r="I65" s="74"/>
      <c r="J65" s="249">
        <f>((E65 * H65 * (IF(I65, I65,$E$58))) * 10 ^ -3)</f>
        <v>0</v>
      </c>
      <c r="K65" s="33"/>
      <c r="L65" s="13"/>
      <c r="M65" s="33"/>
    </row>
    <row r="66" spans="1:13" ht="20.100000000000001" customHeight="1" x14ac:dyDescent="0.2">
      <c r="A66" s="79" t="str">
        <f>HYPERLINK("#A1", "▲ Back to top")</f>
        <v>▲ Back to top</v>
      </c>
      <c r="D66" s="15"/>
      <c r="E66" s="15"/>
      <c r="F66" s="15"/>
      <c r="G66" s="249">
        <f>((E66 * F66 * $E$58) * 10 ^ -3)</f>
        <v>0</v>
      </c>
      <c r="H66" s="15"/>
      <c r="I66" s="74"/>
      <c r="J66" s="249">
        <f>((E66 * H66 * (IF(I66, I66,$E$58))) * 10 ^ -3)</f>
        <v>0</v>
      </c>
      <c r="K66" s="33"/>
      <c r="L66" s="13"/>
      <c r="M66" s="33"/>
    </row>
    <row r="67" spans="1:13" ht="20.100000000000001" customHeight="1" x14ac:dyDescent="0.2">
      <c r="D67" s="15"/>
      <c r="E67" s="15"/>
      <c r="F67" s="15"/>
      <c r="G67" s="249">
        <f>((E67 * F67 * $E$58) * 10 ^ -3)</f>
        <v>0</v>
      </c>
      <c r="H67" s="15"/>
      <c r="I67" s="74"/>
      <c r="J67" s="249">
        <f>((E67 * H67 * (IF(I67, I67,$E$58))) * 10 ^ -3)</f>
        <v>0</v>
      </c>
      <c r="K67" s="33"/>
      <c r="L67" s="13"/>
      <c r="M67" s="33"/>
    </row>
    <row r="68" spans="1:13" ht="20.100000000000001" customHeight="1" x14ac:dyDescent="0.2">
      <c r="D68" s="15"/>
      <c r="E68" s="15"/>
      <c r="F68" s="15"/>
      <c r="G68" s="249">
        <f>((E68 * F68 * $E$58) * 10 ^ -3)</f>
        <v>0</v>
      </c>
      <c r="H68" s="15"/>
      <c r="I68" s="74"/>
      <c r="J68" s="249">
        <f>((E68 * H68 * (IF(I68, I68,$E$58))) * 10 ^ -3)</f>
        <v>0</v>
      </c>
      <c r="K68" s="33"/>
      <c r="L68" s="13"/>
      <c r="M68" s="33"/>
    </row>
    <row r="69" spans="1:13" ht="20.100000000000001" customHeight="1" x14ac:dyDescent="0.2">
      <c r="D69" s="15"/>
      <c r="E69" s="15"/>
      <c r="F69" s="15"/>
      <c r="G69" s="249">
        <f>((E69 * F69 * $E$58) * 10 ^ -3)</f>
        <v>0</v>
      </c>
      <c r="H69" s="15"/>
      <c r="I69" s="74"/>
      <c r="J69" s="249">
        <f>((E69 * H69 * (IF(I69, I69,$E$58))) * 10 ^ -3)</f>
        <v>0</v>
      </c>
      <c r="K69" s="33"/>
      <c r="L69" s="13"/>
      <c r="M69" s="33"/>
    </row>
    <row r="70" spans="1:13" ht="20.100000000000001" customHeight="1" x14ac:dyDescent="0.2">
      <c r="D70" s="15"/>
      <c r="E70" s="15"/>
      <c r="F70" s="15"/>
      <c r="G70" s="249">
        <f>((E70 * F70 * $E$58) * 10 ^ -3)</f>
        <v>0</v>
      </c>
      <c r="H70" s="15"/>
      <c r="I70" s="74"/>
      <c r="J70" s="249">
        <f>((E70 * H70 * (IF(I70, I70,$E$58))) * 10 ^ -3)</f>
        <v>0</v>
      </c>
      <c r="K70" s="33"/>
      <c r="L70" s="13"/>
      <c r="M70" s="33"/>
    </row>
    <row r="72" spans="1:13" ht="20.100000000000001" customHeight="1" x14ac:dyDescent="0.2">
      <c r="D72" s="88" t="s">
        <v>1053</v>
      </c>
      <c r="E72" s="83">
        <f>SUM(G61:G70)</f>
        <v>0</v>
      </c>
      <c r="F72" s="89" t="str">
        <f>$E$11</f>
        <v>t CO2e</v>
      </c>
    </row>
    <row r="73" spans="1:13" ht="20.100000000000001" customHeight="1" x14ac:dyDescent="0.2">
      <c r="D73" s="88" t="s">
        <v>1054</v>
      </c>
      <c r="E73" s="83">
        <f>SUM(J61:J70)</f>
        <v>0</v>
      </c>
      <c r="F73" s="89" t="str">
        <f>$E$11</f>
        <v>t CO2e</v>
      </c>
    </row>
    <row r="75" spans="1:13" ht="20.100000000000001" customHeight="1" x14ac:dyDescent="0.2">
      <c r="D75" s="240" t="s">
        <v>1055</v>
      </c>
    </row>
    <row r="76" spans="1:13" ht="20.100000000000001" customHeight="1" x14ac:dyDescent="0.2">
      <c r="D76" s="113" t="s">
        <v>1049</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1030</v>
      </c>
      <c r="E78" s="248" t="s">
        <v>1033</v>
      </c>
      <c r="F78" s="248" t="s">
        <v>1034</v>
      </c>
      <c r="G78" s="120" t="s">
        <v>1036</v>
      </c>
      <c r="H78" s="248" t="s">
        <v>1037</v>
      </c>
      <c r="I78" s="78" t="s">
        <v>1038</v>
      </c>
      <c r="J78" s="120" t="s">
        <v>1039</v>
      </c>
      <c r="K78" s="78" t="s">
        <v>1040</v>
      </c>
      <c r="L78" s="78" t="s">
        <v>1041</v>
      </c>
      <c r="M78" s="78" t="s">
        <v>1042</v>
      </c>
    </row>
    <row r="79" spans="1:13" ht="20.100000000000001" customHeight="1" x14ac:dyDescent="0.2">
      <c r="D79" s="15"/>
      <c r="E79" s="15"/>
      <c r="F79" s="15"/>
      <c r="G79" s="249">
        <f>((E79 * F79 * $E$76) * 10 ^ -3)</f>
        <v>0</v>
      </c>
      <c r="H79" s="15"/>
      <c r="I79" s="74">
        <v>1.3</v>
      </c>
      <c r="J79" s="249">
        <f>((E79 * H79 * (IF(I79, I79,$E$76))) * 10 ^ -3)</f>
        <v>0</v>
      </c>
      <c r="K79" s="33"/>
      <c r="L79" s="13"/>
      <c r="M79"/>
    </row>
    <row r="80" spans="1:13" ht="20.100000000000001" customHeight="1" x14ac:dyDescent="0.2">
      <c r="D80" s="15"/>
      <c r="E80" s="15"/>
      <c r="F80" s="15"/>
      <c r="G80" s="249">
        <f>((E80 * F80 * $E$76) * 10 ^ -3)</f>
        <v>0</v>
      </c>
      <c r="H80" s="15"/>
      <c r="I80" s="74"/>
      <c r="J80" s="249">
        <f>((E80 * H80 * (IF(I80, I80,$E$76))) * 10 ^ -3)</f>
        <v>0</v>
      </c>
      <c r="K80" s="33"/>
      <c r="L80" s="13"/>
      <c r="M80" s="33"/>
    </row>
    <row r="81" spans="1:13" ht="20.100000000000001" customHeight="1" x14ac:dyDescent="0.2">
      <c r="D81" s="15"/>
      <c r="E81" s="15"/>
      <c r="F81" s="15"/>
      <c r="G81" s="249">
        <f>((E81 * F81 * $E$76) * 10 ^ -3)</f>
        <v>0</v>
      </c>
      <c r="H81" s="15"/>
      <c r="I81" s="74"/>
      <c r="J81" s="249">
        <f>((E81 * H81 * (IF(I81, I81,$E$76))) * 10 ^ -3)</f>
        <v>0</v>
      </c>
      <c r="K81" s="33"/>
      <c r="L81" s="13"/>
      <c r="M81" s="33"/>
    </row>
    <row r="82" spans="1:13" ht="20.100000000000001" customHeight="1" x14ac:dyDescent="0.2">
      <c r="D82" s="15"/>
      <c r="E82" s="15"/>
      <c r="F82" s="15"/>
      <c r="G82" s="249">
        <f>((E82 * F82 * $E$76) * 10 ^ -3)</f>
        <v>0</v>
      </c>
      <c r="H82" s="15"/>
      <c r="I82" s="74"/>
      <c r="J82" s="249">
        <f>((E82 * H82 * (IF(I82, I82,$E$76))) * 10 ^ -3)</f>
        <v>0</v>
      </c>
      <c r="K82" s="33"/>
      <c r="L82" s="13"/>
      <c r="M82" s="33"/>
    </row>
    <row r="83" spans="1:13" ht="20.100000000000001" customHeight="1" x14ac:dyDescent="0.2">
      <c r="D83" s="15"/>
      <c r="E83" s="15"/>
      <c r="F83" s="15"/>
      <c r="G83" s="249">
        <f>((E83 * F83 * $E$76) * 10 ^ -3)</f>
        <v>0</v>
      </c>
      <c r="H83" s="15"/>
      <c r="I83" s="74"/>
      <c r="J83" s="249">
        <f>((E83 * H83 * (IF(I83, I83,$E$76))) * 10 ^ -3)</f>
        <v>0</v>
      </c>
      <c r="K83" s="33"/>
      <c r="L83" s="13"/>
      <c r="M83" s="33"/>
    </row>
    <row r="84" spans="1:13" ht="20.100000000000001" customHeight="1" x14ac:dyDescent="0.2">
      <c r="D84" s="15"/>
      <c r="E84" s="15"/>
      <c r="F84" s="15"/>
      <c r="G84" s="249">
        <f>((E84 * F84 * $E$76) * 10 ^ -3)</f>
        <v>0</v>
      </c>
      <c r="H84" s="15"/>
      <c r="I84" s="74"/>
      <c r="J84" s="249">
        <f>((E84 * H84 * (IF(I84, I84,$E$76))) * 10 ^ -3)</f>
        <v>0</v>
      </c>
      <c r="K84" s="33"/>
      <c r="L84" s="13"/>
      <c r="M84" s="33"/>
    </row>
    <row r="85" spans="1:13" ht="20.100000000000001" customHeight="1" x14ac:dyDescent="0.2">
      <c r="D85" s="15"/>
      <c r="E85" s="15"/>
      <c r="F85" s="15"/>
      <c r="G85" s="249">
        <f>((E85 * F85 * $E$76) * 10 ^ -3)</f>
        <v>0</v>
      </c>
      <c r="H85" s="15"/>
      <c r="I85" s="74"/>
      <c r="J85" s="249">
        <f>((E85 * H85 * (IF(I85, I85,$E$76))) * 10 ^ -3)</f>
        <v>0</v>
      </c>
      <c r="K85" s="33"/>
      <c r="L85" s="13"/>
      <c r="M85" s="33"/>
    </row>
    <row r="86" spans="1:13" ht="20.100000000000001" customHeight="1" x14ac:dyDescent="0.2">
      <c r="D86" s="15"/>
      <c r="E86" s="15"/>
      <c r="F86" s="15"/>
      <c r="G86" s="249">
        <f>((E86 * F86 * $E$76) * 10 ^ -3)</f>
        <v>0</v>
      </c>
      <c r="H86" s="15"/>
      <c r="I86" s="74"/>
      <c r="J86" s="249">
        <f>((E86 * H86 * (IF(I86, I86,$E$76))) * 10 ^ -3)</f>
        <v>0</v>
      </c>
      <c r="K86" s="33"/>
      <c r="L86" s="13"/>
      <c r="M86" s="33"/>
    </row>
    <row r="87" spans="1:13" ht="20.100000000000001" customHeight="1" x14ac:dyDescent="0.2">
      <c r="D87" s="15"/>
      <c r="E87" s="15"/>
      <c r="F87" s="15"/>
      <c r="G87" s="249">
        <f>((E87 * F87 * $E$76) * 10 ^ -3)</f>
        <v>0</v>
      </c>
      <c r="H87" s="15"/>
      <c r="I87" s="74"/>
      <c r="J87" s="249">
        <f>((E87 * H87 * (IF(I87, I87,$E$76))) * 10 ^ -3)</f>
        <v>0</v>
      </c>
      <c r="K87" s="33"/>
      <c r="L87" s="13"/>
      <c r="M87" s="33"/>
    </row>
    <row r="88" spans="1:13" ht="20.100000000000001" customHeight="1" x14ac:dyDescent="0.2">
      <c r="D88" s="15"/>
      <c r="E88" s="15"/>
      <c r="F88" s="15"/>
      <c r="G88" s="249">
        <f>((E88 * F88 * $E$76) * 10 ^ -3)</f>
        <v>0</v>
      </c>
      <c r="H88" s="15"/>
      <c r="I88" s="74"/>
      <c r="J88" s="249">
        <f>((E88 * H88 * (IF(I88, I88,$E$76))) * 10 ^ -3)</f>
        <v>0</v>
      </c>
      <c r="K88" s="33"/>
      <c r="L88" s="13"/>
      <c r="M88" s="33"/>
    </row>
    <row r="90" spans="1:13" ht="20.100000000000001" customHeight="1" x14ac:dyDescent="0.2">
      <c r="D90" s="88" t="s">
        <v>1056</v>
      </c>
      <c r="E90" s="83">
        <f>SUM(G79:G88)</f>
        <v>0</v>
      </c>
      <c r="F90" s="89" t="str">
        <f>$E$11</f>
        <v>t CO2e</v>
      </c>
    </row>
    <row r="91" spans="1:13" ht="20.100000000000001" customHeight="1" x14ac:dyDescent="0.2">
      <c r="D91" s="88" t="s">
        <v>1057</v>
      </c>
      <c r="E91" s="83">
        <f>SUM(J79:J88)</f>
        <v>0</v>
      </c>
      <c r="F91" s="89" t="str">
        <f>$E$11</f>
        <v>t CO2e</v>
      </c>
    </row>
    <row r="93" spans="1:13" ht="20.100000000000001" customHeight="1" x14ac:dyDescent="0.2">
      <c r="D93" s="85" t="s">
        <v>1036</v>
      </c>
      <c r="E93" s="8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
      <c r="D94" s="85" t="s">
        <v>1039</v>
      </c>
      <c r="E94" s="8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95" t="str">
        <f>$E$11</f>
        <v>t CO2e</v>
      </c>
    </row>
    <row r="96" spans="1:13" ht="20.100000000000001" customHeight="1" x14ac:dyDescent="0.2">
      <c r="A96" s="79" t="str">
        <f>HYPERLINK("#A1", "▲ Back to top")</f>
        <v>▲ Back to top</v>
      </c>
    </row>
    <row r="97" spans="3:41" ht="20.100000000000001" customHeight="1" x14ac:dyDescent="0.2">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row>
    <row r="98" spans="3:41" ht="20.100000000000001" customHeight="1" x14ac:dyDescent="0.2">
      <c r="D98" s="2" t="s">
        <v>1459</v>
      </c>
    </row>
    <row r="99" spans="3:41" ht="20.100000000000001" customHeight="1" x14ac:dyDescent="0.2">
      <c r="D99" s="17" t="s">
        <v>1460</v>
      </c>
    </row>
    <row r="100" spans="3:41" ht="20.100000000000001" customHeight="1" x14ac:dyDescent="0.2">
      <c r="D100" s="25" t="s">
        <v>1461</v>
      </c>
    </row>
    <row r="101" spans="3:41" ht="20.100000000000001" customHeight="1" x14ac:dyDescent="0.2">
      <c r="D101" s="112"/>
      <c r="E101" s="112"/>
      <c r="H101" s="25"/>
    </row>
    <row r="103" spans="3:41" ht="20.100000000000001" customHeight="1" x14ac:dyDescent="0.2">
      <c r="H103" s="112"/>
    </row>
    <row r="104" spans="3:41" ht="20.100000000000001" customHeight="1" x14ac:dyDescent="0.2">
      <c r="D104" s="75" t="s">
        <v>321</v>
      </c>
      <c r="E104" s="1" t="s">
        <v>1143</v>
      </c>
    </row>
    <row r="105" spans="3:41" ht="20.100000000000001" customHeight="1" x14ac:dyDescent="0.2">
      <c r="D105" s="75" t="s">
        <v>118</v>
      </c>
      <c r="E105" s="9" t="s">
        <v>7</v>
      </c>
    </row>
    <row r="107" spans="3:41" ht="20.100000000000001" customHeight="1" x14ac:dyDescent="0.2">
      <c r="D107" s="113" t="s">
        <v>1462</v>
      </c>
      <c r="E107" s="121" t="s">
        <v>1463</v>
      </c>
      <c r="F107" s="122"/>
      <c r="G107" s="113" t="s">
        <v>748</v>
      </c>
      <c r="H107" s="247" t="s">
        <v>1196</v>
      </c>
    </row>
    <row r="108" spans="3:41" ht="20.100000000000001" customHeight="1" x14ac:dyDescent="0.2">
      <c r="D108" s="113" t="s">
        <v>1464</v>
      </c>
      <c r="E108" s="121" t="s">
        <v>1465</v>
      </c>
      <c r="F108" s="122"/>
      <c r="G108" s="113" t="s">
        <v>1458</v>
      </c>
      <c r="H108" s="115" t="s">
        <v>1227</v>
      </c>
    </row>
    <row r="109" spans="3:41" ht="20.100000000000001" customHeight="1" x14ac:dyDescent="0.2">
      <c r="D109" s="113" t="s">
        <v>1327</v>
      </c>
      <c r="E109" s="121" t="s">
        <v>1466</v>
      </c>
      <c r="F109" s="122"/>
      <c r="G109" s="113"/>
      <c r="H109" s="247" t="s">
        <v>1196</v>
      </c>
    </row>
    <row r="111" spans="3:41" ht="20.100000000000001" customHeight="1" x14ac:dyDescent="0.2">
      <c r="D111" s="240" t="s">
        <v>1058</v>
      </c>
    </row>
    <row r="113" spans="1:28" ht="20.100000000000001" customHeight="1" x14ac:dyDescent="0.2">
      <c r="D113" s="129" t="s">
        <v>1059</v>
      </c>
      <c r="E113" s="44"/>
      <c r="F113" s="129"/>
      <c r="G113" s="43"/>
      <c r="H113" s="44"/>
    </row>
    <row r="114" spans="1:28" ht="20.100000000000001" customHeight="1" x14ac:dyDescent="0.2">
      <c r="D114" s="214" t="s">
        <v>1060</v>
      </c>
      <c r="E114" s="216"/>
      <c r="F114" s="214"/>
      <c r="G114" s="215"/>
      <c r="H114" s="216"/>
    </row>
    <row r="115" spans="1:28" ht="20.100000000000001" customHeight="1" x14ac:dyDescent="0.2">
      <c r="D115" s="45" t="s">
        <v>1061</v>
      </c>
      <c r="E115" s="47"/>
      <c r="F115" s="45"/>
      <c r="G115" s="46"/>
      <c r="H115" s="47"/>
    </row>
    <row r="117" spans="1:28" ht="20.100000000000001" customHeight="1" x14ac:dyDescent="0.2">
      <c r="D117" s="35" t="s">
        <v>1062</v>
      </c>
      <c r="E117" s="37"/>
      <c r="F117" s="38"/>
    </row>
    <row r="119" spans="1:28" ht="20.100000000000001" customHeight="1" x14ac:dyDescent="0.2">
      <c r="D119" s="78" t="s">
        <v>1063</v>
      </c>
      <c r="E119" s="78" t="s">
        <v>1064</v>
      </c>
      <c r="F119" s="120" t="s">
        <v>1065</v>
      </c>
      <c r="G119" s="120" t="s">
        <v>1036</v>
      </c>
      <c r="H119" s="78" t="s">
        <v>1066</v>
      </c>
      <c r="I119" s="120" t="s">
        <v>1039</v>
      </c>
      <c r="J119" s="78" t="s">
        <v>1040</v>
      </c>
      <c r="K119" s="78" t="s">
        <v>1041</v>
      </c>
      <c r="L119" s="78" t="s">
        <v>1042</v>
      </c>
      <c r="M119" s="120" t="s">
        <v>687</v>
      </c>
      <c r="N119" s="120" t="s">
        <v>1067</v>
      </c>
      <c r="O119" s="120" t="s">
        <v>688</v>
      </c>
      <c r="P119" s="120" t="s">
        <v>1068</v>
      </c>
      <c r="Q119" s="120" t="s">
        <v>689</v>
      </c>
      <c r="R119" s="120" t="s">
        <v>1069</v>
      </c>
      <c r="S119" s="120" t="s">
        <v>690</v>
      </c>
      <c r="T119" s="120" t="s">
        <v>1070</v>
      </c>
      <c r="U119" s="120" t="s">
        <v>691</v>
      </c>
      <c r="V119" s="120" t="s">
        <v>1071</v>
      </c>
      <c r="W119" s="120" t="s">
        <v>692</v>
      </c>
      <c r="X119" s="120" t="s">
        <v>1072</v>
      </c>
      <c r="Y119" s="120" t="s">
        <v>693</v>
      </c>
      <c r="Z119" s="120" t="s">
        <v>1073</v>
      </c>
      <c r="AA119" s="120" t="s">
        <v>694</v>
      </c>
      <c r="AB119" s="120" t="s">
        <v>1074</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49">
        <f>((E120 * F120) * 10 ^ -3)</f>
        <v>0.19527599999999998</v>
      </c>
      <c r="H120" s="74">
        <v>0.04</v>
      </c>
      <c r="I120" s="249">
        <f>((E120 * (IF(H120,H120, F120))) * 10 ^ -3)</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49">
        <f>((E121 * F121) * 10 ^ -3)</f>
        <v>0.15897600000000003</v>
      </c>
      <c r="H121" s="74">
        <v>0.03</v>
      </c>
      <c r="I121" s="249">
        <f>((E121 * (IF(H121,H121, F121))) * 10 ^ -3)</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49">
        <f>((E122 * F122) * 10 ^ -3)</f>
        <v>8.3400000000000002E-2</v>
      </c>
      <c r="H122" s="74">
        <v>0.14000000000000001</v>
      </c>
      <c r="I122" s="249">
        <f>((E122 * (IF(H122,H122, F122))) * 10 ^ -3)</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49">
        <f>((E123 * F123) * 10 ^ -3)</f>
        <v>0.17250000000000001</v>
      </c>
      <c r="H123" s="74"/>
      <c r="I123" s="249">
        <f>((E123 * (IF(H123,H123, F123))) * 10 ^ -3)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49">
        <f>((E124 * F124) * 10 ^ -3)</f>
        <v>0</v>
      </c>
      <c r="H124" s="74"/>
      <c r="I124" s="249">
        <f>((E124 * (IF(H124,H124, F124))) * 10 ^ -3)</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49">
        <f>((E125 * F125) * 10 ^ -3)</f>
        <v>0</v>
      </c>
      <c r="H125" s="74"/>
      <c r="I125" s="249">
        <f>((E125 * (IF(H125,H125, F125))) * 10 ^ -3)</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A126" s="79" t="str">
        <f>HYPERLINK("#A1", "▲ Back to top")</f>
        <v>▲ Back to top</v>
      </c>
      <c r="D126" s="15">
        <v>0</v>
      </c>
      <c r="E126" s="15">
        <v>0</v>
      </c>
      <c r="F126" s="15">
        <f t="shared" si="0"/>
        <v>0</v>
      </c>
      <c r="G126" s="249">
        <f>((E126 * F126) * 10 ^ -3)</f>
        <v>0</v>
      </c>
      <c r="H126" s="74"/>
      <c r="I126" s="249">
        <f>((E126 * (IF(H126,H126, F126))) * 10 ^ -3)</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v>0</v>
      </c>
      <c r="E127" s="15">
        <v>0</v>
      </c>
      <c r="F127" s="15">
        <f t="shared" si="0"/>
        <v>0</v>
      </c>
      <c r="G127" s="249">
        <f>((E127 * F127) * 10 ^ -3)</f>
        <v>0</v>
      </c>
      <c r="H127" s="74"/>
      <c r="I127" s="249">
        <f>((E127 * (IF(H127,H127, F127))) * 10 ^ -3)</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v>0</v>
      </c>
      <c r="E128" s="15">
        <v>0</v>
      </c>
      <c r="F128" s="15">
        <f t="shared" si="0"/>
        <v>0</v>
      </c>
      <c r="G128" s="249">
        <f>((E128 * F128) * 10 ^ -3)</f>
        <v>0</v>
      </c>
      <c r="H128" s="74"/>
      <c r="I128" s="249">
        <f>((E128 * (IF(H128,H128, F128))) * 10 ^ -3)</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49">
        <f>((E129 * F129) * 10 ^ -3)</f>
        <v>0</v>
      </c>
      <c r="H129" s="74"/>
      <c r="I129" s="249">
        <f>((E129 * (IF(H129,H129, F129))) * 10 ^ -3)</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8" t="s">
        <v>1036</v>
      </c>
      <c r="E131" s="83">
        <f>SUM(G120:G129)</f>
        <v>0.61015200000000003</v>
      </c>
      <c r="F131" s="89" t="str">
        <f>$E$105</f>
        <v>t CO2e</v>
      </c>
    </row>
    <row r="132" spans="4:28" ht="20.100000000000001" customHeight="1" x14ac:dyDescent="0.2">
      <c r="D132" s="88" t="s">
        <v>1039</v>
      </c>
      <c r="E132" s="83">
        <f>SUM(I120:I129)</f>
        <v>0.36618000000000001</v>
      </c>
      <c r="F132" s="89" t="str">
        <f>$E$105</f>
        <v>t CO2e</v>
      </c>
    </row>
    <row r="135" spans="4:28" ht="20.100000000000001" customHeight="1" x14ac:dyDescent="0.2">
      <c r="D135" s="240" t="s">
        <v>972</v>
      </c>
    </row>
    <row r="136" spans="4:28" ht="20.100000000000001" customHeight="1" x14ac:dyDescent="0.2">
      <c r="D136" s="78" t="s">
        <v>132</v>
      </c>
      <c r="E136" s="78" t="s">
        <v>1064</v>
      </c>
      <c r="F136" s="120" t="s">
        <v>1065</v>
      </c>
      <c r="G136" s="120" t="s">
        <v>1036</v>
      </c>
      <c r="H136" s="78" t="s">
        <v>1066</v>
      </c>
      <c r="I136" s="120" t="s">
        <v>1039</v>
      </c>
      <c r="J136" s="78" t="s">
        <v>1040</v>
      </c>
      <c r="K136" s="78" t="s">
        <v>1041</v>
      </c>
      <c r="L136" s="78" t="s">
        <v>1042</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49">
        <f>((E137 * F137) * 10 ^ -3)</f>
        <v>5.9400000000000001E-2</v>
      </c>
      <c r="H137" s="74">
        <v>0.5</v>
      </c>
      <c r="I137" s="249">
        <f>((E137 * (IF(H137,H137, F137))) * 10 ^ -3)</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49">
        <f>((E138 * F138) * 10 ^ -3)</f>
        <v>4.19E-2</v>
      </c>
      <c r="H138" s="74">
        <v>0.4</v>
      </c>
      <c r="I138" s="249">
        <f>((E138 * (IF(H138,H138, F138))) * 10 ^ -3)</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49">
        <f>((E139 * F139) * 10 ^ -3)</f>
        <v>3.3300000000000003E-2</v>
      </c>
      <c r="H139" s="74">
        <v>0</v>
      </c>
      <c r="I139" s="249">
        <f>((E139 * (IF(H139,H139, F139))) * 10 ^ -3)</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49">
        <f>((E140 * F140) * 10 ^ -3)</f>
        <v>4.0300000000000002E-2</v>
      </c>
      <c r="H140" s="74">
        <v>0</v>
      </c>
      <c r="I140" s="249">
        <f>((E140 * (IF(H140,H140, F140))) * 10 ^ -3)</f>
        <v>4.0300000000000002E-2</v>
      </c>
      <c r="J140" s="33"/>
      <c r="K140" s="13"/>
      <c r="L140" s="33"/>
    </row>
    <row r="142" spans="4:28" ht="20.100000000000001" customHeight="1" x14ac:dyDescent="0.2">
      <c r="D142" s="88" t="s">
        <v>1036</v>
      </c>
      <c r="E142" s="83">
        <f>SUM(G137:G140)</f>
        <v>0.1749</v>
      </c>
      <c r="F142" s="89" t="str">
        <f>$E$105</f>
        <v>t CO2e</v>
      </c>
    </row>
    <row r="143" spans="4:28" ht="20.100000000000001" customHeight="1" x14ac:dyDescent="0.2">
      <c r="D143" s="88" t="s">
        <v>1039</v>
      </c>
      <c r="E143" s="83">
        <f>SUM(I137:I140)</f>
        <v>0.1636</v>
      </c>
      <c r="F143" s="89" t="str">
        <f>$E$105</f>
        <v>t CO2e</v>
      </c>
    </row>
    <row r="146" spans="1:12" ht="20.100000000000001" customHeight="1" x14ac:dyDescent="0.2">
      <c r="D146" s="240" t="s">
        <v>1075</v>
      </c>
    </row>
    <row r="147" spans="1:12" ht="20.100000000000001" customHeight="1" x14ac:dyDescent="0.2">
      <c r="D147" s="78" t="s">
        <v>132</v>
      </c>
      <c r="E147" s="78" t="s">
        <v>1064</v>
      </c>
      <c r="F147" s="120" t="s">
        <v>1065</v>
      </c>
      <c r="G147" s="120" t="s">
        <v>1036</v>
      </c>
      <c r="H147" s="78" t="s">
        <v>1066</v>
      </c>
      <c r="I147" s="120" t="s">
        <v>1039</v>
      </c>
      <c r="J147" s="78" t="s">
        <v>1040</v>
      </c>
      <c r="K147" s="78" t="s">
        <v>1041</v>
      </c>
      <c r="L147" s="78" t="s">
        <v>1042</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9">
        <f>((E148 * F148) * 10 ^ -3)</f>
        <v>0</v>
      </c>
      <c r="H148" s="74">
        <v>0.2</v>
      </c>
      <c r="I148" s="249">
        <f>((E148 * (IF(H148,H148, F148))) * 10 ^ -3)</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9">
        <f>((E149 * F149) * 10 ^ -3)</f>
        <v>0</v>
      </c>
      <c r="H149" s="74">
        <v>0</v>
      </c>
      <c r="I149" s="249">
        <f>((E149 * (IF(H149,H149, F149))) * 10 ^ -3)</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9">
        <f>((E150 * F150) * 10 ^ -3)</f>
        <v>0</v>
      </c>
      <c r="H150" s="74">
        <v>0</v>
      </c>
      <c r="I150" s="249">
        <f>((E150 * (IF(H150,H150, F150))) * 10 ^ -3)</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9">
        <f>((E151 * F151) * 10 ^ -3)</f>
        <v>0</v>
      </c>
      <c r="H151" s="74">
        <v>0</v>
      </c>
      <c r="I151" s="249">
        <f>((E151 * (IF(H151,H151, F151))) * 10 ^ -3)</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9">
        <f>((E152 * F152) * 10 ^ -3)</f>
        <v>0</v>
      </c>
      <c r="H152" s="74">
        <v>0</v>
      </c>
      <c r="I152" s="249">
        <f>((E152 * (IF(H152,H152, F152))) * 10 ^ -3)</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9">
        <f>((E153 * F153) * 10 ^ -3)</f>
        <v>0</v>
      </c>
      <c r="H153" s="74">
        <v>0</v>
      </c>
      <c r="I153" s="249">
        <f>((E153 * (IF(H153,H153, F153))) * 10 ^ -3)</f>
        <v>0</v>
      </c>
      <c r="J153" s="33"/>
      <c r="K153" s="33"/>
      <c r="L153" s="33"/>
    </row>
    <row r="155" spans="1:12" ht="20.100000000000001" customHeight="1" x14ac:dyDescent="0.2">
      <c r="D155" s="88" t="s">
        <v>1036</v>
      </c>
      <c r="E155" s="83">
        <f>SUM(G148:G153)</f>
        <v>0</v>
      </c>
      <c r="F155" s="89" t="str">
        <f>$E$105</f>
        <v>t CO2e</v>
      </c>
    </row>
    <row r="156" spans="1:12" ht="20.100000000000001" customHeight="1" x14ac:dyDescent="0.2">
      <c r="A156" s="79" t="str">
        <f>HYPERLINK("#A1", "▲ Back to top")</f>
        <v>▲ Back to top</v>
      </c>
      <c r="D156" s="88" t="s">
        <v>1039</v>
      </c>
      <c r="E156" s="83">
        <f>SUM(I148:I153)</f>
        <v>0</v>
      </c>
      <c r="F156" s="89" t="str">
        <f>$E$105</f>
        <v>t CO2e</v>
      </c>
    </row>
    <row r="159" spans="1:12" ht="20.100000000000001" customHeight="1" x14ac:dyDescent="0.2">
      <c r="D159" s="85" t="s">
        <v>1036</v>
      </c>
      <c r="E159" s="86">
        <f>E131+E142+E155</f>
        <v>0.78505200000000008</v>
      </c>
      <c r="F159" s="95" t="str">
        <f>$E$105</f>
        <v>t CO2e</v>
      </c>
    </row>
    <row r="160" spans="1:12" ht="20.100000000000001" customHeight="1" x14ac:dyDescent="0.2">
      <c r="D160" s="85" t="s">
        <v>1039</v>
      </c>
      <c r="E160" s="86">
        <f>E132+E143+E156</f>
        <v>0.52978000000000003</v>
      </c>
      <c r="F160" s="95" t="str">
        <f>$E$105</f>
        <v>t CO2e</v>
      </c>
    </row>
    <row r="163" spans="3:41" ht="20.100000000000001" customHeight="1" x14ac:dyDescent="0.2">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row>
    <row r="164" spans="3:41" ht="20.100000000000001" customHeight="1" x14ac:dyDescent="0.2">
      <c r="D164" s="2" t="s">
        <v>1467</v>
      </c>
    </row>
    <row r="165" spans="3:41" ht="20.100000000000001" customHeight="1" x14ac:dyDescent="0.2">
      <c r="D165" s="17" t="s">
        <v>1468</v>
      </c>
    </row>
    <row r="166" spans="3:41" ht="20.100000000000001" customHeight="1" x14ac:dyDescent="0.2">
      <c r="D166" s="112"/>
      <c r="E166" s="112"/>
    </row>
    <row r="168" spans="3:41" ht="20.100000000000001" customHeight="1" x14ac:dyDescent="0.2">
      <c r="F168" s="25" t="s">
        <v>1461</v>
      </c>
      <c r="H168" s="112"/>
    </row>
    <row r="169" spans="3:41" ht="20.100000000000001" customHeight="1" x14ac:dyDescent="0.2">
      <c r="D169" s="75" t="s">
        <v>321</v>
      </c>
      <c r="E169" s="1" t="s">
        <v>1143</v>
      </c>
    </row>
    <row r="170" spans="3:41" ht="20.100000000000001" customHeight="1" x14ac:dyDescent="0.2">
      <c r="D170" s="75" t="s">
        <v>118</v>
      </c>
      <c r="E170" s="9" t="s">
        <v>7</v>
      </c>
    </row>
    <row r="172" spans="3:41" ht="20.100000000000001" customHeight="1" x14ac:dyDescent="0.2">
      <c r="D172" s="113" t="s">
        <v>1469</v>
      </c>
      <c r="E172" s="121" t="s">
        <v>1470</v>
      </c>
      <c r="F172" s="122"/>
      <c r="G172" s="113" t="s">
        <v>748</v>
      </c>
      <c r="H172" s="247" t="s">
        <v>1196</v>
      </c>
    </row>
    <row r="173" spans="3:41" ht="20.100000000000001" customHeight="1" x14ac:dyDescent="0.2">
      <c r="D173" s="113" t="s">
        <v>1471</v>
      </c>
      <c r="E173" s="121" t="s">
        <v>1472</v>
      </c>
      <c r="F173" s="122"/>
      <c r="G173" s="113" t="s">
        <v>1458</v>
      </c>
      <c r="H173" s="247" t="s">
        <v>1227</v>
      </c>
    </row>
    <row r="174" spans="3:41" ht="20.100000000000001" customHeight="1" x14ac:dyDescent="0.2">
      <c r="D174" s="113" t="s">
        <v>1392</v>
      </c>
      <c r="E174" s="121" t="s">
        <v>1473</v>
      </c>
      <c r="F174" s="122"/>
      <c r="G174" s="113"/>
      <c r="H174" s="115" t="s">
        <v>1196</v>
      </c>
    </row>
    <row r="176" spans="3:41" ht="20.100000000000001" customHeight="1" x14ac:dyDescent="0.2">
      <c r="D176" s="78" t="s">
        <v>132</v>
      </c>
      <c r="E176" s="78" t="s">
        <v>1076</v>
      </c>
      <c r="F176" s="120" t="s">
        <v>1077</v>
      </c>
      <c r="G176" s="120" t="s">
        <v>1036</v>
      </c>
      <c r="H176" s="78" t="s">
        <v>1078</v>
      </c>
      <c r="I176" s="120" t="s">
        <v>1039</v>
      </c>
      <c r="J176" s="78" t="s">
        <v>1040</v>
      </c>
      <c r="K176" s="78" t="s">
        <v>1041</v>
      </c>
      <c r="L176" s="78" t="s">
        <v>1042</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49">
        <f>((E177 * F177) * 10 ^ -3)</f>
        <v>8.8099999999999998E-2</v>
      </c>
      <c r="H177" s="74">
        <v>0.8</v>
      </c>
      <c r="I177" s="249">
        <f>((E177 * (IF(H177, H177, F177))) * 10 ^ -3)</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49">
        <f>((E178 * F178) * 10 ^ -3)</f>
        <v>6.770000000000001E-2</v>
      </c>
      <c r="H178" s="74">
        <v>0.6</v>
      </c>
      <c r="I178" s="249">
        <f>((E178 * (IF(H178, H178, F178))) * 10 ^ -3)</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49">
        <f>((E179 * F179) * 10 ^ -3)</f>
        <v>2.3100000000000002E-2</v>
      </c>
      <c r="H179" s="74">
        <v>0.2</v>
      </c>
      <c r="I179" s="249">
        <f>((E179 * (IF(H179, H179, F179))) * 10 ^ -3)</f>
        <v>0.02</v>
      </c>
      <c r="J179" s="33"/>
      <c r="K179" s="13"/>
      <c r="L179" s="33"/>
    </row>
    <row r="181" spans="1:41" ht="20.100000000000001" customHeight="1" x14ac:dyDescent="0.2">
      <c r="D181" s="85" t="s">
        <v>1036</v>
      </c>
      <c r="E181" s="86">
        <f>SUM(G177:G179)</f>
        <v>0.1789</v>
      </c>
      <c r="F181" s="95" t="str">
        <f>$E$170</f>
        <v>t CO2e</v>
      </c>
    </row>
    <row r="182" spans="1:41" ht="20.100000000000001" customHeight="1" x14ac:dyDescent="0.2">
      <c r="D182" s="85" t="s">
        <v>1039</v>
      </c>
      <c r="E182" s="86">
        <f>SUM(I177:I179)</f>
        <v>0.16</v>
      </c>
      <c r="F182" s="95" t="str">
        <f>$E$170</f>
        <v>t CO2e</v>
      </c>
    </row>
    <row r="185" spans="1:41" ht="20.100000000000001" customHeight="1" x14ac:dyDescent="0.2">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row>
    <row r="186" spans="1:41" ht="20.100000000000001" customHeight="1" x14ac:dyDescent="0.2">
      <c r="A186" s="79" t="str">
        <f>HYPERLINK("#A1", "▲ Back to top")</f>
        <v>▲ Back to top</v>
      </c>
      <c r="D186" s="2" t="s">
        <v>1474</v>
      </c>
    </row>
    <row r="187" spans="1:41" ht="20.100000000000001" customHeight="1" x14ac:dyDescent="0.2">
      <c r="D187" s="17" t="s">
        <v>1475</v>
      </c>
    </row>
    <row r="188" spans="1:41" ht="20.100000000000001" customHeight="1" x14ac:dyDescent="0.2">
      <c r="D188" s="25" t="s">
        <v>1476</v>
      </c>
    </row>
    <row r="189" spans="1:41" ht="20.100000000000001" customHeight="1" x14ac:dyDescent="0.2">
      <c r="D189" s="112"/>
      <c r="E189" s="112"/>
    </row>
    <row r="192" spans="1:41" ht="20.100000000000001" customHeight="1" x14ac:dyDescent="0.2">
      <c r="D192" s="75" t="s">
        <v>321</v>
      </c>
      <c r="E192" s="1" t="s">
        <v>1477</v>
      </c>
    </row>
    <row r="193" spans="4:8" ht="20.100000000000001" customHeight="1" x14ac:dyDescent="0.2">
      <c r="D193" s="75" t="s">
        <v>118</v>
      </c>
      <c r="E193" s="9" t="s">
        <v>1478</v>
      </c>
    </row>
    <row r="195" spans="4:8" ht="20.100000000000001" customHeight="1" x14ac:dyDescent="0.2">
      <c r="D195" s="113" t="s">
        <v>1479</v>
      </c>
      <c r="E195" s="121" t="s">
        <v>1480</v>
      </c>
      <c r="F195" s="122"/>
      <c r="G195" s="113" t="s">
        <v>1486</v>
      </c>
      <c r="H195" s="247" t="s">
        <v>1196</v>
      </c>
    </row>
    <row r="196" spans="4:8" ht="20.100000000000001" customHeight="1" x14ac:dyDescent="0.2">
      <c r="D196" s="113" t="s">
        <v>1481</v>
      </c>
      <c r="E196" s="121" t="s">
        <v>1482</v>
      </c>
      <c r="F196" s="122"/>
      <c r="G196" s="113" t="s">
        <v>1487</v>
      </c>
      <c r="H196" s="115" t="s">
        <v>1227</v>
      </c>
    </row>
    <row r="197" spans="4:8" ht="20.100000000000001" customHeight="1" x14ac:dyDescent="0.2">
      <c r="D197" s="113" t="s">
        <v>1453</v>
      </c>
      <c r="E197" s="121" t="s">
        <v>1483</v>
      </c>
      <c r="F197" s="122"/>
      <c r="G197" s="113"/>
      <c r="H197" s="247" t="s">
        <v>1196</v>
      </c>
    </row>
    <row r="198" spans="4:8" ht="20.100000000000001" customHeight="1" x14ac:dyDescent="0.2">
      <c r="D198" s="113" t="s">
        <v>1484</v>
      </c>
      <c r="E198" s="121" t="s">
        <v>1485</v>
      </c>
      <c r="F198" s="122"/>
      <c r="G198" s="113"/>
      <c r="H198" s="247" t="s">
        <v>1196</v>
      </c>
    </row>
    <row r="201" spans="4:8" ht="20.100000000000001" customHeight="1" x14ac:dyDescent="0.2">
      <c r="D201" s="2" t="s">
        <v>1488</v>
      </c>
    </row>
    <row r="202" spans="4:8" ht="20.100000000000001" customHeight="1" x14ac:dyDescent="0.2">
      <c r="D202" s="17" t="s">
        <v>1489</v>
      </c>
    </row>
    <row r="203" spans="4:8" ht="20.100000000000001" customHeight="1" x14ac:dyDescent="0.2">
      <c r="D203" s="112"/>
      <c r="E203" s="112"/>
    </row>
    <row r="206" spans="4:8" ht="20.100000000000001" customHeight="1" x14ac:dyDescent="0.2">
      <c r="D206" s="75" t="s">
        <v>321</v>
      </c>
      <c r="E206" s="1" t="s">
        <v>1143</v>
      </c>
    </row>
    <row r="207" spans="4:8" ht="20.100000000000001" customHeight="1" x14ac:dyDescent="0.2">
      <c r="D207" s="75" t="s">
        <v>118</v>
      </c>
      <c r="E207" s="9" t="s">
        <v>7</v>
      </c>
    </row>
    <row r="209" spans="1:8" ht="20.100000000000001" customHeight="1" x14ac:dyDescent="0.2">
      <c r="D209" s="113" t="s">
        <v>1490</v>
      </c>
      <c r="E209" s="113" t="s">
        <v>1491</v>
      </c>
      <c r="F209" s="113"/>
      <c r="G209" s="113" t="s">
        <v>748</v>
      </c>
      <c r="H209" s="247" t="s">
        <v>1196</v>
      </c>
    </row>
    <row r="210" spans="1:8" ht="20.100000000000001" customHeight="1" x14ac:dyDescent="0.2">
      <c r="D210" s="113" t="s">
        <v>1477</v>
      </c>
      <c r="E210" s="113" t="s">
        <v>1492</v>
      </c>
      <c r="F210" s="113"/>
      <c r="G210" s="113" t="s">
        <v>1458</v>
      </c>
      <c r="H210" s="115" t="s">
        <v>1227</v>
      </c>
    </row>
    <row r="211" spans="1:8" ht="20.100000000000001" customHeight="1" x14ac:dyDescent="0.2">
      <c r="D211" s="113" t="s">
        <v>1327</v>
      </c>
      <c r="E211" s="121" t="s">
        <v>1328</v>
      </c>
      <c r="F211" s="122"/>
      <c r="G211" s="113"/>
      <c r="H211" s="247" t="s">
        <v>1196</v>
      </c>
    </row>
    <row r="212" spans="1:8" ht="20.100000000000001" customHeight="1" x14ac:dyDescent="0.2">
      <c r="D212" s="113" t="s">
        <v>1484</v>
      </c>
      <c r="E212" s="121" t="s">
        <v>1485</v>
      </c>
      <c r="F212" s="122"/>
      <c r="G212" s="113"/>
      <c r="H212" s="247" t="s">
        <v>1196</v>
      </c>
    </row>
    <row r="215" spans="1:8" ht="20.100000000000001" customHeight="1" x14ac:dyDescent="0.2">
      <c r="D215" s="2" t="s">
        <v>1493</v>
      </c>
    </row>
    <row r="216" spans="1:8" ht="20.100000000000001" customHeight="1" x14ac:dyDescent="0.2">
      <c r="A216" s="79" t="str">
        <f>HYPERLINK("#A1", "▲ Back to top")</f>
        <v>▲ Back to top</v>
      </c>
      <c r="D216" s="17" t="s">
        <v>1494</v>
      </c>
    </row>
    <row r="217" spans="1:8" ht="20.100000000000001" customHeight="1" x14ac:dyDescent="0.2">
      <c r="D217" s="25" t="s">
        <v>1495</v>
      </c>
    </row>
    <row r="218" spans="1:8" ht="20.100000000000001" customHeight="1" x14ac:dyDescent="0.2">
      <c r="D218" s="112"/>
      <c r="E218" s="112"/>
    </row>
    <row r="221" spans="1:8" ht="20.100000000000001" customHeight="1" x14ac:dyDescent="0.2">
      <c r="D221" s="75" t="s">
        <v>321</v>
      </c>
      <c r="E221" s="1" t="s">
        <v>1143</v>
      </c>
    </row>
    <row r="222" spans="1:8" ht="20.100000000000001" customHeight="1" x14ac:dyDescent="0.2">
      <c r="D222" s="75" t="s">
        <v>118</v>
      </c>
      <c r="E222" s="9" t="s">
        <v>7</v>
      </c>
    </row>
    <row r="224" spans="1:8" ht="20.100000000000001" customHeight="1" x14ac:dyDescent="0.2">
      <c r="D224" s="113" t="s">
        <v>1479</v>
      </c>
      <c r="E224" s="121" t="s">
        <v>1480</v>
      </c>
      <c r="F224" s="122"/>
      <c r="G224" s="113" t="s">
        <v>1486</v>
      </c>
      <c r="H224" s="247" t="s">
        <v>1196</v>
      </c>
    </row>
    <row r="225" spans="4:40" ht="20.100000000000001" customHeight="1" x14ac:dyDescent="0.2">
      <c r="D225" s="113" t="s">
        <v>1490</v>
      </c>
      <c r="E225" s="121" t="s">
        <v>1491</v>
      </c>
      <c r="F225" s="122"/>
      <c r="G225" s="113" t="s">
        <v>748</v>
      </c>
      <c r="H225" s="115" t="s">
        <v>1196</v>
      </c>
    </row>
    <row r="226" spans="4:40" ht="20.100000000000001" customHeight="1" x14ac:dyDescent="0.2">
      <c r="D226" s="113" t="s">
        <v>1481</v>
      </c>
      <c r="E226" s="121" t="s">
        <v>1482</v>
      </c>
      <c r="F226" s="122"/>
      <c r="G226" s="113" t="s">
        <v>1487</v>
      </c>
      <c r="H226" s="115" t="s">
        <v>1227</v>
      </c>
    </row>
    <row r="227" spans="4:40" ht="20.100000000000001" customHeight="1" x14ac:dyDescent="0.2">
      <c r="D227" s="113" t="s">
        <v>1453</v>
      </c>
      <c r="E227" s="121" t="s">
        <v>1483</v>
      </c>
      <c r="F227" s="122"/>
      <c r="G227" s="113"/>
      <c r="H227" s="247" t="s">
        <v>1196</v>
      </c>
    </row>
    <row r="228" spans="4:40" ht="20.100000000000001" customHeight="1" x14ac:dyDescent="0.2">
      <c r="D228" s="113" t="s">
        <v>1484</v>
      </c>
      <c r="E228" s="121" t="s">
        <v>1485</v>
      </c>
      <c r="F228" s="122"/>
      <c r="G228" s="113"/>
      <c r="H228" s="247" t="s">
        <v>1196</v>
      </c>
    </row>
    <row r="229" spans="4:40" ht="20.100000000000001" customHeight="1" x14ac:dyDescent="0.2">
      <c r="D229" s="113" t="s">
        <v>1327</v>
      </c>
      <c r="E229" s="121" t="s">
        <v>1328</v>
      </c>
      <c r="F229" s="122"/>
      <c r="G229" s="113"/>
      <c r="H229" s="247" t="s">
        <v>1196</v>
      </c>
    </row>
    <row r="231" spans="4:40" ht="20.100000000000001" customHeight="1" x14ac:dyDescent="0.2">
      <c r="D231" s="240" t="s">
        <v>1079</v>
      </c>
    </row>
    <row r="233" spans="4:40" ht="20.100000000000001" customHeight="1" x14ac:dyDescent="0.2">
      <c r="D233" s="35" t="s">
        <v>1080</v>
      </c>
      <c r="E233" s="37"/>
      <c r="F233" s="38"/>
    </row>
    <row r="235" spans="4:40" ht="20.100000000000001" customHeight="1" x14ac:dyDescent="0.2">
      <c r="D235" s="78" t="s">
        <v>132</v>
      </c>
      <c r="E235" s="78" t="s">
        <v>1081</v>
      </c>
      <c r="F235" s="120" t="s">
        <v>1082</v>
      </c>
      <c r="G235" s="120" t="s">
        <v>1083</v>
      </c>
      <c r="H235" s="120" t="s">
        <v>1084</v>
      </c>
      <c r="I235" s="78" t="s">
        <v>1085</v>
      </c>
      <c r="J235" s="120" t="s">
        <v>1086</v>
      </c>
      <c r="K235" s="120" t="s">
        <v>1087</v>
      </c>
      <c r="L235" s="78" t="s">
        <v>1040</v>
      </c>
      <c r="M235" s="78" t="s">
        <v>1041</v>
      </c>
      <c r="N235" s="78" t="s">
        <v>1042</v>
      </c>
      <c r="O235" s="120" t="s">
        <v>702</v>
      </c>
      <c r="P235" s="120" t="s">
        <v>703</v>
      </c>
      <c r="Q235" s="120" t="s">
        <v>687</v>
      </c>
      <c r="R235" s="120" t="s">
        <v>688</v>
      </c>
      <c r="S235" s="120" t="s">
        <v>1088</v>
      </c>
      <c r="T235" s="78" t="s">
        <v>1089</v>
      </c>
      <c r="U235" s="120" t="s">
        <v>689</v>
      </c>
      <c r="V235" s="120" t="s">
        <v>690</v>
      </c>
      <c r="W235" s="120" t="s">
        <v>1090</v>
      </c>
      <c r="X235" s="78" t="s">
        <v>1091</v>
      </c>
      <c r="Y235" s="120" t="s">
        <v>691</v>
      </c>
      <c r="Z235" s="120" t="s">
        <v>692</v>
      </c>
      <c r="AA235" s="120" t="s">
        <v>1092</v>
      </c>
      <c r="AB235" s="78" t="s">
        <v>1093</v>
      </c>
      <c r="AC235" s="120" t="s">
        <v>693</v>
      </c>
      <c r="AD235" s="120" t="s">
        <v>694</v>
      </c>
      <c r="AE235" s="120" t="s">
        <v>1094</v>
      </c>
      <c r="AF235" s="78" t="s">
        <v>1095</v>
      </c>
      <c r="AG235" s="120" t="s">
        <v>695</v>
      </c>
      <c r="AH235" s="120" t="s">
        <v>696</v>
      </c>
      <c r="AI235" s="120" t="s">
        <v>1096</v>
      </c>
      <c r="AJ235" s="78" t="s">
        <v>1097</v>
      </c>
      <c r="AK235" s="120" t="s">
        <v>697</v>
      </c>
      <c r="AL235" s="120" t="s">
        <v>698</v>
      </c>
      <c r="AM235" s="120" t="s">
        <v>1098</v>
      </c>
      <c r="AN235" s="78" t="s">
        <v>1099</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f>(R236 * S236)+
(V236 * W236)+
(Z236 * AA236)+
(AD236 * AE236)+
(AH236 * AI236)+
(AL236 * AM236)</f>
        <v>0</v>
      </c>
      <c r="G236" s="249">
        <f>((E236 * F236) * 10 ^ -3)</f>
        <v>0</v>
      </c>
      <c r="H236" s="15">
        <f>((R236 * $E236) * S236 * 10 ^ -3)+
((V236 * $E236) * W236 * 10 ^ -3)+
((Z236 * $E236) * AA236 * 10 ^ -3)+
((AD236 * $E236) * AE236 * 10 ^ -3)+
((AH236 * $E236) * AI236 * 10 ^ -3)+
((AL236 * $E236) * AM236 * 10 ^ -3)</f>
        <v>0</v>
      </c>
      <c r="I236" s="74">
        <v>0.4</v>
      </c>
      <c r="J236" s="249">
        <f>((E236 * I236) * 10 ^ -3)</f>
        <v>4</v>
      </c>
      <c r="K236" s="249">
        <f>((R236 * $E236) * (IF(T236,T236,S236)) * 10 ^ -3)+
((V236 * $E236) * (IF(X236,X236,W236)) * 10 ^ -3)+
((Z236 * $E236) * (IF(AB236,AB236,AA236)) * 10 ^ -3)+
((AD236 * $E236) * (IF(AF236,AF236,AE236)) * 10 ^ -3)+
((AH236 * $E236) * (IF(AJ236,AJ236,AI236)) * 10 ^ -3)+
((AL236 * $E236) * (IF(AN236,AN236,AM236)) * 10 ^ -3)</f>
        <v>9</v>
      </c>
      <c r="L236" s="33"/>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4">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f>(R237 * S237)+
(V237 * W237)+
(Z237 * AA237)+
(AD237 * AE237)+
(AH237 * AI237)+
(AL237 * AM237)</f>
        <v>0.41114000000000001</v>
      </c>
      <c r="G237" s="249">
        <f>((E237 * F237) * 10 ^ -3)</f>
        <v>4.1113999999999997</v>
      </c>
      <c r="H237" s="15">
        <f>((R237 * $E237) * S237 * 10 ^ -3)+
((V237 * $E237) * W237 * 10 ^ -3)+
((Z237 * $E237) * AA237 * 10 ^ -3)+
((AD237 * $E237) * AE237 * 10 ^ -3)+
((AH237 * $E237) * AI237 * 10 ^ -3)+
((AL237 * $E237) * AM237 * 10 ^ -3)</f>
        <v>4.1113999999999997</v>
      </c>
      <c r="I237" s="74">
        <v>0.9</v>
      </c>
      <c r="J237" s="249">
        <f>((E237 * I237) * 10 ^ -3)</f>
        <v>9</v>
      </c>
      <c r="K237" s="249">
        <f>((R237 * $E237) * (IF(T237,T237,S237)) * 10 ^ -3)+
((V237 * $E237) * (IF(X237,X237,W237)) * 10 ^ -3)+
((Z237 * $E237) * (IF(AB237,AB237,AA237)) * 10 ^ -3)+
((AD237 * $E237) * (IF(AF237,AF237,AE237)) * 10 ^ -3)+
((AH237 * $E237) * (IF(AJ237,AJ237,AI237)) * 10 ^ -3)+
((AL237 * $E237) * (IF(AN237,AN237,AM237)) * 10 ^ -3)</f>
        <v>4.1113999999999997</v>
      </c>
      <c r="L237" s="33"/>
      <c r="M237" s="13"/>
      <c r="N237" s="33"/>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f>(R238 * S238)+
(V238 * W238)+
(Z238 * AA238)+
(AD238 * AE238)+
(AH238 * AI238)+
(AL238 * AM238)</f>
        <v>0.8781199999999999</v>
      </c>
      <c r="G238" s="249">
        <f>((E238 * F238) * 10 ^ -3)</f>
        <v>8.7811999999999983</v>
      </c>
      <c r="H238" s="15">
        <f>((R238 * $E238) * S238 * 10 ^ -3)+
((V238 * $E238) * W238 * 10 ^ -3)+
((Z238 * $E238) * AA238 * 10 ^ -3)+
((AD238 * $E238) * AE238 * 10 ^ -3)+
((AH238 * $E238) * AI238 * 10 ^ -3)+
((AL238 * $E238) * AM238 * 10 ^ -3)</f>
        <v>8.7812000000000001</v>
      </c>
      <c r="I238" s="74">
        <v>0.4</v>
      </c>
      <c r="J238" s="249">
        <f>((E238 * I238) * 10 ^ -3)</f>
        <v>4</v>
      </c>
      <c r="K238" s="249">
        <f>((R238 * $E238) * (IF(T238,T238,S238)) * 10 ^ -3)+
((V238 * $E238) * (IF(X238,X238,W238)) * 10 ^ -3)+
((Z238 * $E238) * (IF(AB238,AB238,AA238)) * 10 ^ -3)+
((AD238 * $E238) * (IF(AF238,AF238,AE238)) * 10 ^ -3)+
((AH238 * $E238) * (IF(AJ238,AJ238,AI238)) * 10 ^ -3)+
((AL238 * $E238) * (IF(AN238,AN238,AM238)) * 10 ^ -3)</f>
        <v>8.7812000000000001</v>
      </c>
      <c r="L238" s="33"/>
      <c r="M238" s="13"/>
      <c r="N238" s="33"/>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f>(R239 * S239)+
(V239 * W239)+
(Z239 * AA239)+
(AD239 * AE239)+
(AH239 * AI239)+
(AL239 * AM239)</f>
        <v>0</v>
      </c>
      <c r="G239" s="249">
        <f>((E239 * F239) * 10 ^ -3)</f>
        <v>0</v>
      </c>
      <c r="H239" s="15">
        <f>((R239 * $E239) * S239 * 10 ^ -3)+
((V239 * $E239) * W239 * 10 ^ -3)+
((Z239 * $E239) * AA239 * 10 ^ -3)+
((AD239 * $E239) * AE239 * 10 ^ -3)+
((AH239 * $E239) * AI239 * 10 ^ -3)+
((AL239 * $E239) * AM239 * 10 ^ -3)</f>
        <v>0</v>
      </c>
      <c r="I239" s="74"/>
      <c r="J239" s="249">
        <f>((E239 * I239) * 10 ^ -3)</f>
        <v>0</v>
      </c>
      <c r="K239" s="249">
        <f>((R239 * $E239) * (IF(T239,T239,S239)) * 10 ^ -3)+
((V239 * $E239) * (IF(X239,X239,W239)) * 10 ^ -3)+
((Z239 * $E239) * (IF(AB239,AB239,AA239)) * 10 ^ -3)+
((AD239 * $E239) * (IF(AF239,AF239,AE239)) * 10 ^ -3)+
((AH239 * $E239) * (IF(AJ239,AJ239,AI239)) * 10 ^ -3)+
((AL239 * $E239) * (IF(AN239,AN239,AM239)) * 10 ^ -3)</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f>(R240 * S240)+
(V240 * W240)+
(Z240 * AA240)+
(AD240 * AE240)+
(AH240 * AI240)+
(AL240 * AM240)</f>
        <v>0</v>
      </c>
      <c r="G240" s="249">
        <f>((E240 * F240) * 10 ^ -3)</f>
        <v>0</v>
      </c>
      <c r="H240" s="15">
        <f>((R240 * $E240) * S240 * 10 ^ -3)+
((V240 * $E240) * W240 * 10 ^ -3)+
((Z240 * $E240) * AA240 * 10 ^ -3)+
((AD240 * $E240) * AE240 * 10 ^ -3)+
((AH240 * $E240) * AI240 * 10 ^ -3)+
((AL240 * $E240) * AM240 * 10 ^ -3)</f>
        <v>0</v>
      </c>
      <c r="I240" s="74"/>
      <c r="J240" s="249">
        <f>((E240 * I240) * 10 ^ -3)</f>
        <v>0</v>
      </c>
      <c r="K240" s="249">
        <f>((R240 * $E240) * (IF(T240,T240,S240)) * 10 ^ -3)+
((V240 * $E240) * (IF(X240,X240,W240)) * 10 ^ -3)+
((Z240 * $E240) * (IF(AB240,AB240,AA240)) * 10 ^ -3)+
((AD240 * $E240) * (IF(AF240,AF240,AE240)) * 10 ^ -3)+
((AH240 * $E240) * (IF(AJ240,AJ240,AI240)) * 10 ^ -3)+
((AL240 * $E240) * (IF(AN240,AN240,AM240)) * 10 ^ -3)</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f>(R241 * S241)+
(V241 * W241)+
(Z241 * AA241)+
(AD241 * AE241)+
(AH241 * AI241)+
(AL241 * AM241)</f>
        <v>0</v>
      </c>
      <c r="G241" s="249">
        <f>((E241 * F241) * 10 ^ -3)</f>
        <v>0</v>
      </c>
      <c r="H241" s="15">
        <f>((R241 * $E241) * S241 * 10 ^ -3)+
((V241 * $E241) * W241 * 10 ^ -3)+
((Z241 * $E241) * AA241 * 10 ^ -3)+
((AD241 * $E241) * AE241 * 10 ^ -3)+
((AH241 * $E241) * AI241 * 10 ^ -3)+
((AL241 * $E241) * AM241 * 10 ^ -3)</f>
        <v>0</v>
      </c>
      <c r="I241" s="74"/>
      <c r="J241" s="249">
        <f>((E241 * I241) * 10 ^ -3)</f>
        <v>0</v>
      </c>
      <c r="K241" s="249">
        <f>((R241 * $E241) * (IF(T241,T241,S241)) * 10 ^ -3)+
((V241 * $E241) * (IF(X241,X241,W241)) * 10 ^ -3)+
((Z241 * $E241) * (IF(AB241,AB241,AA241)) * 10 ^ -3)+
((AD241 * $E241) * (IF(AF241,AF241,AE241)) * 10 ^ -3)+
((AH241 * $E241) * (IF(AJ241,AJ241,AI241)) * 10 ^ -3)+
((AL241 * $E241) * (IF(AN241,AN241,AM241)) * 10 ^ -3)</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f>(R242 * S242)+
(V242 * W242)+
(Z242 * AA242)+
(AD242 * AE242)+
(AH242 * AI242)+
(AL242 * AM242)</f>
        <v>0</v>
      </c>
      <c r="G242" s="249">
        <f>((E242 * F242) * 10 ^ -3)</f>
        <v>0</v>
      </c>
      <c r="H242" s="15">
        <f>((R242 * $E242) * S242 * 10 ^ -3)+
((V242 * $E242) * W242 * 10 ^ -3)+
((Z242 * $E242) * AA242 * 10 ^ -3)+
((AD242 * $E242) * AE242 * 10 ^ -3)+
((AH242 * $E242) * AI242 * 10 ^ -3)+
((AL242 * $E242) * AM242 * 10 ^ -3)</f>
        <v>0</v>
      </c>
      <c r="I242" s="74"/>
      <c r="J242" s="249">
        <f>((E242 * I242) * 10 ^ -3)</f>
        <v>0</v>
      </c>
      <c r="K242" s="249">
        <f>((R242 * $E242) * (IF(T242,T242,S242)) * 10 ^ -3)+
((V242 * $E242) * (IF(X242,X242,W242)) * 10 ^ -3)+
((Z242 * $E242) * (IF(AB242,AB242,AA242)) * 10 ^ -3)+
((AD242 * $E242) * (IF(AF242,AF242,AE242)) * 10 ^ -3)+
((AH242 * $E242) * (IF(AJ242,AJ242,AI242)) * 10 ^ -3)+
((AL242 * $E242) * (IF(AN242,AN242,AM242)) * 10 ^ -3)</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f>(R243 * S243)+
(V243 * W243)+
(Z243 * AA243)+
(AD243 * AE243)+
(AH243 * AI243)+
(AL243 * AM243)</f>
        <v>0</v>
      </c>
      <c r="G243" s="249">
        <f>((E243 * F243) * 10 ^ -3)</f>
        <v>0</v>
      </c>
      <c r="H243" s="15">
        <f>((R243 * $E243) * S243 * 10 ^ -3)+
((V243 * $E243) * W243 * 10 ^ -3)+
((Z243 * $E243) * AA243 * 10 ^ -3)+
((AD243 * $E243) * AE243 * 10 ^ -3)+
((AH243 * $E243) * AI243 * 10 ^ -3)+
((AL243 * $E243) * AM243 * 10 ^ -3)</f>
        <v>0</v>
      </c>
      <c r="I243" s="74"/>
      <c r="J243" s="249">
        <f>((E243 * I243) * 10 ^ -3)</f>
        <v>0</v>
      </c>
      <c r="K243" s="249">
        <f>((R243 * $E243) * (IF(T243,T243,S243)) * 10 ^ -3)+
((V243 * $E243) * (IF(X243,X243,W243)) * 10 ^ -3)+
((Z243 * $E243) * (IF(AB243,AB243,AA243)) * 10 ^ -3)+
((AD243 * $E243) * (IF(AF243,AF243,AE243)) * 10 ^ -3)+
((AH243 * $E243) * (IF(AJ243,AJ243,AI243)) * 10 ^ -3)+
((AL243 * $E243) * (IF(AN243,AN243,AM243)) * 10 ^ -3)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f>(R244 * S244)+
(V244 * W244)+
(Z244 * AA244)+
(AD244 * AE244)+
(AH244 * AI244)+
(AL244 * AM244)</f>
        <v>0</v>
      </c>
      <c r="G244" s="249">
        <f>((E244 * F244) * 10 ^ -3)</f>
        <v>0</v>
      </c>
      <c r="H244" s="15">
        <f>((R244 * $E244) * S244 * 10 ^ -3)+
((V244 * $E244) * W244 * 10 ^ -3)+
((Z244 * $E244) * AA244 * 10 ^ -3)+
((AD244 * $E244) * AE244 * 10 ^ -3)+
((AH244 * $E244) * AI244 * 10 ^ -3)+
((AL244 * $E244) * AM244 * 10 ^ -3)</f>
        <v>0</v>
      </c>
      <c r="I244" s="74"/>
      <c r="J244" s="249">
        <f>((E244 * I244) * 10 ^ -3)</f>
        <v>0</v>
      </c>
      <c r="K244" s="249">
        <f>((R244 * $E244) * (IF(T244,T244,S244)) * 10 ^ -3)+
((V244 * $E244) * (IF(X244,X244,W244)) * 10 ^ -3)+
((Z244 * $E244) * (IF(AB244,AB244,AA244)) * 10 ^ -3)+
((AD244 * $E244) * (IF(AF244,AF244,AE244)) * 10 ^ -3)+
((AH244 * $E244) * (IF(AJ244,AJ244,AI244)) * 10 ^ -3)+
((AL244 * $E244) * (IF(AN244,AN244,AM244)) * 10 ^ -3)</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f>(R245 * S245)+
(V245 * W245)+
(Z245 * AA245)+
(AD245 * AE245)+
(AH245 * AI245)+
(AL245 * AM245)</f>
        <v>0</v>
      </c>
      <c r="G245" s="249">
        <f>((E245 * F245) * 10 ^ -3)</f>
        <v>0</v>
      </c>
      <c r="H245" s="15">
        <f>((R245 * $E245) * S245 * 10 ^ -3)+
((V245 * $E245) * W245 * 10 ^ -3)+
((Z245 * $E245) * AA245 * 10 ^ -3)+
((AD245 * $E245) * AE245 * 10 ^ -3)+
((AH245 * $E245) * AI245 * 10 ^ -3)+
((AL245 * $E245) * AM245 * 10 ^ -3)</f>
        <v>0</v>
      </c>
      <c r="I245" s="74"/>
      <c r="J245" s="249">
        <f>((E245 * I245) * 10 ^ -3)</f>
        <v>0</v>
      </c>
      <c r="K245" s="249">
        <f>((R245 * $E245) * (IF(T245,T245,S245)) * 10 ^ -3)+
((V245 * $E245) * (IF(X245,X245,W245)) * 10 ^ -3)+
((Z245 * $E245) * (IF(AB245,AB245,AA245)) * 10 ^ -3)+
((AD245 * $E245) * (IF(AF245,AF245,AE245)) * 10 ^ -3)+
((AH245 * $E245) * (IF(AJ245,AJ245,AI245)) * 10 ^ -3)+
((AL245 * $E245) * (IF(AN245,AN245,AM245)) * 10 ^ -3)</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6" spans="1:40" ht="20.100000000000001" customHeight="1" x14ac:dyDescent="0.2">
      <c r="A246" s="79" t="str">
        <f>HYPERLINK("#A1", "▲ Back to top")</f>
        <v>▲ Back to top</v>
      </c>
    </row>
    <row r="247" spans="1:40" ht="20.100000000000001" customHeight="1" x14ac:dyDescent="0.2">
      <c r="D247" s="240" t="s">
        <v>1100</v>
      </c>
    </row>
    <row r="249" spans="1:40" ht="20.100000000000001" customHeight="1" x14ac:dyDescent="0.2">
      <c r="D249" s="35" t="s">
        <v>1101</v>
      </c>
      <c r="E249" s="37"/>
      <c r="F249" s="38"/>
    </row>
    <row r="251" spans="1:40" ht="20.100000000000001" customHeight="1" x14ac:dyDescent="0.2">
      <c r="D251" s="78" t="s">
        <v>1063</v>
      </c>
      <c r="E251" s="78" t="s">
        <v>1081</v>
      </c>
      <c r="F251" s="120" t="s">
        <v>1082</v>
      </c>
      <c r="G251" s="120" t="s">
        <v>1083</v>
      </c>
      <c r="H251" s="120" t="s">
        <v>1084</v>
      </c>
      <c r="I251" s="78" t="s">
        <v>1085</v>
      </c>
      <c r="J251" s="120" t="s">
        <v>1086</v>
      </c>
      <c r="K251" s="120" t="s">
        <v>1087</v>
      </c>
      <c r="L251" s="78" t="s">
        <v>1040</v>
      </c>
      <c r="M251" s="78" t="s">
        <v>1041</v>
      </c>
      <c r="N251" s="78" t="s">
        <v>1042</v>
      </c>
      <c r="O251" s="120" t="s">
        <v>702</v>
      </c>
      <c r="P251" s="120" t="s">
        <v>703</v>
      </c>
      <c r="Q251" s="120" t="s">
        <v>687</v>
      </c>
      <c r="R251" s="120" t="s">
        <v>688</v>
      </c>
      <c r="S251" s="120" t="s">
        <v>1088</v>
      </c>
      <c r="T251" s="78" t="s">
        <v>1089</v>
      </c>
      <c r="U251" s="120" t="s">
        <v>689</v>
      </c>
      <c r="V251" s="120" t="s">
        <v>690</v>
      </c>
      <c r="W251" s="120" t="s">
        <v>1090</v>
      </c>
      <c r="X251" s="78" t="s">
        <v>1091</v>
      </c>
      <c r="Y251" s="120" t="s">
        <v>691</v>
      </c>
      <c r="Z251" s="120" t="s">
        <v>692</v>
      </c>
      <c r="AA251" s="120" t="s">
        <v>1092</v>
      </c>
      <c r="AB251" s="78" t="s">
        <v>1093</v>
      </c>
      <c r="AC251" s="120" t="s">
        <v>693</v>
      </c>
      <c r="AD251" s="120" t="s">
        <v>694</v>
      </c>
      <c r="AE251" s="120" t="s">
        <v>1094</v>
      </c>
      <c r="AF251" s="78" t="s">
        <v>1095</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f>(R252 * S252)+
(V252 * W252)+
(Z252 * AA252)+
(AD252 * AE252)</f>
        <v>1.7707999999999999</v>
      </c>
      <c r="G252" s="249">
        <f>((E252 * F252) * 10 ^ -3)</f>
        <v>17.708000000000002</v>
      </c>
      <c r="H252" s="15">
        <f>((R252 * $E252) * S252 * 10 ^ -3)+
((V252 * $E252) * W252 * 10 ^ -3)+
((Z252 * $E252) * AA252 * 10 ^ -3)+
((AD252 * $E252) * AE252 * 10 ^ -3)</f>
        <v>17.707999999999998</v>
      </c>
      <c r="I252" s="74">
        <v>0.4</v>
      </c>
      <c r="J252" s="249">
        <f>((E252 * I252) * 10 ^ -3)</f>
        <v>4</v>
      </c>
      <c r="K252" s="249">
        <f>((R252 * $E252) * (IF(T252,T252,S252)) * 10 ^ -3)+
((V252 * $E252) * (IF(X252,X252,W252)) * 10 ^ -3)+
((Z252 * $E252) * (IF(AB252,AB252,AA252)) * 10 ^ -3)+
((AD252 * $E252) * (IF(AF252,AF252,AE252)) * 10 ^ -3)</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f>(R253 * S253)+
(V253 * W253)+
(Z253 * AA253)+
(AD253 * AE253)</f>
        <v>0.96799999999999997</v>
      </c>
      <c r="G253" s="249">
        <f>((E253 * F253) * 10 ^ -3)</f>
        <v>9.68</v>
      </c>
      <c r="H253" s="15">
        <f>((R253 * $E253) * S253 * 10 ^ -3)+
((V253 * $E253) * W253 * 10 ^ -3)+
((Z253 * $E253) * AA253 * 10 ^ -3)+
((AD253 * $E253) * AE253 * 10 ^ -3)</f>
        <v>9.68</v>
      </c>
      <c r="I253" s="74">
        <v>0.9</v>
      </c>
      <c r="J253" s="249">
        <f>((E253 * I253) * 10 ^ -3)</f>
        <v>9</v>
      </c>
      <c r="K253" s="249">
        <f>((R253 * $E253) * (IF(T253,T253,S253)) * 10 ^ -3)+
((V253 * $E253) * (IF(X253,X253,W253)) * 10 ^ -3)+
((Z253 * $E253) * (IF(AB253,AB253,AA253)) * 10 ^ -3)+
((AD253 * $E253) * (IF(AF253,AF253,AE253)) * 10 ^ -3)</f>
        <v>9.68</v>
      </c>
      <c r="L253" s="33"/>
      <c r="M253" s="13"/>
      <c r="N253" s="33"/>
      <c r="O253" s="250" t="str">
        <v/>
      </c>
      <c r="P253" s="250"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f>(R254 * S254)+
(V254 * W254)+
(Z254 * AA254)+
(AD254 * AE254)</f>
        <v>1.1599999999999999</v>
      </c>
      <c r="G254" s="249">
        <f>((E254 * F254) * 10 ^ -3)</f>
        <v>11.6</v>
      </c>
      <c r="H254" s="15">
        <f>((R254 * $E254) * S254 * 10 ^ -3)+
((V254 * $E254) * W254 * 10 ^ -3)+
((Z254 * $E254) * AA254 * 10 ^ -3)+
((AD254 * $E254) * AE254 * 10 ^ -3)</f>
        <v>11.6</v>
      </c>
      <c r="I254" s="74">
        <v>0.4</v>
      </c>
      <c r="J254" s="249">
        <f>((E254 * I254) * 10 ^ -3)</f>
        <v>4</v>
      </c>
      <c r="K254" s="249">
        <f>((R254 * $E254) * (IF(T254,T254,S254)) * 10 ^ -3)+
((V254 * $E254) * (IF(X254,X254,W254)) * 10 ^ -3)+
((Z254 * $E254) * (IF(AB254,AB254,AA254)) * 10 ^ -3)+
((AD254 * $E254) * (IF(AF254,AF254,AE254)) * 10 ^ -3)</f>
        <v>11.6</v>
      </c>
      <c r="L254" s="33"/>
      <c r="M254" s="13"/>
      <c r="N254" s="33"/>
      <c r="O254" s="250" t="str">
        <v/>
      </c>
      <c r="P254" s="250"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f>(R255 * S255)+
(V255 * W255)+
(Z255 * AA255)+
(AD255 * AE255)</f>
        <v>0</v>
      </c>
      <c r="G255" s="249">
        <f>((E255 * F255) * 10 ^ -3)</f>
        <v>0</v>
      </c>
      <c r="H255" s="15">
        <f>((R255 * $E255) * S255 * 10 ^ -3)+
((V255 * $E255) * W255 * 10 ^ -3)+
((Z255 * $E255) * AA255 * 10 ^ -3)+
((AD255 * $E255) * AE255 * 10 ^ -3)</f>
        <v>0</v>
      </c>
      <c r="I255" s="74"/>
      <c r="J255" s="249">
        <f>((E255 * I255) * 10 ^ -3)</f>
        <v>0</v>
      </c>
      <c r="K255" s="249">
        <f>((R255 * $E255) * (IF(T255,T255,S255)) * 10 ^ -3)+
((V255 * $E255) * (IF(X255,X255,W255)) * 10 ^ -3)+
((Z255 * $E255) * (IF(AB255,AB255,AA255)) * 10 ^ -3)+
((AD255 * $E255) * (IF(AF255,AF255,AE255)) * 10 ^ -3)</f>
        <v>0</v>
      </c>
      <c r="L255" s="33"/>
      <c r="M255" s="13"/>
      <c r="N255" s="33"/>
      <c r="O255" s="250" t="str">
        <v/>
      </c>
      <c r="P255" s="250"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f>(R256 * S256)+
(V256 * W256)+
(Z256 * AA256)+
(AD256 * AE256)</f>
        <v>0</v>
      </c>
      <c r="G256" s="249">
        <f>((E256 * F256) * 10 ^ -3)</f>
        <v>0</v>
      </c>
      <c r="H256" s="15">
        <f>((R256 * $E256) * S256 * 10 ^ -3)+
((V256 * $E256) * W256 * 10 ^ -3)+
((Z256 * $E256) * AA256 * 10 ^ -3)+
((AD256 * $E256) * AE256 * 10 ^ -3)</f>
        <v>0</v>
      </c>
      <c r="I256" s="74"/>
      <c r="J256" s="249">
        <f>((E256 * I256) * 10 ^ -3)</f>
        <v>0</v>
      </c>
      <c r="K256" s="249">
        <f>((R256 * $E256) * (IF(T256,T256,S256)) * 10 ^ -3)+
((V256 * $E256) * (IF(X256,X256,W256)) * 10 ^ -3)+
((Z256 * $E256) * (IF(AB256,AB256,AA256)) * 10 ^ -3)+
((AD256 * $E256) * (IF(AF256,AF256,AE256)) * 10 ^ -3)</f>
        <v>0</v>
      </c>
      <c r="L256" s="33"/>
      <c r="M256" s="13"/>
      <c r="N256" s="33"/>
      <c r="O256" s="250" t="str">
        <v/>
      </c>
      <c r="P256" s="250"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f>(R257 * S257)+
(V257 * W257)+
(Z257 * AA257)+
(AD257 * AE257)</f>
        <v>0</v>
      </c>
      <c r="G257" s="249">
        <f>((E257 * F257) * 10 ^ -3)</f>
        <v>0</v>
      </c>
      <c r="H257" s="15">
        <f>((R257 * $E257) * S257 * 10 ^ -3)+
((V257 * $E257) * W257 * 10 ^ -3)+
((Z257 * $E257) * AA257 * 10 ^ -3)+
((AD257 * $E257) * AE257 * 10 ^ -3)</f>
        <v>0</v>
      </c>
      <c r="I257" s="74"/>
      <c r="J257" s="249">
        <f>((E257 * I257) * 10 ^ -3)</f>
        <v>0</v>
      </c>
      <c r="K257" s="249">
        <f>((R257 * $E257) * (IF(T257,T257,S257)) * 10 ^ -3)+
((V257 * $E257) * (IF(X257,X257,W257)) * 10 ^ -3)+
((Z257 * $E257) * (IF(AB257,AB257,AA257)) * 10 ^ -3)+
((AD257 * $E257) * (IF(AF257,AF257,AE257)) * 10 ^ -3)</f>
        <v>0</v>
      </c>
      <c r="L257" s="33"/>
      <c r="M257" s="13"/>
      <c r="N257" s="33"/>
      <c r="O257" s="250" t="str">
        <v/>
      </c>
      <c r="P257" s="250"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f>(R258 * S258)+
(V258 * W258)+
(Z258 * AA258)+
(AD258 * AE258)</f>
        <v>0</v>
      </c>
      <c r="G258" s="249">
        <f>((E258 * F258) * 10 ^ -3)</f>
        <v>0</v>
      </c>
      <c r="H258" s="15">
        <f>((R258 * $E258) * S258 * 10 ^ -3)+
((V258 * $E258) * W258 * 10 ^ -3)+
((Z258 * $E258) * AA258 * 10 ^ -3)+
((AD258 * $E258) * AE258 * 10 ^ -3)</f>
        <v>0</v>
      </c>
      <c r="I258" s="74"/>
      <c r="J258" s="249">
        <f>((E258 * I258) * 10 ^ -3)</f>
        <v>0</v>
      </c>
      <c r="K258" s="249">
        <f>((R258 * $E258) * (IF(T258,T258,S258)) * 10 ^ -3)+
((V258 * $E258) * (IF(X258,X258,W258)) * 10 ^ -3)+
((Z258 * $E258) * (IF(AB258,AB258,AA258)) * 10 ^ -3)+
((AD258 * $E258) * (IF(AF258,AF258,AE258)) * 10 ^ -3)</f>
        <v>0</v>
      </c>
      <c r="L258" s="33"/>
      <c r="M258" s="13"/>
      <c r="N258" s="33"/>
      <c r="O258" s="250" t="str">
        <v/>
      </c>
      <c r="P258" s="250"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f>(R259 * S259)+
(V259 * W259)+
(Z259 * AA259)+
(AD259 * AE259)</f>
        <v>0</v>
      </c>
      <c r="G259" s="249">
        <f>((E259 * F259) * 10 ^ -3)</f>
        <v>0</v>
      </c>
      <c r="H259" s="15">
        <f>((R259 * $E259) * S259 * 10 ^ -3)+
((V259 * $E259) * W259 * 10 ^ -3)+
((Z259 * $E259) * AA259 * 10 ^ -3)+
((AD259 * $E259) * AE259 * 10 ^ -3)</f>
        <v>0</v>
      </c>
      <c r="I259" s="74"/>
      <c r="J259" s="249">
        <f>((E259 * I259) * 10 ^ -3)</f>
        <v>0</v>
      </c>
      <c r="K259" s="249">
        <f>((R259 * $E259) * (IF(T259,T259,S259)) * 10 ^ -3)+
((V259 * $E259) * (IF(X259,X259,W259)) * 10 ^ -3)+
((Z259 * $E259) * (IF(AB259,AB259,AA259)) * 10 ^ -3)+
((AD259 * $E259) * (IF(AF259,AF259,AE259)) * 10 ^ -3)</f>
        <v>0</v>
      </c>
      <c r="L259" s="33"/>
      <c r="M259" s="13"/>
      <c r="N259" s="33"/>
      <c r="O259" s="250" t="str">
        <v/>
      </c>
      <c r="P259" s="250"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f>(R260 * S260)+
(V260 * W260)+
(Z260 * AA260)+
(AD260 * AE260)</f>
        <v>0</v>
      </c>
      <c r="G260" s="249">
        <f>((E260 * F260) * 10 ^ -3)</f>
        <v>0</v>
      </c>
      <c r="H260" s="15">
        <f>((R260 * $E260) * S260 * 10 ^ -3)+
((V260 * $E260) * W260 * 10 ^ -3)+
((Z260 * $E260) * AA260 * 10 ^ -3)+
((AD260 * $E260) * AE260 * 10 ^ -3)</f>
        <v>0</v>
      </c>
      <c r="I260" s="74"/>
      <c r="J260" s="249">
        <f>((E260 * I260) * 10 ^ -3)</f>
        <v>0</v>
      </c>
      <c r="K260" s="249">
        <f>((R260 * $E260) * (IF(T260,T260,S260)) * 10 ^ -3)+
((V260 * $E260) * (IF(X260,X260,W260)) * 10 ^ -3)+
((Z260 * $E260) * (IF(AB260,AB260,AA260)) * 10 ^ -3)+
((AD260 * $E260) * (IF(AF260,AF260,AE260)) * 10 ^ -3)</f>
        <v>0</v>
      </c>
      <c r="L260" s="33"/>
      <c r="M260" s="13"/>
      <c r="N260" s="33"/>
      <c r="O260" s="250" t="str">
        <v/>
      </c>
      <c r="P260" s="250"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f>(R261 * S261)+
(V261 * W261)+
(Z261 * AA261)+
(AD261 * AE261)</f>
        <v>0</v>
      </c>
      <c r="G261" s="249">
        <f>((E261 * F261) * 10 ^ -3)</f>
        <v>0</v>
      </c>
      <c r="H261" s="15">
        <f>((R261 * $E261) * S261 * 10 ^ -3)+
((V261 * $E261) * W261 * 10 ^ -3)+
((Z261 * $E261) * AA261 * 10 ^ -3)+
((AD261 * $E261) * AE261 * 10 ^ -3)</f>
        <v>0</v>
      </c>
      <c r="I261" s="74"/>
      <c r="J261" s="249">
        <f>((E261 * I261) * 10 ^ -3)</f>
        <v>0</v>
      </c>
      <c r="K261" s="249">
        <f>((R261 * $E261) * (IF(T261,T261,S261)) * 10 ^ -3)+
((V261 * $E261) * (IF(X261,X261,W261)) * 10 ^ -3)+
((Z261 * $E261) * (IF(AB261,AB261,AA261)) * 10 ^ -3)+
((AD261 * $E261) * (IF(AF261,AF261,AE261)) * 10 ^ -3)</f>
        <v>0</v>
      </c>
      <c r="L261" s="33"/>
      <c r="M261" s="13"/>
      <c r="N261" s="33"/>
      <c r="O261" s="250" t="str">
        <v/>
      </c>
      <c r="P261" s="250"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1" t="s">
        <v>1102</v>
      </c>
      <c r="E263" s="86">
        <f>SUM(G236:G245)+SUM(G252:G261)</f>
        <v>51.880600000000001</v>
      </c>
      <c r="F263" s="95" t="str">
        <f>$E$170</f>
        <v>t CO2e</v>
      </c>
    </row>
    <row r="264" spans="3:41" ht="20.100000000000001" customHeight="1" x14ac:dyDescent="0.2">
      <c r="D264" s="251" t="s">
        <v>1103</v>
      </c>
      <c r="E264" s="86">
        <f>SUM(J236:J245)+SUM(J252:J261)</f>
        <v>34</v>
      </c>
      <c r="F264" s="95" t="str">
        <f>$E$170</f>
        <v>t CO2e</v>
      </c>
    </row>
    <row r="266" spans="3:41" ht="20.100000000000001" customHeight="1" x14ac:dyDescent="0.2">
      <c r="D266" s="251" t="s">
        <v>1104</v>
      </c>
      <c r="E266" s="86">
        <f>SUM(H236:H245)+SUM(H252:H261)</f>
        <v>51.880600000000001</v>
      </c>
      <c r="F266" s="95" t="str">
        <f>$E$170</f>
        <v>t CO2e</v>
      </c>
    </row>
    <row r="267" spans="3:41" ht="20.100000000000001" customHeight="1" x14ac:dyDescent="0.2">
      <c r="D267" s="251" t="s">
        <v>1105</v>
      </c>
      <c r="E267" s="86">
        <f>SUM(K236:K245)+SUM(K252:K261)</f>
        <v>59.9726</v>
      </c>
      <c r="F267" s="95" t="str">
        <f>$E$170</f>
        <v>t CO2e</v>
      </c>
    </row>
    <row r="270" spans="3:41" ht="20.100000000000001" customHeight="1" x14ac:dyDescent="0.2">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row>
    <row r="271" spans="3:41" ht="20.100000000000001" customHeight="1" x14ac:dyDescent="0.2">
      <c r="D271" s="2" t="s">
        <v>1496</v>
      </c>
    </row>
    <row r="272" spans="3:41" ht="20.100000000000001" customHeight="1" x14ac:dyDescent="0.2">
      <c r="D272" s="17" t="s">
        <v>1497</v>
      </c>
    </row>
    <row r="273" spans="1:9" ht="20.100000000000001" customHeight="1" x14ac:dyDescent="0.2">
      <c r="D273" s="112"/>
      <c r="E273" s="112"/>
    </row>
    <row r="276" spans="1:9" ht="20.100000000000001" customHeight="1" x14ac:dyDescent="0.2">
      <c r="A276" s="79" t="str">
        <f>HYPERLINK("#A1", "▲ Back to top")</f>
        <v>▲ Back to top</v>
      </c>
    </row>
    <row r="277" spans="1:9" ht="20.100000000000001" customHeight="1" x14ac:dyDescent="0.2">
      <c r="D277" s="75" t="s">
        <v>321</v>
      </c>
      <c r="E277" s="1" t="s">
        <v>1143</v>
      </c>
    </row>
    <row r="278" spans="1:9" ht="20.100000000000001" customHeight="1" x14ac:dyDescent="0.2">
      <c r="D278" s="75" t="s">
        <v>118</v>
      </c>
      <c r="E278" s="9" t="s">
        <v>7</v>
      </c>
    </row>
    <row r="280" spans="1:9" ht="20.100000000000001" customHeight="1" x14ac:dyDescent="0.2">
      <c r="D280" s="113" t="s">
        <v>1498</v>
      </c>
      <c r="E280" s="121" t="s">
        <v>1499</v>
      </c>
      <c r="F280" s="122"/>
      <c r="G280" s="113" t="s">
        <v>1504</v>
      </c>
      <c r="H280" s="247" t="s">
        <v>1196</v>
      </c>
    </row>
    <row r="281" spans="1:9" ht="20.100000000000001" customHeight="1" x14ac:dyDescent="0.2">
      <c r="D281" s="113" t="s">
        <v>1500</v>
      </c>
      <c r="E281" s="121" t="s">
        <v>1501</v>
      </c>
      <c r="F281" s="122"/>
      <c r="G281" s="113" t="s">
        <v>1505</v>
      </c>
      <c r="H281" s="115" t="s">
        <v>1227</v>
      </c>
    </row>
    <row r="282" spans="1:9" ht="20.100000000000001" customHeight="1" x14ac:dyDescent="0.2">
      <c r="D282" s="113" t="s">
        <v>1502</v>
      </c>
      <c r="E282" s="121" t="s">
        <v>1503</v>
      </c>
      <c r="F282" s="122"/>
      <c r="G282" s="113"/>
      <c r="H282" s="247" t="s">
        <v>1196</v>
      </c>
    </row>
    <row r="284" spans="1:9" ht="20.100000000000001" customHeight="1" x14ac:dyDescent="0.2">
      <c r="D284" s="78" t="s">
        <v>1106</v>
      </c>
      <c r="E284" s="78" t="s">
        <v>686</v>
      </c>
      <c r="F284" s="120" t="s">
        <v>1107</v>
      </c>
      <c r="G284" s="120" t="s">
        <v>1036</v>
      </c>
      <c r="H284" s="78" t="s">
        <v>1108</v>
      </c>
      <c r="I284" s="120" t="s">
        <v>1039</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f>(($E285 * F285) * 10 ^ -3)</f>
        <v>0</v>
      </c>
      <c r="H285" s="74">
        <v>5</v>
      </c>
      <c r="I285" s="15">
        <f>(($E285 * (IF(H285,H285,F285))) * 10 ^ -3)</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f>(($E286 * F286) * 10 ^ -3)</f>
        <v>0</v>
      </c>
      <c r="H286" s="74">
        <v>8</v>
      </c>
      <c r="I286" s="15">
        <f>(($E286 * (IF(H286,H286,F286))) * 10 ^ -3)</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f>(($E287 * F287) * 10 ^ -3)</f>
        <v>0</v>
      </c>
      <c r="H287" s="74"/>
      <c r="I287" s="15">
        <f>(($E287 * (IF(H287,H287,F287))) * 10 ^ -3)</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f>(($E288 * F288) * 10 ^ -3)</f>
        <v>0</v>
      </c>
      <c r="H288" s="74"/>
      <c r="I288" s="15">
        <f>(($E288 * (IF(H288,H288,F288))) * 10 ^ -3)</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f>(($E289 * F289) * 10 ^ -3)</f>
        <v>0</v>
      </c>
      <c r="H289" s="74"/>
      <c r="I289" s="15">
        <f>(($E289 * (IF(H289,H289,F289))) * 10 ^ -3)</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f>(($E290 * F290) * 10 ^ -3)</f>
        <v>0</v>
      </c>
      <c r="H290" s="74"/>
      <c r="I290" s="15">
        <f>(($E290 * (IF(H290,H290,F290))) * 10 ^ -3)</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f>(($E291 * F291) * 10 ^ -3)</f>
        <v>0</v>
      </c>
      <c r="H291" s="74"/>
      <c r="I291" s="15">
        <f>(($E291 * (IF(H291,H291,F291))) * 10 ^ -3)</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f>(($E292 * F292) * 10 ^ -3)</f>
        <v>0</v>
      </c>
      <c r="H292" s="74"/>
      <c r="I292" s="15">
        <f>(($E292 * (IF(H292,H292,F292))) * 10 ^ -3)</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f>(($E293 * F293) * 10 ^ -3)</f>
        <v>0</v>
      </c>
      <c r="H293" s="74"/>
      <c r="I293" s="15">
        <f>(($E293 * (IF(H293,H293,F293))) * 10 ^ -3)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f>(($E294 * F294) * 10 ^ -3)</f>
        <v>0</v>
      </c>
      <c r="H294" s="74"/>
      <c r="I294" s="15">
        <f>(($E294 * (IF(H294,H294,F294))) * 10 ^ -3)</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f>(($E295 * F295) * 10 ^ -3)</f>
        <v>0</v>
      </c>
      <c r="H295" s="74"/>
      <c r="I295" s="15">
        <f>(($E295 * (IF(H295,H295,F295))) * 10 ^ -3)</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f>(($E296 * F296) * 10 ^ -3)</f>
        <v>0</v>
      </c>
      <c r="H296" s="74"/>
      <c r="I296" s="15">
        <f>(($E296 * (IF(H296,H296,F296))) * 10 ^ -3)</f>
        <v>0</v>
      </c>
    </row>
    <row r="298" spans="3:41" ht="20.100000000000001" customHeight="1" x14ac:dyDescent="0.2">
      <c r="D298" s="251" t="s">
        <v>1036</v>
      </c>
      <c r="E298" s="86">
        <f>SUM(G285:G296)</f>
        <v>0</v>
      </c>
      <c r="F298" s="95" t="str">
        <f>$E$170</f>
        <v>t CO2e</v>
      </c>
    </row>
    <row r="299" spans="3:41" ht="20.100000000000001" customHeight="1" x14ac:dyDescent="0.2">
      <c r="D299" s="251" t="s">
        <v>1039</v>
      </c>
      <c r="E299" s="86">
        <f>SUM(I285:I296)</f>
        <v>0</v>
      </c>
      <c r="F299" s="95" t="str">
        <f>$E$170</f>
        <v>t CO2e</v>
      </c>
    </row>
    <row r="302" spans="3:41" ht="20.100000000000001" customHeight="1" x14ac:dyDescent="0.2">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row>
    <row r="303" spans="3:41" ht="20.100000000000001" customHeight="1" x14ac:dyDescent="0.2">
      <c r="D303" s="2" t="s">
        <v>1506</v>
      </c>
    </row>
    <row r="304" spans="3:41" ht="20.100000000000001" customHeight="1" x14ac:dyDescent="0.2">
      <c r="D304" s="17" t="s">
        <v>1507</v>
      </c>
    </row>
    <row r="305" spans="1:13" ht="20.100000000000001" customHeight="1" x14ac:dyDescent="0.2">
      <c r="D305" s="112"/>
      <c r="E305" s="112"/>
    </row>
    <row r="306" spans="1:13" ht="20.100000000000001" customHeight="1" x14ac:dyDescent="0.2">
      <c r="A306" s="79" t="str">
        <f>HYPERLINK("#A1", "▲ Back to top")</f>
        <v>▲ Back to top</v>
      </c>
    </row>
    <row r="308" spans="1:13" ht="20.100000000000001" customHeight="1" x14ac:dyDescent="0.2">
      <c r="D308" s="75" t="s">
        <v>321</v>
      </c>
      <c r="E308" s="1" t="s">
        <v>1143</v>
      </c>
    </row>
    <row r="309" spans="1:13" ht="20.100000000000001" customHeight="1" x14ac:dyDescent="0.2">
      <c r="D309" s="75" t="s">
        <v>118</v>
      </c>
      <c r="E309" s="1" t="s">
        <v>7</v>
      </c>
    </row>
    <row r="311" spans="1:13" ht="20.100000000000001" customHeight="1" x14ac:dyDescent="0.2">
      <c r="D311" s="113" t="s">
        <v>1508</v>
      </c>
      <c r="E311" s="113" t="s">
        <v>1509</v>
      </c>
      <c r="F311" s="113" t="s">
        <v>1398</v>
      </c>
      <c r="G311" s="247" t="s">
        <v>1196</v>
      </c>
    </row>
    <row r="312" spans="1:13" ht="20.100000000000001" customHeight="1" x14ac:dyDescent="0.2">
      <c r="D312" s="113" t="s">
        <v>1510</v>
      </c>
      <c r="E312" s="113" t="s">
        <v>1511</v>
      </c>
      <c r="F312" s="113" t="s">
        <v>1420</v>
      </c>
      <c r="G312" s="115" t="s">
        <v>1227</v>
      </c>
    </row>
    <row r="314" spans="1:13" ht="20.100000000000001" customHeight="1" x14ac:dyDescent="0.2">
      <c r="E314" s="120" t="s">
        <v>130</v>
      </c>
      <c r="F314" s="78" t="s">
        <v>131</v>
      </c>
    </row>
    <row r="315" spans="1:13" ht="20.100000000000001" customHeight="1" x14ac:dyDescent="0.2">
      <c r="D315" s="1" t="s">
        <v>1109</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1110</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1111</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947</v>
      </c>
      <c r="E319" s="248" t="s">
        <v>1112</v>
      </c>
      <c r="F319" s="78" t="s">
        <v>1113</v>
      </c>
      <c r="G319" s="78" t="s">
        <v>1114</v>
      </c>
      <c r="H319" s="78" t="s">
        <v>1115</v>
      </c>
      <c r="I319" s="120" t="s">
        <v>1036</v>
      </c>
      <c r="J319" s="120" t="s">
        <v>1116</v>
      </c>
      <c r="K319" s="78" t="s">
        <v>1040</v>
      </c>
      <c r="L319" s="78" t="s">
        <v>1041</v>
      </c>
      <c r="M319" s="78" t="s">
        <v>1042</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49">
        <f>(F320 * $E$315)+
(G320 * $E$316)+
(H320 * $E$317)</f>
        <v>5.1839999999999994E-3</v>
      </c>
      <c r="J320" s="249">
        <f>(F320 * (IF($F$315,$F$315,$E$315)))+
(G320 * (IF($F$316,$F$316,$E$316)))+
(H320 * (IF($F$317,$F$317,$E$317)))</f>
        <v>4.4000000000000003E-3</v>
      </c>
      <c r="K320" s="33"/>
      <c r="L320" s="13"/>
      <c r="M320" s="33"/>
    </row>
    <row r="321" spans="1:41" ht="20.100000000000001" customHeight="1" x14ac:dyDescent="0.2">
      <c r="D321" s="15" t="str">
        <v>Lime product 2</v>
      </c>
      <c r="E321" s="15">
        <v>100</v>
      </c>
      <c r="F321" s="15">
        <v>100</v>
      </c>
      <c r="G321" s="15">
        <v>0</v>
      </c>
      <c r="H321" s="15">
        <v>0</v>
      </c>
      <c r="I321" s="249">
        <f>(F321 * $E$315)+
(G321 * $E$316)+
(H321 * $E$317)</f>
        <v>4.8500000000000001E-3</v>
      </c>
      <c r="J321" s="249">
        <f>(F321 * (IF($F$315,$F$315,$E$315)))+
(G321 * (IF($F$316,$F$316,$E$316)))+
(H321 * (IF($F$317,$F$317,$E$317)))</f>
        <v>4.0000000000000001E-3</v>
      </c>
      <c r="K321" s="33"/>
      <c r="L321" s="13"/>
      <c r="M321" s="33"/>
    </row>
    <row r="322" spans="1:41" ht="20.100000000000001" customHeight="1" x14ac:dyDescent="0.2">
      <c r="D322" s="15" t="str">
        <v>Lime product 3</v>
      </c>
      <c r="E322" s="15">
        <v>100</v>
      </c>
      <c r="F322" s="15">
        <v>0</v>
      </c>
      <c r="G322" s="15">
        <v>0</v>
      </c>
      <c r="H322" s="15">
        <v>100</v>
      </c>
      <c r="I322" s="249">
        <f>(F322 * $E$315)+
(G322 * $E$316)+
(H322 * $E$317)</f>
        <v>6.5199999999999998E-3</v>
      </c>
      <c r="J322" s="249">
        <f>(F322 * (IF($F$315,$F$315,$E$315)))+
(G322 * (IF($F$316,$F$316,$E$316)))+
(H322 * (IF($F$317,$F$317,$E$317)))</f>
        <v>6.0000000000000001E-3</v>
      </c>
      <c r="K322" s="33"/>
      <c r="L322" s="13"/>
      <c r="M322" s="33"/>
    </row>
    <row r="323" spans="1:41" ht="20.100000000000001" customHeight="1" x14ac:dyDescent="0.2">
      <c r="D323" s="15" t="str">
        <v/>
      </c>
      <c r="E323" s="15">
        <v>0</v>
      </c>
      <c r="F323" s="15">
        <v>0</v>
      </c>
      <c r="G323" s="15">
        <v>0</v>
      </c>
      <c r="H323" s="15">
        <v>0</v>
      </c>
      <c r="I323" s="249">
        <f>(F323 * $E$315)+
(G323 * $E$316)+
(H323 * $E$317)</f>
        <v>0</v>
      </c>
      <c r="J323" s="249">
        <f>(F323 * (IF($F$315,$F$315,$E$315)))+
(G323 * (IF($F$316,$F$316,$E$316)))+
(H323 * (IF($F$317,$F$317,$E$317)))</f>
        <v>0</v>
      </c>
      <c r="K323" s="33"/>
      <c r="L323" s="13"/>
      <c r="M323" s="33"/>
    </row>
    <row r="324" spans="1:41" ht="20.100000000000001" customHeight="1" x14ac:dyDescent="0.2">
      <c r="D324" s="15" t="str">
        <v/>
      </c>
      <c r="E324" s="15">
        <v>0</v>
      </c>
      <c r="F324" s="15">
        <v>0</v>
      </c>
      <c r="G324" s="15">
        <v>0</v>
      </c>
      <c r="H324" s="15">
        <v>0</v>
      </c>
      <c r="I324" s="249">
        <f>(F324 * $E$315)+
(G324 * $E$316)+
(H324 * $E$317)</f>
        <v>0</v>
      </c>
      <c r="J324" s="249">
        <f>(F324 * (IF($F$315,$F$315,$E$315)))+
(G324 * (IF($F$316,$F$316,$E$316)))+
(H324 * (IF($F$317,$F$317,$E$317)))</f>
        <v>0</v>
      </c>
      <c r="K324" s="33"/>
      <c r="L324" s="13"/>
      <c r="M324" s="33"/>
    </row>
    <row r="325" spans="1:41" ht="20.100000000000001" customHeight="1" x14ac:dyDescent="0.2">
      <c r="D325" s="15" t="str">
        <v/>
      </c>
      <c r="E325" s="15">
        <v>0</v>
      </c>
      <c r="F325" s="15">
        <v>0</v>
      </c>
      <c r="G325" s="15">
        <v>0</v>
      </c>
      <c r="H325" s="15">
        <v>0</v>
      </c>
      <c r="I325" s="249">
        <f>(F325 * $E$315)+
(G325 * $E$316)+
(H325 * $E$317)</f>
        <v>0</v>
      </c>
      <c r="J325" s="249">
        <f>(F325 * (IF($F$315,$F$315,$E$315)))+
(G325 * (IF($F$316,$F$316,$E$316)))+
(H325 * (IF($F$317,$F$317,$E$317)))</f>
        <v>0</v>
      </c>
      <c r="K325" s="33"/>
      <c r="L325" s="13"/>
      <c r="M325" s="33"/>
    </row>
    <row r="326" spans="1:41" ht="20.100000000000001" customHeight="1" x14ac:dyDescent="0.2">
      <c r="D326" s="15" t="str">
        <v/>
      </c>
      <c r="E326" s="15">
        <v>0</v>
      </c>
      <c r="F326" s="15">
        <v>0</v>
      </c>
      <c r="G326" s="15">
        <v>0</v>
      </c>
      <c r="H326" s="15">
        <v>0</v>
      </c>
      <c r="I326" s="249">
        <f>(F326 * $E$315)+
(G326 * $E$316)+
(H326 * $E$317)</f>
        <v>0</v>
      </c>
      <c r="J326" s="249">
        <f>(F326 * (IF($F$315,$F$315,$E$315)))+
(G326 * (IF($F$316,$F$316,$E$316)))+
(H326 * (IF($F$317,$F$317,$E$317)))</f>
        <v>0</v>
      </c>
      <c r="K326" s="33"/>
      <c r="L326" s="13"/>
      <c r="M326" s="33"/>
    </row>
    <row r="327" spans="1:41" ht="20.100000000000001" customHeight="1" x14ac:dyDescent="0.2">
      <c r="D327" s="15" t="str">
        <v/>
      </c>
      <c r="E327" s="15">
        <v>0</v>
      </c>
      <c r="F327" s="15">
        <v>0</v>
      </c>
      <c r="G327" s="15">
        <v>0</v>
      </c>
      <c r="H327" s="15">
        <v>0</v>
      </c>
      <c r="I327" s="249">
        <f>(F327 * $E$315)+
(G327 * $E$316)+
(H327 * $E$317)</f>
        <v>0</v>
      </c>
      <c r="J327" s="249">
        <f>(F327 * (IF($F$315,$F$315,$E$315)))+
(G327 * (IF($F$316,$F$316,$E$316)))+
(H327 * (IF($F$317,$F$317,$E$317)))</f>
        <v>0</v>
      </c>
      <c r="K327" s="33"/>
      <c r="L327" s="13"/>
      <c r="M327" s="33"/>
    </row>
    <row r="328" spans="1:41" ht="20.100000000000001" customHeight="1" x14ac:dyDescent="0.2">
      <c r="D328" s="15" t="str">
        <v/>
      </c>
      <c r="E328" s="15">
        <v>0</v>
      </c>
      <c r="F328" s="15">
        <v>0</v>
      </c>
      <c r="G328" s="15">
        <v>0</v>
      </c>
      <c r="H328" s="15">
        <v>0</v>
      </c>
      <c r="I328" s="249">
        <f>(F328 * $E$315)+
(G328 * $E$316)+
(H328 * $E$317)</f>
        <v>0</v>
      </c>
      <c r="J328" s="249">
        <f>(F328 * (IF($F$315,$F$315,$E$315)))+
(G328 * (IF($F$316,$F$316,$E$316)))+
(H328 * (IF($F$317,$F$317,$E$317)))</f>
        <v>0</v>
      </c>
      <c r="K328" s="33"/>
      <c r="L328" s="13"/>
      <c r="M328" s="33"/>
    </row>
    <row r="329" spans="1:41" ht="20.100000000000001" customHeight="1" x14ac:dyDescent="0.2">
      <c r="D329" s="15" t="str">
        <v/>
      </c>
      <c r="E329" s="15">
        <v>0</v>
      </c>
      <c r="F329" s="15">
        <v>0</v>
      </c>
      <c r="G329" s="15">
        <v>0</v>
      </c>
      <c r="H329" s="15">
        <v>0</v>
      </c>
      <c r="I329" s="249">
        <f>(F329 * $E$315)+
(G329 * $E$316)+
(H329 * $E$317)</f>
        <v>0</v>
      </c>
      <c r="J329" s="249">
        <f>(F329 * (IF($F$315,$F$315,$E$315)))+
(G329 * (IF($F$316,$F$316,$E$316)))+
(H329 * (IF($F$317,$F$317,$E$317)))</f>
        <v>0</v>
      </c>
      <c r="K329" s="33"/>
      <c r="L329" s="13"/>
      <c r="M329" s="33"/>
    </row>
    <row r="331" spans="1:41" ht="20.100000000000001" customHeight="1" x14ac:dyDescent="0.2">
      <c r="D331" s="251" t="s">
        <v>1036</v>
      </c>
      <c r="E331" s="86">
        <f>SUM(I320:I329)</f>
        <v>1.6553999999999999E-2</v>
      </c>
      <c r="F331" s="95" t="str">
        <f>$E$170</f>
        <v>t CO2e</v>
      </c>
    </row>
    <row r="332" spans="1:41" ht="20.100000000000001" customHeight="1" x14ac:dyDescent="0.2">
      <c r="D332" s="251" t="s">
        <v>1039</v>
      </c>
      <c r="E332" s="86">
        <f>SUM(J320:J329)</f>
        <v>1.4400000000000001E-2</v>
      </c>
      <c r="F332" s="95" t="str">
        <f>$E$170</f>
        <v>t CO2e</v>
      </c>
    </row>
    <row r="335" spans="1:41" ht="20.100000000000001" customHeight="1" x14ac:dyDescent="0.2">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row>
    <row r="336" spans="1:41" ht="20.100000000000001" customHeight="1" x14ac:dyDescent="0.2">
      <c r="A336" s="79" t="str">
        <f>HYPERLINK("#A1", "▲ Back to top")</f>
        <v>▲ Back to top</v>
      </c>
      <c r="D336" s="2" t="s">
        <v>1512</v>
      </c>
    </row>
    <row r="337" spans="4:15" ht="20.100000000000001" customHeight="1" x14ac:dyDescent="0.2">
      <c r="D337" s="17" t="s">
        <v>1513</v>
      </c>
    </row>
    <row r="338" spans="4:15" ht="20.100000000000001" customHeight="1" x14ac:dyDescent="0.2">
      <c r="D338" s="112"/>
      <c r="E338" s="112"/>
    </row>
    <row r="340" spans="4:15" ht="20.100000000000001" customHeight="1" x14ac:dyDescent="0.2">
      <c r="H340" s="1" t="s">
        <v>1117</v>
      </c>
    </row>
    <row r="341" spans="4:15" ht="20.100000000000001" customHeight="1" x14ac:dyDescent="0.2">
      <c r="D341" s="75" t="s">
        <v>321</v>
      </c>
      <c r="E341" s="1" t="s">
        <v>1143</v>
      </c>
    </row>
    <row r="342" spans="4:15" ht="20.100000000000001" customHeight="1" x14ac:dyDescent="0.2">
      <c r="D342" s="75" t="s">
        <v>118</v>
      </c>
      <c r="E342" s="1" t="s">
        <v>7</v>
      </c>
    </row>
    <row r="344" spans="4:15" ht="20.100000000000001" customHeight="1" x14ac:dyDescent="0.2">
      <c r="D344" s="113" t="s">
        <v>1514</v>
      </c>
      <c r="E344" s="121" t="s">
        <v>1515</v>
      </c>
      <c r="F344" s="122"/>
      <c r="G344" s="113" t="s">
        <v>1520</v>
      </c>
      <c r="H344" s="247" t="s">
        <v>1196</v>
      </c>
    </row>
    <row r="345" spans="4:15" ht="20.100000000000001" customHeight="1" x14ac:dyDescent="0.2">
      <c r="D345" s="113" t="s">
        <v>1516</v>
      </c>
      <c r="E345" s="121" t="s">
        <v>1517</v>
      </c>
      <c r="F345" s="122"/>
      <c r="G345" s="113" t="s">
        <v>1521</v>
      </c>
      <c r="H345" s="115" t="s">
        <v>1227</v>
      </c>
    </row>
    <row r="346" spans="4:15" ht="20.100000000000001" customHeight="1" x14ac:dyDescent="0.2">
      <c r="D346" s="113" t="s">
        <v>1518</v>
      </c>
      <c r="E346" s="121" t="s">
        <v>1519</v>
      </c>
      <c r="F346" s="122"/>
      <c r="G346" s="113"/>
      <c r="H346" s="247" t="s">
        <v>1196</v>
      </c>
    </row>
    <row r="348" spans="4:15" ht="20.100000000000001" customHeight="1" x14ac:dyDescent="0.2">
      <c r="D348" s="25" t="s">
        <v>1118</v>
      </c>
    </row>
    <row r="350" spans="4:15" ht="20.100000000000001" customHeight="1" x14ac:dyDescent="0.2">
      <c r="D350" s="78" t="s">
        <v>957</v>
      </c>
      <c r="E350" s="78" t="s">
        <v>958</v>
      </c>
      <c r="F350" s="78" t="s">
        <v>959</v>
      </c>
      <c r="G350" s="78" t="s">
        <v>584</v>
      </c>
      <c r="H350" s="120" t="s">
        <v>1119</v>
      </c>
      <c r="I350" s="120" t="s">
        <v>1120</v>
      </c>
      <c r="J350" s="78" t="s">
        <v>1121</v>
      </c>
      <c r="K350" s="120" t="s">
        <v>1122</v>
      </c>
      <c r="L350" s="120" t="s">
        <v>1123</v>
      </c>
      <c r="M350" s="78" t="s">
        <v>1040</v>
      </c>
      <c r="N350" s="78" t="s">
        <v>1041</v>
      </c>
      <c r="O350" s="78" t="s">
        <v>1042</v>
      </c>
    </row>
    <row r="351" spans="4: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1124</v>
      </c>
      <c r="I351" s="15" t="s">
        <v>1124</v>
      </c>
      <c r="J351" s="74">
        <v>4</v>
      </c>
      <c r="K351" s="249">
        <f>((F351 * J351) * 10 ^ -3)</f>
        <v>40</v>
      </c>
      <c r="L351" s="15" t="str">
        <f>"t CO2e / " &amp; G351</f>
        <v>t CO2e / Hour</v>
      </c>
      <c r="M351" s="33"/>
      <c r="N351" s="13"/>
      <c r="O351" s="33"/>
    </row>
    <row r="352" spans="4:15" ht="20.100000000000001" customHeight="1" x14ac:dyDescent="0.2">
      <c r="D352" s="15" t="str">
        <v>Harini's Harvesting Services Pty Ltd</v>
      </c>
      <c r="E352" s="15" t="str">
        <v>Wheat harvesting</v>
      </c>
      <c r="F352" s="15">
        <v>1000</v>
      </c>
      <c r="G352" s="15" t="str">
        <v>Hectare</v>
      </c>
      <c r="H352" s="15" t="s">
        <v>1124</v>
      </c>
      <c r="I352" s="15" t="s">
        <v>1124</v>
      </c>
      <c r="J352" s="74">
        <v>2</v>
      </c>
      <c r="K352" s="249">
        <f>((F352 * J352) * 10 ^ -3)</f>
        <v>2</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1124</v>
      </c>
      <c r="I353" s="15" t="s">
        <v>1124</v>
      </c>
      <c r="J353" s="74"/>
      <c r="K353" s="249">
        <f>((F353 * J353) * 10 ^ -3)</f>
        <v>0</v>
      </c>
      <c r="L353" s="15" t="str">
        <f t="shared" si="1"/>
        <v>t CO2e / 0</v>
      </c>
      <c r="M353" s="33"/>
      <c r="N353" s="13"/>
      <c r="O353" s="33"/>
    </row>
    <row r="354" spans="1:41" ht="20.100000000000001" customHeight="1" x14ac:dyDescent="0.2">
      <c r="D354" s="15">
        <v>0</v>
      </c>
      <c r="E354" s="15">
        <v>0</v>
      </c>
      <c r="F354" s="15">
        <v>0</v>
      </c>
      <c r="G354" s="15">
        <v>0</v>
      </c>
      <c r="H354" s="15" t="s">
        <v>1124</v>
      </c>
      <c r="I354" s="15" t="s">
        <v>1124</v>
      </c>
      <c r="J354" s="74"/>
      <c r="K354" s="249">
        <f>((F354 * J354) * 10 ^ -3)</f>
        <v>0</v>
      </c>
      <c r="L354" s="15" t="str">
        <f t="shared" si="1"/>
        <v>t CO2e / 0</v>
      </c>
      <c r="M354" s="33"/>
      <c r="N354" s="13"/>
      <c r="O354" s="33"/>
    </row>
    <row r="355" spans="1:41" ht="20.100000000000001" customHeight="1" x14ac:dyDescent="0.2">
      <c r="D355" s="15">
        <v>0</v>
      </c>
      <c r="E355" s="15">
        <v>0</v>
      </c>
      <c r="F355" s="15">
        <v>0</v>
      </c>
      <c r="G355" s="15">
        <v>0</v>
      </c>
      <c r="H355" s="15" t="s">
        <v>1124</v>
      </c>
      <c r="I355" s="15" t="s">
        <v>1124</v>
      </c>
      <c r="J355" s="74"/>
      <c r="K355" s="249">
        <f>((F355 * J355) * 10 ^ -3)</f>
        <v>0</v>
      </c>
      <c r="L355" s="15" t="str">
        <f t="shared" si="1"/>
        <v>t CO2e / 0</v>
      </c>
      <c r="M355" s="33"/>
      <c r="N355" s="13"/>
      <c r="O355" s="33"/>
    </row>
    <row r="356" spans="1:41" ht="20.100000000000001" customHeight="1" x14ac:dyDescent="0.2">
      <c r="D356" s="15">
        <v>0</v>
      </c>
      <c r="E356" s="15">
        <v>0</v>
      </c>
      <c r="F356" s="15">
        <v>0</v>
      </c>
      <c r="G356" s="15">
        <v>0</v>
      </c>
      <c r="H356" s="15" t="s">
        <v>1124</v>
      </c>
      <c r="I356" s="15" t="s">
        <v>1124</v>
      </c>
      <c r="J356" s="74"/>
      <c r="K356" s="249">
        <f>((F356 * J356) * 10 ^ -3)</f>
        <v>0</v>
      </c>
      <c r="L356" s="15" t="str">
        <f t="shared" si="1"/>
        <v>t CO2e / 0</v>
      </c>
      <c r="M356" s="33"/>
      <c r="N356" s="13"/>
      <c r="O356" s="33"/>
    </row>
    <row r="357" spans="1:41" ht="20.100000000000001" customHeight="1" x14ac:dyDescent="0.2">
      <c r="D357" s="15">
        <v>0</v>
      </c>
      <c r="E357" s="15">
        <v>0</v>
      </c>
      <c r="F357" s="15">
        <v>0</v>
      </c>
      <c r="G357" s="15">
        <v>0</v>
      </c>
      <c r="H357" s="15" t="s">
        <v>1124</v>
      </c>
      <c r="I357" s="15" t="s">
        <v>1124</v>
      </c>
      <c r="J357" s="74"/>
      <c r="K357" s="249">
        <f>((F357 * J357) * 10 ^ -3)</f>
        <v>0</v>
      </c>
      <c r="L357" s="15" t="str">
        <f t="shared" si="1"/>
        <v>t CO2e / 0</v>
      </c>
      <c r="M357" s="33"/>
      <c r="N357" s="13"/>
      <c r="O357" s="33"/>
    </row>
    <row r="358" spans="1:41" ht="20.100000000000001" customHeight="1" x14ac:dyDescent="0.2">
      <c r="D358" s="15">
        <v>0</v>
      </c>
      <c r="E358" s="15">
        <v>0</v>
      </c>
      <c r="F358" s="15">
        <v>0</v>
      </c>
      <c r="G358" s="15">
        <v>0</v>
      </c>
      <c r="H358" s="15" t="s">
        <v>1124</v>
      </c>
      <c r="I358" s="15" t="s">
        <v>1124</v>
      </c>
      <c r="J358" s="74"/>
      <c r="K358" s="249">
        <f>((F358 * J358) * 10 ^ -3)</f>
        <v>0</v>
      </c>
      <c r="L358" s="15" t="str">
        <f t="shared" si="1"/>
        <v>t CO2e / 0</v>
      </c>
      <c r="M358" s="33"/>
      <c r="N358" s="13"/>
      <c r="O358" s="33"/>
    </row>
    <row r="359" spans="1:41" ht="20.100000000000001" customHeight="1" x14ac:dyDescent="0.2">
      <c r="D359" s="15">
        <v>0</v>
      </c>
      <c r="E359" s="15">
        <v>0</v>
      </c>
      <c r="F359" s="15">
        <v>0</v>
      </c>
      <c r="G359" s="15">
        <v>0</v>
      </c>
      <c r="H359" s="15" t="s">
        <v>1124</v>
      </c>
      <c r="I359" s="15" t="s">
        <v>1124</v>
      </c>
      <c r="J359" s="74"/>
      <c r="K359" s="249">
        <f>((F359 * J359) * 10 ^ -3)</f>
        <v>0</v>
      </c>
      <c r="L359" s="15" t="str">
        <f t="shared" si="1"/>
        <v>t CO2e / 0</v>
      </c>
      <c r="M359" s="33"/>
      <c r="N359" s="13"/>
      <c r="O359" s="33"/>
    </row>
    <row r="360" spans="1:41" ht="20.100000000000001" customHeight="1" x14ac:dyDescent="0.2">
      <c r="D360" s="15">
        <v>0</v>
      </c>
      <c r="E360" s="15">
        <v>0</v>
      </c>
      <c r="F360" s="15">
        <v>0</v>
      </c>
      <c r="G360" s="15">
        <v>0</v>
      </c>
      <c r="H360" s="15" t="s">
        <v>1124</v>
      </c>
      <c r="I360" s="15" t="s">
        <v>1124</v>
      </c>
      <c r="J360" s="74"/>
      <c r="K360" s="249">
        <f>((F360 * J360) * 10 ^ -3)</f>
        <v>0</v>
      </c>
      <c r="L360" s="15" t="str">
        <f t="shared" si="1"/>
        <v>t CO2e / 0</v>
      </c>
      <c r="M360" s="33"/>
      <c r="N360" s="13"/>
      <c r="O360" s="33"/>
    </row>
    <row r="362" spans="1:41" ht="20.100000000000001" customHeight="1" x14ac:dyDescent="0.2">
      <c r="D362" s="251" t="s">
        <v>1036</v>
      </c>
      <c r="E362" s="86" t="s">
        <v>1124</v>
      </c>
      <c r="F362" s="95" t="str">
        <f>$E$170</f>
        <v>t CO2e</v>
      </c>
    </row>
    <row r="363" spans="1:41" ht="20.100000000000001" customHeight="1" x14ac:dyDescent="0.2">
      <c r="D363" s="251" t="s">
        <v>1039</v>
      </c>
      <c r="E363" s="86">
        <f>SUM(K351:K360)</f>
        <v>42</v>
      </c>
      <c r="F363" s="95" t="str">
        <f>$E$170</f>
        <v>t CO2e</v>
      </c>
    </row>
    <row r="366" spans="1:41" ht="20.100000000000001" customHeight="1" x14ac:dyDescent="0.2">
      <c r="A366" s="79" t="str">
        <f>HYPERLINK("#A1", "▲ Back to top")</f>
        <v>▲ Back to top</v>
      </c>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row>
    <row r="367" spans="1:41" ht="20.100000000000001" customHeight="1" x14ac:dyDescent="0.2">
      <c r="D367" s="2" t="s">
        <v>1522</v>
      </c>
    </row>
    <row r="368" spans="1:41" ht="20.100000000000001" customHeight="1" x14ac:dyDescent="0.2">
      <c r="D368" s="17" t="s">
        <v>1523</v>
      </c>
    </row>
    <row r="369" spans="4:13" ht="20.100000000000001" customHeight="1" x14ac:dyDescent="0.2">
      <c r="D369" s="25" t="s">
        <v>1524</v>
      </c>
    </row>
    <row r="370" spans="4:13" ht="20.100000000000001" customHeight="1" x14ac:dyDescent="0.2">
      <c r="D370" s="112"/>
      <c r="E370" s="112"/>
    </row>
    <row r="374" spans="4:13" ht="20.100000000000001" customHeight="1" x14ac:dyDescent="0.2">
      <c r="D374" s="75" t="s">
        <v>321</v>
      </c>
      <c r="E374" s="1" t="s">
        <v>1143</v>
      </c>
    </row>
    <row r="375" spans="4:13" ht="20.100000000000001" customHeight="1" x14ac:dyDescent="0.2">
      <c r="D375" s="75" t="s">
        <v>118</v>
      </c>
      <c r="E375" s="9" t="s">
        <v>7</v>
      </c>
    </row>
    <row r="377" spans="4:13" ht="20.100000000000001" customHeight="1" x14ac:dyDescent="0.2">
      <c r="D377" s="113" t="s">
        <v>1525</v>
      </c>
      <c r="E377" s="113" t="s">
        <v>1526</v>
      </c>
      <c r="F377" s="113" t="s">
        <v>1529</v>
      </c>
      <c r="G377" s="247" t="s">
        <v>1196</v>
      </c>
    </row>
    <row r="378" spans="4:13" ht="20.100000000000001" customHeight="1" x14ac:dyDescent="0.2">
      <c r="D378" s="113" t="s">
        <v>1516</v>
      </c>
      <c r="E378" s="113" t="s">
        <v>1527</v>
      </c>
      <c r="F378" s="113" t="s">
        <v>1530</v>
      </c>
      <c r="G378" s="115" t="s">
        <v>1227</v>
      </c>
    </row>
    <row r="379" spans="4:13" ht="20.100000000000001" customHeight="1" x14ac:dyDescent="0.2">
      <c r="D379" s="113" t="s">
        <v>1518</v>
      </c>
      <c r="E379" s="113" t="s">
        <v>1528</v>
      </c>
      <c r="F379" s="113"/>
      <c r="G379" s="247" t="s">
        <v>1196</v>
      </c>
    </row>
    <row r="381" spans="4:13" ht="20.100000000000001" customHeight="1" x14ac:dyDescent="0.2">
      <c r="D381" s="78" t="s">
        <v>1030</v>
      </c>
      <c r="E381" s="248" t="s">
        <v>1125</v>
      </c>
      <c r="F381" s="248" t="s">
        <v>1126</v>
      </c>
      <c r="G381" s="120" t="s">
        <v>1127</v>
      </c>
      <c r="H381" s="120" t="s">
        <v>1036</v>
      </c>
      <c r="I381" s="78" t="s">
        <v>1128</v>
      </c>
      <c r="J381" s="120" t="s">
        <v>1039</v>
      </c>
      <c r="K381" s="78" t="s">
        <v>1040</v>
      </c>
      <c r="L381" s="78" t="s">
        <v>1041</v>
      </c>
      <c r="M381" s="78" t="s">
        <v>1042</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9">
        <f>((F382 * G382) * 10 ^ -3)</f>
        <v>0</v>
      </c>
      <c r="I382" s="74">
        <v>3</v>
      </c>
      <c r="J382" s="249">
        <f>((F382 * (IF(I382,I382,G382))) * 10 ^ -3)</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9">
        <f>((F383 * G383) * 10 ^ -3)</f>
        <v>0</v>
      </c>
      <c r="I383" s="74"/>
      <c r="J383" s="249">
        <f>((F383 * (IF(I383,I383,G383))) * 10 ^ -3)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9">
        <f>((F384 * G384) * 10 ^ -3)</f>
        <v>0</v>
      </c>
      <c r="I384" s="74"/>
      <c r="J384" s="249">
        <f>((F384 * (IF(I384,I384,G384))) * 10 ^ -3)</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9">
        <f>((F385 * G385) * 10 ^ -3)</f>
        <v>0</v>
      </c>
      <c r="I385" s="74"/>
      <c r="J385" s="249">
        <f>((F385 * (IF(I385,I385,G385))) * 10 ^ -3)</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9">
        <f>((F386 * G386) * 10 ^ -3)</f>
        <v>0</v>
      </c>
      <c r="I386" s="74"/>
      <c r="J386" s="249">
        <f>((F386 * (IF(I386,I386,G386))) * 10 ^ -3)</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9">
        <f>((F387 * G387) * 10 ^ -3)</f>
        <v>0</v>
      </c>
      <c r="I387" s="74"/>
      <c r="J387" s="249">
        <f>((F387 * (IF(I387,I387,G387))) * 10 ^ -3)</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49">
        <f>((F388 * G388) * 10 ^ -3)</f>
        <v>0</v>
      </c>
      <c r="I388" s="74"/>
      <c r="J388" s="249">
        <f>((F388 * (IF(I388,I388,G388))) * 10 ^ -3)</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49">
        <f>((F389 * G389) * 10 ^ -3)</f>
        <v>0</v>
      </c>
      <c r="I389" s="74"/>
      <c r="J389" s="249">
        <f>((F389 * (IF(I389,I389,G389))) * 10 ^ -3)</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9">
        <f>((F390 * G390) * 10 ^ -3)</f>
        <v>0</v>
      </c>
      <c r="I390" s="74"/>
      <c r="J390" s="249">
        <f>((F390 * (IF(I390,I390,G390))) * 10 ^ -3)</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9">
        <f>((F391 * G391) * 10 ^ -3)</f>
        <v>0</v>
      </c>
      <c r="I391" s="74"/>
      <c r="J391" s="249">
        <f>((F391 * (IF(I391,I391,G391))) * 10 ^ -3)</f>
        <v>0</v>
      </c>
      <c r="K391" s="33"/>
      <c r="L391" s="13"/>
      <c r="M391" s="33"/>
    </row>
    <row r="393" spans="1:41" ht="20.100000000000001" customHeight="1" x14ac:dyDescent="0.2">
      <c r="D393" s="251" t="s">
        <v>1036</v>
      </c>
      <c r="E393" s="86">
        <f>SUM(H382:H391)</f>
        <v>0</v>
      </c>
      <c r="F393" s="95" t="str">
        <f>$E$170</f>
        <v>t CO2e</v>
      </c>
    </row>
    <row r="394" spans="1:41" ht="20.100000000000001" customHeight="1" x14ac:dyDescent="0.2">
      <c r="D394" s="251" t="s">
        <v>1039</v>
      </c>
      <c r="E394" s="86">
        <f>SUM(J382:J391)</f>
        <v>0</v>
      </c>
      <c r="F394" s="95" t="str">
        <f>$E$170</f>
        <v>t CO2e</v>
      </c>
    </row>
    <row r="396" spans="1:41" ht="20.100000000000001" customHeight="1" x14ac:dyDescent="0.2">
      <c r="A396" s="79" t="str">
        <f>HYPERLINK("#A1", "▲ Back to top")</f>
        <v>▲ Back to top</v>
      </c>
    </row>
    <row r="397" spans="1:41" ht="20.100000000000001" customHeight="1" x14ac:dyDescent="0.2">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row>
    <row r="398" spans="1:41" ht="20.100000000000001" customHeight="1" x14ac:dyDescent="0.2">
      <c r="D398" s="2" t="s">
        <v>1531</v>
      </c>
    </row>
    <row r="399" spans="1:41" ht="20.100000000000001" customHeight="1" x14ac:dyDescent="0.2">
      <c r="D399" s="17" t="s">
        <v>1532</v>
      </c>
    </row>
    <row r="400" spans="1:41" ht="20.100000000000001" customHeight="1" x14ac:dyDescent="0.2">
      <c r="D400" s="112"/>
      <c r="E400" s="112"/>
    </row>
    <row r="403" spans="4:14" ht="20.100000000000001" customHeight="1" x14ac:dyDescent="0.2">
      <c r="G403" s="112"/>
    </row>
    <row r="404" spans="4:14" ht="20.100000000000001" customHeight="1" x14ac:dyDescent="0.2">
      <c r="D404" s="75" t="s">
        <v>321</v>
      </c>
      <c r="E404" s="1" t="s">
        <v>1143</v>
      </c>
    </row>
    <row r="405" spans="4:14" ht="20.100000000000001" customHeight="1" x14ac:dyDescent="0.2">
      <c r="D405" s="75" t="s">
        <v>118</v>
      </c>
      <c r="E405" s="1" t="s">
        <v>7</v>
      </c>
    </row>
    <row r="407" spans="4:14" ht="20.100000000000001" customHeight="1" x14ac:dyDescent="0.2">
      <c r="D407" s="113" t="s">
        <v>1533</v>
      </c>
      <c r="E407" s="113" t="s">
        <v>1534</v>
      </c>
      <c r="F407" s="113" t="s">
        <v>1538</v>
      </c>
      <c r="G407" s="247" t="s">
        <v>1196</v>
      </c>
    </row>
    <row r="408" spans="4:14" ht="20.100000000000001" customHeight="1" x14ac:dyDescent="0.2">
      <c r="D408" s="113" t="s">
        <v>1535</v>
      </c>
      <c r="E408" s="113" t="s">
        <v>1536</v>
      </c>
      <c r="F408" s="113" t="s">
        <v>1539</v>
      </c>
      <c r="G408" s="115" t="s">
        <v>1227</v>
      </c>
    </row>
    <row r="409" spans="4:14" ht="20.100000000000001" customHeight="1" x14ac:dyDescent="0.2">
      <c r="D409" s="113" t="s">
        <v>1362</v>
      </c>
      <c r="E409" s="113" t="s">
        <v>1537</v>
      </c>
      <c r="F409" s="113"/>
      <c r="G409" s="247" t="s">
        <v>1196</v>
      </c>
    </row>
    <row r="411" spans="4:14" ht="20.100000000000001" customHeight="1" x14ac:dyDescent="0.2">
      <c r="D411" s="25" t="s">
        <v>1118</v>
      </c>
    </row>
    <row r="413" spans="4:14" ht="20.100000000000001" customHeight="1" x14ac:dyDescent="0.2">
      <c r="D413" s="78" t="s">
        <v>1129</v>
      </c>
      <c r="E413" s="78" t="s">
        <v>959</v>
      </c>
      <c r="F413" s="78" t="s">
        <v>584</v>
      </c>
      <c r="G413" s="120" t="s">
        <v>1119</v>
      </c>
      <c r="H413" s="120" t="s">
        <v>1120</v>
      </c>
      <c r="I413" s="78" t="s">
        <v>1121</v>
      </c>
      <c r="J413" s="120" t="s">
        <v>1122</v>
      </c>
      <c r="K413" s="120" t="s">
        <v>1123</v>
      </c>
      <c r="L413" s="78" t="s">
        <v>1040</v>
      </c>
      <c r="M413" s="78" t="s">
        <v>1041</v>
      </c>
      <c r="N413" s="78" t="s">
        <v>1042</v>
      </c>
    </row>
    <row r="414" spans="4:14" ht="20.100000000000001" customHeight="1" x14ac:dyDescent="0.2">
      <c r="D414" s="15"/>
      <c r="E414" s="15"/>
      <c r="F414" s="15"/>
      <c r="G414" s="15" t="s">
        <v>1124</v>
      </c>
      <c r="H414" s="15" t="s">
        <v>1124</v>
      </c>
      <c r="I414" s="74">
        <v>4</v>
      </c>
      <c r="J414" s="249">
        <f>((E414 * I414) * 10 ^ -3)</f>
        <v>0</v>
      </c>
      <c r="K414" s="15" t="str">
        <f>"t CO2e / " &amp; F414</f>
        <v xml:space="preserve">t CO2e / </v>
      </c>
      <c r="L414" s="33"/>
      <c r="M414" s="13"/>
      <c r="N414" s="33"/>
    </row>
    <row r="415" spans="4:14" ht="20.100000000000001" customHeight="1" x14ac:dyDescent="0.2">
      <c r="D415" s="15"/>
      <c r="E415" s="15"/>
      <c r="F415" s="15"/>
      <c r="G415" s="15" t="s">
        <v>1124</v>
      </c>
      <c r="H415" s="15" t="s">
        <v>1124</v>
      </c>
      <c r="I415" s="74">
        <v>2</v>
      </c>
      <c r="J415" s="249">
        <f>((E415 * I415) * 10 ^ -3)</f>
        <v>0</v>
      </c>
      <c r="K415" s="15" t="str">
        <f t="shared" ref="K415:K423" si="2">"t CO2e / " &amp; F415</f>
        <v xml:space="preserve">t CO2e / </v>
      </c>
      <c r="L415" s="33"/>
      <c r="M415" s="13"/>
      <c r="N415" s="33"/>
    </row>
    <row r="416" spans="4:14" ht="20.100000000000001" customHeight="1" x14ac:dyDescent="0.2">
      <c r="D416" s="15"/>
      <c r="E416" s="15"/>
      <c r="F416" s="15"/>
      <c r="G416" s="15" t="s">
        <v>1124</v>
      </c>
      <c r="H416" s="15" t="s">
        <v>1124</v>
      </c>
      <c r="I416" s="74"/>
      <c r="J416" s="249">
        <f>((E416 * I416) * 10 ^ -3)</f>
        <v>0</v>
      </c>
      <c r="K416" s="15" t="str">
        <f t="shared" si="2"/>
        <v xml:space="preserve">t CO2e / </v>
      </c>
      <c r="L416" s="33"/>
      <c r="M416" s="13"/>
      <c r="N416" s="33"/>
    </row>
    <row r="417" spans="1:41" ht="20.100000000000001" customHeight="1" x14ac:dyDescent="0.2">
      <c r="D417" s="15"/>
      <c r="E417" s="15"/>
      <c r="F417" s="15"/>
      <c r="G417" s="15" t="s">
        <v>1124</v>
      </c>
      <c r="H417" s="15" t="s">
        <v>1124</v>
      </c>
      <c r="I417" s="74"/>
      <c r="J417" s="249">
        <f>((E417 * I417) * 10 ^ -3)</f>
        <v>0</v>
      </c>
      <c r="K417" s="15" t="str">
        <f t="shared" si="2"/>
        <v xml:space="preserve">t CO2e / </v>
      </c>
      <c r="L417" s="33"/>
      <c r="M417" s="13"/>
      <c r="N417" s="33"/>
    </row>
    <row r="418" spans="1:41" ht="20.100000000000001" customHeight="1" x14ac:dyDescent="0.2">
      <c r="D418" s="15"/>
      <c r="E418" s="15"/>
      <c r="F418" s="15"/>
      <c r="G418" s="15" t="s">
        <v>1124</v>
      </c>
      <c r="H418" s="15" t="s">
        <v>1124</v>
      </c>
      <c r="I418" s="74"/>
      <c r="J418" s="249">
        <f>((E418 * I418) * 10 ^ -3)</f>
        <v>0</v>
      </c>
      <c r="K418" s="15" t="str">
        <f t="shared" si="2"/>
        <v xml:space="preserve">t CO2e / </v>
      </c>
      <c r="L418" s="33"/>
      <c r="M418" s="13"/>
      <c r="N418" s="33"/>
    </row>
    <row r="419" spans="1:41" ht="20.100000000000001" customHeight="1" x14ac:dyDescent="0.2">
      <c r="D419" s="15"/>
      <c r="E419" s="15"/>
      <c r="F419" s="15"/>
      <c r="G419" s="15" t="s">
        <v>1124</v>
      </c>
      <c r="H419" s="15" t="s">
        <v>1124</v>
      </c>
      <c r="I419" s="74"/>
      <c r="J419" s="249">
        <f>((E419 * I419) * 10 ^ -3)</f>
        <v>0</v>
      </c>
      <c r="K419" s="15" t="str">
        <f t="shared" si="2"/>
        <v xml:space="preserve">t CO2e / </v>
      </c>
      <c r="L419" s="33"/>
      <c r="M419" s="13"/>
      <c r="N419" s="33"/>
    </row>
    <row r="420" spans="1:41" ht="20.100000000000001" customHeight="1" x14ac:dyDescent="0.2">
      <c r="D420" s="15"/>
      <c r="E420" s="15"/>
      <c r="F420" s="15"/>
      <c r="G420" s="15" t="s">
        <v>1124</v>
      </c>
      <c r="H420" s="15" t="s">
        <v>1124</v>
      </c>
      <c r="I420" s="74"/>
      <c r="J420" s="249">
        <f>((E420 * I420) * 10 ^ -3)</f>
        <v>0</v>
      </c>
      <c r="K420" s="15" t="str">
        <f t="shared" si="2"/>
        <v xml:space="preserve">t CO2e / </v>
      </c>
      <c r="L420" s="33"/>
      <c r="M420" s="13"/>
      <c r="N420" s="33"/>
    </row>
    <row r="421" spans="1:41" ht="20.100000000000001" customHeight="1" x14ac:dyDescent="0.2">
      <c r="D421" s="15"/>
      <c r="E421" s="15"/>
      <c r="F421" s="15"/>
      <c r="G421" s="15" t="s">
        <v>1124</v>
      </c>
      <c r="H421" s="15" t="s">
        <v>1124</v>
      </c>
      <c r="I421" s="74"/>
      <c r="J421" s="249">
        <f>((E421 * I421) * 10 ^ -3)</f>
        <v>0</v>
      </c>
      <c r="K421" s="15" t="str">
        <f t="shared" si="2"/>
        <v xml:space="preserve">t CO2e / </v>
      </c>
      <c r="L421" s="33"/>
      <c r="M421" s="13"/>
      <c r="N421" s="33"/>
    </row>
    <row r="422" spans="1:41" ht="20.100000000000001" customHeight="1" x14ac:dyDescent="0.2">
      <c r="D422" s="15"/>
      <c r="E422" s="15"/>
      <c r="F422" s="15"/>
      <c r="G422" s="15" t="s">
        <v>1124</v>
      </c>
      <c r="H422" s="15" t="s">
        <v>1124</v>
      </c>
      <c r="I422" s="74"/>
      <c r="J422" s="249">
        <f>((E422 * I422) * 10 ^ -3)</f>
        <v>0</v>
      </c>
      <c r="K422" s="15" t="str">
        <f t="shared" si="2"/>
        <v xml:space="preserve">t CO2e / </v>
      </c>
      <c r="L422" s="33"/>
      <c r="M422" s="13"/>
      <c r="N422" s="33"/>
    </row>
    <row r="423" spans="1:41" ht="20.100000000000001" customHeight="1" x14ac:dyDescent="0.2">
      <c r="D423" s="15"/>
      <c r="E423" s="15"/>
      <c r="F423" s="15"/>
      <c r="G423" s="15" t="s">
        <v>1124</v>
      </c>
      <c r="H423" s="15" t="s">
        <v>1124</v>
      </c>
      <c r="I423" s="74"/>
      <c r="J423" s="249">
        <f>((E423 * I423) * 10 ^ -3)</f>
        <v>0</v>
      </c>
      <c r="K423" s="15" t="str">
        <f t="shared" si="2"/>
        <v xml:space="preserve">t CO2e / </v>
      </c>
      <c r="L423" s="33"/>
      <c r="M423" s="13"/>
      <c r="N423" s="33"/>
    </row>
    <row r="425" spans="1:41" ht="20.100000000000001" customHeight="1" x14ac:dyDescent="0.2">
      <c r="D425" s="251" t="s">
        <v>1036</v>
      </c>
      <c r="E425" s="86" t="s">
        <v>1124</v>
      </c>
      <c r="F425" s="95" t="str">
        <f>$E$170</f>
        <v>t CO2e</v>
      </c>
    </row>
    <row r="426" spans="1:41" ht="20.100000000000001" customHeight="1" x14ac:dyDescent="0.2">
      <c r="A426" s="79" t="str">
        <f>HYPERLINK("#A1", "▲ Back to top")</f>
        <v>▲ Back to top</v>
      </c>
      <c r="D426" s="251" t="s">
        <v>1039</v>
      </c>
      <c r="E426" s="86">
        <f>SUM(J414:J423)</f>
        <v>0</v>
      </c>
      <c r="F426" s="95" t="str">
        <f>$E$170</f>
        <v>t CO2e</v>
      </c>
    </row>
    <row r="429" spans="1:41" ht="20.100000000000001" customHeight="1" x14ac:dyDescent="0.2">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row>
    <row r="430" spans="1:41" ht="20.100000000000001" customHeight="1" x14ac:dyDescent="0.2">
      <c r="D430" s="2" t="s">
        <v>1540</v>
      </c>
    </row>
    <row r="431" spans="1:41" ht="20.100000000000001" customHeight="1" x14ac:dyDescent="0.2">
      <c r="D431" s="17" t="s">
        <v>1541</v>
      </c>
    </row>
    <row r="432" spans="1:41" ht="20.100000000000001" customHeight="1" x14ac:dyDescent="0.2">
      <c r="D432" s="25" t="s">
        <v>1130</v>
      </c>
    </row>
    <row r="433" spans="4:13" ht="20.100000000000001" customHeight="1" x14ac:dyDescent="0.2">
      <c r="D433" s="112"/>
      <c r="E433" s="112"/>
    </row>
    <row r="436" spans="4:13" ht="20.100000000000001" customHeight="1" x14ac:dyDescent="0.2">
      <c r="D436" s="75" t="s">
        <v>321</v>
      </c>
      <c r="E436" s="1" t="s">
        <v>1542</v>
      </c>
    </row>
    <row r="437" spans="4:13" ht="20.100000000000001" customHeight="1" x14ac:dyDescent="0.2">
      <c r="D437" s="75" t="s">
        <v>118</v>
      </c>
      <c r="E437" s="9" t="s">
        <v>7</v>
      </c>
    </row>
    <row r="439" spans="4:13" ht="20.100000000000001" customHeight="1" x14ac:dyDescent="0.2">
      <c r="D439" s="113" t="s">
        <v>1543</v>
      </c>
      <c r="E439" s="121" t="s">
        <v>1544</v>
      </c>
      <c r="F439" s="122"/>
      <c r="G439" s="113" t="s">
        <v>1547</v>
      </c>
      <c r="H439" s="247" t="s">
        <v>1196</v>
      </c>
    </row>
    <row r="440" spans="4:13" ht="20.100000000000001" customHeight="1" x14ac:dyDescent="0.2">
      <c r="D440" s="113" t="s">
        <v>1545</v>
      </c>
      <c r="E440" s="121" t="s">
        <v>1546</v>
      </c>
      <c r="F440" s="122"/>
      <c r="G440" s="113" t="s">
        <v>1547</v>
      </c>
      <c r="H440" s="115" t="s">
        <v>1227</v>
      </c>
    </row>
    <row r="442" spans="4:13" ht="20.100000000000001" customHeight="1" x14ac:dyDescent="0.2">
      <c r="D442" s="240" t="s">
        <v>1131</v>
      </c>
    </row>
    <row r="444" spans="4:13" ht="20.100000000000001" customHeight="1" x14ac:dyDescent="0.2">
      <c r="D444" s="78" t="s">
        <v>1030</v>
      </c>
      <c r="E444" s="248" t="s">
        <v>1132</v>
      </c>
      <c r="F444" s="248" t="s">
        <v>1133</v>
      </c>
      <c r="G444" s="120" t="s">
        <v>119</v>
      </c>
      <c r="H444" s="120" t="s">
        <v>1036</v>
      </c>
      <c r="I444" s="78" t="s">
        <v>120</v>
      </c>
      <c r="J444" s="120" t="s">
        <v>1039</v>
      </c>
      <c r="K444" s="78" t="s">
        <v>1040</v>
      </c>
      <c r="L444" s="78" t="s">
        <v>1041</v>
      </c>
      <c r="M444" s="78" t="s">
        <v>1042</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9">
        <f>(F445 * (G445*10^-3))</f>
        <v>9.0700000000000003E-2</v>
      </c>
      <c r="I445" s="74">
        <v>1.3</v>
      </c>
      <c r="J445" s="249">
        <f>(F445 * (IF(I445,I445,G445)*10^-3))</f>
        <v>0.13</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9">
        <f>(F446 * (G446*10^-3))</f>
        <v>7.22E-2</v>
      </c>
      <c r="I446" s="74">
        <v>8</v>
      </c>
      <c r="J446" s="249">
        <f>(F446 * (IF(I446,I446,G446)*10^-3))</f>
        <v>0.8</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9">
        <f>(F447 * (G447*10^-3))</f>
        <v>8.0399999999999999E-2</v>
      </c>
      <c r="I447" s="74">
        <v>4</v>
      </c>
      <c r="J447" s="249">
        <f>(F447 * (IF(I447,I447,G447)*10^-3))</f>
        <v>0.4</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9">
        <f>(F448 * (G448*10^-3))</f>
        <v>8.0399999999999999E-2</v>
      </c>
      <c r="I448" s="74">
        <v>3</v>
      </c>
      <c r="J448" s="249">
        <f>(F448 * (IF(I448,I448,G448)*10^-3))</f>
        <v>0.3</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9">
        <f>(F449 * (G449*10^-3))</f>
        <v>9.0700000000000003E-2</v>
      </c>
      <c r="I449" s="74">
        <v>6</v>
      </c>
      <c r="J449" s="249">
        <f>(F449 * (IF(I449,I449,G449)*10^-3))</f>
        <v>0.6</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9">
        <f>(F450 * (G450*10^-3))</f>
        <v>9.0700000000000003E-2</v>
      </c>
      <c r="I450" s="74">
        <v>5</v>
      </c>
      <c r="J450" s="249">
        <f>(F450 * (IF(I450,I450,G450)*10^-3))</f>
        <v>0.5</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9">
        <f>(F451 * (G451*10^-3))</f>
        <v>0</v>
      </c>
      <c r="I451" s="74"/>
      <c r="J451" s="249">
        <f>(F451 * (IF(I451,I451,G451)*10^-3))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9">
        <f>(F452 * (G452*10^-3))</f>
        <v>0</v>
      </c>
      <c r="I452" s="74"/>
      <c r="J452" s="249">
        <f>(F452 * (IF(I452,I452,G452)*10^-3))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9">
        <f>(F453 * (G453*10^-3))</f>
        <v>0</v>
      </c>
      <c r="I453" s="74"/>
      <c r="J453" s="249">
        <f>(F453 * (IF(I453,I453,G453)*10^-3))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9">
        <f>(F454 * (G454*10^-3))</f>
        <v>0</v>
      </c>
      <c r="I454" s="74"/>
      <c r="J454" s="249">
        <f>(F454 * (IF(I454,I454,G454)*10^-3))</f>
        <v>0</v>
      </c>
      <c r="K454" s="33"/>
      <c r="L454" s="13"/>
      <c r="M454" s="33"/>
    </row>
    <row r="456" spans="1:13" ht="20.100000000000001" customHeight="1" x14ac:dyDescent="0.2">
      <c r="A456" s="79" t="str">
        <f>HYPERLINK("#A1", "▲ Back to top")</f>
        <v>▲ Back to top</v>
      </c>
      <c r="D456" s="251" t="s">
        <v>1036</v>
      </c>
      <c r="E456" s="86">
        <f>SUM(H445:H454)</f>
        <v>0.50509999999999999</v>
      </c>
      <c r="F456" s="95" t="str">
        <f>$E$170</f>
        <v>t CO2e</v>
      </c>
    </row>
    <row r="457" spans="1:13" ht="20.100000000000001" customHeight="1" x14ac:dyDescent="0.2">
      <c r="D457" s="251" t="s">
        <v>1039</v>
      </c>
      <c r="E457" s="86">
        <f>SUM(J445:J454)</f>
        <v>2.73</v>
      </c>
      <c r="F457" s="95" t="str">
        <f>$E$170</f>
        <v>t CO2e</v>
      </c>
    </row>
    <row r="460" spans="1:13" ht="20.100000000000001" customHeight="1" x14ac:dyDescent="0.2">
      <c r="D460" s="240" t="s">
        <v>1134</v>
      </c>
    </row>
    <row r="462" spans="1:13" ht="20.100000000000001" customHeight="1" x14ac:dyDescent="0.2">
      <c r="D462" s="78" t="s">
        <v>1030</v>
      </c>
      <c r="E462" s="248" t="s">
        <v>1132</v>
      </c>
      <c r="F462" s="248" t="s">
        <v>995</v>
      </c>
      <c r="G462" s="120" t="s">
        <v>1135</v>
      </c>
      <c r="H462" s="120" t="s">
        <v>1036</v>
      </c>
      <c r="I462" s="78" t="s">
        <v>1136</v>
      </c>
      <c r="J462" s="120" t="s">
        <v>1039</v>
      </c>
      <c r="K462" s="78" t="s">
        <v>1040</v>
      </c>
      <c r="L462" s="78" t="s">
        <v>1041</v>
      </c>
      <c r="M462" s="78" t="s">
        <v>1042</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49">
        <f>(F463 * (G463*10^-3))</f>
        <v>5.47E-3</v>
      </c>
      <c r="I463" s="74">
        <v>0.05</v>
      </c>
      <c r="J463" s="249">
        <f>(F463 * (IF(I463,I463,G463)*10^-3))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49">
        <f>(F464 * (G464*10^-3))</f>
        <v>1.42E-3</v>
      </c>
      <c r="I464" s="74">
        <v>0.01</v>
      </c>
      <c r="J464" s="249">
        <f>(F464 * (IF(I464,I464,G464)*10^-3))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49">
        <f>(F465 * (G465*10^-3))</f>
        <v>1.4300000000000001E-3</v>
      </c>
      <c r="I465" s="74">
        <v>0.01</v>
      </c>
      <c r="J465" s="249">
        <f>(F465 * (IF(I465,I465,G465)*10^-3))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49">
        <f>(F466 * (G466*10^-3))</f>
        <v>4.26E-4</v>
      </c>
      <c r="I466" s="74">
        <v>4.0000000000000001E-3</v>
      </c>
      <c r="J466" s="249">
        <f>(F466 * (IF(I466,I466,G466)*10^-3))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49">
        <f>(F467 * (G467*10^-3))</f>
        <v>5.47E-3</v>
      </c>
      <c r="I467" s="74">
        <v>0.05</v>
      </c>
      <c r="J467" s="249">
        <f>(F467 * (IF(I467,I467,G467)*10^-3))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49">
        <f>(F468 * (G468*10^-3))</f>
        <v>1.42E-3</v>
      </c>
      <c r="I468" s="74">
        <v>0.01</v>
      </c>
      <c r="J468" s="249">
        <f>(F468 * (IF(I468,I468,G468)*10^-3))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49">
        <f>(F469 * (G469*10^-3))</f>
        <v>0</v>
      </c>
      <c r="I469" s="74"/>
      <c r="J469" s="249">
        <f>(F469 * (IF(I469,I469,G469)*10^-3))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49">
        <f>(F470 * (G470*10^-3))</f>
        <v>0</v>
      </c>
      <c r="I470" s="74"/>
      <c r="J470" s="249">
        <f>(F470 * (IF(I470,I470,G470)*10^-3))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49">
        <f>(F471 * (G471*10^-3))</f>
        <v>0</v>
      </c>
      <c r="I471" s="74"/>
      <c r="J471" s="249">
        <f>(F471 * (IF(I471,I471,G471)*10^-3))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49">
        <f>(F472 * (G472*10^-3))</f>
        <v>0</v>
      </c>
      <c r="I472" s="74"/>
      <c r="J472" s="249">
        <f>(F472 * (IF(I472,I472,G472)*10^-3))</f>
        <v>0</v>
      </c>
      <c r="K472" s="33"/>
      <c r="L472" s="13"/>
      <c r="M472" s="33"/>
    </row>
    <row r="474" spans="4:13" ht="20.100000000000001" customHeight="1" x14ac:dyDescent="0.2">
      <c r="D474" s="251" t="s">
        <v>1036</v>
      </c>
      <c r="E474" s="86">
        <f>SUM(H463:H472)</f>
        <v>1.5636000000000001E-2</v>
      </c>
      <c r="F474" s="95" t="str">
        <f>$E$170</f>
        <v>t CO2e</v>
      </c>
    </row>
    <row r="475" spans="4:13" ht="20.100000000000001" customHeight="1" x14ac:dyDescent="0.2">
      <c r="D475" s="251" t="s">
        <v>1039</v>
      </c>
      <c r="E475" s="86">
        <f>SUM(J463:J472)</f>
        <v>1.3400000000000002E-2</v>
      </c>
      <c r="F475" s="95" t="str">
        <f>$E$170</f>
        <v>t CO2e</v>
      </c>
    </row>
    <row r="478" spans="4:13" ht="20.100000000000001" customHeight="1" x14ac:dyDescent="0.2">
      <c r="D478" s="240" t="s">
        <v>1137</v>
      </c>
    </row>
    <row r="480" spans="4:13" ht="20.100000000000001" customHeight="1" x14ac:dyDescent="0.2">
      <c r="D480" s="78" t="s">
        <v>947</v>
      </c>
      <c r="E480" s="78" t="s">
        <v>1138</v>
      </c>
      <c r="F480" s="120" t="s">
        <v>1135</v>
      </c>
      <c r="G480" s="120" t="s">
        <v>1036</v>
      </c>
      <c r="H480" s="78" t="s">
        <v>1136</v>
      </c>
      <c r="I480" s="120" t="s">
        <v>1039</v>
      </c>
      <c r="J480" s="78" t="s">
        <v>1040</v>
      </c>
      <c r="K480" s="78" t="s">
        <v>1041</v>
      </c>
      <c r="L480" s="78" t="s">
        <v>1042</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49">
        <f>(E481 * (F481*10^-3))</f>
        <v>0</v>
      </c>
      <c r="H481" s="74">
        <v>0.2</v>
      </c>
      <c r="I481" s="249">
        <f>(E481 * (IF(H481,H481,F481)*10^-3))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49">
        <f>(E482 * (F482*10^-3))</f>
        <v>0</v>
      </c>
      <c r="H482" s="74"/>
      <c r="I482" s="249">
        <f>(E482 * (IF(H482,H482,F482)*10^-3))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49">
        <f>(E483 * (F483*10^-3))</f>
        <v>0</v>
      </c>
      <c r="H483" s="74">
        <v>0.2</v>
      </c>
      <c r="I483" s="249">
        <f>(E483 * (IF(H483,H483,F483)*10^-3))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49">
        <f>(E484 * (F484*10^-3))</f>
        <v>0</v>
      </c>
      <c r="H484" s="74"/>
      <c r="I484" s="249">
        <f>(E484 * (IF(H484,H484,F484)*10^-3))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49">
        <f>(E485 * (F485*10^-3))</f>
        <v>0</v>
      </c>
      <c r="H485" s="74">
        <v>0.2</v>
      </c>
      <c r="I485" s="249">
        <f>(E485 * (IF(H485,H485,F485)*10^-3))</f>
        <v>0</v>
      </c>
      <c r="J485" s="33"/>
      <c r="K485" s="13"/>
      <c r="L485" s="33"/>
    </row>
    <row r="486" spans="1:12" ht="20.100000000000001" customHeight="1" x14ac:dyDescent="0.2">
      <c r="A486" s="79" t="str">
        <f>HYPERLINK("#A1", "▲ Back to top")</f>
        <v>▲ Back to top</v>
      </c>
    </row>
    <row r="487" spans="1:12" ht="20.100000000000001" customHeight="1" x14ac:dyDescent="0.2">
      <c r="D487" s="251" t="s">
        <v>1036</v>
      </c>
      <c r="E487" s="86">
        <f>SUM(G481:G485)</f>
        <v>0</v>
      </c>
      <c r="F487" s="95" t="str">
        <f>$E$170</f>
        <v>t CO2e</v>
      </c>
    </row>
    <row r="488" spans="1:12" ht="20.100000000000001" customHeight="1" x14ac:dyDescent="0.2">
      <c r="D488" s="251" t="s">
        <v>1039</v>
      </c>
      <c r="E488" s="86">
        <f>SUM(I481:I485)</f>
        <v>0</v>
      </c>
      <c r="F488" s="95" t="str">
        <f>$E$170</f>
        <v>t CO2e</v>
      </c>
    </row>
    <row r="491" spans="1:12" ht="20.100000000000001" customHeight="1" x14ac:dyDescent="0.2">
      <c r="D491" s="240" t="s">
        <v>1139</v>
      </c>
    </row>
    <row r="493" spans="1:12" ht="20.100000000000001" customHeight="1" x14ac:dyDescent="0.2">
      <c r="D493" s="78" t="s">
        <v>947</v>
      </c>
      <c r="E493" s="78" t="s">
        <v>1138</v>
      </c>
      <c r="F493" s="120" t="s">
        <v>1135</v>
      </c>
      <c r="G493" s="120" t="s">
        <v>1036</v>
      </c>
      <c r="H493" s="78" t="s">
        <v>1136</v>
      </c>
      <c r="I493" s="120" t="s">
        <v>1039</v>
      </c>
      <c r="J493" s="78" t="s">
        <v>1040</v>
      </c>
      <c r="K493" s="78" t="s">
        <v>1041</v>
      </c>
      <c r="L493" s="78" t="s">
        <v>1042</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49">
        <f>(E494 * (F494*10^-3))</f>
        <v>4.2399999999999998E-3</v>
      </c>
      <c r="H494" s="74">
        <v>0.2</v>
      </c>
      <c r="I494" s="249">
        <f>(E494 * (IF(H494,H494,F494)*10^-3))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49">
        <f>(E495 * (F495*10^-3))</f>
        <v>5.8599999999999998E-3</v>
      </c>
      <c r="H495" s="74"/>
      <c r="I495" s="249">
        <f>(E495 * (IF(H495,H495,F495)*10^-3))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9">
        <f>(E496 * (F496*10^-3))</f>
        <v>0</v>
      </c>
      <c r="H496" s="74">
        <v>0.2</v>
      </c>
      <c r="I496" s="249">
        <f>(E496 * (IF(H496,H496,F496)*10^-3))</f>
        <v>0</v>
      </c>
      <c r="J496" s="33"/>
      <c r="K496" s="13"/>
      <c r="L496" s="33"/>
    </row>
    <row r="498" spans="4:14" ht="20.100000000000001" customHeight="1" x14ac:dyDescent="0.2">
      <c r="D498" s="251" t="s">
        <v>1036</v>
      </c>
      <c r="E498" s="86">
        <f>SUM(G494:G496)</f>
        <v>1.01E-2</v>
      </c>
      <c r="F498" s="95" t="str">
        <f>$E$170</f>
        <v>t CO2e</v>
      </c>
    </row>
    <row r="499" spans="4:14" ht="20.100000000000001" customHeight="1" x14ac:dyDescent="0.2">
      <c r="D499" s="251" t="s">
        <v>1039</v>
      </c>
      <c r="E499" s="86">
        <f>SUM(I494:I496)</f>
        <v>2.5860000000000001E-2</v>
      </c>
      <c r="F499" s="95" t="str">
        <f>$E$170</f>
        <v>t CO2e</v>
      </c>
    </row>
    <row r="502" spans="4:14" ht="20.100000000000001" customHeight="1" x14ac:dyDescent="0.2">
      <c r="D502" s="240" t="s">
        <v>1140</v>
      </c>
    </row>
    <row r="504" spans="4:14" ht="20.100000000000001" customHeight="1" x14ac:dyDescent="0.2">
      <c r="D504" s="78" t="s">
        <v>947</v>
      </c>
      <c r="E504" s="78" t="s">
        <v>868</v>
      </c>
      <c r="F504" s="78" t="s">
        <v>584</v>
      </c>
      <c r="G504" s="120" t="s">
        <v>1119</v>
      </c>
      <c r="H504" s="120" t="s">
        <v>1120</v>
      </c>
      <c r="I504" s="78" t="s">
        <v>1121</v>
      </c>
      <c r="J504" s="78" t="s">
        <v>1141</v>
      </c>
      <c r="K504" s="120" t="s">
        <v>1122</v>
      </c>
      <c r="L504" s="78" t="s">
        <v>1040</v>
      </c>
      <c r="M504" s="78" t="s">
        <v>1041</v>
      </c>
      <c r="N504" s="78" t="s">
        <v>1042</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1124</v>
      </c>
      <c r="H505" s="15" t="s">
        <v>1124</v>
      </c>
      <c r="I505" s="74">
        <v>4</v>
      </c>
      <c r="J505" s="13" t="s">
        <v>1142</v>
      </c>
      <c r="K505" s="249">
        <f>(E505 * (IF(J505="kg / amount unit", I505*10^-3, I505)))</f>
        <v>4000</v>
      </c>
      <c r="L505" s="33"/>
      <c r="M505" s="13"/>
      <c r="N505" s="33"/>
    </row>
    <row r="506" spans="4:14" ht="20.100000000000001" customHeight="1" x14ac:dyDescent="0.2">
      <c r="D506" s="15">
        <v>0</v>
      </c>
      <c r="E506" s="15">
        <v>0</v>
      </c>
      <c r="F506" s="15">
        <v>0</v>
      </c>
      <c r="G506" s="15" t="s">
        <v>1124</v>
      </c>
      <c r="H506" s="15" t="s">
        <v>1124</v>
      </c>
      <c r="I506" s="74">
        <v>2</v>
      </c>
      <c r="J506" s="13" t="s">
        <v>1142</v>
      </c>
      <c r="K506" s="249">
        <f>(E506 * (IF(J506="kg / amount unit", I506*10^-3, I506)))</f>
        <v>0</v>
      </c>
      <c r="L506" s="33"/>
      <c r="M506" s="13"/>
      <c r="N506" s="33"/>
    </row>
    <row r="507" spans="4:14" ht="20.100000000000001" customHeight="1" x14ac:dyDescent="0.2">
      <c r="D507" s="15">
        <v>0</v>
      </c>
      <c r="E507" s="15">
        <v>0</v>
      </c>
      <c r="F507" s="15">
        <v>0</v>
      </c>
      <c r="G507" s="15" t="s">
        <v>1124</v>
      </c>
      <c r="H507" s="15" t="s">
        <v>1124</v>
      </c>
      <c r="I507" s="74"/>
      <c r="J507" s="13"/>
      <c r="K507" s="249">
        <f>(E507 * (IF(J507="kg / amount unit", I507*10^-3, I507)))</f>
        <v>0</v>
      </c>
      <c r="L507" s="33"/>
      <c r="M507" s="13"/>
      <c r="N507" s="33"/>
    </row>
    <row r="508" spans="4:14" ht="20.100000000000001" customHeight="1" x14ac:dyDescent="0.2">
      <c r="D508" s="15">
        <v>0</v>
      </c>
      <c r="E508" s="15">
        <v>0</v>
      </c>
      <c r="F508" s="15">
        <v>0</v>
      </c>
      <c r="G508" s="15" t="s">
        <v>1124</v>
      </c>
      <c r="H508" s="15" t="s">
        <v>1124</v>
      </c>
      <c r="I508" s="74"/>
      <c r="J508" s="13"/>
      <c r="K508" s="249">
        <f>(E508 * (IF(J508="kg / amount unit", I508*10^-3, I508)))</f>
        <v>0</v>
      </c>
      <c r="L508" s="33"/>
      <c r="M508" s="13"/>
      <c r="N508" s="33"/>
    </row>
    <row r="509" spans="4:14" ht="20.100000000000001" customHeight="1" x14ac:dyDescent="0.2">
      <c r="D509" s="15">
        <v>0</v>
      </c>
      <c r="E509" s="15">
        <v>0</v>
      </c>
      <c r="F509" s="15">
        <v>0</v>
      </c>
      <c r="G509" s="15" t="s">
        <v>1124</v>
      </c>
      <c r="H509" s="15" t="s">
        <v>1124</v>
      </c>
      <c r="I509" s="74"/>
      <c r="J509" s="13"/>
      <c r="K509" s="249">
        <f>(E509 * (IF(J509="kg / amount unit", I509*10^-3, I509)))</f>
        <v>0</v>
      </c>
      <c r="L509" s="33"/>
      <c r="M509" s="13"/>
      <c r="N509" s="33"/>
    </row>
    <row r="510" spans="4:14" ht="20.100000000000001" customHeight="1" x14ac:dyDescent="0.2">
      <c r="D510" s="15">
        <v>0</v>
      </c>
      <c r="E510" s="15">
        <v>0</v>
      </c>
      <c r="F510" s="15">
        <v>0</v>
      </c>
      <c r="G510" s="15" t="s">
        <v>1124</v>
      </c>
      <c r="H510" s="15" t="s">
        <v>1124</v>
      </c>
      <c r="I510" s="74"/>
      <c r="J510" s="13"/>
      <c r="K510" s="249">
        <f>(E510 * (IF(J510="kg / amount unit", I510*10^-3, I510)))</f>
        <v>0</v>
      </c>
      <c r="L510" s="33"/>
      <c r="M510" s="13"/>
      <c r="N510" s="33"/>
    </row>
    <row r="511" spans="4:14" ht="20.100000000000001" customHeight="1" x14ac:dyDescent="0.2">
      <c r="D511" s="15">
        <v>0</v>
      </c>
      <c r="E511" s="15">
        <v>0</v>
      </c>
      <c r="F511" s="15">
        <v>0</v>
      </c>
      <c r="G511" s="15" t="s">
        <v>1124</v>
      </c>
      <c r="H511" s="15" t="s">
        <v>1124</v>
      </c>
      <c r="I511" s="74"/>
      <c r="J511" s="13"/>
      <c r="K511" s="249">
        <f>(E511 * (IF(J511="kg / amount unit", I511*10^-3, I511)))</f>
        <v>0</v>
      </c>
      <c r="L511" s="33"/>
      <c r="M511" s="13"/>
      <c r="N511" s="33"/>
    </row>
    <row r="512" spans="4:14" ht="20.100000000000001" customHeight="1" x14ac:dyDescent="0.2">
      <c r="D512" s="15">
        <v>0</v>
      </c>
      <c r="E512" s="15">
        <v>0</v>
      </c>
      <c r="F512" s="15">
        <v>0</v>
      </c>
      <c r="G512" s="15" t="s">
        <v>1124</v>
      </c>
      <c r="H512" s="15" t="s">
        <v>1124</v>
      </c>
      <c r="I512" s="74"/>
      <c r="J512" s="13"/>
      <c r="K512" s="249">
        <f>(E512 * (IF(J512="kg / amount unit", I512*10^-3, I512)))</f>
        <v>0</v>
      </c>
      <c r="L512" s="33"/>
      <c r="M512" s="13"/>
      <c r="N512" s="33"/>
    </row>
    <row r="513" spans="1:41" ht="20.100000000000001" customHeight="1" x14ac:dyDescent="0.2">
      <c r="D513" s="15">
        <v>0</v>
      </c>
      <c r="E513" s="15">
        <v>0</v>
      </c>
      <c r="F513" s="15">
        <v>0</v>
      </c>
      <c r="G513" s="15" t="s">
        <v>1124</v>
      </c>
      <c r="H513" s="15" t="s">
        <v>1124</v>
      </c>
      <c r="I513" s="74"/>
      <c r="J513" s="13"/>
      <c r="K513" s="249">
        <f>(E513 * (IF(J513="kg / amount unit", I513*10^-3, I513)))</f>
        <v>0</v>
      </c>
      <c r="L513" s="33"/>
      <c r="M513" s="13"/>
      <c r="N513" s="33"/>
    </row>
    <row r="514" spans="1:41" ht="20.100000000000001" customHeight="1" x14ac:dyDescent="0.2">
      <c r="D514" s="15">
        <v>0</v>
      </c>
      <c r="E514" s="15">
        <v>0</v>
      </c>
      <c r="F514" s="15">
        <v>0</v>
      </c>
      <c r="G514" s="15" t="s">
        <v>1124</v>
      </c>
      <c r="H514" s="15" t="s">
        <v>1124</v>
      </c>
      <c r="I514" s="74"/>
      <c r="J514" s="13"/>
      <c r="K514" s="249">
        <f>(E514 * (IF(J514="kg / amount unit", I514*10^-3, I514)))</f>
        <v>0</v>
      </c>
      <c r="L514" s="33"/>
      <c r="M514" s="13"/>
      <c r="N514" s="33"/>
    </row>
    <row r="516" spans="1:41" ht="20.100000000000001" customHeight="1" x14ac:dyDescent="0.2">
      <c r="A516" s="79" t="str">
        <f>HYPERLINK("#A1", "▲ Back to top")</f>
        <v>▲ Back to top</v>
      </c>
      <c r="D516" s="251" t="s">
        <v>1036</v>
      </c>
      <c r="E516" s="86" t="s">
        <v>1124</v>
      </c>
      <c r="F516" s="95" t="str">
        <f>$E$170</f>
        <v>t CO2e</v>
      </c>
    </row>
    <row r="517" spans="1:41" ht="20.100000000000001" customHeight="1" x14ac:dyDescent="0.2">
      <c r="D517" s="251" t="s">
        <v>1039</v>
      </c>
      <c r="E517" s="86">
        <f>SUM(K505:K514)</f>
        <v>4000</v>
      </c>
      <c r="F517" s="95" t="str">
        <f>$E$170</f>
        <v>t CO2e</v>
      </c>
    </row>
    <row r="520" spans="1:41" ht="20.100000000000001" customHeight="1" x14ac:dyDescent="0.2">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row>
    <row r="521" spans="1:41" ht="20.100000000000001" customHeight="1" x14ac:dyDescent="0.2">
      <c r="D521" s="2" t="s">
        <v>1548</v>
      </c>
    </row>
    <row r="522" spans="1:41" ht="20.100000000000001" customHeight="1" x14ac:dyDescent="0.2">
      <c r="D522" s="17" t="s">
        <v>1549</v>
      </c>
    </row>
    <row r="523" spans="1:41" ht="20.100000000000001" customHeight="1" x14ac:dyDescent="0.2">
      <c r="D523" s="112"/>
      <c r="E523" s="112"/>
    </row>
    <row r="527" spans="1:41" ht="20.100000000000001" customHeight="1" x14ac:dyDescent="0.2">
      <c r="D527" s="75" t="s">
        <v>321</v>
      </c>
      <c r="E527" s="1" t="s">
        <v>1143</v>
      </c>
    </row>
    <row r="528" spans="1:41" ht="20.100000000000001" customHeight="1" x14ac:dyDescent="0.2">
      <c r="D528" s="75" t="s">
        <v>118</v>
      </c>
      <c r="E528" s="9" t="s">
        <v>7</v>
      </c>
    </row>
    <row r="530" spans="3:41" ht="20.100000000000001" customHeight="1" x14ac:dyDescent="0.2">
      <c r="D530" s="113" t="s">
        <v>1352</v>
      </c>
      <c r="E530" s="121" t="s">
        <v>1550</v>
      </c>
      <c r="F530" s="122"/>
      <c r="G530" s="113" t="s">
        <v>7</v>
      </c>
      <c r="H530" s="115" t="s">
        <v>1552</v>
      </c>
      <c r="I530" s="113">
        <f>VEERG_8_1_1_1__1_FuelCombustionTransport_Result</f>
        <v>20.5016</v>
      </c>
    </row>
    <row r="531" spans="3:41" ht="20.100000000000001" customHeight="1" x14ac:dyDescent="0.2">
      <c r="D531" s="113" t="s">
        <v>1379</v>
      </c>
      <c r="E531" s="121" t="s">
        <v>1551</v>
      </c>
      <c r="F531" s="122"/>
      <c r="G531" s="113" t="s">
        <v>7</v>
      </c>
      <c r="H531" s="115" t="s">
        <v>1553</v>
      </c>
      <c r="I531" s="113">
        <f>VEERG_8_2_1_1__1_FuelCombustionStationary_Result</f>
        <v>6.2923999999999998</v>
      </c>
    </row>
    <row r="533" spans="3:41" ht="20.100000000000001" customHeight="1" x14ac:dyDescent="0.2">
      <c r="D533" s="251" t="s">
        <v>1143</v>
      </c>
      <c r="E533" s="86">
        <f>(I530 + I531)</f>
        <v>26.794</v>
      </c>
      <c r="F533" s="95" t="str">
        <f>$E$170</f>
        <v>t CO2e</v>
      </c>
    </row>
    <row r="535" spans="3:41" ht="20.100000000000001" customHeight="1" x14ac:dyDescent="0.2">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row>
    <row r="536" spans="3:41" ht="20.100000000000001" customHeight="1" x14ac:dyDescent="0.2">
      <c r="D536" s="2" t="s">
        <v>1554</v>
      </c>
    </row>
    <row r="537" spans="3:41" ht="20.100000000000001" customHeight="1" x14ac:dyDescent="0.2">
      <c r="D537" s="17" t="s">
        <v>1555</v>
      </c>
    </row>
    <row r="538" spans="3:41" ht="20.100000000000001" customHeight="1" x14ac:dyDescent="0.2">
      <c r="D538" s="112"/>
      <c r="E538" s="112"/>
    </row>
    <row r="541" spans="3:41" ht="20.100000000000001" customHeight="1" x14ac:dyDescent="0.2">
      <c r="D541" s="75" t="s">
        <v>321</v>
      </c>
      <c r="E541" s="1" t="s">
        <v>1556</v>
      </c>
    </row>
    <row r="542" spans="3:41" ht="20.100000000000001" customHeight="1" x14ac:dyDescent="0.2">
      <c r="D542" s="75" t="s">
        <v>118</v>
      </c>
      <c r="E542" s="1" t="s">
        <v>7</v>
      </c>
    </row>
    <row r="544" spans="3:41" ht="20.100000000000001" customHeight="1" x14ac:dyDescent="0.2">
      <c r="D544" s="113" t="s">
        <v>1426</v>
      </c>
      <c r="E544" s="113" t="s">
        <v>1427</v>
      </c>
      <c r="F544" s="113"/>
      <c r="G544" s="113" t="s">
        <v>533</v>
      </c>
      <c r="H544" s="247" t="s">
        <v>1196</v>
      </c>
      <c r="I544" s="121">
        <f>X_Cell_Electricity_Location_AmountPurchasedInkWh</f>
        <v>30000</v>
      </c>
      <c r="J544" s="122"/>
    </row>
    <row r="545" spans="1:41" ht="20.100000000000001" customHeight="1" x14ac:dyDescent="0.2">
      <c r="D545" s="113" t="s">
        <v>1557</v>
      </c>
      <c r="E545" s="113" t="s">
        <v>1558</v>
      </c>
      <c r="F545" s="113"/>
      <c r="G545" s="113" t="s">
        <v>1431</v>
      </c>
      <c r="H545" s="115" t="s">
        <v>1227</v>
      </c>
      <c r="I545" s="121" cm="1">
        <f t="array" ref="I545">Common_InputFunctions.Utility_LookupValueInTableNumber(I546,Table_SourceData_ElectricityEFs[State, Territory or grid description],Table_SourceData_ElectricityEFs[Scope 3 Emission Factors (kg CO2-e/kWh)])</f>
        <v>0.09</v>
      </c>
      <c r="J545" s="122"/>
    </row>
    <row r="546" spans="1:41" ht="20.100000000000001" customHeight="1" x14ac:dyDescent="0.2">
      <c r="A546" s="79" t="str">
        <f>HYPERLINK("#A1", "▲ Back to top")</f>
        <v>▲ Back to top</v>
      </c>
      <c r="D546" s="113" t="s">
        <v>1362</v>
      </c>
      <c r="E546" s="121" t="s">
        <v>1559</v>
      </c>
      <c r="F546" s="122"/>
      <c r="G546" s="113"/>
      <c r="H546" s="247" t="s">
        <v>1196</v>
      </c>
      <c r="I546" s="121" t="str">
        <f>X_Cell_Electricity_Location_GridElectricityPurchasedFrom</f>
        <v>Western Australia - North Western Interconnected System (NWIS)</v>
      </c>
      <c r="J546" s="122"/>
    </row>
    <row r="548" spans="1:41" ht="20.100000000000001" customHeight="1" x14ac:dyDescent="0.2">
      <c r="D548" s="251" t="s">
        <v>1144</v>
      </c>
      <c r="E548" s="86">
        <f>((I544 * I545) * 10 ^ -3)</f>
        <v>2.7</v>
      </c>
      <c r="F548" s="95" t="str">
        <f>$E$170</f>
        <v>t CO2e</v>
      </c>
    </row>
    <row r="551" spans="1:41" ht="20.100000000000001" customHeight="1" x14ac:dyDescent="0.2">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row>
    <row r="552" spans="1:41" ht="20.100000000000001" customHeight="1" x14ac:dyDescent="0.2">
      <c r="D552" s="2" t="s">
        <v>1560</v>
      </c>
    </row>
    <row r="553" spans="1:41" ht="20.100000000000001" customHeight="1" x14ac:dyDescent="0.2">
      <c r="D553" s="17" t="s">
        <v>1561</v>
      </c>
    </row>
    <row r="554" spans="1:41" ht="20.100000000000001" customHeight="1" x14ac:dyDescent="0.2">
      <c r="D554" s="25" t="s">
        <v>1434</v>
      </c>
    </row>
    <row r="555" spans="1:41" ht="20.100000000000001" customHeight="1" x14ac:dyDescent="0.2">
      <c r="D555" s="112"/>
      <c r="E555" s="112"/>
    </row>
    <row r="559" spans="1:41" ht="20.100000000000001" customHeight="1" x14ac:dyDescent="0.2">
      <c r="D559" s="75" t="s">
        <v>321</v>
      </c>
      <c r="E559" s="1" t="s">
        <v>1556</v>
      </c>
    </row>
    <row r="560" spans="1:41" ht="20.100000000000001" customHeight="1" x14ac:dyDescent="0.2">
      <c r="D560" s="75" t="s">
        <v>118</v>
      </c>
      <c r="E560" s="1" t="s">
        <v>7</v>
      </c>
    </row>
    <row r="562" spans="1:41" ht="20.100000000000001" customHeight="1" x14ac:dyDescent="0.2">
      <c r="D562" s="113" t="s">
        <v>1426</v>
      </c>
      <c r="E562" s="121" t="s">
        <v>1427</v>
      </c>
      <c r="F562" s="122"/>
      <c r="G562" s="113" t="s">
        <v>533</v>
      </c>
      <c r="H562" s="247" t="s">
        <v>1196</v>
      </c>
      <c r="I562" s="252">
        <f>X_Cell_Electricity_Market_AmountPurchasedExcludingGreenPower</f>
        <v>30000</v>
      </c>
    </row>
    <row r="563" spans="1:41" ht="20.100000000000001" customHeight="1" x14ac:dyDescent="0.2">
      <c r="D563" s="113" t="s">
        <v>1435</v>
      </c>
      <c r="E563" s="121" t="s">
        <v>1562</v>
      </c>
      <c r="F563" s="122"/>
      <c r="G563" s="113" t="s">
        <v>299</v>
      </c>
      <c r="H563" s="247" t="s">
        <v>1196</v>
      </c>
      <c r="I563" s="144">
        <f>X_Cell_Electricity_Market_RenewablePowerPercentage</f>
        <v>0.1</v>
      </c>
    </row>
    <row r="564" spans="1:41" ht="20.100000000000001" customHeight="1" x14ac:dyDescent="0.2">
      <c r="D564" s="113" t="s">
        <v>1437</v>
      </c>
      <c r="E564" s="121" t="s">
        <v>1563</v>
      </c>
      <c r="F564" s="122"/>
      <c r="G564" s="113" t="s">
        <v>299</v>
      </c>
      <c r="H564" s="247" t="s">
        <v>1196</v>
      </c>
      <c r="I564" s="144">
        <f>X_Cell_Electricity_Market_JurisdictionalRenewablePowerPercentage</f>
        <v>0.1</v>
      </c>
    </row>
    <row r="565" spans="1:41" ht="20.100000000000001" customHeight="1" x14ac:dyDescent="0.2">
      <c r="D565" s="113" t="s">
        <v>1439</v>
      </c>
      <c r="E565" s="121" t="s">
        <v>1564</v>
      </c>
      <c r="F565" s="122"/>
      <c r="G565" s="113" t="s">
        <v>549</v>
      </c>
      <c r="H565" s="247" t="s">
        <v>1196</v>
      </c>
      <c r="I565" s="113">
        <f>(X_Cell_Electricity_Market_AmountPurchasedGreenPower*10^-3)+X_Cell_TotalElegibleVoluntarilySurrenderedRECs</f>
        <v>15</v>
      </c>
    </row>
    <row r="566" spans="1:41" ht="20.100000000000001" customHeight="1" x14ac:dyDescent="0.2">
      <c r="D566" s="113" t="s">
        <v>1441</v>
      </c>
      <c r="E566" s="121" t="s">
        <v>1565</v>
      </c>
      <c r="F566" s="122"/>
      <c r="G566" s="113" t="s">
        <v>549</v>
      </c>
      <c r="H566" s="247" t="s">
        <v>1196</v>
      </c>
      <c r="I566" s="113">
        <f>X_Cell_TotalElegibleRECsForElectricityProducedOnSite</f>
        <v>0</v>
      </c>
    </row>
    <row r="567" spans="1:41" ht="20.100000000000001" customHeight="1" x14ac:dyDescent="0.2">
      <c r="D567" s="113" t="s">
        <v>1566</v>
      </c>
      <c r="E567" s="121" t="s">
        <v>1567</v>
      </c>
      <c r="F567" s="122"/>
      <c r="G567" s="113" t="s">
        <v>1431</v>
      </c>
      <c r="H567" s="115" t="s">
        <v>1227</v>
      </c>
      <c r="I567" s="113" cm="1">
        <f t="array" ref="I567">Table_SourceData_ElectricityEFsMarketBased[Scope 3 EF (kg CO2-e/kWh)]</f>
        <v>0.1</v>
      </c>
    </row>
    <row r="568" spans="1:41" ht="20.100000000000001" customHeight="1" x14ac:dyDescent="0.2">
      <c r="D568" s="113" t="s">
        <v>1223</v>
      </c>
      <c r="E568" s="121" t="s">
        <v>1224</v>
      </c>
      <c r="F568" s="122"/>
      <c r="G568" s="113"/>
      <c r="H568" s="247" t="s">
        <v>1196</v>
      </c>
      <c r="I568" s="113" t="str">
        <f>X_Cell_Site_State</f>
        <v>Western Australia</v>
      </c>
    </row>
    <row r="570" spans="1:41" ht="20.100000000000001" customHeight="1" x14ac:dyDescent="0.2">
      <c r="D570" s="251" t="s">
        <v>1144</v>
      </c>
      <c r="E570" s="86">
        <f>(((I562 * (1 - (I563 + I564))) - ((I565 - I566) * 10 ^ 3)) * I567 * 10 ^ -3)</f>
        <v>0.9</v>
      </c>
      <c r="F570" s="95" t="str">
        <f>$E$170</f>
        <v>t CO2e</v>
      </c>
    </row>
    <row r="573" spans="1:41" ht="20.100000000000001" customHeight="1" x14ac:dyDescent="0.2">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row>
    <row r="574" spans="1:41" ht="20.100000000000001" customHeight="1" x14ac:dyDescent="0.2">
      <c r="D574" s="2" t="s">
        <v>1568</v>
      </c>
    </row>
    <row r="575" spans="1:41" ht="20.100000000000001" customHeight="1" x14ac:dyDescent="0.2">
      <c r="D575" s="17" t="s">
        <v>1569</v>
      </c>
    </row>
    <row r="576" spans="1:41" ht="20.100000000000001" customHeight="1" x14ac:dyDescent="0.2">
      <c r="A576" s="79" t="str">
        <f>HYPERLINK("#A1", "▲ Back to top")</f>
        <v>▲ Back to top</v>
      </c>
      <c r="D576" s="112"/>
      <c r="E576" s="112"/>
    </row>
    <row r="579" spans="4:18" ht="20.100000000000001" customHeight="1" x14ac:dyDescent="0.2">
      <c r="D579" s="75" t="s">
        <v>321</v>
      </c>
      <c r="E579" s="1" t="s">
        <v>1143</v>
      </c>
    </row>
    <row r="580" spans="4:18" ht="20.100000000000001" customHeight="1" x14ac:dyDescent="0.2">
      <c r="D580" s="75" t="s">
        <v>118</v>
      </c>
      <c r="E580" s="9" t="s">
        <v>12</v>
      </c>
    </row>
    <row r="582" spans="4:18" ht="20.100000000000001" customHeight="1" x14ac:dyDescent="0.2">
      <c r="D582" s="24" t="s">
        <v>130</v>
      </c>
      <c r="L582" s="24" t="s">
        <v>131</v>
      </c>
    </row>
    <row r="584" spans="4:18" ht="20.100000000000001" customHeight="1" x14ac:dyDescent="0.2">
      <c r="D584" s="113" t="s">
        <v>1570</v>
      </c>
      <c r="E584" s="121" t="s">
        <v>1571</v>
      </c>
      <c r="F584" s="132"/>
      <c r="G584" s="122"/>
      <c r="H584" s="113" t="s">
        <v>12</v>
      </c>
      <c r="I584" s="115" t="s">
        <v>1576</v>
      </c>
      <c r="J584" s="113">
        <f>IFERROR(VEERG_5_2_1_1__1_OrganicFertiliserApplicationN2OEmissions_Result_Method1, 0)</f>
        <v>7.8571428571428577E-3</v>
      </c>
      <c r="L584" s="113" t="s">
        <v>1570</v>
      </c>
      <c r="M584" s="121" t="s">
        <v>1571</v>
      </c>
      <c r="N584" s="132"/>
      <c r="O584" s="122"/>
      <c r="P584" s="113" t="s">
        <v>12</v>
      </c>
      <c r="Q584" s="115" t="s">
        <v>1576</v>
      </c>
      <c r="R584" s="113">
        <f>IFERROR(VEERG_5_2_1_1__1_OrganicFertiliserApplicationN2OEmissions_Result_Method2, 0)</f>
        <v>1.5714285714285715E-2</v>
      </c>
    </row>
    <row r="585" spans="4:18" ht="20.100000000000001" customHeight="1" x14ac:dyDescent="0.2">
      <c r="D585" s="113" t="s">
        <v>1572</v>
      </c>
      <c r="E585" s="121" t="s">
        <v>1573</v>
      </c>
      <c r="F585" s="132"/>
      <c r="G585" s="122"/>
      <c r="H585" s="113" t="s">
        <v>12</v>
      </c>
      <c r="I585" s="115" t="s">
        <v>1576</v>
      </c>
      <c r="J585" s="113">
        <f>IFERROR(VEERG_5_4_1_3__1_OrganicFertiliserAtmosphericDepositionN2OEmissions_Result_Method1, 0)</f>
        <v>1.6401E-3</v>
      </c>
      <c r="L585" s="113" t="s">
        <v>1572</v>
      </c>
      <c r="M585" s="121" t="s">
        <v>1573</v>
      </c>
      <c r="N585" s="132"/>
      <c r="O585" s="122"/>
      <c r="P585" s="113" t="s">
        <v>12</v>
      </c>
      <c r="Q585" s="115" t="s">
        <v>1576</v>
      </c>
      <c r="R585" s="113">
        <f>IFERROR(VEERG_5_4_1_3__1_OrganicFertiliserAtmosphericDepositionN2OEmissions_Result_Method2, 0)</f>
        <v>4.62E-3</v>
      </c>
    </row>
    <row r="586" spans="4:18" ht="20.100000000000001" customHeight="1" x14ac:dyDescent="0.2">
      <c r="D586" s="113" t="s">
        <v>1574</v>
      </c>
      <c r="E586" s="121" t="s">
        <v>1575</v>
      </c>
      <c r="F586" s="132"/>
      <c r="G586" s="122"/>
      <c r="H586" s="113" t="s">
        <v>12</v>
      </c>
      <c r="I586" s="115" t="s">
        <v>1576</v>
      </c>
      <c r="J586" s="113">
        <f>IFERROR(VEERG_5_5_1_1__1_FertiliserLeachingAndRunoffN2OEmissions_Result_Method1, 0)</f>
        <v>0</v>
      </c>
      <c r="L586" s="113" t="s">
        <v>1574</v>
      </c>
      <c r="M586" s="121" t="s">
        <v>1575</v>
      </c>
      <c r="N586" s="132"/>
      <c r="O586" s="122"/>
      <c r="P586" s="113" t="s">
        <v>12</v>
      </c>
      <c r="Q586" s="115" t="s">
        <v>1576</v>
      </c>
      <c r="R586" s="113">
        <f>IFERROR(VEERG_5_5_1_1__1_FertiliserLeachingAndRunoffN2OEmissions_Result_Method2, 0)</f>
        <v>8.2971428571428554E-3</v>
      </c>
    </row>
    <row r="588" spans="4:18" ht="20.100000000000001" customHeight="1" x14ac:dyDescent="0.2">
      <c r="D588" s="251" t="s">
        <v>1144</v>
      </c>
      <c r="E588" s="86">
        <f>(J584 + J585 + J586)</f>
        <v>9.4972428571428579E-3</v>
      </c>
      <c r="F588" s="95" t="str">
        <f>$E$580</f>
        <v>t N2O</v>
      </c>
      <c r="L588" s="251" t="s">
        <v>1144</v>
      </c>
      <c r="M588" s="86">
        <f>(R584 + R585 + R586)</f>
        <v>2.8631428571428572E-2</v>
      </c>
      <c r="N588" s="95" t="str">
        <f>$E$580</f>
        <v>t N2O</v>
      </c>
    </row>
    <row r="590" spans="4:18" ht="20.100000000000001" customHeight="1" x14ac:dyDescent="0.2">
      <c r="D590" s="124" t="str" cm="1">
        <f t="array" ref="D590:E591">Common_Equations.Common_ConvertN2OToCO2e_Arguments()</f>
        <v>EN2O</v>
      </c>
      <c r="E590" s="126" t="str">
        <v>Nitrous oxide emissions (t N2O)</v>
      </c>
      <c r="F590" s="127"/>
      <c r="G590" s="15">
        <f>E588</f>
        <v>9.4972428571428579E-3</v>
      </c>
      <c r="L590" s="124" t="str" cm="1">
        <f t="array" ref="L590:M591">Common_Equations.Common_ConvertN2OToCO2e_Arguments()</f>
        <v>EN2O</v>
      </c>
      <c r="M590" s="126" t="str">
        <v>Nitrous oxide emissions (t N2O)</v>
      </c>
      <c r="N590" s="127"/>
      <c r="O590" s="15">
        <f>M588</f>
        <v>2.8631428571428572E-2</v>
      </c>
    </row>
    <row r="591" spans="4:18" ht="20.100000000000001" customHeight="1" x14ac:dyDescent="0.2">
      <c r="D591" s="124" t="str">
        <v>GWPN2O</v>
      </c>
      <c r="E591" s="126" t="str">
        <v>Global warming potential for nitrous oxide (t CO2-e / t N2O)</v>
      </c>
      <c r="F591" s="127"/>
      <c r="G591" s="15">
        <f>Common_InputFunctions.Utility_LookupValueInTableNumber("N2O",Table_GWPData[Gas],Table_GWPData[CO2-e factor])</f>
        <v>265</v>
      </c>
      <c r="L591" s="124" t="str">
        <v>GWPN2O</v>
      </c>
      <c r="M591" s="126" t="str">
        <v>Global warming potential for nitrous oxide (t CO2-e / t N2O)</v>
      </c>
      <c r="N591" s="127"/>
      <c r="O591" s="15">
        <f>Common_InputFunctions.Utility_LookupValueInTableNumber("N2O",Table_GWPData[Gas],Table_GWPData[CO2-e factor])</f>
        <v>265</v>
      </c>
    </row>
    <row r="593" spans="1:41" ht="20.100000000000001" customHeight="1" x14ac:dyDescent="0.2">
      <c r="D593" s="83" t="s">
        <v>427</v>
      </c>
      <c r="E593" s="83" cm="1">
        <f t="array" ref="E593">Common_Equations.Common_ConvertN2OToCO2e(G590,G591)</f>
        <v>2.5167693571428575</v>
      </c>
      <c r="F593" s="89" t="str" cm="1">
        <f t="array" ref="F593">Common_Equations.Common_ConvertN2OToCO2e_Unit()</f>
        <v>t CO2e</v>
      </c>
      <c r="L593" s="83" t="s">
        <v>427</v>
      </c>
      <c r="M593" s="83" cm="1">
        <f t="array" ref="M593">Common_Equations.Common_ConvertN2OToCO2e(O590,O591)</f>
        <v>7.5873285714285714</v>
      </c>
      <c r="N593" s="89" t="str" cm="1">
        <f t="array" ref="N593">Common_Equations.Common_ConvertN2OToCO2e_Unit()</f>
        <v>t CO2e</v>
      </c>
    </row>
    <row r="596" spans="1:41" ht="20.100000000000001" customHeight="1" x14ac:dyDescent="0.2">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row>
    <row r="597" spans="1:41" ht="20.100000000000001" customHeight="1" x14ac:dyDescent="0.2">
      <c r="D597" s="2" t="s">
        <v>1577</v>
      </c>
    </row>
    <row r="598" spans="1:41" ht="20.100000000000001" customHeight="1" x14ac:dyDescent="0.2">
      <c r="D598" s="17" t="s">
        <v>1578</v>
      </c>
    </row>
    <row r="600" spans="1:41" ht="20.100000000000001" customHeight="1" x14ac:dyDescent="0.2">
      <c r="D600" s="75" t="s">
        <v>321</v>
      </c>
      <c r="E600" s="1" t="s">
        <v>1143</v>
      </c>
    </row>
    <row r="601" spans="1:41" ht="20.100000000000001" customHeight="1" x14ac:dyDescent="0.2">
      <c r="D601" s="75" t="s">
        <v>118</v>
      </c>
      <c r="E601" s="9" t="s">
        <v>7</v>
      </c>
    </row>
    <row r="603" spans="1:41" ht="20.100000000000001" customHeight="1" x14ac:dyDescent="0.2">
      <c r="D603" s="251" t="s">
        <v>1144</v>
      </c>
      <c r="E603" s="86">
        <f>VEERG_10_1_1_1__1_EmissionsFromWasteManagement_Scope3_Result_Method1</f>
        <v>441.15000000000003</v>
      </c>
      <c r="F603" s="95" t="str">
        <f>E601</f>
        <v>t CO2e</v>
      </c>
    </row>
    <row r="606" spans="1:41" ht="20.100000000000001" customHeight="1" x14ac:dyDescent="0.2">
      <c r="A606" s="79" t="str">
        <f>HYPERLINK("#A1", "▲ Back to top")</f>
        <v>▲ Back to top</v>
      </c>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row>
    <row r="607" spans="1:41" ht="20.100000000000001" customHeight="1" x14ac:dyDescent="0.2">
      <c r="D607" s="2" t="s">
        <v>1579</v>
      </c>
    </row>
    <row r="608" spans="1:41" ht="20.100000000000001" customHeight="1" x14ac:dyDescent="0.2">
      <c r="D608" s="17" t="s">
        <v>1580</v>
      </c>
    </row>
    <row r="609" spans="4:13" ht="20.100000000000001" customHeight="1" x14ac:dyDescent="0.2">
      <c r="D609" s="112"/>
      <c r="E609" s="112"/>
    </row>
    <row r="613" spans="4:13" ht="20.100000000000001" customHeight="1" x14ac:dyDescent="0.2">
      <c r="D613" s="75" t="s">
        <v>321</v>
      </c>
      <c r="E613" s="1" t="s">
        <v>1143</v>
      </c>
    </row>
    <row r="614" spans="4:13" ht="20.100000000000001" customHeight="1" x14ac:dyDescent="0.2">
      <c r="D614" s="75" t="s">
        <v>118</v>
      </c>
      <c r="E614" s="9" t="s">
        <v>7</v>
      </c>
    </row>
    <row r="616" spans="4:13" ht="20.100000000000001" customHeight="1" x14ac:dyDescent="0.2">
      <c r="D616" s="113" t="s">
        <v>1581</v>
      </c>
      <c r="E616" s="121" t="s">
        <v>1582</v>
      </c>
      <c r="F616" s="122"/>
      <c r="G616" s="113" t="s">
        <v>1398</v>
      </c>
      <c r="H616" s="247" t="s">
        <v>1196</v>
      </c>
    </row>
    <row r="617" spans="4:13" ht="20.100000000000001" customHeight="1" x14ac:dyDescent="0.2">
      <c r="D617" s="113" t="s">
        <v>1583</v>
      </c>
      <c r="E617" s="121" t="s">
        <v>1584</v>
      </c>
      <c r="F617" s="122"/>
      <c r="G617" s="113" t="s">
        <v>1587</v>
      </c>
      <c r="H617" s="247" t="s">
        <v>1196</v>
      </c>
    </row>
    <row r="618" spans="4:13" ht="20.100000000000001" customHeight="1" x14ac:dyDescent="0.2">
      <c r="D618" s="113" t="s">
        <v>1477</v>
      </c>
      <c r="E618" s="121" t="s">
        <v>1585</v>
      </c>
      <c r="F618" s="122"/>
      <c r="G618" s="113" t="s">
        <v>1588</v>
      </c>
      <c r="H618" s="115" t="s">
        <v>1227</v>
      </c>
    </row>
    <row r="619" spans="4:13" ht="20.100000000000001" customHeight="1" x14ac:dyDescent="0.2">
      <c r="D619" s="113" t="s">
        <v>1484</v>
      </c>
      <c r="E619" s="121" t="s">
        <v>1586</v>
      </c>
      <c r="F619" s="122"/>
      <c r="G619" s="113"/>
      <c r="H619" s="247" t="s">
        <v>1196</v>
      </c>
    </row>
    <row r="621" spans="4:13" ht="20.100000000000001" customHeight="1" x14ac:dyDescent="0.2">
      <c r="D621" s="240" t="s">
        <v>1007</v>
      </c>
    </row>
    <row r="623" spans="4:13" ht="20.100000000000001" customHeight="1" x14ac:dyDescent="0.2">
      <c r="D623" s="78" t="s">
        <v>1145</v>
      </c>
      <c r="E623" s="78" t="s">
        <v>1146</v>
      </c>
      <c r="F623" s="78" t="s">
        <v>1147</v>
      </c>
      <c r="G623" s="120" t="s">
        <v>1148</v>
      </c>
      <c r="H623" s="120" t="s">
        <v>1036</v>
      </c>
      <c r="I623" s="78" t="s">
        <v>1085</v>
      </c>
      <c r="J623" s="120" t="s">
        <v>1039</v>
      </c>
      <c r="K623" s="78" t="s">
        <v>1040</v>
      </c>
      <c r="L623" s="78" t="s">
        <v>1041</v>
      </c>
      <c r="M623" s="78" t="s">
        <v>1042</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1124</v>
      </c>
      <c r="H624" s="15" t="s">
        <v>1124</v>
      </c>
      <c r="I624" s="74">
        <v>10</v>
      </c>
      <c r="J624" s="15">
        <f>((E624 * F624) * I624)</f>
        <v>5127200</v>
      </c>
      <c r="K624" s="33"/>
      <c r="L624" s="13"/>
      <c r="M624" s="33"/>
    </row>
    <row r="625" spans="1:13" ht="20.100000000000001" customHeight="1" x14ac:dyDescent="0.2">
      <c r="D625" s="15" t="str">
        <v>Fertiliser supplier to farm</v>
      </c>
      <c r="E625" s="15">
        <v>10</v>
      </c>
      <c r="F625" s="15">
        <v>390</v>
      </c>
      <c r="G625" s="15" t="s">
        <v>1124</v>
      </c>
      <c r="H625" s="15" t="s">
        <v>1124</v>
      </c>
      <c r="I625" s="74">
        <v>5</v>
      </c>
      <c r="J625" s="15">
        <f>((E625 * F625) * I625)</f>
        <v>19500</v>
      </c>
      <c r="K625" s="33"/>
      <c r="L625" s="13"/>
      <c r="M625" s="33"/>
    </row>
    <row r="626" spans="1:13" ht="20.100000000000001" customHeight="1" x14ac:dyDescent="0.2">
      <c r="D626" s="15">
        <v>0</v>
      </c>
      <c r="E626" s="15">
        <v>0</v>
      </c>
      <c r="F626" s="15">
        <v>0</v>
      </c>
      <c r="G626" s="15" t="s">
        <v>1124</v>
      </c>
      <c r="H626" s="15" t="s">
        <v>1124</v>
      </c>
      <c r="I626" s="74"/>
      <c r="J626" s="15">
        <f>((E626 * F626) * I626)</f>
        <v>0</v>
      </c>
      <c r="K626" s="33"/>
      <c r="L626" s="13"/>
      <c r="M626" s="33"/>
    </row>
    <row r="627" spans="1:13" ht="20.100000000000001" customHeight="1" x14ac:dyDescent="0.2">
      <c r="D627" s="15">
        <v>0</v>
      </c>
      <c r="E627" s="15">
        <v>0</v>
      </c>
      <c r="F627" s="15">
        <v>0</v>
      </c>
      <c r="G627" s="15" t="s">
        <v>1124</v>
      </c>
      <c r="H627" s="15" t="s">
        <v>1124</v>
      </c>
      <c r="I627" s="74"/>
      <c r="J627" s="15">
        <f>((E627 * F627) * I627)</f>
        <v>0</v>
      </c>
      <c r="K627" s="33"/>
      <c r="L627" s="13"/>
      <c r="M627" s="33"/>
    </row>
    <row r="628" spans="1:13" ht="20.100000000000001" customHeight="1" x14ac:dyDescent="0.2">
      <c r="D628" s="15">
        <v>0</v>
      </c>
      <c r="E628" s="15">
        <v>0</v>
      </c>
      <c r="F628" s="15">
        <v>0</v>
      </c>
      <c r="G628" s="15" t="s">
        <v>1124</v>
      </c>
      <c r="H628" s="15" t="s">
        <v>1124</v>
      </c>
      <c r="I628" s="74"/>
      <c r="J628" s="15">
        <f>((E628 * F628) * I628)</f>
        <v>0</v>
      </c>
      <c r="K628" s="33"/>
      <c r="L628" s="13"/>
      <c r="M628" s="33"/>
    </row>
    <row r="629" spans="1:13" ht="20.100000000000001" customHeight="1" x14ac:dyDescent="0.2">
      <c r="D629" s="15">
        <v>0</v>
      </c>
      <c r="E629" s="15">
        <v>0</v>
      </c>
      <c r="F629" s="15">
        <v>0</v>
      </c>
      <c r="G629" s="15" t="s">
        <v>1124</v>
      </c>
      <c r="H629" s="15" t="s">
        <v>1124</v>
      </c>
      <c r="I629" s="74"/>
      <c r="J629" s="15">
        <f>((E629 * F629) * I629)</f>
        <v>0</v>
      </c>
      <c r="K629" s="33"/>
      <c r="L629" s="13"/>
      <c r="M629" s="33"/>
    </row>
    <row r="630" spans="1:13" ht="20.100000000000001" customHeight="1" x14ac:dyDescent="0.2">
      <c r="D630" s="15">
        <v>0</v>
      </c>
      <c r="E630" s="15">
        <v>0</v>
      </c>
      <c r="F630" s="15">
        <v>0</v>
      </c>
      <c r="G630" s="15" t="s">
        <v>1124</v>
      </c>
      <c r="H630" s="15" t="s">
        <v>1124</v>
      </c>
      <c r="I630" s="74"/>
      <c r="J630" s="15">
        <f>((E630 * F630) * I630)</f>
        <v>0</v>
      </c>
      <c r="K630" s="33"/>
      <c r="L630" s="13"/>
      <c r="M630" s="33"/>
    </row>
    <row r="631" spans="1:13" ht="20.100000000000001" customHeight="1" x14ac:dyDescent="0.2">
      <c r="D631" s="15">
        <v>0</v>
      </c>
      <c r="E631" s="15">
        <v>0</v>
      </c>
      <c r="F631" s="15">
        <v>0</v>
      </c>
      <c r="G631" s="15" t="s">
        <v>1124</v>
      </c>
      <c r="H631" s="15" t="s">
        <v>1124</v>
      </c>
      <c r="I631" s="74"/>
      <c r="J631" s="15">
        <f>((E631 * F631) * I631)</f>
        <v>0</v>
      </c>
      <c r="K631" s="33"/>
      <c r="L631" s="13"/>
      <c r="M631" s="33"/>
    </row>
    <row r="632" spans="1:13" ht="20.100000000000001" customHeight="1" x14ac:dyDescent="0.2">
      <c r="D632" s="15">
        <v>0</v>
      </c>
      <c r="E632" s="15">
        <v>0</v>
      </c>
      <c r="F632" s="15">
        <v>0</v>
      </c>
      <c r="G632" s="15" t="s">
        <v>1124</v>
      </c>
      <c r="H632" s="15" t="s">
        <v>1124</v>
      </c>
      <c r="I632" s="74"/>
      <c r="J632" s="15">
        <f>((E632 * F632) * I632)</f>
        <v>0</v>
      </c>
      <c r="K632" s="33"/>
      <c r="L632" s="13"/>
      <c r="M632" s="33"/>
    </row>
    <row r="633" spans="1:13" ht="20.100000000000001" customHeight="1" x14ac:dyDescent="0.2">
      <c r="D633" s="15">
        <v>0</v>
      </c>
      <c r="E633" s="15">
        <v>0</v>
      </c>
      <c r="F633" s="15">
        <v>0</v>
      </c>
      <c r="G633" s="15" t="s">
        <v>1124</v>
      </c>
      <c r="H633" s="15" t="s">
        <v>1124</v>
      </c>
      <c r="I633" s="74"/>
      <c r="J633" s="15">
        <f>((E633 * F633) * I633)</f>
        <v>0</v>
      </c>
      <c r="K633" s="33"/>
      <c r="L633" s="13"/>
      <c r="M633" s="33"/>
    </row>
    <row r="635" spans="1:13" ht="20.100000000000001" customHeight="1" x14ac:dyDescent="0.2">
      <c r="D635" s="88" t="s">
        <v>1149</v>
      </c>
      <c r="E635" s="83" t="s">
        <v>1124</v>
      </c>
      <c r="F635" s="89" t="str">
        <f>$E$105</f>
        <v>t CO2e</v>
      </c>
    </row>
    <row r="636" spans="1:13" ht="20.100000000000001" customHeight="1" x14ac:dyDescent="0.2">
      <c r="A636" s="79" t="str">
        <f>HYPERLINK("#A1", "▲ Back to top")</f>
        <v>▲ Back to top</v>
      </c>
      <c r="D636" s="88" t="s">
        <v>1150</v>
      </c>
      <c r="E636" s="83">
        <f>SUM(J624:J633)</f>
        <v>5146700</v>
      </c>
      <c r="F636" s="89" t="str">
        <f>$E$105</f>
        <v>t CO2e</v>
      </c>
    </row>
    <row r="639" spans="1:13" ht="20.100000000000001" customHeight="1" x14ac:dyDescent="0.2">
      <c r="D639" s="240" t="s">
        <v>1017</v>
      </c>
    </row>
    <row r="641" spans="4:13" ht="20.100000000000001" customHeight="1" x14ac:dyDescent="0.2">
      <c r="D641" s="78" t="s">
        <v>1145</v>
      </c>
      <c r="E641" s="78" t="s">
        <v>1146</v>
      </c>
      <c r="F641" s="78" t="s">
        <v>1147</v>
      </c>
      <c r="G641" s="120" t="s">
        <v>1148</v>
      </c>
      <c r="H641" s="120" t="s">
        <v>1036</v>
      </c>
      <c r="I641" s="78" t="s">
        <v>1085</v>
      </c>
      <c r="J641" s="120" t="s">
        <v>1039</v>
      </c>
      <c r="K641" s="78" t="s">
        <v>1040</v>
      </c>
      <c r="L641" s="78" t="s">
        <v>1041</v>
      </c>
      <c r="M641" s="78" t="s">
        <v>1042</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1124</v>
      </c>
      <c r="H642" s="15" t="s">
        <v>1124</v>
      </c>
      <c r="I642" s="74">
        <v>6.4</v>
      </c>
      <c r="J642" s="15">
        <f>((E642 * F642) * I642)</f>
        <v>432640</v>
      </c>
      <c r="K642" s="33"/>
      <c r="L642" s="13"/>
      <c r="M642" s="33"/>
    </row>
    <row r="643" spans="4:13" ht="20.100000000000001" customHeight="1" x14ac:dyDescent="0.2">
      <c r="D643" s="15">
        <v>0</v>
      </c>
      <c r="E643" s="15">
        <v>0</v>
      </c>
      <c r="F643" s="15">
        <v>0</v>
      </c>
      <c r="G643" s="15" t="s">
        <v>1124</v>
      </c>
      <c r="H643" s="15" t="s">
        <v>1124</v>
      </c>
      <c r="I643" s="74"/>
      <c r="J643" s="15">
        <f>((E643 * F643) * I643)</f>
        <v>0</v>
      </c>
      <c r="K643" s="33"/>
      <c r="L643" s="13"/>
      <c r="M643" s="33"/>
    </row>
    <row r="644" spans="4:13" ht="20.100000000000001" customHeight="1" x14ac:dyDescent="0.2">
      <c r="D644" s="15">
        <v>0</v>
      </c>
      <c r="E644" s="15">
        <v>0</v>
      </c>
      <c r="F644" s="15">
        <v>0</v>
      </c>
      <c r="G644" s="15" t="s">
        <v>1124</v>
      </c>
      <c r="H644" s="15" t="s">
        <v>1124</v>
      </c>
      <c r="I644" s="74"/>
      <c r="J644" s="15">
        <f>((E644 * F644) * I644)</f>
        <v>0</v>
      </c>
      <c r="K644" s="33"/>
      <c r="L644" s="13"/>
      <c r="M644" s="33"/>
    </row>
    <row r="645" spans="4:13" ht="20.100000000000001" customHeight="1" x14ac:dyDescent="0.2">
      <c r="D645" s="15">
        <v>0</v>
      </c>
      <c r="E645" s="15">
        <v>0</v>
      </c>
      <c r="F645" s="15">
        <v>0</v>
      </c>
      <c r="G645" s="15" t="s">
        <v>1124</v>
      </c>
      <c r="H645" s="15" t="s">
        <v>1124</v>
      </c>
      <c r="I645" s="74"/>
      <c r="J645" s="15">
        <f>((E645 * F645) * I645)</f>
        <v>0</v>
      </c>
      <c r="K645" s="33"/>
      <c r="L645" s="13"/>
      <c r="M645" s="33"/>
    </row>
    <row r="646" spans="4:13" ht="20.100000000000001" customHeight="1" x14ac:dyDescent="0.2">
      <c r="D646" s="15">
        <v>0</v>
      </c>
      <c r="E646" s="15">
        <v>0</v>
      </c>
      <c r="F646" s="15">
        <v>0</v>
      </c>
      <c r="G646" s="15" t="s">
        <v>1124</v>
      </c>
      <c r="H646" s="15" t="s">
        <v>1124</v>
      </c>
      <c r="I646" s="74"/>
      <c r="J646" s="15">
        <f>((E646 * F646) * I646)</f>
        <v>0</v>
      </c>
      <c r="K646" s="33"/>
      <c r="L646" s="13"/>
      <c r="M646" s="33"/>
    </row>
    <row r="647" spans="4:13" ht="20.100000000000001" customHeight="1" x14ac:dyDescent="0.2">
      <c r="D647" s="15">
        <v>0</v>
      </c>
      <c r="E647" s="15">
        <v>0</v>
      </c>
      <c r="F647" s="15">
        <v>0</v>
      </c>
      <c r="G647" s="15" t="s">
        <v>1124</v>
      </c>
      <c r="H647" s="15" t="s">
        <v>1124</v>
      </c>
      <c r="I647" s="74"/>
      <c r="J647" s="15">
        <f>((E647 * F647) * I647)</f>
        <v>0</v>
      </c>
      <c r="K647" s="33"/>
      <c r="L647" s="13"/>
      <c r="M647" s="33"/>
    </row>
    <row r="648" spans="4:13" ht="20.100000000000001" customHeight="1" x14ac:dyDescent="0.2">
      <c r="D648" s="15">
        <v>0</v>
      </c>
      <c r="E648" s="15">
        <v>0</v>
      </c>
      <c r="F648" s="15">
        <v>0</v>
      </c>
      <c r="G648" s="15" t="s">
        <v>1124</v>
      </c>
      <c r="H648" s="15" t="s">
        <v>1124</v>
      </c>
      <c r="I648" s="74"/>
      <c r="J648" s="15">
        <f>((E648 * F648) * I648)</f>
        <v>0</v>
      </c>
      <c r="K648" s="33"/>
      <c r="L648" s="13"/>
      <c r="M648" s="33"/>
    </row>
    <row r="649" spans="4:13" ht="20.100000000000001" customHeight="1" x14ac:dyDescent="0.2">
      <c r="D649" s="15">
        <v>0</v>
      </c>
      <c r="E649" s="15">
        <v>0</v>
      </c>
      <c r="F649" s="15">
        <v>0</v>
      </c>
      <c r="G649" s="15" t="s">
        <v>1124</v>
      </c>
      <c r="H649" s="15" t="s">
        <v>1124</v>
      </c>
      <c r="I649" s="74"/>
      <c r="J649" s="15">
        <f>((E649 * F649) * I649)</f>
        <v>0</v>
      </c>
      <c r="K649" s="33"/>
      <c r="L649" s="13"/>
      <c r="M649" s="33"/>
    </row>
    <row r="650" spans="4:13" ht="20.100000000000001" customHeight="1" x14ac:dyDescent="0.2">
      <c r="D650" s="15">
        <v>0</v>
      </c>
      <c r="E650" s="15">
        <v>0</v>
      </c>
      <c r="F650" s="15">
        <v>0</v>
      </c>
      <c r="G650" s="15" t="s">
        <v>1124</v>
      </c>
      <c r="H650" s="15" t="s">
        <v>1124</v>
      </c>
      <c r="I650" s="74"/>
      <c r="J650" s="15">
        <f>((E650 * F650) * I650)</f>
        <v>0</v>
      </c>
      <c r="K650" s="33"/>
      <c r="L650" s="13"/>
      <c r="M650" s="33"/>
    </row>
    <row r="651" spans="4:13" ht="20.100000000000001" customHeight="1" x14ac:dyDescent="0.2">
      <c r="D651" s="15">
        <v>0</v>
      </c>
      <c r="E651" s="15">
        <v>0</v>
      </c>
      <c r="F651" s="15">
        <v>0</v>
      </c>
      <c r="G651" s="15" t="s">
        <v>1124</v>
      </c>
      <c r="H651" s="15" t="s">
        <v>1124</v>
      </c>
      <c r="I651" s="74"/>
      <c r="J651" s="15">
        <f>((E651 * F651) * I651)</f>
        <v>0</v>
      </c>
      <c r="K651" s="33"/>
      <c r="L651" s="13"/>
      <c r="M651" s="33"/>
    </row>
    <row r="653" spans="4:13" ht="20.100000000000001" customHeight="1" x14ac:dyDescent="0.2">
      <c r="D653" s="88" t="s">
        <v>1151</v>
      </c>
      <c r="E653" s="83" t="s">
        <v>1124</v>
      </c>
      <c r="F653" s="89" t="str">
        <f>$E$105</f>
        <v>t CO2e</v>
      </c>
    </row>
    <row r="654" spans="4:13" ht="20.100000000000001" customHeight="1" x14ac:dyDescent="0.2">
      <c r="D654" s="88" t="s">
        <v>1152</v>
      </c>
      <c r="E654" s="83">
        <f>SUM(J642:J651)</f>
        <v>432640</v>
      </c>
      <c r="F654" s="89" t="str">
        <f>$E$105</f>
        <v>t CO2e</v>
      </c>
    </row>
    <row r="656" spans="4:13" ht="20.100000000000001" customHeight="1" x14ac:dyDescent="0.2">
      <c r="D656" s="85" t="s">
        <v>1036</v>
      </c>
      <c r="E656" s="86" t="s">
        <v>1124</v>
      </c>
      <c r="F656" s="95" t="str">
        <f>$E$105</f>
        <v>t CO2e</v>
      </c>
    </row>
    <row r="657" spans="4:6" ht="20.100000000000001" customHeight="1" x14ac:dyDescent="0.2">
      <c r="D657" s="85" t="s">
        <v>1039</v>
      </c>
      <c r="E657" s="86">
        <f>VEERG_15_14_1_1__1_EmbeddedEmissionsFromUpstreamFreight_Incoming_Result_Method2+VEERG_15_14_1_1__1_EmbeddedEmissionsFromUpstreamFreight_Outgoing_Result_Method2</f>
        <v>5579340</v>
      </c>
      <c r="F657" s="95" t="str">
        <f>$E$105</f>
        <v>t CO2e</v>
      </c>
    </row>
  </sheetData>
  <dataValidations count="2">
    <dataValidation type="list" allowBlank="1" showInputMessage="1" showErrorMessage="1" sqref="J505:J514" xr:uid="{3D644453-969D-47F7-9C30-24A5A7BDC93D}">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EC04C6A8-9817-4F9F-8161-3561CA61E410}">
      <formula1>INDIRECT("Table_SourceData_DataScores_Scope3[Data source]")</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3FD8-7E2F-4EC7-885F-3CF637162027}">
  <sheetPr>
    <tabColor theme="9" tint="-0.249977111117893"/>
  </sheetPr>
  <dimension ref="A1:U90"/>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1153</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1589</v>
      </c>
      <c r="N5" s="2" t="s">
        <v>1589</v>
      </c>
    </row>
    <row r="6" spans="1:21" ht="20.100000000000001" customHeight="1" x14ac:dyDescent="0.2">
      <c r="D6" s="17" t="s">
        <v>1590</v>
      </c>
      <c r="N6" s="17" t="s">
        <v>1590</v>
      </c>
    </row>
    <row r="7" spans="1:21" ht="20.100000000000001" customHeight="1" x14ac:dyDescent="0.2">
      <c r="D7" s="112"/>
      <c r="E7" s="112"/>
      <c r="N7" s="112"/>
      <c r="O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1570</v>
      </c>
      <c r="N10" s="75" t="s">
        <v>321</v>
      </c>
      <c r="O10" s="1" t="s">
        <v>1570</v>
      </c>
    </row>
    <row r="11" spans="1:21" ht="20.100000000000001" customHeight="1" x14ac:dyDescent="0.2">
      <c r="A11" s="5" t="str">
        <f>HYPERLINK("#'Input - Feedlot'!A1", "Feedlot")</f>
        <v>Feedlot</v>
      </c>
      <c r="D11" s="75" t="s">
        <v>118</v>
      </c>
      <c r="E11" s="9" t="s">
        <v>12</v>
      </c>
      <c r="N11" s="75" t="s">
        <v>118</v>
      </c>
      <c r="O11" s="9" t="s">
        <v>12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
        <v>1591</v>
      </c>
      <c r="E13" s="121" t="s">
        <v>1592</v>
      </c>
      <c r="F13" s="132"/>
      <c r="G13" s="122"/>
      <c r="H13" s="113" t="s">
        <v>445</v>
      </c>
      <c r="I13" s="115" t="s">
        <v>1595</v>
      </c>
      <c r="J13" s="113">
        <f>X_Cell_ManureSentOffsite_MassNitrogenManure_Method1</f>
        <v>1000</v>
      </c>
      <c r="N13" s="113" t="s">
        <v>1591</v>
      </c>
      <c r="O13" s="121" t="s">
        <v>1592</v>
      </c>
      <c r="P13" s="132"/>
      <c r="Q13" s="122"/>
      <c r="R13" s="113" t="s">
        <v>445</v>
      </c>
      <c r="S13" s="115" t="s">
        <v>1595</v>
      </c>
      <c r="T13" s="113">
        <f>X_Cell_ManureSentOffsite_MassNitrogenManure_Method2</f>
        <v>2000</v>
      </c>
    </row>
    <row r="14" spans="1:21" ht="20.100000000000001" customHeight="1" x14ac:dyDescent="0.2">
      <c r="A14" s="5" t="str">
        <f>HYPERLINK("#'Input - Fuel'!A1", "Fuel")</f>
        <v>Fuel</v>
      </c>
      <c r="D14" s="113" t="s">
        <v>1593</v>
      </c>
      <c r="E14" s="121" t="s">
        <v>1594</v>
      </c>
      <c r="F14" s="132"/>
      <c r="G14" s="122"/>
      <c r="H14" s="113" t="s">
        <v>1314</v>
      </c>
      <c r="I14" s="115" t="s">
        <v>1596</v>
      </c>
      <c r="J14" s="113">
        <f>Common_InputFunctions.Utility_LookupValueInTableNumber(J17, Table_SourceData_Common_EFOrganicFertCropResidues[Climate Zone],Table_SourceData_Common_EFOrganicFertCropResidues[EFNi &amp; EFN2Oi])</f>
        <v>5.0000000000000001E-3</v>
      </c>
      <c r="N14" s="113" t="s">
        <v>1593</v>
      </c>
      <c r="O14" s="121" t="s">
        <v>1594</v>
      </c>
      <c r="P14" s="132"/>
      <c r="Q14" s="122"/>
      <c r="R14" s="113" t="s">
        <v>1314</v>
      </c>
      <c r="S14" s="115" t="s">
        <v>1596</v>
      </c>
      <c r="T14" s="113"/>
    </row>
    <row r="15" spans="1:21" ht="20.100000000000001" customHeight="1" x14ac:dyDescent="0.2">
      <c r="A15" s="5" t="str">
        <f>HYPERLINK("#'Input - Electricity'!A1", "Electricity")</f>
        <v>Electricity</v>
      </c>
      <c r="D15" s="113" t="s">
        <v>1311</v>
      </c>
      <c r="E15" s="121" t="s">
        <v>1312</v>
      </c>
      <c r="F15" s="132"/>
      <c r="G15" s="122"/>
      <c r="H15" s="113"/>
      <c r="I15" s="115" t="s">
        <v>1227</v>
      </c>
      <c r="J15" s="113">
        <f>Common_InputFunctions.Utility_LookupValueInTableNumber("N2O",Table_GasToMolecularConversionFactor[Gas],Table_GasToMolecularConversionFactor[Conversion factor combined])</f>
        <v>1.5714285714285714</v>
      </c>
      <c r="N15" s="113" t="s">
        <v>1311</v>
      </c>
      <c r="O15" s="121" t="s">
        <v>1312</v>
      </c>
      <c r="P15" s="132"/>
      <c r="Q15" s="122"/>
      <c r="R15" s="113"/>
      <c r="S15" s="115" t="s">
        <v>1227</v>
      </c>
      <c r="T15" s="113"/>
    </row>
    <row r="16" spans="1:21" ht="20.100000000000001" customHeight="1" x14ac:dyDescent="0.2">
      <c r="A16" s="5" t="str">
        <f>HYPERLINK("#'Input - Common farm inputs'!A1", "Common farm inputs")</f>
        <v>Common farm inputs</v>
      </c>
      <c r="D16" s="113" t="s">
        <v>1327</v>
      </c>
      <c r="E16" s="121" t="s">
        <v>479</v>
      </c>
      <c r="F16" s="132"/>
      <c r="G16" s="122"/>
      <c r="H16" s="113"/>
      <c r="I16" s="247" t="s">
        <v>1196</v>
      </c>
      <c r="J16" s="113" t="str">
        <f>X_Cell_ManureSentOffsite_ManureProductionSystem</f>
        <v>Crop</v>
      </c>
      <c r="N16" s="113" t="s">
        <v>1327</v>
      </c>
      <c r="O16" s="121" t="s">
        <v>479</v>
      </c>
      <c r="P16" s="132"/>
      <c r="Q16" s="122"/>
      <c r="R16" s="113"/>
      <c r="S16" s="247" t="s">
        <v>1196</v>
      </c>
      <c r="T16" s="113"/>
    </row>
    <row r="17" spans="1:20" ht="20.100000000000001" customHeight="1" x14ac:dyDescent="0.2">
      <c r="A17" s="5" t="str">
        <f>HYPERLINK("#'Input - Livestock farm Inputs'!A1", "Livestock farm Inputs")</f>
        <v>Livestock farm Inputs</v>
      </c>
      <c r="D17" s="113" t="s">
        <v>1223</v>
      </c>
      <c r="E17" s="121" t="s">
        <v>114</v>
      </c>
      <c r="F17" s="132"/>
      <c r="G17" s="122"/>
      <c r="H17" s="113"/>
      <c r="I17" s="247" t="s">
        <v>1196</v>
      </c>
      <c r="J17" s="113" t="str">
        <f>X_Cell_Site_WetOrDryClimateZone</f>
        <v>Dry climate zone</v>
      </c>
      <c r="N17" s="113" t="s">
        <v>1223</v>
      </c>
      <c r="O17" s="121" t="s">
        <v>114</v>
      </c>
      <c r="P17" s="132"/>
      <c r="Q17" s="122"/>
      <c r="R17" s="113"/>
      <c r="S17" s="247" t="s">
        <v>1196</v>
      </c>
      <c r="T17" s="113"/>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5" t="s">
        <v>771</v>
      </c>
      <c r="E19" s="86">
        <f>((J13 * J14 * J15) * 10 ^ -3)</f>
        <v>7.8571428571428577E-3</v>
      </c>
      <c r="F19" s="95" t="str">
        <f>$E$11</f>
        <v>t N2O</v>
      </c>
      <c r="N19" s="85" t="s">
        <v>771</v>
      </c>
      <c r="O19" s="86">
        <f>((T13 * J14 * J15) * 10 ^ -3)</f>
        <v>1.5714285714285715E-2</v>
      </c>
      <c r="P19" s="95"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
        <v>1597</v>
      </c>
      <c r="N24" s="2" t="s">
        <v>1597</v>
      </c>
    </row>
    <row r="25" spans="1:20" ht="20.100000000000001" customHeight="1" x14ac:dyDescent="0.2">
      <c r="D25" s="17" t="s">
        <v>1598</v>
      </c>
      <c r="N25" s="17" t="s">
        <v>1598</v>
      </c>
    </row>
    <row r="26" spans="1:20" ht="20.100000000000001" customHeight="1" x14ac:dyDescent="0.2">
      <c r="A26" s="6" t="s">
        <v>2</v>
      </c>
      <c r="D26" s="112"/>
      <c r="E26" s="112"/>
      <c r="N26" s="112"/>
      <c r="O26" s="112"/>
    </row>
    <row r="27" spans="1:20" ht="20.100000000000001" customHeight="1" x14ac:dyDescent="0.2">
      <c r="A27" s="5" t="str">
        <f>HYPERLINK("#'3.1.1.1-2 Enteric Methane'!A1", "3.1.1.1-2 Enteric Methane")</f>
        <v>3.1.1.1-2 Enteric Methane</v>
      </c>
    </row>
    <row r="28" spans="1:20" ht="20.100000000000001" customHeight="1" x14ac:dyDescent="0.2">
      <c r="A28" s="5" t="str">
        <f>HYPERLINK("#'4.1.1.1-2 Methane'!A1", "4.1.1.1-2 Manure Methane")</f>
        <v>4.1.1.1-2 Manure Methane</v>
      </c>
    </row>
    <row r="29" spans="1:20" ht="20.100000000000001" customHeight="1" x14ac:dyDescent="0.2">
      <c r="A29" s="5" t="str">
        <f>HYPERLINK("#'4.1.1.3-4 Direct N20'!A1", "4.1.1.3-4 Manure Direct N2O")</f>
        <v>4.1.1.3-4 Manure Direct N2O</v>
      </c>
      <c r="D29" s="75" t="s">
        <v>321</v>
      </c>
      <c r="E29" s="1" t="s">
        <v>1599</v>
      </c>
      <c r="N29" s="75" t="s">
        <v>321</v>
      </c>
      <c r="O29" s="1" t="s">
        <v>1599</v>
      </c>
    </row>
    <row r="30" spans="1:20" ht="20.100000000000001" customHeight="1" x14ac:dyDescent="0.2">
      <c r="A30" s="5" t="str">
        <f>HYPERLINK("#'4.1.1.5-6 Atmos Deposition'!A1", "4.1.1.5-6 Manure Atmos Dep")</f>
        <v>4.1.1.5-6 Manure Atmos Dep</v>
      </c>
      <c r="D30" s="75" t="s">
        <v>118</v>
      </c>
      <c r="E30" s="9" t="s">
        <v>445</v>
      </c>
      <c r="N30" s="75" t="s">
        <v>118</v>
      </c>
      <c r="O30" s="9" t="s">
        <v>445</v>
      </c>
    </row>
    <row r="31" spans="1:20" ht="20.100000000000001" customHeight="1" x14ac:dyDescent="0.2">
      <c r="A31" s="5" t="str">
        <f>HYPERLINK("#'4.1.1.9 Manure applied to soils'!A1", "4.1.1.9 Manure applied to soils")</f>
        <v>4.1.1.9 Manure applied to soils</v>
      </c>
    </row>
    <row r="32" spans="1:20" ht="20.100000000000001" customHeight="1" x14ac:dyDescent="0.2">
      <c r="A32" s="5" t="str">
        <f>HYPERLINK("#'8.1.1.1-2 Transport fuel'!A1", "8.1.1.1-2 Transport fuel")</f>
        <v>8.1.1.1-2 Transport fuel</v>
      </c>
      <c r="D32" s="113" t="s">
        <v>1591</v>
      </c>
      <c r="E32" s="113" t="s">
        <v>1592</v>
      </c>
      <c r="F32" s="113"/>
      <c r="G32" s="113" t="s">
        <v>445</v>
      </c>
      <c r="H32" s="115" t="s">
        <v>1595</v>
      </c>
      <c r="I32" s="113">
        <f>X_Cell_ManureSentOffsite_MassNitrogenManure_Method1</f>
        <v>1000</v>
      </c>
      <c r="N32" s="113" t="s">
        <v>1591</v>
      </c>
      <c r="O32" s="113" t="s">
        <v>1592</v>
      </c>
      <c r="P32" s="113"/>
      <c r="Q32" s="113" t="s">
        <v>445</v>
      </c>
      <c r="R32" s="115" t="s">
        <v>1595</v>
      </c>
      <c r="S32" s="113">
        <f>X_Cell_ManureSentOffsite_MassNitrogenManure_Method2</f>
        <v>2000</v>
      </c>
    </row>
    <row r="33" spans="1:19" ht="20.100000000000001" customHeight="1" x14ac:dyDescent="0.2">
      <c r="A33" s="5" t="str">
        <f>HYPERLINK("#'8.2.1.1-2 Stationary fuel'!A1", "8.2.1.1-2 Stationary fuel")</f>
        <v>8.2.1.1-2 Stationary fuel</v>
      </c>
      <c r="D33" s="113" t="s">
        <v>1600</v>
      </c>
      <c r="E33" s="113" t="s">
        <v>1601</v>
      </c>
      <c r="F33" s="113"/>
      <c r="G33" s="113" t="s">
        <v>448</v>
      </c>
      <c r="H33" s="115" t="s">
        <v>1227</v>
      </c>
      <c r="I33" s="113">
        <f>Fertiliser_FracGASMSoil_Data</f>
        <v>0.21</v>
      </c>
      <c r="N33" s="113" t="s">
        <v>1600</v>
      </c>
      <c r="O33" s="113" t="s">
        <v>1601</v>
      </c>
      <c r="P33" s="113"/>
      <c r="Q33" s="113" t="s">
        <v>448</v>
      </c>
      <c r="R33" s="115" t="s">
        <v>1227</v>
      </c>
      <c r="S33" s="113"/>
    </row>
    <row r="34" spans="1:19" ht="20.100000000000001" customHeight="1" x14ac:dyDescent="0.2">
      <c r="A34" s="5" t="str">
        <f>HYPERLINK("#'10.1.1-2 Solid waste treatment'!A1", "10.1.1.1-2 Solid waste")</f>
        <v>10.1.1.1-2 Solid waste</v>
      </c>
    </row>
    <row r="35" spans="1:19" ht="20.100000000000001" customHeight="1" x14ac:dyDescent="0.2">
      <c r="A35" s="5" t="str">
        <f>HYPERLINK("#'14.1.1-2 Purchased electricity'!A1", "14.1.1-2 Purchased electricity")</f>
        <v>14.1.1-2 Purchased electricity</v>
      </c>
      <c r="D35" s="88" t="s">
        <v>1154</v>
      </c>
      <c r="E35" s="83">
        <f>(I32 * I33)</f>
        <v>210</v>
      </c>
      <c r="F35" s="89" t="str">
        <f>E30</f>
        <v>kg N</v>
      </c>
      <c r="N35" s="88" t="s">
        <v>1154</v>
      </c>
      <c r="O35" s="83">
        <f>(S32 * I33)</f>
        <v>420</v>
      </c>
      <c r="P35" s="89" t="str">
        <f>O30</f>
        <v>kg N</v>
      </c>
    </row>
    <row r="36" spans="1:19" ht="20.100000000000001" customHeight="1" x14ac:dyDescent="0.2">
      <c r="A36" s="5" t="str">
        <f>HYPERLINK("#'15 Scope 3'!A1", "15 Scope 3")</f>
        <v>15 Scope 3</v>
      </c>
    </row>
    <row r="37" spans="1:19" ht="20.100000000000001" customHeight="1" x14ac:dyDescent="0.2">
      <c r="A37" s="117" t="str">
        <f>HYPERLINK("#'Calcs - Manure sent off-site'!A1", "Calcs - Manure sent off-site")</f>
        <v>Calcs - Manure sent off-site</v>
      </c>
    </row>
    <row r="38" spans="1:19" ht="20.100000000000001" customHeight="1" x14ac:dyDescent="0.2">
      <c r="A38" s="5" t="str">
        <f>HYPERLINK("#'5.1.1.1-2 Inorganic fert N2O'!A1", "5.1.1.1-2 Inorganic fert N2O")</f>
        <v>5.1.1.1-2 Inorganic fert N2O</v>
      </c>
    </row>
    <row r="39" spans="1:19" ht="20.100000000000001" customHeight="1" x14ac:dyDescent="0.2">
      <c r="A39" s="5" t="str">
        <f>HYPERLINK("#'5.1.1.3-4 Inorganic fert CO2'!A1", "5.1.1.3-4 Inorganic fert CO2")</f>
        <v>5.1.1.3-4 Inorganic fert CO2</v>
      </c>
    </row>
    <row r="40" spans="1:19" ht="20.100000000000001" customHeight="1" x14ac:dyDescent="0.2">
      <c r="A40" s="5" t="str">
        <f>HYPERLINK("#'5.2.1.1-2 Organic Fert N2O'!A1", "5.2.1.1-2 Organic Fert N2O")</f>
        <v>5.2.1.1-2 Organic Fert N2O</v>
      </c>
      <c r="D40" s="2" t="s">
        <v>1602</v>
      </c>
      <c r="N40" s="2" t="s">
        <v>1602</v>
      </c>
    </row>
    <row r="41" spans="1:19" ht="20.100000000000001" customHeight="1" x14ac:dyDescent="0.2">
      <c r="A41" s="5" t="str">
        <f>HYPERLINK("#'5.3.1.1-2 Lime CO2'!A1", "5.3.1.1-2 Lime CO2")</f>
        <v>5.3.1.1-2 Lime CO2</v>
      </c>
      <c r="D41" s="17" t="s">
        <v>1603</v>
      </c>
      <c r="N41" s="17" t="s">
        <v>1603</v>
      </c>
    </row>
    <row r="42" spans="1:19" ht="20.100000000000001" customHeight="1" x14ac:dyDescent="0.2">
      <c r="A42" s="5" t="str">
        <f>HYPERLINK("#'5.4.1.1-4 Atmos deposition'!A1", "5.4.1.1-4 Atmos deposition")</f>
        <v>5.4.1.1-4 Atmos deposition</v>
      </c>
      <c r="D42" s="112"/>
      <c r="E42" s="112"/>
      <c r="N42" s="112"/>
      <c r="O42" s="112"/>
    </row>
    <row r="43" spans="1:19" ht="20.100000000000001" customHeight="1" x14ac:dyDescent="0.2">
      <c r="A43" s="5" t="str">
        <f>HYPERLINK("#'5.5.1.1-2 Leaching and runoff'!A1", "5.5.1.1-2 Leaching and runoff")</f>
        <v>5.5.1.1-2 Leaching and runoff</v>
      </c>
    </row>
    <row r="45" spans="1:19" ht="20.100000000000001" customHeight="1" x14ac:dyDescent="0.2">
      <c r="D45" s="75" t="s">
        <v>321</v>
      </c>
      <c r="E45" s="1" t="s">
        <v>1604</v>
      </c>
      <c r="N45" s="75" t="s">
        <v>321</v>
      </c>
      <c r="O45" s="1" t="s">
        <v>1604</v>
      </c>
    </row>
    <row r="46" spans="1:19" ht="20.100000000000001" customHeight="1" x14ac:dyDescent="0.2">
      <c r="A46" s="80" t="s">
        <v>1</v>
      </c>
      <c r="D46" s="75" t="s">
        <v>118</v>
      </c>
      <c r="E46" s="9" t="s">
        <v>12</v>
      </c>
      <c r="N46" s="75" t="s">
        <v>118</v>
      </c>
      <c r="O46" s="9" t="s">
        <v>12</v>
      </c>
    </row>
    <row r="47" spans="1:19" ht="20.100000000000001" customHeight="1" x14ac:dyDescent="0.2">
      <c r="A47" s="5" t="str">
        <f>HYPERLINK("#'Constants - Feedlot'!A1", "Constants - Feedlot")</f>
        <v>Constants - Feedlot</v>
      </c>
    </row>
    <row r="48" spans="1:19" ht="20.100000000000001" customHeight="1" x14ac:dyDescent="0.2">
      <c r="A48" s="5" t="str">
        <f>HYPERLINK("#'Constants - Common livestock'!A1", "Constants - Common Livestock")</f>
        <v>Constants - Common Livestock</v>
      </c>
      <c r="D48" s="113" t="s">
        <v>1599</v>
      </c>
      <c r="E48" s="121" t="s">
        <v>1605</v>
      </c>
      <c r="F48" s="122"/>
      <c r="G48" s="113" t="s">
        <v>445</v>
      </c>
      <c r="H48" s="115" t="s">
        <v>1610</v>
      </c>
      <c r="I48" s="113">
        <f>E35</f>
        <v>210</v>
      </c>
      <c r="N48" s="113" t="s">
        <v>1599</v>
      </c>
      <c r="O48" s="121" t="s">
        <v>1605</v>
      </c>
      <c r="P48" s="122"/>
      <c r="Q48" s="113" t="s">
        <v>445</v>
      </c>
      <c r="R48" s="115" t="s">
        <v>1610</v>
      </c>
      <c r="S48" s="113">
        <f>O35</f>
        <v>420</v>
      </c>
    </row>
    <row r="49" spans="1:19" ht="20.100000000000001" customHeight="1" x14ac:dyDescent="0.2">
      <c r="A49" s="5" t="str">
        <f>HYPERLINK("#'Constants - Electricity'!A1", "Constants - Electricity")</f>
        <v>Constants - Electricity</v>
      </c>
      <c r="D49" s="113" t="s">
        <v>1606</v>
      </c>
      <c r="E49" s="121" t="s">
        <v>1607</v>
      </c>
      <c r="F49" s="122"/>
      <c r="G49" s="113" t="s">
        <v>1314</v>
      </c>
      <c r="H49" s="115" t="s">
        <v>1227</v>
      </c>
      <c r="I49" s="113">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3" t="s">
        <v>1606</v>
      </c>
      <c r="O49" s="121" t="s">
        <v>1607</v>
      </c>
      <c r="P49" s="122"/>
      <c r="Q49" s="113" t="s">
        <v>1314</v>
      </c>
      <c r="R49" s="115" t="s">
        <v>1227</v>
      </c>
      <c r="S49" s="113"/>
    </row>
    <row r="50" spans="1:19" ht="20.100000000000001" customHeight="1" x14ac:dyDescent="0.2">
      <c r="A50" s="5" t="str">
        <f>HYPERLINK("#'Constants - Fertiliser'!A1", "Constants - Fertiliser")</f>
        <v>Constants - Fertiliser</v>
      </c>
      <c r="D50" s="113" t="s">
        <v>1311</v>
      </c>
      <c r="E50" s="121" t="s">
        <v>1312</v>
      </c>
      <c r="F50" s="122"/>
      <c r="G50" s="113"/>
      <c r="H50" s="115" t="s">
        <v>1227</v>
      </c>
      <c r="I50" s="124">
        <f>Common_InputFunctions.Utility_LookupValueInTableNumber("N2O",Table_GasToMolecularConversionFactor[Gas],Table_GasToMolecularConversionFactor[Conversion factor combined])</f>
        <v>1.5714285714285714</v>
      </c>
      <c r="N50" s="113" t="s">
        <v>1311</v>
      </c>
      <c r="O50" s="121" t="s">
        <v>1312</v>
      </c>
      <c r="P50" s="122"/>
      <c r="Q50" s="113"/>
      <c r="R50" s="115" t="s">
        <v>1227</v>
      </c>
      <c r="S50" s="124"/>
    </row>
    <row r="51" spans="1:19" ht="20.100000000000001" customHeight="1" x14ac:dyDescent="0.2">
      <c r="A51" s="5" t="str">
        <f>HYPERLINK("#'Constants - Fuel'!A1", "Constants - Fuel")</f>
        <v>Constants - Fuel</v>
      </c>
      <c r="D51" s="113" t="s">
        <v>1327</v>
      </c>
      <c r="E51" s="121" t="s">
        <v>479</v>
      </c>
      <c r="F51" s="122"/>
      <c r="G51" s="113"/>
      <c r="H51" s="247" t="s">
        <v>1196</v>
      </c>
      <c r="I51" s="113" t="str">
        <f>IF(ISBLANK(X_Cell_ManureSentOffsite_ManureProductionSystem), "Pasture", X_Cell_ManureSentOffsite_ManureProductionSystem)</f>
        <v>Crop</v>
      </c>
      <c r="N51" s="113" t="s">
        <v>1327</v>
      </c>
      <c r="O51" s="121" t="s">
        <v>479</v>
      </c>
      <c r="P51" s="122"/>
      <c r="Q51" s="113"/>
      <c r="R51" s="247" t="s">
        <v>1196</v>
      </c>
      <c r="S51" s="113"/>
    </row>
    <row r="52" spans="1:19" ht="20.100000000000001" customHeight="1" x14ac:dyDescent="0.2">
      <c r="A52" s="5" t="str">
        <f>HYPERLINK("#'Constants - Scope 3'!A1", "Constants - Scope 3")</f>
        <v>Constants - Scope 3</v>
      </c>
      <c r="D52" s="113" t="s">
        <v>1608</v>
      </c>
      <c r="E52" s="121" t="s">
        <v>1329</v>
      </c>
      <c r="F52" s="122"/>
      <c r="G52" s="113"/>
      <c r="H52" s="247" t="s">
        <v>1196</v>
      </c>
      <c r="I52" s="113" t="str">
        <f>IF(ISBLANK(X_Cell_ManureSentOffsite_ManureIrrigationMethod), "Not irrigated", X_Cell_ManureSentOffsite_ManureIrrigationMethod)</f>
        <v>Sprinkler irrigation</v>
      </c>
      <c r="N52" s="113" t="s">
        <v>1608</v>
      </c>
      <c r="O52" s="121" t="s">
        <v>1329</v>
      </c>
      <c r="P52" s="122"/>
      <c r="Q52" s="113"/>
      <c r="R52" s="247" t="s">
        <v>1196</v>
      </c>
      <c r="S52" s="113"/>
    </row>
    <row r="53" spans="1:19" ht="20.100000000000001" customHeight="1" x14ac:dyDescent="0.2">
      <c r="A53" s="5" t="str">
        <f>HYPERLINK("#'Constants - Solid Waste'!A1", "Constants - Solid Waste")</f>
        <v>Constants - Solid Waste</v>
      </c>
      <c r="D53" s="113" t="s">
        <v>1330</v>
      </c>
      <c r="E53" s="121" t="s">
        <v>1609</v>
      </c>
      <c r="F53" s="122"/>
      <c r="G53" s="113"/>
      <c r="H53" s="247" t="s">
        <v>1196</v>
      </c>
      <c r="I53" s="113" t="str">
        <f>IF(ISBLANK(X_Cell_Site_RainfallZone), "Low rainfall", X_Cell_Site_RainfallZone)</f>
        <v>High rainfall</v>
      </c>
      <c r="N53" s="113" t="s">
        <v>1330</v>
      </c>
      <c r="O53" s="121" t="s">
        <v>1609</v>
      </c>
      <c r="P53" s="122"/>
      <c r="Q53" s="113"/>
      <c r="R53" s="247" t="s">
        <v>1196</v>
      </c>
      <c r="S53" s="113"/>
    </row>
    <row r="54" spans="1:19" ht="20.100000000000001" customHeight="1" x14ac:dyDescent="0.2">
      <c r="A54" s="5" t="str">
        <f>HYPERLINK("#'Constants - Common'!A1", "Constants - Common")</f>
        <v>Constants - Common</v>
      </c>
    </row>
    <row r="55" spans="1:19" ht="20.100000000000001" customHeight="1" x14ac:dyDescent="0.2">
      <c r="A55" s="5" t="str">
        <f>HYPERLINK("#'Acknowledgements'!A1", "Acknowledgements")</f>
        <v>Acknowledgements</v>
      </c>
      <c r="D55" s="85" t="s">
        <v>817</v>
      </c>
      <c r="E55" s="86">
        <f>((I48 * I49) * I50 * 10 ^ -3)</f>
        <v>2.31E-3</v>
      </c>
      <c r="F55" s="95" t="str">
        <f>$E$46</f>
        <v>t N2O</v>
      </c>
      <c r="N55" s="85" t="s">
        <v>817</v>
      </c>
      <c r="O55" s="86">
        <f>((S48 * I49) * I50 * 10 ^ -3)</f>
        <v>4.62E-3</v>
      </c>
      <c r="P55" s="95" t="str">
        <f>$E$46</f>
        <v>t N2O</v>
      </c>
    </row>
    <row r="59" spans="1:19" ht="20.100000000000001" customHeight="1" x14ac:dyDescent="0.2">
      <c r="D59" s="2" t="s">
        <v>1611</v>
      </c>
      <c r="N59" s="2" t="s">
        <v>1611</v>
      </c>
    </row>
    <row r="60" spans="1:19" ht="20.100000000000001" customHeight="1" x14ac:dyDescent="0.2">
      <c r="D60" s="17" t="s">
        <v>1612</v>
      </c>
      <c r="N60" s="17" t="s">
        <v>1612</v>
      </c>
    </row>
    <row r="61" spans="1:19" ht="20.100000000000001" customHeight="1" x14ac:dyDescent="0.2">
      <c r="D61" s="112"/>
      <c r="E61" s="112"/>
      <c r="N61" s="112"/>
      <c r="O61" s="112"/>
    </row>
    <row r="64" spans="1:19" ht="20.100000000000001" customHeight="1" x14ac:dyDescent="0.2">
      <c r="D64" s="75" t="s">
        <v>321</v>
      </c>
      <c r="E64" s="1" t="s">
        <v>1613</v>
      </c>
      <c r="N64" s="75" t="s">
        <v>321</v>
      </c>
      <c r="O64" s="1" t="s">
        <v>1613</v>
      </c>
    </row>
    <row r="65" spans="1:19" ht="20.100000000000001" customHeight="1" x14ac:dyDescent="0.2">
      <c r="D65" s="75" t="s">
        <v>118</v>
      </c>
      <c r="E65" s="9" t="s">
        <v>445</v>
      </c>
      <c r="N65" s="75" t="s">
        <v>118</v>
      </c>
      <c r="O65" s="9" t="s">
        <v>445</v>
      </c>
    </row>
    <row r="66" spans="1:19" ht="20.100000000000001" customHeight="1" x14ac:dyDescent="0.2">
      <c r="A66" s="79" t="str">
        <f>HYPERLINK("#A1", "▲ Back to top")</f>
        <v>▲ Back to top</v>
      </c>
    </row>
    <row r="67" spans="1:19" ht="20.100000000000001" customHeight="1" x14ac:dyDescent="0.2">
      <c r="D67" s="113" t="s">
        <v>1591</v>
      </c>
      <c r="E67" s="121" t="s">
        <v>1614</v>
      </c>
      <c r="F67" s="122"/>
      <c r="G67" s="113" t="s">
        <v>445</v>
      </c>
      <c r="H67" s="115" t="s">
        <v>1595</v>
      </c>
      <c r="I67" s="113">
        <f>X_Cell_ManureSentOffsite_MassNitrogenManure_Method1</f>
        <v>1000</v>
      </c>
      <c r="N67" s="113" t="s">
        <v>1591</v>
      </c>
      <c r="O67" s="121" t="s">
        <v>1614</v>
      </c>
      <c r="P67" s="122"/>
      <c r="Q67" s="113" t="s">
        <v>445</v>
      </c>
      <c r="R67" s="115" t="s">
        <v>1595</v>
      </c>
      <c r="S67" s="113">
        <f>X_Cell_ManureSentOffsite_MassNitrogenManure_Method2</f>
        <v>2000</v>
      </c>
    </row>
    <row r="68" spans="1:19" ht="20.100000000000001" customHeight="1" x14ac:dyDescent="0.2">
      <c r="D68" s="113" t="s">
        <v>1615</v>
      </c>
      <c r="E68" s="121" t="s">
        <v>1616</v>
      </c>
      <c r="F68" s="122"/>
      <c r="G68" s="113" t="s">
        <v>299</v>
      </c>
      <c r="H68" s="115" t="s">
        <v>1227</v>
      </c>
      <c r="I68" s="113">
        <f>Common_InputFunctions.CommonCropping_GetFracWET(I70,I72,Table_SourceData_FracWET[Is in leaching zone],Table_SourceData_FracWET[FracWET],Table_SourceData_FracWETIrrigation[Irrigation type i],Table_SourceData_FracWETIrrigation[FracWET])</f>
        <v>1</v>
      </c>
      <c r="N68" s="113" t="s">
        <v>1615</v>
      </c>
      <c r="O68" s="121" t="s">
        <v>1616</v>
      </c>
      <c r="P68" s="122"/>
      <c r="Q68" s="113" t="s">
        <v>299</v>
      </c>
      <c r="R68" s="115" t="s">
        <v>1227</v>
      </c>
      <c r="S68" s="113"/>
    </row>
    <row r="69" spans="1:19" ht="20.100000000000001" customHeight="1" x14ac:dyDescent="0.2">
      <c r="D69" s="113" t="s">
        <v>1617</v>
      </c>
      <c r="E69" s="121" t="s">
        <v>1618</v>
      </c>
      <c r="F69" s="122"/>
      <c r="G69" s="113" t="s">
        <v>299</v>
      </c>
      <c r="H69" s="115" t="s">
        <v>1227</v>
      </c>
      <c r="I69" s="113">
        <f>Fertiliser_FracLEACH_Data</f>
        <v>0.24</v>
      </c>
      <c r="N69" s="113" t="s">
        <v>1617</v>
      </c>
      <c r="O69" s="121" t="s">
        <v>1618</v>
      </c>
      <c r="P69" s="122"/>
      <c r="Q69" s="113" t="s">
        <v>299</v>
      </c>
      <c r="R69" s="115" t="s">
        <v>1227</v>
      </c>
      <c r="S69" s="113"/>
    </row>
    <row r="70" spans="1:19" ht="20.100000000000001" customHeight="1" x14ac:dyDescent="0.2">
      <c r="D70" s="113" t="s">
        <v>1619</v>
      </c>
      <c r="E70" s="121" t="s">
        <v>1620</v>
      </c>
      <c r="F70" s="122"/>
      <c r="G70" s="113"/>
      <c r="H70" s="247" t="s">
        <v>1196</v>
      </c>
      <c r="I70" s="113" t="str">
        <f>X_Cell_Site_LeachingZone</f>
        <v>NO - Not in leaching zone</v>
      </c>
      <c r="N70" s="113" t="s">
        <v>1619</v>
      </c>
      <c r="O70" s="121" t="s">
        <v>1620</v>
      </c>
      <c r="P70" s="122"/>
      <c r="Q70" s="113"/>
      <c r="R70" s="247" t="s">
        <v>1196</v>
      </c>
      <c r="S70" s="113"/>
    </row>
    <row r="71" spans="1:19" ht="20.100000000000001" customHeight="1" x14ac:dyDescent="0.2">
      <c r="D71" s="113" t="s">
        <v>1327</v>
      </c>
      <c r="E71" s="121" t="s">
        <v>1328</v>
      </c>
      <c r="F71" s="122"/>
      <c r="G71" s="113"/>
      <c r="H71" s="247" t="s">
        <v>1196</v>
      </c>
      <c r="I71" s="113" t="str">
        <f>IF(ISBLANK(X_Cell_ManureSentOffsite_ManureProductionSystem), "Pasture", X_Cell_ManureSentOffsite_ManureProductionSystem)</f>
        <v>Crop</v>
      </c>
      <c r="N71" s="113" t="s">
        <v>1327</v>
      </c>
      <c r="O71" s="121" t="s">
        <v>1328</v>
      </c>
      <c r="P71" s="122"/>
      <c r="Q71" s="113"/>
      <c r="R71" s="247" t="s">
        <v>1196</v>
      </c>
      <c r="S71" s="113"/>
    </row>
    <row r="72" spans="1:19" ht="20.100000000000001" customHeight="1" x14ac:dyDescent="0.2">
      <c r="D72" s="113" t="s">
        <v>1608</v>
      </c>
      <c r="E72" s="121" t="s">
        <v>1329</v>
      </c>
      <c r="F72" s="122"/>
      <c r="G72" s="113"/>
      <c r="H72" s="247" t="s">
        <v>1196</v>
      </c>
      <c r="I72" s="113" t="str">
        <f>IF(ISBLANK(X_Cell_ManureSentOffsite_ManureIrrigationMethod), "Not irrigated", X_Cell_ManureSentOffsite_ManureIrrigationMethod)</f>
        <v>Sprinkler irrigation</v>
      </c>
      <c r="N72" s="113" t="s">
        <v>1608</v>
      </c>
      <c r="O72" s="121" t="s">
        <v>1329</v>
      </c>
      <c r="P72" s="122"/>
      <c r="Q72" s="113"/>
      <c r="R72" s="247" t="s">
        <v>1196</v>
      </c>
      <c r="S72" s="113"/>
    </row>
    <row r="74" spans="1:19" ht="20.100000000000001" customHeight="1" x14ac:dyDescent="0.2">
      <c r="D74" s="88" t="s">
        <v>1155</v>
      </c>
      <c r="E74" s="83">
        <f>(I67 * I68 * I69)</f>
        <v>240</v>
      </c>
      <c r="F74" s="89" t="str">
        <f>$E$65</f>
        <v>kg N</v>
      </c>
      <c r="N74" s="88" t="s">
        <v>1155</v>
      </c>
      <c r="O74" s="83">
        <f>(S67 * I68 * I69)</f>
        <v>480</v>
      </c>
      <c r="P74" s="89" t="str">
        <f>$E$65</f>
        <v>kg N</v>
      </c>
    </row>
    <row r="77" spans="1:19" ht="20.100000000000001" customHeight="1" x14ac:dyDescent="0.2">
      <c r="D77" s="2" t="s">
        <v>1621</v>
      </c>
      <c r="N77" s="2" t="s">
        <v>1621</v>
      </c>
    </row>
    <row r="78" spans="1:19" ht="20.100000000000001" customHeight="1" x14ac:dyDescent="0.2">
      <c r="D78" s="17" t="s">
        <v>1622</v>
      </c>
      <c r="N78" s="17" t="s">
        <v>1622</v>
      </c>
    </row>
    <row r="79" spans="1:19" ht="20.100000000000001" customHeight="1" x14ac:dyDescent="0.2">
      <c r="D79" s="112"/>
      <c r="E79" s="112"/>
      <c r="N79" s="112"/>
      <c r="O79" s="112"/>
    </row>
    <row r="82" spans="4:20" ht="20.100000000000001" customHeight="1" x14ac:dyDescent="0.2">
      <c r="D82" s="75" t="s">
        <v>321</v>
      </c>
      <c r="E82" s="1" t="s">
        <v>1623</v>
      </c>
      <c r="N82" s="75" t="s">
        <v>321</v>
      </c>
      <c r="O82" s="1" t="s">
        <v>1623</v>
      </c>
    </row>
    <row r="83" spans="4:20" ht="20.100000000000001" customHeight="1" x14ac:dyDescent="0.2">
      <c r="D83" s="75" t="s">
        <v>118</v>
      </c>
      <c r="E83" s="9" t="s">
        <v>12</v>
      </c>
      <c r="N83" s="75" t="s">
        <v>118</v>
      </c>
      <c r="O83" s="9" t="s">
        <v>12</v>
      </c>
    </row>
    <row r="85" spans="4:20" ht="20.100000000000001" customHeight="1" x14ac:dyDescent="0.2">
      <c r="D85" s="113" t="s">
        <v>1624</v>
      </c>
      <c r="E85" s="121" t="s">
        <v>1625</v>
      </c>
      <c r="F85" s="132"/>
      <c r="G85" s="122"/>
      <c r="H85" s="113" t="s">
        <v>445</v>
      </c>
      <c r="I85" s="115" t="s">
        <v>1629</v>
      </c>
      <c r="J85" s="113">
        <v>0</v>
      </c>
      <c r="N85" s="113" t="s">
        <v>1624</v>
      </c>
      <c r="O85" s="121" t="s">
        <v>1625</v>
      </c>
      <c r="P85" s="132"/>
      <c r="Q85" s="122"/>
      <c r="R85" s="113" t="s">
        <v>445</v>
      </c>
      <c r="S85" s="115" t="s">
        <v>1629</v>
      </c>
      <c r="T85" s="113"/>
    </row>
    <row r="86" spans="4:20" ht="20.100000000000001" customHeight="1" x14ac:dyDescent="0.2">
      <c r="D86" s="113" t="s">
        <v>1613</v>
      </c>
      <c r="E86" s="121" t="s">
        <v>1626</v>
      </c>
      <c r="F86" s="132"/>
      <c r="G86" s="122"/>
      <c r="H86" s="113" t="s">
        <v>445</v>
      </c>
      <c r="I86" s="115" t="s">
        <v>1630</v>
      </c>
      <c r="J86" s="113">
        <f>E74</f>
        <v>240</v>
      </c>
      <c r="N86" s="113" t="s">
        <v>1613</v>
      </c>
      <c r="O86" s="121" t="s">
        <v>1626</v>
      </c>
      <c r="P86" s="132"/>
      <c r="Q86" s="122"/>
      <c r="R86" s="113" t="s">
        <v>445</v>
      </c>
      <c r="S86" s="115" t="s">
        <v>1630</v>
      </c>
      <c r="T86" s="113">
        <f>O74</f>
        <v>480</v>
      </c>
    </row>
    <row r="87" spans="4:20" ht="20.100000000000001" customHeight="1" x14ac:dyDescent="0.2">
      <c r="D87" s="113" t="s">
        <v>1627</v>
      </c>
      <c r="E87" s="121" t="s">
        <v>1628</v>
      </c>
      <c r="F87" s="132"/>
      <c r="G87" s="122"/>
      <c r="H87" s="113" t="s">
        <v>1314</v>
      </c>
      <c r="I87" s="115" t="s">
        <v>1227</v>
      </c>
      <c r="J87" s="113">
        <f>Fertiliser_EFLeach_Data</f>
        <v>1.0999999999999999E-2</v>
      </c>
      <c r="N87" s="113" t="s">
        <v>1627</v>
      </c>
      <c r="O87" s="121" t="s">
        <v>1628</v>
      </c>
      <c r="P87" s="132"/>
      <c r="Q87" s="122"/>
      <c r="R87" s="113" t="s">
        <v>1314</v>
      </c>
      <c r="S87" s="115" t="s">
        <v>1227</v>
      </c>
      <c r="T87" s="113"/>
    </row>
    <row r="88" spans="4:20" ht="20.100000000000001" customHeight="1" x14ac:dyDescent="0.2">
      <c r="D88" s="113" t="s">
        <v>1311</v>
      </c>
      <c r="E88" s="121" t="s">
        <v>1312</v>
      </c>
      <c r="F88" s="132"/>
      <c r="G88" s="122"/>
      <c r="H88" s="113"/>
      <c r="I88" s="115" t="s">
        <v>1227</v>
      </c>
      <c r="J88" s="124">
        <f>Common_InputFunctions.Utility_LookupValueInTableNumber("N2O",Table_GasToMolecularConversionFactor[Gas],Table_GasToMolecularConversionFactor[Conversion factor combined])</f>
        <v>1.5714285714285714</v>
      </c>
      <c r="N88" s="113" t="s">
        <v>1311</v>
      </c>
      <c r="O88" s="121" t="s">
        <v>1312</v>
      </c>
      <c r="P88" s="132"/>
      <c r="Q88" s="122"/>
      <c r="R88" s="113"/>
      <c r="S88" s="115" t="s">
        <v>1227</v>
      </c>
      <c r="T88" s="124"/>
    </row>
    <row r="90" spans="4:20" ht="20.100000000000001" customHeight="1" x14ac:dyDescent="0.2">
      <c r="D90" s="85" t="s">
        <v>834</v>
      </c>
      <c r="E90" s="86">
        <f>((J85 + J86) * J87 * J88 * 10 ^ -3)</f>
        <v>4.1485714285714277E-3</v>
      </c>
      <c r="F90" s="95" t="str">
        <f>$E$83</f>
        <v>t N2O</v>
      </c>
      <c r="N90" s="85" t="s">
        <v>834</v>
      </c>
      <c r="O90" s="86">
        <f>((J85 + T86) * J87 * J88 * 10 ^ -3)</f>
        <v>8.2971428571428554E-3</v>
      </c>
      <c r="P90" s="95" t="str">
        <f>$E$83</f>
        <v>t N2O</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C75FA-D733-4D49-A544-69193E7E4C9B}">
  <sheetPr>
    <tabColor theme="2" tint="-0.499984740745262"/>
  </sheetPr>
  <dimension ref="A1:V28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472</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1631</v>
      </c>
      <c r="M5" s="1"/>
    </row>
    <row r="6" spans="1:21" ht="20.100000000000001" customHeight="1" x14ac:dyDescent="0.2">
      <c r="D6" s="17" t="s">
        <v>1632</v>
      </c>
      <c r="M6" s="1"/>
    </row>
    <row r="7" spans="1:21" ht="20.100000000000001" customHeight="1" x14ac:dyDescent="0.2">
      <c r="D7" s="75" t="s">
        <v>1232</v>
      </c>
      <c r="E7" s="1">
        <v>0.5</v>
      </c>
      <c r="F7" s="9" t="s">
        <v>1633</v>
      </c>
      <c r="M7" s="1"/>
    </row>
    <row r="8" spans="1:21" ht="20.100000000000001" customHeight="1" x14ac:dyDescent="0.2">
      <c r="A8" s="7" t="s">
        <v>0</v>
      </c>
      <c r="M8" s="1"/>
    </row>
    <row r="9" spans="1:21" ht="20.100000000000001" customHeight="1" x14ac:dyDescent="0.2">
      <c r="A9" s="5" t="str">
        <f>HYPERLINK("#'Input - Enterprise'!A1", "Enterprise")</f>
        <v>Enterprise</v>
      </c>
      <c r="M9" s="1"/>
    </row>
    <row r="10" spans="1:21" ht="20.100000000000001" customHeight="1" x14ac:dyDescent="0.2">
      <c r="A10" s="5" t="str">
        <f>HYPERLINK("#'Input - Site'!A1", "Site")</f>
        <v>Site</v>
      </c>
      <c r="D10" s="2" t="s">
        <v>1634</v>
      </c>
      <c r="M10" s="1"/>
    </row>
    <row r="11" spans="1:21" ht="20.100000000000001" customHeight="1" x14ac:dyDescent="0.2">
      <c r="A11" s="5" t="str">
        <f>HYPERLINK("#'Input - Feedlot'!A1", "Feedlot")</f>
        <v>Feedlot</v>
      </c>
      <c r="D11" s="17" t="s">
        <v>1632</v>
      </c>
      <c r="M11" s="1"/>
    </row>
    <row r="12" spans="1:21" ht="20.100000000000001" customHeight="1" x14ac:dyDescent="0.2">
      <c r="A12" s="5" t="str">
        <f>HYPERLINK("#'Input - Livestock sales'!A1", "Livestock sales")</f>
        <v>Livestock sales</v>
      </c>
      <c r="D12" s="75" t="s">
        <v>1635</v>
      </c>
      <c r="E12" s="1">
        <v>0.02</v>
      </c>
      <c r="F12" s="9" t="s">
        <v>1633</v>
      </c>
      <c r="M12" s="1"/>
    </row>
    <row r="13" spans="1:21" ht="20.100000000000001" customHeight="1" x14ac:dyDescent="0.2">
      <c r="A13" s="5" t="str">
        <f>HYPERLINK("#'Input - Beef cattle purchases'!A1", "Beef cattle purchases")</f>
        <v>Beef cattle purchases</v>
      </c>
      <c r="M13" s="1"/>
    </row>
    <row r="14" spans="1:21" ht="20.100000000000001" customHeight="1" x14ac:dyDescent="0.2">
      <c r="A14" s="5" t="str">
        <f>HYPERLINK("#'Input - Fuel'!A1", "Fuel")</f>
        <v>Fuel</v>
      </c>
      <c r="M14" s="1"/>
    </row>
    <row r="15" spans="1:21" ht="20.100000000000001" customHeight="1" x14ac:dyDescent="0.2">
      <c r="A15" s="5" t="str">
        <f>HYPERLINK("#'Input - Electricity'!A1", "Electricity")</f>
        <v>Electricity</v>
      </c>
      <c r="D15" s="2" t="s">
        <v>1636</v>
      </c>
      <c r="M15" s="1"/>
    </row>
    <row r="16" spans="1:21" ht="20.100000000000001" customHeight="1" x14ac:dyDescent="0.2">
      <c r="A16" s="5" t="str">
        <f>HYPERLINK("#'Input - Common farm inputs'!A1", "Common farm inputs")</f>
        <v>Common farm inputs</v>
      </c>
      <c r="D16" s="17" t="s">
        <v>1632</v>
      </c>
      <c r="M16" s="1"/>
    </row>
    <row r="17" spans="1:13" ht="20.100000000000001" customHeight="1" x14ac:dyDescent="0.2">
      <c r="A17" s="5" t="str">
        <f>HYPERLINK("#'Input - Livestock farm Inputs'!A1", "Livestock farm Inputs")</f>
        <v>Livestock farm Inputs</v>
      </c>
      <c r="D17" s="75" t="s">
        <v>1637</v>
      </c>
      <c r="E17" s="1">
        <v>0.16</v>
      </c>
      <c r="F17" s="9" t="s">
        <v>1633</v>
      </c>
      <c r="M17" s="1"/>
    </row>
    <row r="18" spans="1:13" ht="20.100000000000001" customHeight="1" x14ac:dyDescent="0.2">
      <c r="A18" s="5" t="str">
        <f>HYPERLINK("#'Input - Freight'!A1", "Freight")</f>
        <v>Freight</v>
      </c>
      <c r="M18" s="1"/>
    </row>
    <row r="19" spans="1:13" ht="20.100000000000001" customHeight="1" x14ac:dyDescent="0.2">
      <c r="A19" s="5" t="str">
        <f>HYPERLINK("#'Input - Solid waste'!A1", "Solid waste")</f>
        <v>Solid waste</v>
      </c>
      <c r="M19" s="1"/>
    </row>
    <row r="20" spans="1:13" ht="20.100000000000001" customHeight="1" x14ac:dyDescent="0.2">
      <c r="A20" s="5" t="str">
        <f>HYPERLINK("#'Input - Manure sent off-site'!A1", "Manure sent off-site")</f>
        <v>Manure sent off-site</v>
      </c>
      <c r="D20" s="2" t="s">
        <v>1638</v>
      </c>
      <c r="M20" s="1"/>
    </row>
    <row r="21" spans="1:13" ht="20.100000000000001" customHeight="1" x14ac:dyDescent="0.2">
      <c r="A21" s="5" t="str">
        <f>HYPERLINK("#'Input - Data quality'!A1", "Data quality")</f>
        <v>Data quality</v>
      </c>
      <c r="D21" s="17" t="s">
        <v>1632</v>
      </c>
      <c r="M21" s="1"/>
    </row>
    <row r="22" spans="1:13" ht="20.100000000000001" customHeight="1" x14ac:dyDescent="0.2">
      <c r="A22" s="5" t="str">
        <f>HYPERLINK("#'Input - Fert Prod System'!A1", "Fert Prod System")</f>
        <v>Fert Prod System</v>
      </c>
      <c r="D22" s="75" t="s">
        <v>1639</v>
      </c>
      <c r="E22" s="1">
        <v>0.19</v>
      </c>
      <c r="F22" s="9" t="s">
        <v>1640</v>
      </c>
      <c r="M22" s="1"/>
    </row>
    <row r="23" spans="1:13" ht="20.100000000000001" customHeight="1" x14ac:dyDescent="0.2">
      <c r="A23" s="5" t="str">
        <f>HYPERLINK("#'Input - Fertiliser'!A1", "Fertiliser")</f>
        <v>Fertiliser</v>
      </c>
      <c r="M23" s="1"/>
    </row>
    <row r="24" spans="1:13" ht="20.100000000000001" customHeight="1" x14ac:dyDescent="0.2">
      <c r="M24" s="1"/>
    </row>
    <row r="25" spans="1:13" ht="20.100000000000001" customHeight="1" x14ac:dyDescent="0.2">
      <c r="D25" s="2" t="s">
        <v>473</v>
      </c>
      <c r="G25" s="2" t="s">
        <v>474</v>
      </c>
      <c r="J25" s="2" t="s">
        <v>475</v>
      </c>
      <c r="L25" s="2" t="s">
        <v>476</v>
      </c>
      <c r="M25" s="1"/>
    </row>
    <row r="26" spans="1:13" ht="20.100000000000001" customHeight="1" x14ac:dyDescent="0.2">
      <c r="A26" s="6" t="s">
        <v>2</v>
      </c>
      <c r="L26" s="1" t="s">
        <v>477</v>
      </c>
      <c r="M26" s="1"/>
    </row>
    <row r="27" spans="1:13" ht="20.100000000000001" customHeight="1" x14ac:dyDescent="0.2">
      <c r="A27" s="5" t="str">
        <f>HYPERLINK("#'3.1.1.1-2 Enteric Methane'!A1", "3.1.1.1-2 Enteric Methane")</f>
        <v>3.1.1.1-2 Enteric Methane</v>
      </c>
      <c r="D27" s="134" t="s">
        <v>367</v>
      </c>
      <c r="E27" s="19" t="s">
        <v>478</v>
      </c>
      <c r="G27" s="19" t="s">
        <v>479</v>
      </c>
      <c r="J27" s="19" t="s">
        <v>63</v>
      </c>
      <c r="L27" s="19" t="s">
        <v>480</v>
      </c>
      <c r="M27" s="1"/>
    </row>
    <row r="28" spans="1:13" ht="20.100000000000001" customHeight="1" x14ac:dyDescent="0.2">
      <c r="A28" s="5" t="str">
        <f>HYPERLINK("#'4.1.1.1-2 Methane'!A1", "4.1.1.1-2 Manure Methane")</f>
        <v>4.1.1.1-2 Manure Methane</v>
      </c>
      <c r="D28" s="19" t="str">
        <f>'Constants - Common livestock'!$E$16</f>
        <v>Drylot (feed pad)</v>
      </c>
      <c r="E28" s="19" t="str">
        <f>'Constants - Common livestock'!$F$16</f>
        <v>Drylot (feed pad) (m=5)</v>
      </c>
      <c r="G28" s="19" t="str">
        <f>'Constants - Common'!$F$188</f>
        <v>Crop</v>
      </c>
      <c r="J28" s="19" t="s">
        <v>320</v>
      </c>
      <c r="L28" s="19" t="s">
        <v>289</v>
      </c>
      <c r="M28" s="1"/>
    </row>
    <row r="29" spans="1:13" ht="20.100000000000001" customHeight="1" x14ac:dyDescent="0.2">
      <c r="A29" s="5" t="str">
        <f>HYPERLINK("#'4.1.1.3-4 Direct N20'!A1", "4.1.1.3-4 Manure Direct N2O")</f>
        <v>4.1.1.3-4 Manure Direct N2O</v>
      </c>
      <c r="D29" s="19" t="str">
        <f>'Constants - Common livestock'!$E$15</f>
        <v>Solid storage</v>
      </c>
      <c r="E29" s="19" t="str">
        <f>'Constants - Common livestock'!$F$15</f>
        <v>Solid storage (m=4)</v>
      </c>
      <c r="G29" s="1" t="str">
        <f>'Constants - Common'!$F$187</f>
        <v>Pasture</v>
      </c>
      <c r="J29" s="19" t="s">
        <v>481</v>
      </c>
      <c r="L29" s="19" t="s">
        <v>290</v>
      </c>
      <c r="M29" s="1"/>
    </row>
    <row r="30" spans="1:13" ht="20.100000000000001" customHeight="1" x14ac:dyDescent="0.2">
      <c r="A30" s="5" t="str">
        <f>HYPERLINK("#'4.1.1.5-6 Atmos Deposition'!A1", "4.1.1.5-6 Manure Atmos Dep")</f>
        <v>4.1.1.5-6 Manure Atmos Dep</v>
      </c>
      <c r="D30" s="19" t="str">
        <f>'Constants - Common livestock'!$E$17</f>
        <v>Composting (passive windrow)</v>
      </c>
      <c r="E30" s="19" t="str">
        <f>'Constants - Common livestock'!$F$17</f>
        <v>Composting (passive windrow) (m=6)</v>
      </c>
      <c r="J30" s="1" t="s">
        <v>482</v>
      </c>
      <c r="L30" s="19" t="s">
        <v>291</v>
      </c>
      <c r="M30" s="1"/>
    </row>
    <row r="31" spans="1:13" ht="20.100000000000001" customHeight="1" x14ac:dyDescent="0.2">
      <c r="A31" s="5" t="str">
        <f>HYPERLINK("#'4.1.1.9 Manure applied to soils'!A1", "4.1.1.9 Manure applied to soils")</f>
        <v>4.1.1.9 Manure applied to soils</v>
      </c>
      <c r="D31" s="19" t="str">
        <f>'Constants - Common livestock'!$E$26</f>
        <v>Direct application</v>
      </c>
      <c r="E31" s="19" t="str">
        <f>'Constants - Common livestock'!$F$26</f>
        <v>Direct application (m=13)</v>
      </c>
      <c r="J31" s="1" t="s">
        <v>483</v>
      </c>
      <c r="M31" s="1"/>
    </row>
    <row r="32" spans="1:13" ht="20.100000000000001" customHeight="1" x14ac:dyDescent="0.2">
      <c r="A32" s="5" t="str">
        <f>HYPERLINK("#'8.1.1.1-2 Transport fuel'!A1", "8.1.1.1-2 Transport fuel")</f>
        <v>8.1.1.1-2 Transport fuel</v>
      </c>
      <c r="D32" s="1" t="str">
        <f>'Constants - Common livestock'!$E$10</f>
        <v>Anaerobic lagoon</v>
      </c>
      <c r="E32" s="1" t="str">
        <f>'Constants - Common livestock'!$F$10</f>
        <v>Anaerobic lagoon (m=1)</v>
      </c>
      <c r="J32" s="1" t="s">
        <v>484</v>
      </c>
      <c r="M32" s="1"/>
    </row>
    <row r="33" spans="1:13" ht="20.100000000000001" customHeight="1" x14ac:dyDescent="0.2">
      <c r="A33" s="5" t="str">
        <f>HYPERLINK("#'8.2.1.1-2 Stationary fuel'!A1", "8.2.1.1-2 Stationary fuel")</f>
        <v>8.2.1.1-2 Stationary fuel</v>
      </c>
      <c r="M33" s="1"/>
    </row>
    <row r="34" spans="1:13" ht="20.100000000000001" customHeight="1" x14ac:dyDescent="0.2">
      <c r="A34" s="5" t="str">
        <f>HYPERLINK("#'10.1.1-2 Solid waste treatment'!A1", "10.1.1.1-2 Solid waste")</f>
        <v>10.1.1.1-2 Solid waste</v>
      </c>
      <c r="M34" s="1"/>
    </row>
    <row r="35" spans="1:13" ht="20.100000000000001" customHeight="1" x14ac:dyDescent="0.2">
      <c r="A35" s="5" t="str">
        <f>HYPERLINK("#'14.1.1-2 Purchased electricity'!A1", "14.1.1-2 Purchased electricity")</f>
        <v>14.1.1-2 Purchased electricity</v>
      </c>
      <c r="M35" s="1"/>
    </row>
    <row r="36" spans="1:13" ht="20.100000000000001" customHeight="1" x14ac:dyDescent="0.2">
      <c r="A36" s="5" t="str">
        <f>HYPERLINK("#'15 Scope 3'!A1", "15 Scope 3")</f>
        <v>15 Scope 3</v>
      </c>
      <c r="D36" s="2" t="s">
        <v>1641</v>
      </c>
      <c r="M36" s="1"/>
    </row>
    <row r="37" spans="1:13" ht="20.100000000000001" customHeight="1" x14ac:dyDescent="0.2">
      <c r="A37" s="5" t="str">
        <f>HYPERLINK("#'Calcs - Manure sent off-site'!A1", "Calcs - Manure sent off-site")</f>
        <v>Calcs - Manure sent off-site</v>
      </c>
      <c r="D37" s="17" t="s">
        <v>1642</v>
      </c>
      <c r="M37" s="1"/>
    </row>
    <row r="38" spans="1:13" ht="20.100000000000001" customHeight="1" x14ac:dyDescent="0.2">
      <c r="A38" s="5" t="str">
        <f>HYPERLINK("#'5.1.1.1-2 Inorganic fert N2O'!A1", "5.1.1.1-2 Inorganic fert N2O")</f>
        <v>5.1.1.1-2 Inorganic fert N2O</v>
      </c>
      <c r="D38" s="19" t="s">
        <v>485</v>
      </c>
      <c r="E38" s="19" t="s">
        <v>486</v>
      </c>
      <c r="M38" s="1"/>
    </row>
    <row r="39" spans="1:13" ht="20.100000000000001" customHeight="1" x14ac:dyDescent="0.2">
      <c r="A39" s="5" t="str">
        <f>HYPERLINK("#'5.1.1.3-4 Inorganic fert CO2'!A1", "5.1.1.3-4 Inorganic fert CO2")</f>
        <v>5.1.1.3-4 Inorganic fert CO2</v>
      </c>
      <c r="D39" s="19" t="s">
        <v>289</v>
      </c>
      <c r="E39" s="19" t="s">
        <v>1643</v>
      </c>
      <c r="M39" s="8"/>
    </row>
    <row r="40" spans="1:13" ht="20.100000000000001" customHeight="1" x14ac:dyDescent="0.2">
      <c r="A40" s="5" t="str">
        <f>HYPERLINK("#'5.2.1.1-2 Organic Fert N2O'!A1", "5.2.1.1-2 Organic Fert N2O")</f>
        <v>5.2.1.1-2 Organic Fert N2O</v>
      </c>
      <c r="D40" s="1" t="s">
        <v>290</v>
      </c>
      <c r="E40" s="19" t="s">
        <v>1644</v>
      </c>
      <c r="M40" s="8"/>
    </row>
    <row r="41" spans="1:13" ht="20.100000000000001" customHeight="1" x14ac:dyDescent="0.2">
      <c r="A41" s="5" t="str">
        <f>HYPERLINK("#'5.3.1.1-2 Lime CO2'!A1", "5.3.1.1-2 Lime CO2")</f>
        <v>5.3.1.1-2 Lime CO2</v>
      </c>
      <c r="D41" s="1" t="s">
        <v>291</v>
      </c>
      <c r="E41" s="19" t="s">
        <v>1645</v>
      </c>
      <c r="M41" s="8"/>
    </row>
    <row r="42" spans="1:13" ht="20.100000000000001" customHeight="1" x14ac:dyDescent="0.2">
      <c r="A42" s="5" t="str">
        <f>HYPERLINK("#'5.4.1.1-4 Atmos deposition'!A1", "5.4.1.1-4 Atmos deposition")</f>
        <v>5.4.1.1-4 Atmos deposition</v>
      </c>
      <c r="M42" s="8"/>
    </row>
    <row r="43" spans="1:13" ht="20.100000000000001" customHeight="1" x14ac:dyDescent="0.2">
      <c r="A43" s="5" t="str">
        <f>HYPERLINK("#'5.5.1.1-2 Leaching and runoff'!A1", "5.5.1.1-2 Leaching and runoff")</f>
        <v>5.5.1.1-2 Leaching and runoff</v>
      </c>
      <c r="M43" s="8"/>
    </row>
    <row r="44" spans="1:13" ht="20.100000000000001" customHeight="1" x14ac:dyDescent="0.2">
      <c r="D44" s="2" t="s">
        <v>1646</v>
      </c>
      <c r="M44" s="8"/>
    </row>
    <row r="45" spans="1:13" ht="20.100000000000001" customHeight="1" x14ac:dyDescent="0.2">
      <c r="D45" s="17" t="s">
        <v>1647</v>
      </c>
      <c r="M45" s="8"/>
    </row>
    <row r="46" spans="1:13" ht="20.100000000000001" customHeight="1" x14ac:dyDescent="0.2">
      <c r="A46" s="80" t="s">
        <v>1</v>
      </c>
      <c r="D46" s="25" t="s">
        <v>1648</v>
      </c>
      <c r="M46" s="8"/>
    </row>
    <row r="47" spans="1:13" ht="20.100000000000001" customHeight="1" x14ac:dyDescent="0.2">
      <c r="A47" s="81" t="str">
        <f>HYPERLINK("#'Constants - Feedlot'!A1", "Constants - Feedlot")</f>
        <v>Constants - Feedlot</v>
      </c>
      <c r="D47" s="25" t="s">
        <v>1649</v>
      </c>
      <c r="M47" s="8"/>
    </row>
    <row r="48" spans="1:13" ht="20.100000000000001" customHeight="1" x14ac:dyDescent="0.2">
      <c r="A48" s="5" t="str">
        <f>HYPERLINK("#'Constants - Common livestock'!A1", "Constants - Common Livestock")</f>
        <v>Constants - Common Livestock</v>
      </c>
      <c r="D48" s="25" t="s">
        <v>1650</v>
      </c>
      <c r="M48" s="8"/>
    </row>
    <row r="49" spans="1:13" ht="20.100000000000001" customHeight="1" x14ac:dyDescent="0.2">
      <c r="A49" s="5" t="str">
        <f>HYPERLINK("#'Constants - Electricity'!A1", "Constants - Electricity")</f>
        <v>Constants - Electricity</v>
      </c>
      <c r="D49" s="19" t="s">
        <v>485</v>
      </c>
      <c r="E49" s="19" t="s">
        <v>487</v>
      </c>
      <c r="F49" s="19" t="s">
        <v>118</v>
      </c>
      <c r="G49" s="19" t="s">
        <v>488</v>
      </c>
      <c r="H49" s="19" t="s">
        <v>489</v>
      </c>
      <c r="I49" s="19" t="s">
        <v>490</v>
      </c>
      <c r="J49" s="19" t="s">
        <v>491</v>
      </c>
      <c r="M49" s="8"/>
    </row>
    <row r="50" spans="1:13" ht="20.100000000000001" customHeight="1" x14ac:dyDescent="0.2">
      <c r="A50" s="5" t="str">
        <f>HYPERLINK("#'Constants - Fertiliser'!A1", "Constants - Fertiliser")</f>
        <v>Constants - Fertiliser</v>
      </c>
      <c r="D50" s="19" t="s">
        <v>289</v>
      </c>
      <c r="E50" s="19" t="s">
        <v>1651</v>
      </c>
      <c r="F50" s="19" t="s">
        <v>293</v>
      </c>
      <c r="G50" s="19">
        <v>70</v>
      </c>
      <c r="H50" s="19">
        <v>70</v>
      </c>
      <c r="I50" s="19">
        <v>70</v>
      </c>
      <c r="J50" s="19">
        <v>75</v>
      </c>
      <c r="M50" s="8"/>
    </row>
    <row r="51" spans="1:13" ht="20.100000000000001" customHeight="1" x14ac:dyDescent="0.2">
      <c r="A51" s="5" t="str">
        <f>HYPERLINK("#'Constants - Fuel'!A1", "Constants - Fuel")</f>
        <v>Constants - Fuel</v>
      </c>
      <c r="D51" s="1" t="s">
        <v>289</v>
      </c>
      <c r="E51" s="19" t="s">
        <v>296</v>
      </c>
      <c r="F51" s="19" t="s">
        <v>1652</v>
      </c>
      <c r="G51" s="19">
        <v>10</v>
      </c>
      <c r="H51" s="19">
        <v>10</v>
      </c>
      <c r="I51" s="19">
        <v>10.4</v>
      </c>
      <c r="J51" s="19">
        <v>10.4</v>
      </c>
      <c r="M51" s="8"/>
    </row>
    <row r="52" spans="1:13" ht="20.100000000000001" customHeight="1" x14ac:dyDescent="0.2">
      <c r="A52" s="5" t="str">
        <f>HYPERLINK("#'Constants - Scope 3'!A1", "Constants - Scope 3")</f>
        <v>Constants - Scope 3</v>
      </c>
      <c r="D52" s="1" t="s">
        <v>289</v>
      </c>
      <c r="E52" s="19" t="s">
        <v>303</v>
      </c>
      <c r="F52" s="19" t="s">
        <v>1653</v>
      </c>
      <c r="G52" s="19">
        <v>21.1</v>
      </c>
      <c r="H52" s="19">
        <v>20.399999999999999</v>
      </c>
      <c r="I52" s="19">
        <v>20.399999999999999</v>
      </c>
      <c r="J52" s="19">
        <v>20.399999999999999</v>
      </c>
      <c r="M52" s="8"/>
    </row>
    <row r="53" spans="1:13" ht="20.100000000000001" customHeight="1" x14ac:dyDescent="0.2">
      <c r="A53" s="5" t="str">
        <f>HYPERLINK("#'Constants - Solid Waste'!A1", "Constants - Solid Waste")</f>
        <v>Constants - Solid Waste</v>
      </c>
      <c r="D53" s="1" t="s">
        <v>290</v>
      </c>
      <c r="E53" s="19" t="s">
        <v>1651</v>
      </c>
      <c r="F53" s="19" t="s">
        <v>293</v>
      </c>
      <c r="G53" s="19">
        <v>115</v>
      </c>
      <c r="H53" s="19">
        <v>115</v>
      </c>
      <c r="I53" s="19">
        <v>120</v>
      </c>
      <c r="J53" s="19">
        <v>150</v>
      </c>
      <c r="M53" s="8"/>
    </row>
    <row r="54" spans="1:13" ht="20.100000000000001" customHeight="1" x14ac:dyDescent="0.2">
      <c r="A54" s="5" t="str">
        <f>HYPERLINK("#'Constants - Common'!A1", "Constants - Common")</f>
        <v>Constants - Common</v>
      </c>
      <c r="D54" s="1" t="s">
        <v>290</v>
      </c>
      <c r="E54" s="19" t="s">
        <v>296</v>
      </c>
      <c r="F54" s="19" t="s">
        <v>1652</v>
      </c>
      <c r="G54" s="19">
        <v>11.2</v>
      </c>
      <c r="H54" s="19">
        <v>10.8</v>
      </c>
      <c r="I54" s="19">
        <v>10.8</v>
      </c>
      <c r="J54" s="19">
        <v>10.8</v>
      </c>
      <c r="M54" s="8"/>
    </row>
    <row r="55" spans="1:13" ht="20.100000000000001" customHeight="1" x14ac:dyDescent="0.2">
      <c r="A55" s="5" t="str">
        <f>HYPERLINK("#'Acknowledgements'!A1", "Acknowledgements")</f>
        <v>Acknowledgements</v>
      </c>
      <c r="D55" s="1" t="s">
        <v>290</v>
      </c>
      <c r="E55" s="19" t="s">
        <v>303</v>
      </c>
      <c r="F55" s="19" t="s">
        <v>1653</v>
      </c>
      <c r="G55" s="19">
        <v>12.5</v>
      </c>
      <c r="H55" s="19">
        <v>12.7</v>
      </c>
      <c r="I55" s="19">
        <v>12.7</v>
      </c>
      <c r="J55" s="19">
        <v>12.7</v>
      </c>
      <c r="M55" s="8"/>
    </row>
    <row r="56" spans="1:13" ht="20.100000000000001" customHeight="1" x14ac:dyDescent="0.2">
      <c r="D56" s="1" t="s">
        <v>291</v>
      </c>
      <c r="E56" s="19" t="s">
        <v>1651</v>
      </c>
      <c r="F56" s="19" t="s">
        <v>293</v>
      </c>
      <c r="G56" s="19">
        <v>250</v>
      </c>
      <c r="H56" s="19">
        <v>250</v>
      </c>
      <c r="I56" s="19">
        <v>250</v>
      </c>
      <c r="J56" s="19">
        <v>250</v>
      </c>
      <c r="M56" s="8"/>
    </row>
    <row r="57" spans="1:13" ht="20.100000000000001" customHeight="1" x14ac:dyDescent="0.2">
      <c r="D57" s="1" t="s">
        <v>291</v>
      </c>
      <c r="E57" s="19" t="s">
        <v>296</v>
      </c>
      <c r="F57" s="19" t="s">
        <v>1652</v>
      </c>
      <c r="G57" s="19">
        <v>9</v>
      </c>
      <c r="H57" s="19">
        <v>8.5</v>
      </c>
      <c r="I57" s="19">
        <v>8.1999999999999993</v>
      </c>
      <c r="J57" s="19">
        <v>8.1999999999999993</v>
      </c>
      <c r="M57" s="8"/>
    </row>
    <row r="58" spans="1:13" ht="20.100000000000001" customHeight="1" x14ac:dyDescent="0.2">
      <c r="D58" s="1" t="s">
        <v>291</v>
      </c>
      <c r="E58" s="19" t="s">
        <v>303</v>
      </c>
      <c r="F58" s="19" t="s">
        <v>1653</v>
      </c>
      <c r="G58" s="19">
        <v>6.6</v>
      </c>
      <c r="H58" s="19">
        <v>7</v>
      </c>
      <c r="I58" s="19">
        <v>7</v>
      </c>
      <c r="J58" s="19">
        <v>7</v>
      </c>
      <c r="M58" s="8"/>
    </row>
    <row r="59" spans="1:13" ht="20.100000000000001" customHeight="1" x14ac:dyDescent="0.2">
      <c r="M59" s="8"/>
    </row>
    <row r="60" spans="1:13" ht="20.100000000000001" customHeight="1" x14ac:dyDescent="0.2">
      <c r="M60" s="8"/>
    </row>
    <row r="61" spans="1:13" ht="20.100000000000001" customHeight="1" x14ac:dyDescent="0.2">
      <c r="D61" s="2" t="s">
        <v>1654</v>
      </c>
      <c r="M61" s="8"/>
    </row>
    <row r="62" spans="1:13" ht="20.100000000000001" customHeight="1" x14ac:dyDescent="0.2">
      <c r="D62" s="17" t="s">
        <v>1655</v>
      </c>
      <c r="M62" s="8"/>
    </row>
    <row r="63" spans="1:13" ht="20.100000000000001" customHeight="1" x14ac:dyDescent="0.2">
      <c r="D63" s="25" t="s">
        <v>1648</v>
      </c>
      <c r="M63" s="8"/>
    </row>
    <row r="64" spans="1:13" ht="20.100000000000001" customHeight="1" x14ac:dyDescent="0.2">
      <c r="D64" s="25" t="s">
        <v>1656</v>
      </c>
      <c r="M64" s="8"/>
    </row>
    <row r="65" spans="1:13" ht="20.100000000000001" customHeight="1" x14ac:dyDescent="0.2">
      <c r="D65" s="25" t="s">
        <v>1649</v>
      </c>
      <c r="M65" s="8"/>
    </row>
    <row r="66" spans="1:13" ht="20.100000000000001" customHeight="1" x14ac:dyDescent="0.2">
      <c r="A66" s="79" t="str">
        <f>HYPERLINK("#A1", "▲ Back to top")</f>
        <v>▲ Back to top</v>
      </c>
      <c r="D66" s="19" t="s">
        <v>485</v>
      </c>
      <c r="E66" s="19" t="s">
        <v>492</v>
      </c>
      <c r="F66" s="19" t="s">
        <v>118</v>
      </c>
      <c r="G66" s="19" t="s">
        <v>489</v>
      </c>
      <c r="H66" s="19" t="s">
        <v>490</v>
      </c>
      <c r="I66" s="19" t="s">
        <v>491</v>
      </c>
      <c r="J66" s="19" t="s">
        <v>493</v>
      </c>
      <c r="M66" s="8"/>
    </row>
    <row r="67" spans="1:13" ht="20.100000000000001" customHeight="1" x14ac:dyDescent="0.2">
      <c r="D67" s="19" t="s">
        <v>289</v>
      </c>
      <c r="E67" s="19" t="s">
        <v>301</v>
      </c>
      <c r="F67" s="19" t="s">
        <v>299</v>
      </c>
      <c r="G67" s="19">
        <v>0.81</v>
      </c>
      <c r="H67" s="19">
        <v>0.81</v>
      </c>
      <c r="I67" s="19">
        <v>0.81</v>
      </c>
      <c r="J67" s="19">
        <v>0.81</v>
      </c>
      <c r="M67" s="8"/>
    </row>
    <row r="68" spans="1:13" ht="20.100000000000001" customHeight="1" x14ac:dyDescent="0.2">
      <c r="D68" s="1" t="s">
        <v>289</v>
      </c>
      <c r="E68" s="19" t="s">
        <v>302</v>
      </c>
      <c r="F68" s="19" t="s">
        <v>299</v>
      </c>
      <c r="G68" s="19">
        <v>0.14000000000000001</v>
      </c>
      <c r="H68" s="19">
        <v>0.14000000000000001</v>
      </c>
      <c r="I68" s="19">
        <v>0.14000000000000001</v>
      </c>
      <c r="J68" s="19">
        <v>0.14000000000000001</v>
      </c>
      <c r="M68" s="8"/>
    </row>
    <row r="69" spans="1:13" ht="20.100000000000001" customHeight="1" x14ac:dyDescent="0.2">
      <c r="D69" s="1" t="s">
        <v>289</v>
      </c>
      <c r="E69" s="19" t="s">
        <v>300</v>
      </c>
      <c r="F69" s="19" t="s">
        <v>1197</v>
      </c>
      <c r="G69" s="19">
        <v>23</v>
      </c>
      <c r="H69" s="19">
        <v>22</v>
      </c>
      <c r="I69" s="19">
        <v>22</v>
      </c>
      <c r="J69" s="19">
        <v>22</v>
      </c>
      <c r="M69" s="8"/>
    </row>
    <row r="70" spans="1:13" ht="20.100000000000001" customHeight="1" x14ac:dyDescent="0.2">
      <c r="D70" s="1" t="s">
        <v>289</v>
      </c>
      <c r="E70" s="19" t="s">
        <v>1657</v>
      </c>
      <c r="F70" s="19" t="s">
        <v>1197</v>
      </c>
      <c r="G70" s="19">
        <v>4.5</v>
      </c>
      <c r="H70" s="19">
        <v>4.5</v>
      </c>
      <c r="I70" s="19">
        <v>4.8</v>
      </c>
      <c r="J70" s="19">
        <v>4.8</v>
      </c>
      <c r="M70" s="8"/>
    </row>
    <row r="71" spans="1:13" ht="20.100000000000001" customHeight="1" x14ac:dyDescent="0.2">
      <c r="D71" s="1" t="s">
        <v>290</v>
      </c>
      <c r="E71" s="19" t="s">
        <v>301</v>
      </c>
      <c r="F71" s="19" t="s">
        <v>299</v>
      </c>
      <c r="G71" s="19">
        <v>0.81</v>
      </c>
      <c r="H71" s="19">
        <v>0.81</v>
      </c>
      <c r="I71" s="19">
        <v>0.81</v>
      </c>
      <c r="J71" s="19">
        <v>0.81</v>
      </c>
      <c r="M71" s="8"/>
    </row>
    <row r="72" spans="1:13" ht="20.100000000000001" customHeight="1" x14ac:dyDescent="0.2">
      <c r="D72" s="1" t="s">
        <v>290</v>
      </c>
      <c r="E72" s="19" t="s">
        <v>302</v>
      </c>
      <c r="F72" s="19" t="s">
        <v>299</v>
      </c>
      <c r="G72" s="19">
        <v>0.13</v>
      </c>
      <c r="H72" s="19">
        <v>0.125</v>
      </c>
      <c r="I72" s="19">
        <v>0.12</v>
      </c>
      <c r="J72" s="19">
        <v>0.12</v>
      </c>
      <c r="M72" s="8"/>
    </row>
    <row r="73" spans="1:13" ht="20.100000000000001" customHeight="1" x14ac:dyDescent="0.2">
      <c r="D73" s="1" t="s">
        <v>290</v>
      </c>
      <c r="E73" s="19" t="s">
        <v>300</v>
      </c>
      <c r="F73" s="19" t="s">
        <v>1197</v>
      </c>
      <c r="G73" s="19">
        <v>24</v>
      </c>
      <c r="H73" s="19">
        <v>22</v>
      </c>
      <c r="I73" s="19">
        <v>22</v>
      </c>
      <c r="J73" s="19">
        <v>22</v>
      </c>
      <c r="M73" s="8"/>
    </row>
    <row r="74" spans="1:13" ht="20.100000000000001" customHeight="1" x14ac:dyDescent="0.2">
      <c r="D74" s="1" t="s">
        <v>290</v>
      </c>
      <c r="E74" s="19" t="s">
        <v>1657</v>
      </c>
      <c r="F74" s="19" t="s">
        <v>1197</v>
      </c>
      <c r="G74" s="19">
        <v>5</v>
      </c>
      <c r="H74" s="19">
        <v>5</v>
      </c>
      <c r="I74" s="19">
        <v>5</v>
      </c>
      <c r="J74" s="19">
        <v>5</v>
      </c>
      <c r="M74" s="8"/>
    </row>
    <row r="75" spans="1:13" ht="20.100000000000001" customHeight="1" x14ac:dyDescent="0.2">
      <c r="D75" s="1" t="s">
        <v>1658</v>
      </c>
      <c r="E75" s="19" t="s">
        <v>301</v>
      </c>
      <c r="F75" s="19" t="s">
        <v>299</v>
      </c>
      <c r="G75" s="19">
        <v>0.81</v>
      </c>
      <c r="H75" s="19">
        <v>0.81</v>
      </c>
      <c r="I75" s="19">
        <v>0.81</v>
      </c>
      <c r="J75" s="19">
        <v>0.81</v>
      </c>
      <c r="M75" s="8"/>
    </row>
    <row r="76" spans="1:13" ht="20.100000000000001" customHeight="1" x14ac:dyDescent="0.2">
      <c r="D76" s="1" t="s">
        <v>1658</v>
      </c>
      <c r="E76" s="19" t="s">
        <v>302</v>
      </c>
      <c r="F76" s="19" t="s">
        <v>299</v>
      </c>
      <c r="G76" s="19">
        <v>0.13</v>
      </c>
      <c r="H76" s="19">
        <v>0.125</v>
      </c>
      <c r="I76" s="19">
        <v>0.12</v>
      </c>
      <c r="J76" s="19">
        <v>0.12</v>
      </c>
      <c r="M76" s="8"/>
    </row>
    <row r="77" spans="1:13" ht="20.100000000000001" customHeight="1" x14ac:dyDescent="0.2">
      <c r="D77" s="1" t="s">
        <v>1658</v>
      </c>
      <c r="E77" s="19" t="s">
        <v>300</v>
      </c>
      <c r="F77" s="19" t="s">
        <v>1197</v>
      </c>
      <c r="G77" s="19">
        <v>24</v>
      </c>
      <c r="H77" s="19">
        <v>24</v>
      </c>
      <c r="I77" s="19">
        <v>24</v>
      </c>
      <c r="J77" s="19">
        <v>24</v>
      </c>
      <c r="M77" s="8"/>
    </row>
    <row r="78" spans="1:13" ht="20.100000000000001" customHeight="1" x14ac:dyDescent="0.2">
      <c r="D78" s="1" t="s">
        <v>1658</v>
      </c>
      <c r="E78" s="19" t="s">
        <v>1657</v>
      </c>
      <c r="F78" s="19" t="s">
        <v>1197</v>
      </c>
      <c r="G78" s="19">
        <v>5</v>
      </c>
      <c r="H78" s="19">
        <v>5</v>
      </c>
      <c r="I78" s="19">
        <v>5.5</v>
      </c>
      <c r="J78" s="19">
        <v>5.5</v>
      </c>
      <c r="M78" s="8"/>
    </row>
    <row r="79" spans="1:13" ht="20.100000000000001" customHeight="1" x14ac:dyDescent="0.2">
      <c r="M79" s="8"/>
    </row>
    <row r="80" spans="1:13" ht="20.100000000000001" customHeight="1" x14ac:dyDescent="0.2">
      <c r="M80" s="8"/>
    </row>
    <row r="81" spans="1:14" ht="20.100000000000001" customHeight="1" x14ac:dyDescent="0.2">
      <c r="D81" s="2" t="s">
        <v>1659</v>
      </c>
      <c r="M81" s="1"/>
    </row>
    <row r="82" spans="1:14" ht="20.100000000000001" customHeight="1" x14ac:dyDescent="0.2">
      <c r="D82" s="17" t="s">
        <v>1660</v>
      </c>
      <c r="M82" s="1"/>
    </row>
    <row r="83" spans="1:14" ht="20.100000000000001" customHeight="1" x14ac:dyDescent="0.2">
      <c r="D83" s="25" t="s">
        <v>1648</v>
      </c>
      <c r="M83" s="1"/>
    </row>
    <row r="84" spans="1:14" ht="20.100000000000001" customHeight="1" x14ac:dyDescent="0.2">
      <c r="D84" s="25" t="s">
        <v>1661</v>
      </c>
      <c r="M84" s="1"/>
    </row>
    <row r="85" spans="1:14" ht="20.100000000000001" customHeight="1" x14ac:dyDescent="0.2">
      <c r="D85" s="25" t="s">
        <v>1662</v>
      </c>
      <c r="M85" s="1"/>
    </row>
    <row r="86" spans="1:14" ht="20.100000000000001" customHeight="1" x14ac:dyDescent="0.2">
      <c r="D86" s="25" t="s">
        <v>1663</v>
      </c>
      <c r="M86" s="1"/>
    </row>
    <row r="87" spans="1:14" ht="20.100000000000001" customHeight="1" x14ac:dyDescent="0.2">
      <c r="M87" s="1"/>
    </row>
    <row r="88" spans="1:14" ht="20.100000000000001" customHeight="1" x14ac:dyDescent="0.2">
      <c r="D88" s="19" t="s">
        <v>494</v>
      </c>
      <c r="E88" s="19" t="s">
        <v>495</v>
      </c>
      <c r="F88" s="19" t="s">
        <v>496</v>
      </c>
      <c r="G88" s="19" t="s">
        <v>497</v>
      </c>
      <c r="H88" s="19" t="s">
        <v>498</v>
      </c>
      <c r="I88" s="19" t="s">
        <v>499</v>
      </c>
      <c r="J88" s="19" t="s">
        <v>500</v>
      </c>
      <c r="K88" s="19" t="s">
        <v>501</v>
      </c>
      <c r="L88" s="19" t="s">
        <v>502</v>
      </c>
      <c r="M88" s="19" t="s">
        <v>503</v>
      </c>
      <c r="N88" s="19" t="s">
        <v>504</v>
      </c>
    </row>
    <row r="89" spans="1:14" ht="20.100000000000001" customHeight="1" x14ac:dyDescent="0.2">
      <c r="D89" s="19" t="s">
        <v>1664</v>
      </c>
      <c r="E89" s="19" t="s">
        <v>1665</v>
      </c>
      <c r="F89" s="19">
        <v>0.01</v>
      </c>
      <c r="G89" s="19">
        <v>0.01</v>
      </c>
      <c r="H89" s="19">
        <v>0.03</v>
      </c>
      <c r="I89" s="19">
        <v>0.03</v>
      </c>
      <c r="J89" s="19">
        <v>0.01</v>
      </c>
      <c r="K89" s="19">
        <v>0.01</v>
      </c>
      <c r="L89" s="19">
        <v>0.01</v>
      </c>
      <c r="M89" s="19">
        <v>0.01</v>
      </c>
      <c r="N89" s="19" t="s">
        <v>308</v>
      </c>
    </row>
    <row r="90" spans="1:14" ht="20.100000000000001" customHeight="1" x14ac:dyDescent="0.2">
      <c r="D90" s="1" t="s">
        <v>1666</v>
      </c>
      <c r="E90" s="19" t="s">
        <v>1667</v>
      </c>
      <c r="F90" s="19">
        <v>0.02</v>
      </c>
      <c r="G90" s="19">
        <v>0.02</v>
      </c>
      <c r="H90" s="19">
        <v>0.02</v>
      </c>
      <c r="I90" s="19">
        <v>0.02</v>
      </c>
      <c r="J90" s="19">
        <v>0.02</v>
      </c>
      <c r="K90" s="19">
        <v>0.02</v>
      </c>
      <c r="L90" s="19">
        <v>0.02</v>
      </c>
      <c r="M90" s="19">
        <v>0.02</v>
      </c>
      <c r="N90" s="19" t="s">
        <v>75</v>
      </c>
    </row>
    <row r="91" spans="1:14" ht="20.100000000000001" customHeight="1" x14ac:dyDescent="0.2">
      <c r="D91" s="1" t="s">
        <v>1666</v>
      </c>
      <c r="E91" s="19" t="s">
        <v>1668</v>
      </c>
      <c r="F91" s="19">
        <v>0.01</v>
      </c>
      <c r="G91" s="19">
        <v>0.01</v>
      </c>
      <c r="H91" s="19">
        <v>0.01</v>
      </c>
      <c r="I91" s="19">
        <v>0.01</v>
      </c>
      <c r="J91" s="19">
        <v>0.01</v>
      </c>
      <c r="K91" s="19">
        <v>0.01</v>
      </c>
      <c r="L91" s="19">
        <v>0.01</v>
      </c>
      <c r="M91" s="19">
        <v>0.01</v>
      </c>
      <c r="N91" s="19" t="s">
        <v>74</v>
      </c>
    </row>
    <row r="92" spans="1:14" ht="20.100000000000001" customHeight="1" x14ac:dyDescent="0.2">
      <c r="D92" s="1" t="s">
        <v>1666</v>
      </c>
      <c r="E92" s="19" t="s">
        <v>1669</v>
      </c>
      <c r="F92" s="19">
        <v>0</v>
      </c>
      <c r="G92" s="19">
        <v>0</v>
      </c>
      <c r="H92" s="19">
        <v>0</v>
      </c>
      <c r="I92" s="19">
        <v>0</v>
      </c>
      <c r="J92" s="19">
        <v>0</v>
      </c>
      <c r="K92" s="19">
        <v>0</v>
      </c>
      <c r="L92" s="19">
        <v>0</v>
      </c>
      <c r="M92" s="19">
        <v>0</v>
      </c>
      <c r="N92" s="19" t="s">
        <v>81</v>
      </c>
    </row>
    <row r="93" spans="1:14" ht="20.100000000000001" customHeight="1" x14ac:dyDescent="0.2">
      <c r="D93" s="1" t="s">
        <v>1670</v>
      </c>
      <c r="E93" s="19" t="s">
        <v>1671</v>
      </c>
      <c r="F93" s="19">
        <v>0.75</v>
      </c>
      <c r="G93" s="19">
        <v>0.75</v>
      </c>
      <c r="H93" s="19">
        <v>0.77</v>
      </c>
      <c r="I93" s="19">
        <v>0.77</v>
      </c>
      <c r="J93" s="19">
        <v>0.75</v>
      </c>
      <c r="K93" s="19">
        <v>0.75</v>
      </c>
      <c r="L93" s="19">
        <v>0.77</v>
      </c>
      <c r="M93" s="19">
        <v>0.75</v>
      </c>
      <c r="N93" s="19" t="s">
        <v>70</v>
      </c>
    </row>
    <row r="94" spans="1:14" ht="20.100000000000001" customHeight="1" x14ac:dyDescent="0.2">
      <c r="M94" s="8"/>
    </row>
    <row r="95" spans="1:14" ht="20.100000000000001" customHeight="1" x14ac:dyDescent="0.2">
      <c r="M95" s="8"/>
    </row>
    <row r="96" spans="1:14" ht="20.100000000000001" customHeight="1" x14ac:dyDescent="0.2">
      <c r="A96" s="79" t="str">
        <f>HYPERLINK("#A1", "▲ Back to top")</f>
        <v>▲ Back to top</v>
      </c>
      <c r="D96" s="2" t="s">
        <v>1672</v>
      </c>
      <c r="M96" s="8"/>
    </row>
    <row r="97" spans="4:14" ht="20.100000000000001" customHeight="1" x14ac:dyDescent="0.2">
      <c r="D97" s="17" t="s">
        <v>1673</v>
      </c>
      <c r="M97" s="8"/>
    </row>
    <row r="98" spans="4:14" ht="20.100000000000001" customHeight="1" x14ac:dyDescent="0.2">
      <c r="D98" s="25" t="s">
        <v>1648</v>
      </c>
      <c r="M98" s="8"/>
    </row>
    <row r="99" spans="4:14" ht="20.100000000000001" customHeight="1" x14ac:dyDescent="0.2">
      <c r="D99" s="25" t="s">
        <v>1674</v>
      </c>
      <c r="M99" s="8"/>
    </row>
    <row r="100" spans="4:14" ht="20.100000000000001" customHeight="1" x14ac:dyDescent="0.2">
      <c r="D100" s="19" t="s">
        <v>494</v>
      </c>
      <c r="E100" s="19" t="s">
        <v>495</v>
      </c>
      <c r="F100" s="19" t="s">
        <v>505</v>
      </c>
      <c r="G100" s="19" t="s">
        <v>504</v>
      </c>
      <c r="M100" s="1"/>
      <c r="N100" s="8"/>
    </row>
    <row r="101" spans="4:14" ht="20.100000000000001" customHeight="1" x14ac:dyDescent="0.2">
      <c r="D101" s="19" t="s">
        <v>1664</v>
      </c>
      <c r="E101" s="19" t="s">
        <v>1665</v>
      </c>
      <c r="F101" s="19">
        <v>5.4000000000000003E-3</v>
      </c>
      <c r="G101" s="19" t="s">
        <v>308</v>
      </c>
      <c r="M101" s="1"/>
      <c r="N101" s="8"/>
    </row>
    <row r="102" spans="4:14" ht="20.100000000000001" customHeight="1" x14ac:dyDescent="0.2">
      <c r="D102" s="1" t="s">
        <v>1666</v>
      </c>
      <c r="E102" s="19" t="s">
        <v>1667</v>
      </c>
      <c r="F102" s="19">
        <v>5.0000000000000001E-3</v>
      </c>
      <c r="G102" s="19" t="s">
        <v>75</v>
      </c>
      <c r="M102" s="1"/>
      <c r="N102" s="8"/>
    </row>
    <row r="103" spans="4:14" ht="20.100000000000001" customHeight="1" x14ac:dyDescent="0.2">
      <c r="D103" s="1" t="s">
        <v>1666</v>
      </c>
      <c r="E103" s="19" t="s">
        <v>1668</v>
      </c>
      <c r="F103" s="19">
        <v>0.01</v>
      </c>
      <c r="G103" s="19" t="s">
        <v>74</v>
      </c>
      <c r="M103" s="8"/>
    </row>
    <row r="104" spans="4:14" ht="20.100000000000001" customHeight="1" x14ac:dyDescent="0.2">
      <c r="D104" s="1" t="s">
        <v>1666</v>
      </c>
      <c r="E104" s="19" t="s">
        <v>1669</v>
      </c>
      <c r="F104" s="19">
        <v>0</v>
      </c>
      <c r="G104" s="19" t="s">
        <v>81</v>
      </c>
      <c r="M104" s="8"/>
    </row>
    <row r="105" spans="4:14" ht="20.100000000000001" customHeight="1" x14ac:dyDescent="0.2">
      <c r="D105" s="1" t="s">
        <v>1670</v>
      </c>
      <c r="E105" s="19" t="s">
        <v>1675</v>
      </c>
      <c r="F105" s="19">
        <v>0</v>
      </c>
      <c r="G105" s="19" t="s">
        <v>70</v>
      </c>
      <c r="M105" s="8"/>
    </row>
    <row r="106" spans="4:14" ht="20.100000000000001" customHeight="1" x14ac:dyDescent="0.2">
      <c r="M106" s="8"/>
    </row>
    <row r="107" spans="4:14" ht="20.100000000000001" customHeight="1" x14ac:dyDescent="0.2">
      <c r="M107" s="8"/>
    </row>
    <row r="108" spans="4:14" ht="20.100000000000001" customHeight="1" x14ac:dyDescent="0.2">
      <c r="D108" s="2" t="s">
        <v>1676</v>
      </c>
      <c r="M108" s="8"/>
    </row>
    <row r="109" spans="4:14" ht="20.100000000000001" customHeight="1" x14ac:dyDescent="0.2">
      <c r="D109" s="17" t="s">
        <v>1677</v>
      </c>
      <c r="M109" s="8"/>
    </row>
    <row r="110" spans="4:14" ht="20.100000000000001" customHeight="1" x14ac:dyDescent="0.2">
      <c r="D110" s="25" t="s">
        <v>1648</v>
      </c>
      <c r="M110" s="8"/>
    </row>
    <row r="111" spans="4:14" ht="20.100000000000001" customHeight="1" x14ac:dyDescent="0.2">
      <c r="D111" s="25" t="s">
        <v>1674</v>
      </c>
      <c r="M111" s="8"/>
    </row>
    <row r="112" spans="4:14" ht="20.100000000000001" customHeight="1" x14ac:dyDescent="0.2">
      <c r="D112" s="135" t="s">
        <v>494</v>
      </c>
      <c r="E112" s="135" t="s">
        <v>495</v>
      </c>
      <c r="F112" s="135" t="s">
        <v>506</v>
      </c>
      <c r="G112" s="135" t="s">
        <v>504</v>
      </c>
      <c r="M112" s="8"/>
    </row>
    <row r="113" spans="4:22" ht="20.100000000000001" customHeight="1" x14ac:dyDescent="0.2">
      <c r="D113" s="1" t="s">
        <v>1664</v>
      </c>
      <c r="E113" s="1" t="s">
        <v>1665</v>
      </c>
      <c r="F113" s="1">
        <v>0.6</v>
      </c>
      <c r="G113" s="1" t="s">
        <v>308</v>
      </c>
      <c r="M113" s="8"/>
    </row>
    <row r="114" spans="4:22" ht="20.100000000000001" customHeight="1" x14ac:dyDescent="0.2">
      <c r="D114" s="1" t="s">
        <v>1666</v>
      </c>
      <c r="E114" s="1" t="s">
        <v>1667</v>
      </c>
      <c r="F114" s="1">
        <v>0.25</v>
      </c>
      <c r="G114" s="1" t="s">
        <v>75</v>
      </c>
      <c r="M114" s="8"/>
    </row>
    <row r="115" spans="4:22" ht="20.100000000000001" customHeight="1" x14ac:dyDescent="0.2">
      <c r="D115" s="1" t="s">
        <v>1666</v>
      </c>
      <c r="E115" s="1" t="s">
        <v>1668</v>
      </c>
      <c r="F115" s="1">
        <v>0.4</v>
      </c>
      <c r="G115" s="1" t="s">
        <v>74</v>
      </c>
      <c r="M115" s="8"/>
      <c r="V115" s="1"/>
    </row>
    <row r="116" spans="4:22" ht="20.100000000000001" customHeight="1" x14ac:dyDescent="0.2">
      <c r="D116" s="1" t="s">
        <v>1666</v>
      </c>
      <c r="E116" s="1" t="s">
        <v>1669</v>
      </c>
      <c r="F116" s="1">
        <v>0</v>
      </c>
      <c r="G116" s="1" t="s">
        <v>81</v>
      </c>
      <c r="M116" s="8"/>
      <c r="V116" s="1"/>
    </row>
    <row r="117" spans="4:22" ht="20.100000000000001" customHeight="1" x14ac:dyDescent="0.2">
      <c r="D117" s="1" t="s">
        <v>1670</v>
      </c>
      <c r="E117" s="1" t="s">
        <v>1671</v>
      </c>
      <c r="F117" s="1">
        <v>0.35</v>
      </c>
      <c r="G117" s="1" t="s">
        <v>70</v>
      </c>
      <c r="M117" s="8"/>
      <c r="V117" s="1"/>
    </row>
    <row r="118" spans="4:22" ht="20.100000000000001" customHeight="1" x14ac:dyDescent="0.2">
      <c r="M118" s="8"/>
    </row>
    <row r="119" spans="4:22" ht="20.100000000000001" customHeight="1" x14ac:dyDescent="0.2">
      <c r="M119" s="8"/>
    </row>
    <row r="120" spans="4:22" ht="20.100000000000001" customHeight="1" x14ac:dyDescent="0.2">
      <c r="M120" s="8"/>
    </row>
    <row r="121" spans="4:22" ht="20.100000000000001" customHeight="1" x14ac:dyDescent="0.2">
      <c r="M121" s="8"/>
    </row>
    <row r="122" spans="4:22" ht="20.100000000000001" customHeight="1" x14ac:dyDescent="0.2">
      <c r="M122" s="8"/>
    </row>
    <row r="123" spans="4:22" ht="20.100000000000001" customHeight="1" x14ac:dyDescent="0.2">
      <c r="M123" s="8"/>
    </row>
    <row r="124" spans="4:22" ht="20.100000000000001" customHeight="1" x14ac:dyDescent="0.2">
      <c r="M124" s="8"/>
    </row>
    <row r="125" spans="4:22" ht="20.100000000000001" customHeight="1" x14ac:dyDescent="0.2">
      <c r="M125" s="8"/>
    </row>
    <row r="126" spans="4:22" ht="20.100000000000001" customHeight="1" x14ac:dyDescent="0.2">
      <c r="M126" s="8"/>
    </row>
    <row r="127" spans="4:22" ht="20.100000000000001" customHeight="1" x14ac:dyDescent="0.2">
      <c r="M127" s="8"/>
    </row>
    <row r="128" spans="4:22" ht="20.100000000000001" customHeight="1" x14ac:dyDescent="0.2">
      <c r="M128" s="8"/>
    </row>
    <row r="129" spans="13:13" ht="20.100000000000001" customHeight="1" x14ac:dyDescent="0.2">
      <c r="M129" s="8"/>
    </row>
    <row r="130" spans="13:13" ht="20.100000000000001" customHeight="1" x14ac:dyDescent="0.2">
      <c r="M130" s="8"/>
    </row>
    <row r="131" spans="13:13" ht="20.100000000000001" customHeight="1" x14ac:dyDescent="0.2">
      <c r="M131" s="8"/>
    </row>
    <row r="132" spans="13:13" ht="20.100000000000001" customHeight="1" x14ac:dyDescent="0.2">
      <c r="M132" s="8"/>
    </row>
    <row r="133" spans="13:13" ht="20.100000000000001" customHeight="1" x14ac:dyDescent="0.2">
      <c r="M133" s="8"/>
    </row>
    <row r="134" spans="13:13" ht="20.100000000000001" customHeight="1" x14ac:dyDescent="0.2">
      <c r="M134" s="8"/>
    </row>
    <row r="135" spans="13:13" ht="20.100000000000001" customHeight="1" x14ac:dyDescent="0.2">
      <c r="M135" s="8"/>
    </row>
    <row r="136" spans="13:13" ht="20.100000000000001" customHeight="1" x14ac:dyDescent="0.2">
      <c r="M136" s="8"/>
    </row>
    <row r="137" spans="13:13" ht="20.100000000000001" customHeight="1" x14ac:dyDescent="0.2">
      <c r="M137" s="8"/>
    </row>
    <row r="138" spans="13:13" ht="20.100000000000001" customHeight="1" x14ac:dyDescent="0.2">
      <c r="M138" s="8"/>
    </row>
    <row r="139" spans="13:13" ht="20.100000000000001" customHeight="1" x14ac:dyDescent="0.2">
      <c r="M139" s="8"/>
    </row>
    <row r="140" spans="13:13" ht="20.100000000000001" customHeight="1" x14ac:dyDescent="0.2">
      <c r="M140" s="8"/>
    </row>
    <row r="141" spans="13:13" ht="20.100000000000001" customHeight="1" x14ac:dyDescent="0.2">
      <c r="M141" s="8"/>
    </row>
    <row r="142" spans="13:13" ht="20.100000000000001" customHeight="1" x14ac:dyDescent="0.2">
      <c r="M142" s="8"/>
    </row>
    <row r="143" spans="13:13" ht="20.100000000000001" customHeight="1" x14ac:dyDescent="0.2">
      <c r="M143" s="8"/>
    </row>
    <row r="144" spans="13:13" ht="20.100000000000001" customHeight="1" x14ac:dyDescent="0.2">
      <c r="M144" s="8"/>
    </row>
    <row r="145" spans="13:13" ht="20.100000000000001" customHeight="1" x14ac:dyDescent="0.2">
      <c r="M145" s="8"/>
    </row>
    <row r="146" spans="13:13" ht="20.100000000000001" customHeight="1" x14ac:dyDescent="0.2">
      <c r="M146" s="8"/>
    </row>
    <row r="147" spans="13:13" ht="20.100000000000001" customHeight="1" x14ac:dyDescent="0.2">
      <c r="M147" s="8"/>
    </row>
    <row r="148" spans="13:13" ht="20.100000000000001" customHeight="1" x14ac:dyDescent="0.2">
      <c r="M148" s="8"/>
    </row>
    <row r="149" spans="13:13" ht="20.100000000000001" customHeight="1" x14ac:dyDescent="0.2">
      <c r="M149" s="8"/>
    </row>
    <row r="150" spans="13:13" ht="20.100000000000001" customHeight="1" x14ac:dyDescent="0.2">
      <c r="M150" s="8"/>
    </row>
    <row r="151" spans="13:13" ht="20.100000000000001" customHeight="1" x14ac:dyDescent="0.2">
      <c r="M151" s="8"/>
    </row>
    <row r="152" spans="13:13" ht="20.100000000000001" customHeight="1" x14ac:dyDescent="0.2">
      <c r="M152" s="8"/>
    </row>
    <row r="153" spans="13:13" ht="20.100000000000001" customHeight="1" x14ac:dyDescent="0.2">
      <c r="M153" s="8"/>
    </row>
    <row r="154" spans="13:13" ht="20.100000000000001" customHeight="1" x14ac:dyDescent="0.2">
      <c r="M154" s="8"/>
    </row>
    <row r="155" spans="13:13" ht="20.100000000000001" customHeight="1" x14ac:dyDescent="0.2">
      <c r="M155" s="8"/>
    </row>
    <row r="156" spans="13:13" ht="20.100000000000001" customHeight="1" x14ac:dyDescent="0.2">
      <c r="M156" s="8"/>
    </row>
    <row r="157" spans="13:13" ht="20.100000000000001" customHeight="1" x14ac:dyDescent="0.2">
      <c r="M157" s="8"/>
    </row>
    <row r="158" spans="13:13" ht="20.100000000000001" customHeight="1" x14ac:dyDescent="0.2">
      <c r="M158" s="8"/>
    </row>
    <row r="159" spans="13:13" ht="20.100000000000001" customHeight="1" x14ac:dyDescent="0.2">
      <c r="M159" s="8"/>
    </row>
    <row r="160" spans="13:13" ht="20.100000000000001" customHeight="1" x14ac:dyDescent="0.2">
      <c r="M160" s="8"/>
    </row>
    <row r="161" spans="13:13" ht="20.100000000000001" customHeight="1" x14ac:dyDescent="0.2">
      <c r="M161" s="8"/>
    </row>
    <row r="162" spans="13:13" ht="20.100000000000001" customHeight="1" x14ac:dyDescent="0.2">
      <c r="M162" s="8"/>
    </row>
    <row r="163" spans="13:13" ht="20.100000000000001" customHeight="1" x14ac:dyDescent="0.2">
      <c r="M163" s="8"/>
    </row>
    <row r="164" spans="13:13" ht="20.100000000000001" customHeight="1" x14ac:dyDescent="0.2">
      <c r="M164" s="8"/>
    </row>
    <row r="165" spans="13:13" ht="20.100000000000001" customHeight="1" x14ac:dyDescent="0.2">
      <c r="M165" s="8"/>
    </row>
    <row r="166" spans="13:13" ht="20.100000000000001" customHeight="1" x14ac:dyDescent="0.2">
      <c r="M166" s="8"/>
    </row>
    <row r="167" spans="13:13" ht="20.100000000000001" customHeight="1" x14ac:dyDescent="0.2">
      <c r="M167" s="8"/>
    </row>
    <row r="168" spans="13:13" ht="20.100000000000001" customHeight="1" x14ac:dyDescent="0.2">
      <c r="M168" s="8"/>
    </row>
    <row r="169" spans="13:13" ht="20.100000000000001" customHeight="1" x14ac:dyDescent="0.2">
      <c r="M169" s="8"/>
    </row>
    <row r="170" spans="13:13" ht="20.100000000000001" customHeight="1" x14ac:dyDescent="0.2">
      <c r="M170" s="8"/>
    </row>
    <row r="171" spans="13:13" ht="20.100000000000001" customHeight="1" x14ac:dyDescent="0.2">
      <c r="M171" s="8"/>
    </row>
    <row r="172" spans="13:13" ht="20.100000000000001" customHeight="1" x14ac:dyDescent="0.2">
      <c r="M172" s="8"/>
    </row>
    <row r="173" spans="13:13" ht="20.100000000000001" customHeight="1" x14ac:dyDescent="0.2">
      <c r="M173" s="8"/>
    </row>
    <row r="174" spans="13:13" ht="20.100000000000001" customHeight="1" x14ac:dyDescent="0.2">
      <c r="M174" s="8"/>
    </row>
    <row r="175" spans="13:13" ht="20.100000000000001" customHeight="1" x14ac:dyDescent="0.2">
      <c r="M175" s="8"/>
    </row>
    <row r="176" spans="13:13" ht="20.100000000000001" customHeight="1" x14ac:dyDescent="0.2">
      <c r="M176" s="8"/>
    </row>
    <row r="177" spans="13:13" ht="20.100000000000001" customHeight="1" x14ac:dyDescent="0.2">
      <c r="M177" s="8"/>
    </row>
    <row r="178" spans="13:13" ht="20.100000000000001" customHeight="1" x14ac:dyDescent="0.2">
      <c r="M178" s="8"/>
    </row>
    <row r="179" spans="13:13" ht="20.100000000000001" customHeight="1" x14ac:dyDescent="0.2">
      <c r="M179" s="8"/>
    </row>
    <row r="180" spans="13:13" ht="20.100000000000001" customHeight="1" x14ac:dyDescent="0.2">
      <c r="M180" s="8"/>
    </row>
    <row r="181" spans="13:13" ht="20.100000000000001" customHeight="1" x14ac:dyDescent="0.2">
      <c r="M181" s="8"/>
    </row>
    <row r="182" spans="13:13" ht="20.100000000000001" customHeight="1" x14ac:dyDescent="0.2">
      <c r="M182" s="8"/>
    </row>
    <row r="183" spans="13:13" ht="20.100000000000001" customHeight="1" x14ac:dyDescent="0.2">
      <c r="M183" s="8"/>
    </row>
    <row r="184" spans="13:13" ht="20.100000000000001" customHeight="1" x14ac:dyDescent="0.2">
      <c r="M184" s="8"/>
    </row>
    <row r="185" spans="13:13" ht="20.100000000000001" customHeight="1" x14ac:dyDescent="0.2">
      <c r="M185" s="8"/>
    </row>
    <row r="186" spans="13:13" ht="20.100000000000001" customHeight="1" x14ac:dyDescent="0.2">
      <c r="M186" s="8"/>
    </row>
    <row r="187" spans="13:13" ht="20.100000000000001" customHeight="1" x14ac:dyDescent="0.2">
      <c r="M187" s="8"/>
    </row>
    <row r="188" spans="13:13" ht="20.100000000000001" customHeight="1" x14ac:dyDescent="0.2">
      <c r="M188" s="8"/>
    </row>
    <row r="189" spans="13:13" ht="20.100000000000001" customHeight="1" x14ac:dyDescent="0.2">
      <c r="M189" s="8"/>
    </row>
    <row r="190" spans="13:13" ht="20.100000000000001" customHeight="1" x14ac:dyDescent="0.2">
      <c r="M190" s="8"/>
    </row>
    <row r="191" spans="13:13" ht="20.100000000000001" customHeight="1" x14ac:dyDescent="0.2">
      <c r="M191" s="8"/>
    </row>
    <row r="192" spans="13:13" ht="20.100000000000001" customHeight="1" x14ac:dyDescent="0.2">
      <c r="M192" s="8"/>
    </row>
    <row r="193" spans="13:13" ht="20.100000000000001" customHeight="1" x14ac:dyDescent="0.2">
      <c r="M193" s="8"/>
    </row>
    <row r="194" spans="13:13" ht="20.100000000000001" customHeight="1" x14ac:dyDescent="0.2">
      <c r="M194" s="8"/>
    </row>
    <row r="195" spans="13:13" ht="20.100000000000001" customHeight="1" x14ac:dyDescent="0.2">
      <c r="M195" s="8"/>
    </row>
    <row r="196" spans="13:13" ht="20.100000000000001" customHeight="1" x14ac:dyDescent="0.2">
      <c r="M196" s="8"/>
    </row>
    <row r="197" spans="13:13" ht="20.100000000000001" customHeight="1" x14ac:dyDescent="0.2">
      <c r="M197" s="8"/>
    </row>
    <row r="198" spans="13:13" ht="20.100000000000001" customHeight="1" x14ac:dyDescent="0.2">
      <c r="M198" s="8"/>
    </row>
    <row r="199" spans="13:13" ht="20.100000000000001" customHeight="1" x14ac:dyDescent="0.2">
      <c r="M199" s="8"/>
    </row>
    <row r="200" spans="13:13" ht="20.100000000000001" customHeight="1" x14ac:dyDescent="0.2">
      <c r="M200" s="8"/>
    </row>
    <row r="201" spans="13:13" ht="20.100000000000001" customHeight="1" x14ac:dyDescent="0.2">
      <c r="M201" s="8"/>
    </row>
    <row r="202" spans="13:13" ht="20.100000000000001" customHeight="1" x14ac:dyDescent="0.2">
      <c r="M202" s="8"/>
    </row>
    <row r="203" spans="13:13" ht="20.100000000000001" customHeight="1" x14ac:dyDescent="0.2">
      <c r="M203" s="8"/>
    </row>
    <row r="204" spans="13:13" ht="20.100000000000001" customHeight="1" x14ac:dyDescent="0.2">
      <c r="M204" s="8"/>
    </row>
    <row r="205" spans="13:13" ht="20.100000000000001" customHeight="1" x14ac:dyDescent="0.2">
      <c r="M205" s="8"/>
    </row>
    <row r="206" spans="13:13" ht="20.100000000000001" customHeight="1" x14ac:dyDescent="0.2">
      <c r="M206" s="8"/>
    </row>
    <row r="207" spans="13:13" ht="20.100000000000001" customHeight="1" x14ac:dyDescent="0.2">
      <c r="M207" s="8"/>
    </row>
    <row r="208" spans="13:13" ht="20.100000000000001" customHeight="1" x14ac:dyDescent="0.2">
      <c r="M208" s="8"/>
    </row>
    <row r="209" spans="13:13" ht="20.100000000000001" customHeight="1" x14ac:dyDescent="0.2">
      <c r="M209" s="8"/>
    </row>
    <row r="210" spans="13:13" ht="20.100000000000001" customHeight="1" x14ac:dyDescent="0.2">
      <c r="M210" s="8"/>
    </row>
    <row r="211" spans="13:13" ht="20.100000000000001" customHeight="1" x14ac:dyDescent="0.2">
      <c r="M211" s="8"/>
    </row>
    <row r="212" spans="13:13" ht="20.100000000000001" customHeight="1" x14ac:dyDescent="0.2">
      <c r="M212" s="8"/>
    </row>
    <row r="213" spans="13:13" ht="20.100000000000001" customHeight="1" x14ac:dyDescent="0.2">
      <c r="M213" s="8"/>
    </row>
    <row r="214" spans="13:13" ht="20.100000000000001" customHeight="1" x14ac:dyDescent="0.2">
      <c r="M214" s="8"/>
    </row>
    <row r="215" spans="13:13" ht="20.100000000000001" customHeight="1" x14ac:dyDescent="0.2">
      <c r="M215" s="8"/>
    </row>
    <row r="216" spans="13:13" ht="20.100000000000001" customHeight="1" x14ac:dyDescent="0.2">
      <c r="M216" s="8"/>
    </row>
    <row r="217" spans="13:13" ht="20.100000000000001" customHeight="1" x14ac:dyDescent="0.2">
      <c r="M217" s="8"/>
    </row>
    <row r="218" spans="13:13" ht="20.100000000000001" customHeight="1" x14ac:dyDescent="0.2">
      <c r="M218" s="8"/>
    </row>
    <row r="219" spans="13:13" ht="20.100000000000001" customHeight="1" x14ac:dyDescent="0.2">
      <c r="M219" s="8"/>
    </row>
    <row r="220" spans="13:13" ht="20.100000000000001" customHeight="1" x14ac:dyDescent="0.2">
      <c r="M220" s="8"/>
    </row>
    <row r="221" spans="13:13" ht="20.100000000000001" customHeight="1" x14ac:dyDescent="0.2">
      <c r="M221" s="8"/>
    </row>
    <row r="222" spans="13:13" ht="20.100000000000001" customHeight="1" x14ac:dyDescent="0.2">
      <c r="M222" s="8"/>
    </row>
    <row r="223" spans="13:13" ht="20.100000000000001" customHeight="1" x14ac:dyDescent="0.2">
      <c r="M223" s="8"/>
    </row>
    <row r="224" spans="13:13" ht="20.100000000000001" customHeight="1" x14ac:dyDescent="0.2">
      <c r="M224" s="8"/>
    </row>
    <row r="225" spans="13:13" ht="20.100000000000001" customHeight="1" x14ac:dyDescent="0.2">
      <c r="M225" s="8"/>
    </row>
    <row r="226" spans="13:13" ht="20.100000000000001" customHeight="1" x14ac:dyDescent="0.2">
      <c r="M226" s="8"/>
    </row>
    <row r="227" spans="13:13" ht="20.100000000000001" customHeight="1" x14ac:dyDescent="0.2">
      <c r="M227" s="8"/>
    </row>
    <row r="228" spans="13:13" ht="20.100000000000001" customHeight="1" x14ac:dyDescent="0.2">
      <c r="M228" s="8"/>
    </row>
    <row r="229" spans="13:13" ht="20.100000000000001" customHeight="1" x14ac:dyDescent="0.2">
      <c r="M229" s="8"/>
    </row>
    <row r="230" spans="13:13" ht="20.100000000000001" customHeight="1" x14ac:dyDescent="0.2">
      <c r="M230" s="8"/>
    </row>
    <row r="231" spans="13:13" ht="20.100000000000001" customHeight="1" x14ac:dyDescent="0.2">
      <c r="M231" s="8"/>
    </row>
    <row r="232" spans="13:13" ht="20.100000000000001" customHeight="1" x14ac:dyDescent="0.2">
      <c r="M232" s="8"/>
    </row>
    <row r="233" spans="13:13" ht="20.100000000000001" customHeight="1" x14ac:dyDescent="0.2">
      <c r="M233" s="8"/>
    </row>
    <row r="234" spans="13:13" ht="20.100000000000001" customHeight="1" x14ac:dyDescent="0.2">
      <c r="M234" s="8"/>
    </row>
    <row r="235" spans="13:13" ht="20.100000000000001" customHeight="1" x14ac:dyDescent="0.2">
      <c r="M235" s="8"/>
    </row>
    <row r="236" spans="13:13" ht="20.100000000000001" customHeight="1" x14ac:dyDescent="0.2">
      <c r="M236" s="8"/>
    </row>
    <row r="237" spans="13:13" ht="20.100000000000001" customHeight="1" x14ac:dyDescent="0.2">
      <c r="M237" s="8"/>
    </row>
    <row r="238" spans="13:13" ht="20.100000000000001" customHeight="1" x14ac:dyDescent="0.2">
      <c r="M238" s="8"/>
    </row>
    <row r="239" spans="13:13" ht="20.100000000000001" customHeight="1" x14ac:dyDescent="0.2">
      <c r="M239" s="8"/>
    </row>
    <row r="240" spans="13:13" ht="20.100000000000001" customHeight="1" x14ac:dyDescent="0.2">
      <c r="M240" s="8"/>
    </row>
    <row r="241" spans="13:13" ht="20.100000000000001" customHeight="1" x14ac:dyDescent="0.2">
      <c r="M241" s="8"/>
    </row>
    <row r="242" spans="13:13" ht="20.100000000000001" customHeight="1" x14ac:dyDescent="0.2">
      <c r="M242" s="8"/>
    </row>
    <row r="243" spans="13:13" ht="20.100000000000001" customHeight="1" x14ac:dyDescent="0.2">
      <c r="M243" s="8"/>
    </row>
    <row r="244" spans="13:13" ht="20.100000000000001" customHeight="1" x14ac:dyDescent="0.2">
      <c r="M244" s="8"/>
    </row>
    <row r="245" spans="13:13" ht="20.100000000000001" customHeight="1" x14ac:dyDescent="0.2">
      <c r="M245" s="8"/>
    </row>
    <row r="246" spans="13:13" ht="20.100000000000001" customHeight="1" x14ac:dyDescent="0.2">
      <c r="M246" s="8"/>
    </row>
    <row r="247" spans="13:13" ht="20.100000000000001" customHeight="1" x14ac:dyDescent="0.2">
      <c r="M247" s="8"/>
    </row>
    <row r="248" spans="13:13" ht="20.100000000000001" customHeight="1" x14ac:dyDescent="0.2">
      <c r="M248" s="8"/>
    </row>
    <row r="249" spans="13:13" ht="20.100000000000001" customHeight="1" x14ac:dyDescent="0.2">
      <c r="M249" s="8"/>
    </row>
    <row r="250" spans="13:13" ht="20.100000000000001" customHeight="1" x14ac:dyDescent="0.2">
      <c r="M250" s="8"/>
    </row>
    <row r="251" spans="13:13" ht="20.100000000000001" customHeight="1" x14ac:dyDescent="0.2">
      <c r="M251" s="8"/>
    </row>
    <row r="252" spans="13:13" ht="20.100000000000001" customHeight="1" x14ac:dyDescent="0.2">
      <c r="M252" s="8"/>
    </row>
    <row r="253" spans="13:13" ht="20.100000000000001" customHeight="1" x14ac:dyDescent="0.2">
      <c r="M253" s="8"/>
    </row>
    <row r="254" spans="13:13" ht="20.100000000000001" customHeight="1" x14ac:dyDescent="0.2">
      <c r="M254" s="8"/>
    </row>
    <row r="255" spans="13:13" ht="20.100000000000001" customHeight="1" x14ac:dyDescent="0.2">
      <c r="M255" s="8"/>
    </row>
    <row r="256" spans="13:13" ht="20.100000000000001" customHeight="1" x14ac:dyDescent="0.2">
      <c r="M256" s="8"/>
    </row>
    <row r="257" spans="13:13" ht="20.100000000000001" customHeight="1" x14ac:dyDescent="0.2">
      <c r="M257" s="8"/>
    </row>
    <row r="258" spans="13:13" ht="20.100000000000001" customHeight="1" x14ac:dyDescent="0.2">
      <c r="M258" s="8"/>
    </row>
    <row r="259" spans="13:13" ht="20.100000000000001" customHeight="1" x14ac:dyDescent="0.2">
      <c r="M259" s="8"/>
    </row>
    <row r="260" spans="13:13" ht="20.100000000000001" customHeight="1" x14ac:dyDescent="0.2">
      <c r="M260" s="8"/>
    </row>
    <row r="261" spans="13:13" ht="20.100000000000001" customHeight="1" x14ac:dyDescent="0.2">
      <c r="M261" s="8"/>
    </row>
    <row r="262" spans="13:13" ht="20.100000000000001" customHeight="1" x14ac:dyDescent="0.2">
      <c r="M262" s="8"/>
    </row>
    <row r="263" spans="13:13" ht="20.100000000000001" customHeight="1" x14ac:dyDescent="0.2">
      <c r="M263" s="8"/>
    </row>
    <row r="264" spans="13:13" ht="20.100000000000001" customHeight="1" x14ac:dyDescent="0.2">
      <c r="M264" s="8"/>
    </row>
    <row r="265" spans="13:13" ht="20.100000000000001" customHeight="1" x14ac:dyDescent="0.2">
      <c r="M265" s="8"/>
    </row>
    <row r="266" spans="13:13" ht="20.100000000000001" customHeight="1" x14ac:dyDescent="0.2">
      <c r="M266" s="8"/>
    </row>
    <row r="267" spans="13:13" ht="20.100000000000001" customHeight="1" x14ac:dyDescent="0.2">
      <c r="M267" s="8"/>
    </row>
    <row r="268" spans="13:13" ht="20.100000000000001" customHeight="1" x14ac:dyDescent="0.2">
      <c r="M268" s="8"/>
    </row>
    <row r="269" spans="13:13" ht="20.100000000000001" customHeight="1" x14ac:dyDescent="0.2">
      <c r="M269" s="8"/>
    </row>
    <row r="270" spans="13:13" ht="20.100000000000001" customHeight="1" x14ac:dyDescent="0.2">
      <c r="M270" s="8"/>
    </row>
    <row r="271" spans="13:13" ht="20.100000000000001" customHeight="1" x14ac:dyDescent="0.2">
      <c r="M271" s="8"/>
    </row>
    <row r="272" spans="13:13" ht="20.100000000000001" customHeight="1" x14ac:dyDescent="0.2">
      <c r="M272" s="8"/>
    </row>
    <row r="273" spans="13:13" ht="20.100000000000001" customHeight="1" x14ac:dyDescent="0.2">
      <c r="M273" s="8"/>
    </row>
    <row r="274" spans="13:13" ht="20.100000000000001" customHeight="1" x14ac:dyDescent="0.2">
      <c r="M274" s="8"/>
    </row>
    <row r="275" spans="13:13" ht="20.100000000000001" customHeight="1" x14ac:dyDescent="0.2">
      <c r="M275" s="8"/>
    </row>
    <row r="276" spans="13:13" ht="20.100000000000001" customHeight="1" x14ac:dyDescent="0.2">
      <c r="M276" s="8"/>
    </row>
    <row r="277" spans="13:13" ht="20.100000000000001" customHeight="1" x14ac:dyDescent="0.2">
      <c r="M277" s="8"/>
    </row>
    <row r="278" spans="13:13" ht="20.100000000000001" customHeight="1" x14ac:dyDescent="0.2">
      <c r="M278" s="8"/>
    </row>
    <row r="279" spans="13:13" ht="20.100000000000001" customHeight="1" x14ac:dyDescent="0.2">
      <c r="M279" s="8"/>
    </row>
    <row r="280" spans="13:13" ht="20.100000000000001" customHeight="1" x14ac:dyDescent="0.2">
      <c r="M280" s="8"/>
    </row>
    <row r="281" spans="13:13" ht="20.100000000000001" customHeight="1" x14ac:dyDescent="0.2">
      <c r="M281" s="8"/>
    </row>
    <row r="282" spans="13:13" ht="20.100000000000001" customHeight="1" x14ac:dyDescent="0.2">
      <c r="M282" s="8"/>
    </row>
    <row r="283" spans="13:13" ht="20.100000000000001" customHeight="1" x14ac:dyDescent="0.2">
      <c r="M283" s="8"/>
    </row>
    <row r="284" spans="13:13" ht="20.100000000000001" customHeight="1" x14ac:dyDescent="0.2">
      <c r="M284" s="8"/>
    </row>
    <row r="285" spans="13:13" ht="20.100000000000001" customHeight="1" x14ac:dyDescent="0.2">
      <c r="M285" s="8"/>
    </row>
    <row r="286" spans="13:13" ht="20.100000000000001" customHeight="1" x14ac:dyDescent="0.2">
      <c r="M286" s="8"/>
    </row>
    <row r="287" spans="13:13" ht="20.100000000000001" customHeight="1" x14ac:dyDescent="0.2">
      <c r="M287" s="8"/>
    </row>
    <row r="288" spans="13:13" ht="20.100000000000001" customHeight="1" x14ac:dyDescent="0.2">
      <c r="M288" s="8"/>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D302-ABBF-46B4-9F88-4922E1E01E5D}">
  <sheetPr>
    <tabColor theme="2" tint="-0.499984740745262"/>
  </sheetPr>
  <dimension ref="A1:M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1183</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
        <v>1678</v>
      </c>
      <c r="E6" s="24"/>
      <c r="F6" s="24"/>
      <c r="G6" s="24"/>
      <c r="H6" s="24"/>
    </row>
    <row r="7" spans="1:13" ht="20.100000000000001" customHeight="1" x14ac:dyDescent="0.2">
      <c r="D7" s="24" t="s">
        <v>367</v>
      </c>
      <c r="E7" s="24"/>
      <c r="F7" s="24"/>
      <c r="G7" s="24"/>
      <c r="H7" s="24"/>
    </row>
    <row r="8" spans="1:13" ht="20.100000000000001" customHeight="1" x14ac:dyDescent="0.2">
      <c r="A8" s="7" t="s">
        <v>0</v>
      </c>
      <c r="D8" s="17" t="s">
        <v>1679</v>
      </c>
      <c r="E8" s="24"/>
      <c r="F8" s="24"/>
      <c r="G8" s="24"/>
      <c r="H8" s="24"/>
    </row>
    <row r="9" spans="1:13" ht="20.100000000000001" customHeight="1" x14ac:dyDescent="0.2">
      <c r="A9" s="5" t="str">
        <f>HYPERLINK("#'Input - Enterprise'!A1", "Enterprise")</f>
        <v>Enterprise</v>
      </c>
      <c r="D9" s="26" t="s">
        <v>1184</v>
      </c>
      <c r="E9" s="19" t="s">
        <v>1185</v>
      </c>
      <c r="F9" s="19" t="s">
        <v>478</v>
      </c>
      <c r="G9" s="24"/>
    </row>
    <row r="10" spans="1:13" ht="20.100000000000001" customHeight="1" x14ac:dyDescent="0.2">
      <c r="A10" s="5" t="str">
        <f>HYPERLINK("#'Input - Site'!A1", "Site")</f>
        <v>Site</v>
      </c>
      <c r="D10" s="26">
        <v>1</v>
      </c>
      <c r="E10" s="26" t="s">
        <v>70</v>
      </c>
      <c r="F10" s="26" t="s">
        <v>1680</v>
      </c>
      <c r="G10" s="24"/>
    </row>
    <row r="11" spans="1:13" ht="20.100000000000001" customHeight="1" x14ac:dyDescent="0.2">
      <c r="A11" s="5" t="str">
        <f>HYPERLINK("#'Input - Feedlot'!A1", "Feedlot")</f>
        <v>Feedlot</v>
      </c>
      <c r="D11" s="26">
        <v>2</v>
      </c>
      <c r="E11" s="26" t="s">
        <v>72</v>
      </c>
      <c r="F11" s="26" t="s">
        <v>1681</v>
      </c>
      <c r="G11" s="24"/>
    </row>
    <row r="12" spans="1:13" ht="20.100000000000001" customHeight="1" x14ac:dyDescent="0.2">
      <c r="A12" s="5" t="str">
        <f>HYPERLINK("#'Input - Livestock sales'!A1", "Livestock sales")</f>
        <v>Livestock sales</v>
      </c>
      <c r="D12" s="19">
        <v>3</v>
      </c>
      <c r="E12" s="19" t="s">
        <v>73</v>
      </c>
      <c r="F12" s="19" t="s">
        <v>1682</v>
      </c>
      <c r="G12" s="24"/>
    </row>
    <row r="13" spans="1:13" ht="20.100000000000001" customHeight="1" x14ac:dyDescent="0.2">
      <c r="A13" s="5" t="str">
        <f>HYPERLINK("#'Input - Beef cattle purchases'!A1", "Beef cattle purchases")</f>
        <v>Beef cattle purchases</v>
      </c>
      <c r="D13" s="19" t="s">
        <v>1683</v>
      </c>
      <c r="E13" s="19" t="s">
        <v>1684</v>
      </c>
      <c r="F13" s="19" t="s">
        <v>1685</v>
      </c>
      <c r="G13" s="24"/>
    </row>
    <row r="14" spans="1:13" ht="20.100000000000001" customHeight="1" x14ac:dyDescent="0.2">
      <c r="A14" s="5" t="str">
        <f>HYPERLINK("#'Input - Fuel'!A1", "Fuel")</f>
        <v>Fuel</v>
      </c>
      <c r="D14" s="19" t="s">
        <v>1686</v>
      </c>
      <c r="E14" s="19" t="s">
        <v>1687</v>
      </c>
      <c r="F14" s="19" t="s">
        <v>1688</v>
      </c>
      <c r="G14" s="24"/>
    </row>
    <row r="15" spans="1:13" ht="20.100000000000001" customHeight="1" x14ac:dyDescent="0.2">
      <c r="A15" s="5" t="str">
        <f>HYPERLINK("#'Input - Electricity'!A1", "Electricity")</f>
        <v>Electricity</v>
      </c>
      <c r="D15" s="19">
        <v>4</v>
      </c>
      <c r="E15" s="19" t="s">
        <v>75</v>
      </c>
      <c r="F15" s="19" t="s">
        <v>1689</v>
      </c>
      <c r="G15" s="24"/>
    </row>
    <row r="16" spans="1:13" ht="20.100000000000001" customHeight="1" x14ac:dyDescent="0.2">
      <c r="A16" s="5" t="str">
        <f>HYPERLINK("#'Input - Common farm inputs'!A1", "Common farm inputs")</f>
        <v>Common farm inputs</v>
      </c>
      <c r="D16" s="19">
        <v>5</v>
      </c>
      <c r="E16" s="19" t="s">
        <v>308</v>
      </c>
      <c r="F16" s="19" t="s">
        <v>1690</v>
      </c>
      <c r="G16" s="24"/>
    </row>
    <row r="17" spans="1:8" ht="20.100000000000001" customHeight="1" x14ac:dyDescent="0.2">
      <c r="A17" s="5" t="str">
        <f>HYPERLINK("#'Input - Livestock farm Inputs'!A1", "Livestock farm Inputs")</f>
        <v>Livestock farm Inputs</v>
      </c>
      <c r="D17" s="19">
        <v>6</v>
      </c>
      <c r="E17" s="19" t="s">
        <v>74</v>
      </c>
      <c r="F17" s="19" t="s">
        <v>1691</v>
      </c>
      <c r="G17" s="24"/>
    </row>
    <row r="18" spans="1:8" ht="20.100000000000001" customHeight="1" x14ac:dyDescent="0.2">
      <c r="A18" s="5" t="str">
        <f>HYPERLINK("#'Input - Freight'!A1", "Freight")</f>
        <v>Freight</v>
      </c>
      <c r="D18" s="19">
        <v>7</v>
      </c>
      <c r="E18" s="19" t="s">
        <v>71</v>
      </c>
      <c r="F18" s="19" t="s">
        <v>1692</v>
      </c>
      <c r="G18" s="24"/>
    </row>
    <row r="19" spans="1:8" ht="20.100000000000001" customHeight="1" x14ac:dyDescent="0.2">
      <c r="A19" s="5" t="str">
        <f>HYPERLINK("#'Input - Solid waste'!A1", "Solid waste")</f>
        <v>Solid waste</v>
      </c>
      <c r="D19" s="19">
        <v>8</v>
      </c>
      <c r="E19" s="19" t="s">
        <v>77</v>
      </c>
      <c r="F19" s="19" t="s">
        <v>1693</v>
      </c>
      <c r="G19" s="24"/>
    </row>
    <row r="20" spans="1:8" ht="20.100000000000001" customHeight="1" x14ac:dyDescent="0.2">
      <c r="A20" s="5" t="str">
        <f>HYPERLINK("#'Input - Manure sent off-site'!A1", "Manure sent off-site")</f>
        <v>Manure sent off-site</v>
      </c>
      <c r="D20" s="19">
        <v>9</v>
      </c>
      <c r="E20" s="19" t="s">
        <v>76</v>
      </c>
      <c r="F20" s="19" t="s">
        <v>1694</v>
      </c>
      <c r="G20" s="24"/>
    </row>
    <row r="21" spans="1:8" ht="20.100000000000001" customHeight="1" x14ac:dyDescent="0.2">
      <c r="A21" s="5" t="str">
        <f>HYPERLINK("#'Input - Data quality'!A1", "Data quality")</f>
        <v>Data quality</v>
      </c>
      <c r="D21" s="19">
        <v>10</v>
      </c>
      <c r="E21" s="19" t="s">
        <v>78</v>
      </c>
      <c r="F21" s="19" t="s">
        <v>1695</v>
      </c>
      <c r="G21" s="24"/>
    </row>
    <row r="22" spans="1:8" ht="20.100000000000001" customHeight="1" x14ac:dyDescent="0.2">
      <c r="A22" s="5" t="str">
        <f>HYPERLINK("#'Input - Fert Prod System'!A1", "Fert Prod System")</f>
        <v>Fert Prod System</v>
      </c>
      <c r="D22" s="19">
        <v>11</v>
      </c>
      <c r="E22" s="19" t="s">
        <v>79</v>
      </c>
      <c r="F22" s="19" t="s">
        <v>1696</v>
      </c>
      <c r="G22" s="24"/>
    </row>
    <row r="23" spans="1:8" ht="20.100000000000001" customHeight="1" x14ac:dyDescent="0.2">
      <c r="A23" s="5" t="str">
        <f>HYPERLINK("#'Input - Fertiliser'!A1", "Fertiliser")</f>
        <v>Fertiliser</v>
      </c>
      <c r="D23" s="19" t="s">
        <v>1697</v>
      </c>
      <c r="E23" s="19" t="s">
        <v>1698</v>
      </c>
      <c r="F23" s="19" t="s">
        <v>1699</v>
      </c>
      <c r="G23" s="24"/>
    </row>
    <row r="24" spans="1:8" ht="20.100000000000001" customHeight="1" x14ac:dyDescent="0.2">
      <c r="D24" s="19" t="s">
        <v>1700</v>
      </c>
      <c r="E24" s="19" t="s">
        <v>1701</v>
      </c>
      <c r="F24" s="19" t="s">
        <v>1702</v>
      </c>
      <c r="G24" s="24"/>
    </row>
    <row r="25" spans="1:8" ht="20.100000000000001" customHeight="1" x14ac:dyDescent="0.2">
      <c r="D25" s="19">
        <v>12</v>
      </c>
      <c r="E25" s="19" t="s">
        <v>80</v>
      </c>
      <c r="F25" s="19" t="s">
        <v>1703</v>
      </c>
      <c r="G25" s="24"/>
    </row>
    <row r="26" spans="1:8" ht="20.100000000000001" customHeight="1" x14ac:dyDescent="0.2">
      <c r="A26" s="6" t="s">
        <v>2</v>
      </c>
      <c r="D26" s="19">
        <v>13</v>
      </c>
      <c r="E26" s="19" t="s">
        <v>81</v>
      </c>
      <c r="F26" s="19" t="s">
        <v>1704</v>
      </c>
      <c r="G26" s="24"/>
    </row>
    <row r="27" spans="1:8" ht="20.100000000000001" customHeight="1" x14ac:dyDescent="0.2">
      <c r="A27" s="5" t="str">
        <f>HYPERLINK("#'3.1.1.1-2 Enteric Methane'!A1", "3.1.1.1-2 Enteric Methane")</f>
        <v>3.1.1.1-2 Enteric Methane</v>
      </c>
      <c r="D27" s="19">
        <v>14</v>
      </c>
      <c r="E27" s="19" t="s">
        <v>82</v>
      </c>
      <c r="F27" s="19" t="s">
        <v>1705</v>
      </c>
      <c r="G27" s="24"/>
    </row>
    <row r="28" spans="1:8" ht="20.100000000000001" customHeight="1" x14ac:dyDescent="0.2">
      <c r="A28" s="5" t="str">
        <f>HYPERLINK("#'4.1.1.1-2 Methane'!A1", "4.1.1.1-2 Manure Methane")</f>
        <v>4.1.1.1-2 Manure Methane</v>
      </c>
      <c r="G28" s="24"/>
      <c r="H28" s="24"/>
    </row>
    <row r="29" spans="1:8" ht="20.100000000000001" customHeight="1" x14ac:dyDescent="0.2">
      <c r="A29" s="5" t="str">
        <f>HYPERLINK("#'4.1.1.3-4 Direct N20'!A1", "4.1.1.3-4 Manure Direct N2O")</f>
        <v>4.1.1.3-4 Manure Direct N2O</v>
      </c>
    </row>
    <row r="30" spans="1:8" ht="20.100000000000001" customHeight="1" x14ac:dyDescent="0.2">
      <c r="A30" s="5" t="str">
        <f>HYPERLINK("#'4.1.1.5-6 Atmos Deposition'!A1", "4.1.1.5-6 Manure Atmos Dep")</f>
        <v>4.1.1.5-6 Manure Atmos Dep</v>
      </c>
    </row>
    <row r="31" spans="1:8" ht="20.100000000000001" customHeight="1" x14ac:dyDescent="0.2">
      <c r="A31" s="5" t="str">
        <f>HYPERLINK("#'4.1.1.9 Manure applied to soils'!A1", "4.1.1.9 Manure applied to soils")</f>
        <v>4.1.1.9 Manure applied to soils</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81"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55983-2ACB-49BC-8239-095F2842BE9E}">
  <sheetPr>
    <tabColor theme="2" tint="-0.499984740745262"/>
  </sheetPr>
  <dimension ref="A1:AI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565</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1706</v>
      </c>
    </row>
    <row r="6" spans="1:35" ht="20.100000000000001" customHeight="1" x14ac:dyDescent="0.2">
      <c r="D6" s="17" t="s">
        <v>1707</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45" t="s">
        <v>566</v>
      </c>
      <c r="E9" s="145" t="s">
        <v>567</v>
      </c>
      <c r="F9" s="145" t="s">
        <v>568</v>
      </c>
    </row>
    <row r="10" spans="1:35" ht="20.100000000000001" customHeight="1" x14ac:dyDescent="0.2">
      <c r="A10" s="5" t="str">
        <f>HYPERLINK("#'Input - Site'!A1", "Site")</f>
        <v>Site</v>
      </c>
      <c r="D10" t="s">
        <v>1708</v>
      </c>
      <c r="E10">
        <v>0.64</v>
      </c>
      <c r="F10">
        <v>0.03</v>
      </c>
    </row>
    <row r="11" spans="1:35" ht="20.100000000000001" customHeight="1" x14ac:dyDescent="0.2">
      <c r="A11" s="5" t="str">
        <f>HYPERLINK("#'Input - Feedlot'!A1", "Feedlot")</f>
        <v>Feedlot</v>
      </c>
      <c r="D11" t="s">
        <v>497</v>
      </c>
      <c r="E11">
        <v>0.64</v>
      </c>
      <c r="F11">
        <v>0.03</v>
      </c>
    </row>
    <row r="12" spans="1:35" ht="20.100000000000001" customHeight="1" x14ac:dyDescent="0.2">
      <c r="A12" s="5" t="str">
        <f>HYPERLINK("#'Input - Livestock sales'!A1", "Livestock sales")</f>
        <v>Livestock sales</v>
      </c>
      <c r="D12" t="s">
        <v>1709</v>
      </c>
      <c r="E12">
        <v>0.78</v>
      </c>
      <c r="F12">
        <v>0.09</v>
      </c>
    </row>
    <row r="13" spans="1:35" ht="20.100000000000001" customHeight="1" x14ac:dyDescent="0.2">
      <c r="A13" s="5" t="str">
        <f>HYPERLINK("#'Input - Beef cattle purchases'!A1", "Beef cattle purchases")</f>
        <v>Beef cattle purchases</v>
      </c>
      <c r="D13" t="s">
        <v>1710</v>
      </c>
      <c r="E13">
        <v>0.67</v>
      </c>
      <c r="F13">
        <v>0.09</v>
      </c>
    </row>
    <row r="14" spans="1:35" ht="20.100000000000001" customHeight="1" x14ac:dyDescent="0.2">
      <c r="A14" s="5" t="str">
        <f>HYPERLINK("#'Input - Fuel'!A1", "Fuel")</f>
        <v>Fuel</v>
      </c>
      <c r="D14" t="s">
        <v>1711</v>
      </c>
      <c r="E14">
        <v>0.22</v>
      </c>
      <c r="F14">
        <v>0.04</v>
      </c>
    </row>
    <row r="15" spans="1:35" ht="20.100000000000001" customHeight="1" x14ac:dyDescent="0.2">
      <c r="A15" s="5" t="str">
        <f>HYPERLINK("#'Input - Electricity'!A1", "Electricity")</f>
        <v>Electricity</v>
      </c>
      <c r="D15" t="s">
        <v>1712</v>
      </c>
      <c r="E15">
        <v>0.5</v>
      </c>
      <c r="F15">
        <v>0.06</v>
      </c>
    </row>
    <row r="16" spans="1:35" ht="20.100000000000001" customHeight="1" x14ac:dyDescent="0.2">
      <c r="A16" s="5" t="str">
        <f>HYPERLINK("#'Input - Common farm inputs'!A1", "Common farm inputs")</f>
        <v>Common farm inputs</v>
      </c>
      <c r="D16" t="s">
        <v>536</v>
      </c>
      <c r="E16">
        <v>0.56000000000000005</v>
      </c>
      <c r="F16">
        <v>0.09</v>
      </c>
    </row>
    <row r="17" spans="1:8" ht="20.100000000000001" customHeight="1" x14ac:dyDescent="0.2">
      <c r="A17" s="5" t="str">
        <f>HYPERLINK("#'Input - Livestock farm Inputs'!A1", "Livestock farm Inputs")</f>
        <v>Livestock farm Inputs</v>
      </c>
      <c r="D17" t="s">
        <v>1713</v>
      </c>
      <c r="E17">
        <v>0.2</v>
      </c>
      <c r="F17">
        <v>0.03</v>
      </c>
    </row>
    <row r="18" spans="1:8" ht="20.100000000000001" customHeight="1" x14ac:dyDescent="0.2">
      <c r="A18" s="5" t="str">
        <f>HYPERLINK("#'Input - Freight'!A1", "Freight")</f>
        <v>Freight</v>
      </c>
      <c r="D18" t="s">
        <v>1714</v>
      </c>
      <c r="E18">
        <v>0.56000000000000005</v>
      </c>
      <c r="F18">
        <v>0.09</v>
      </c>
    </row>
    <row r="19" spans="1:8" ht="20.100000000000001" customHeight="1" x14ac:dyDescent="0.2">
      <c r="A19" s="5" t="str">
        <f>HYPERLINK("#'Input - Solid waste'!A1", "Solid waste")</f>
        <v>Solid waste</v>
      </c>
      <c r="D19" t="s">
        <v>1715</v>
      </c>
      <c r="E19">
        <v>0.62</v>
      </c>
      <c r="F19">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
        <v>1716</v>
      </c>
    </row>
    <row r="22" spans="1:8" ht="20.100000000000001" customHeight="1" x14ac:dyDescent="0.2">
      <c r="A22" s="5" t="str">
        <f>HYPERLINK("#'Input - Fert Prod System'!A1", "Fert Prod System")</f>
        <v>Fert Prod System</v>
      </c>
      <c r="D22" s="17" t="s">
        <v>1717</v>
      </c>
    </row>
    <row r="23" spans="1:8" ht="20.100000000000001" customHeight="1" x14ac:dyDescent="0.2">
      <c r="A23" s="5" t="str">
        <f>HYPERLINK("#'Input - Fertiliser'!A1", "Fertiliser")</f>
        <v>Fertiliser</v>
      </c>
    </row>
    <row r="24" spans="1:8" ht="20.100000000000001" customHeight="1" x14ac:dyDescent="0.2">
      <c r="D24" s="146" t="s">
        <v>566</v>
      </c>
      <c r="E24" s="146" t="s">
        <v>569</v>
      </c>
      <c r="F24" s="146" t="s">
        <v>570</v>
      </c>
      <c r="G24" s="146" t="s">
        <v>571</v>
      </c>
      <c r="H24" s="146" t="s">
        <v>572</v>
      </c>
    </row>
    <row r="25" spans="1:8" ht="20.100000000000001" customHeight="1" x14ac:dyDescent="0.2">
      <c r="D25" t="s">
        <v>1715</v>
      </c>
      <c r="E25">
        <v>0.81</v>
      </c>
      <c r="F25">
        <v>226</v>
      </c>
      <c r="G25">
        <v>0.1</v>
      </c>
      <c r="H25">
        <v>29</v>
      </c>
    </row>
    <row r="26" spans="1:8" ht="20.100000000000001" customHeight="1" x14ac:dyDescent="0.2">
      <c r="A26" s="6" t="s">
        <v>2</v>
      </c>
    </row>
    <row r="27" spans="1:8" ht="20.100000000000001" customHeight="1" x14ac:dyDescent="0.2">
      <c r="A27" s="5" t="str">
        <f>HYPERLINK("#'3.1.1.1-2 Enteric Methane'!A1", "3.1.1.1-2 Enteric Methane")</f>
        <v>3.1.1.1-2 Enteric Methane</v>
      </c>
    </row>
    <row r="28" spans="1:8" ht="20.100000000000001" customHeight="1" x14ac:dyDescent="0.2">
      <c r="A28" s="5" t="str">
        <f>HYPERLINK("#'4.1.1.1-2 Methane'!A1", "4.1.1.1-2 Manure Methane")</f>
        <v>4.1.1.1-2 Manure Methane</v>
      </c>
    </row>
    <row r="29" spans="1:8" ht="20.100000000000001" customHeight="1" x14ac:dyDescent="0.2">
      <c r="A29" s="5" t="str">
        <f>HYPERLINK("#'4.1.1.3-4 Direct N20'!A1", "4.1.1.3-4 Manure Direct N2O")</f>
        <v>4.1.1.3-4 Manure Direct N2O</v>
      </c>
    </row>
    <row r="30" spans="1:8" ht="20.100000000000001" customHeight="1" x14ac:dyDescent="0.2">
      <c r="A30" s="5" t="str">
        <f>HYPERLINK("#'4.1.1.5-6 Atmos Deposition'!A1", "4.1.1.5-6 Manure Atmos Dep")</f>
        <v>4.1.1.5-6 Manure Atmos Dep</v>
      </c>
    </row>
    <row r="31" spans="1:8" ht="20.100000000000001" customHeight="1" x14ac:dyDescent="0.2">
      <c r="A31" s="5" t="str">
        <f>HYPERLINK("#'4.1.1.9 Manure applied to soils'!A1", "4.1.1.9 Manure applied to soils")</f>
        <v>4.1.1.9 Manure applied to soils</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81"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E380-D1CA-437B-B53C-95A42E1CE230}">
  <dimension ref="A1:AM22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835</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1718</v>
      </c>
      <c r="E5" s="152"/>
      <c r="F5" s="152"/>
      <c r="G5" s="152"/>
      <c r="H5" s="152"/>
      <c r="I5" s="152"/>
      <c r="J5" s="152"/>
    </row>
    <row r="6" spans="1:36" ht="20.100000000000001" customHeight="1" x14ac:dyDescent="0.2">
      <c r="D6" s="17" t="s">
        <v>1719</v>
      </c>
    </row>
    <row r="7" spans="1:36" ht="20.100000000000001" customHeight="1" x14ac:dyDescent="0.2">
      <c r="D7" s="25" t="s">
        <v>1720</v>
      </c>
    </row>
    <row r="8" spans="1:36" ht="20.100000000000001" customHeight="1" x14ac:dyDescent="0.2">
      <c r="A8" s="7" t="s">
        <v>0</v>
      </c>
      <c r="D8" s="25" t="s">
        <v>1721</v>
      </c>
    </row>
    <row r="9" spans="1:36" ht="20.100000000000001" customHeight="1" x14ac:dyDescent="0.2">
      <c r="A9" s="5" t="str">
        <f>HYPERLINK("#'Input - Enterprise'!A1", "Enterprise")</f>
        <v>Enterprise</v>
      </c>
      <c r="D9" s="25" t="s">
        <v>1722</v>
      </c>
    </row>
    <row r="10" spans="1:36" ht="20.100000000000001" customHeight="1" x14ac:dyDescent="0.2">
      <c r="A10" s="5" t="str">
        <f>HYPERLINK("#'Input - Site'!A1", "Site")</f>
        <v>Site</v>
      </c>
      <c r="D10" s="25" t="s">
        <v>1723</v>
      </c>
    </row>
    <row r="11" spans="1:36" ht="20.100000000000001" customHeight="1" x14ac:dyDescent="0.2">
      <c r="A11" s="5" t="str">
        <f>HYPERLINK("#'Input - Feedlot'!A1", "Feedlot")</f>
        <v>Feedlot</v>
      </c>
      <c r="D11" s="25" t="s">
        <v>1724</v>
      </c>
    </row>
    <row r="12" spans="1:36" ht="20.100000000000001" customHeight="1" x14ac:dyDescent="0.2">
      <c r="A12" s="5" t="str">
        <f>HYPERLINK("#'Input - Livestock sales'!A1", "Livestock sales")</f>
        <v>Livestock sales</v>
      </c>
      <c r="D12" s="25" t="s">
        <v>1725</v>
      </c>
    </row>
    <row r="13" spans="1:36" ht="20.100000000000001" customHeight="1" x14ac:dyDescent="0.2">
      <c r="A13" s="5" t="str">
        <f>HYPERLINK("#'Input - Beef cattle purchases'!A1", "Beef cattle purchases")</f>
        <v>Beef cattle purchases</v>
      </c>
      <c r="D13" s="25" t="s">
        <v>1726</v>
      </c>
    </row>
    <row r="14" spans="1:36" ht="20.100000000000001" customHeight="1" x14ac:dyDescent="0.2">
      <c r="A14" s="5" t="str">
        <f>HYPERLINK("#'Input - Fuel'!A1", "Fuel")</f>
        <v>Fuel</v>
      </c>
      <c r="D14" s="25" t="s">
        <v>1727</v>
      </c>
    </row>
    <row r="15" spans="1:36" ht="20.100000000000001" customHeight="1" x14ac:dyDescent="0.2">
      <c r="A15" s="5" t="str">
        <f>HYPERLINK("#'Input - Electricity'!A1", "Electricity")</f>
        <v>Electricity</v>
      </c>
      <c r="D15" s="25" t="s">
        <v>1728</v>
      </c>
    </row>
    <row r="16" spans="1:36" ht="20.100000000000001" customHeight="1" x14ac:dyDescent="0.2">
      <c r="A16" s="5" t="str">
        <f>HYPERLINK("#'Input - Common farm inputs'!A1", "Common farm inputs")</f>
        <v>Common farm inputs</v>
      </c>
      <c r="D16" s="25" t="s">
        <v>1729</v>
      </c>
    </row>
    <row r="17" spans="1:22" ht="20.100000000000001" customHeight="1" x14ac:dyDescent="0.2">
      <c r="A17" s="5" t="str">
        <f>HYPERLINK("#'Input - Livestock farm Inputs'!A1", "Livestock farm Inputs")</f>
        <v>Livestock farm Inputs</v>
      </c>
      <c r="D17" s="25" t="s">
        <v>1730</v>
      </c>
      <c r="K17" s="2" t="s">
        <v>1732</v>
      </c>
      <c r="Q17" s="2" t="s">
        <v>1734</v>
      </c>
      <c r="V17" s="2" t="s">
        <v>1736</v>
      </c>
    </row>
    <row r="18" spans="1:22" ht="20.100000000000001" customHeight="1" x14ac:dyDescent="0.2">
      <c r="A18" s="5" t="str">
        <f>HYPERLINK("#'Input - Freight'!A1", "Freight")</f>
        <v>Freight</v>
      </c>
      <c r="D18" s="25" t="s">
        <v>1731</v>
      </c>
      <c r="K18" s="17" t="s">
        <v>1733</v>
      </c>
      <c r="Q18" s="17" t="s">
        <v>1735</v>
      </c>
      <c r="V18" s="17" t="s">
        <v>1737</v>
      </c>
    </row>
    <row r="19" spans="1:22" ht="20.100000000000001" customHeight="1" x14ac:dyDescent="0.2">
      <c r="A19" s="5" t="str">
        <f>HYPERLINK("#'Input - Solid waste'!A1", "Solid waste")</f>
        <v>Solid waste</v>
      </c>
      <c r="D19" t="s">
        <v>756</v>
      </c>
      <c r="E19" t="s">
        <v>836</v>
      </c>
      <c r="F19" t="s">
        <v>837</v>
      </c>
      <c r="G19" t="s">
        <v>811</v>
      </c>
      <c r="H19" t="s">
        <v>838</v>
      </c>
      <c r="I19" t="s">
        <v>559</v>
      </c>
      <c r="K19" s="19" t="s">
        <v>756</v>
      </c>
      <c r="L19" s="19" t="s">
        <v>836</v>
      </c>
      <c r="Q19" s="19" t="s">
        <v>756</v>
      </c>
      <c r="R19" s="19" t="s">
        <v>836</v>
      </c>
      <c r="V19" s="19" t="s">
        <v>559</v>
      </c>
    </row>
    <row r="20" spans="1:22" ht="20.100000000000001" customHeight="1" x14ac:dyDescent="0.2">
      <c r="A20" s="5" t="str">
        <f>HYPERLINK("#'Input - Manure sent off-site'!A1", "Manure sent off-site")</f>
        <v>Manure sent off-site</v>
      </c>
      <c r="D20" s="146" t="s">
        <v>1738</v>
      </c>
      <c r="E20" s="146">
        <v>0.1</v>
      </c>
      <c r="F20" s="146">
        <v>0</v>
      </c>
      <c r="G20" s="146" t="s">
        <v>1739</v>
      </c>
      <c r="H20" s="146" t="s">
        <v>1738</v>
      </c>
      <c r="I20" s="146" t="s">
        <v>1182</v>
      </c>
      <c r="K20" s="19" t="s">
        <v>1738</v>
      </c>
      <c r="L20" s="19">
        <v>0.1</v>
      </c>
      <c r="Q20" s="19" t="s">
        <v>1738</v>
      </c>
      <c r="R20" s="19">
        <v>0</v>
      </c>
      <c r="V20" s="19" t="s">
        <v>1765</v>
      </c>
    </row>
    <row r="21" spans="1:22" ht="20.100000000000001" customHeight="1" x14ac:dyDescent="0.2">
      <c r="A21" s="5" t="str">
        <f>HYPERLINK("#'Input - Data quality'!A1", "Data quality")</f>
        <v>Data quality</v>
      </c>
      <c r="D21" s="146" t="s">
        <v>1740</v>
      </c>
      <c r="E21" s="146">
        <v>0.18</v>
      </c>
      <c r="F21" s="146">
        <v>0</v>
      </c>
      <c r="G21" s="146" t="s">
        <v>1739</v>
      </c>
      <c r="H21" s="146" t="s">
        <v>1740</v>
      </c>
      <c r="I21" s="146" t="s">
        <v>1182</v>
      </c>
      <c r="K21" s="19" t="s">
        <v>1740</v>
      </c>
      <c r="L21" s="19">
        <v>0.18</v>
      </c>
      <c r="Q21" s="19" t="s">
        <v>1740</v>
      </c>
      <c r="R21" s="19">
        <v>0</v>
      </c>
      <c r="V21" s="19" t="s">
        <v>1766</v>
      </c>
    </row>
    <row r="22" spans="1:22" ht="20.100000000000001" customHeight="1" x14ac:dyDescent="0.2">
      <c r="A22" s="5" t="str">
        <f>HYPERLINK("#'Input - Fert Prod System'!A1", "Fert Prod System")</f>
        <v>Fert Prod System</v>
      </c>
      <c r="D22" s="146" t="s">
        <v>704</v>
      </c>
      <c r="E22" s="146">
        <v>0.46</v>
      </c>
      <c r="F22" s="146">
        <v>1</v>
      </c>
      <c r="G22" s="146" t="s">
        <v>1741</v>
      </c>
      <c r="H22" s="146" t="s">
        <v>704</v>
      </c>
      <c r="I22" s="146" t="s">
        <v>1182</v>
      </c>
      <c r="K22" s="19" t="s">
        <v>704</v>
      </c>
      <c r="L22" s="19">
        <v>0.46</v>
      </c>
      <c r="Q22" s="19" t="s">
        <v>704</v>
      </c>
      <c r="R22" s="19">
        <v>1</v>
      </c>
      <c r="V22" s="19" t="s">
        <v>1767</v>
      </c>
    </row>
    <row r="23" spans="1:22" ht="20.100000000000001" customHeight="1" x14ac:dyDescent="0.2">
      <c r="A23" s="5" t="str">
        <f>HYPERLINK("#'Input - Fertiliser'!A1", "Fertiliser")</f>
        <v>Fertiliser</v>
      </c>
      <c r="D23" s="146" t="s">
        <v>1742</v>
      </c>
      <c r="E23" s="146">
        <v>0.21</v>
      </c>
      <c r="F23" s="146">
        <v>0</v>
      </c>
      <c r="G23" s="146" t="s">
        <v>1739</v>
      </c>
      <c r="H23" s="146" t="s">
        <v>1742</v>
      </c>
      <c r="I23" s="146" t="s">
        <v>1182</v>
      </c>
      <c r="K23" s="19" t="s">
        <v>1742</v>
      </c>
      <c r="L23" s="19">
        <v>0.21</v>
      </c>
      <c r="Q23" s="19" t="s">
        <v>1742</v>
      </c>
      <c r="R23" s="19">
        <v>0</v>
      </c>
      <c r="V23" s="19" t="s">
        <v>1768</v>
      </c>
    </row>
    <row r="24" spans="1:22" ht="20.100000000000001" customHeight="1" x14ac:dyDescent="0.2">
      <c r="D24" s="146" t="s">
        <v>1743</v>
      </c>
      <c r="E24" s="146">
        <v>0.32</v>
      </c>
      <c r="F24" s="146">
        <v>0.35</v>
      </c>
      <c r="G24" s="146" t="s">
        <v>1741</v>
      </c>
      <c r="H24" s="146" t="s">
        <v>1743</v>
      </c>
      <c r="I24" s="146" t="s">
        <v>1182</v>
      </c>
      <c r="K24" s="19" t="s">
        <v>1743</v>
      </c>
      <c r="L24" s="19">
        <v>0.32</v>
      </c>
      <c r="Q24" s="19" t="s">
        <v>1743</v>
      </c>
      <c r="R24" s="19">
        <v>0.35</v>
      </c>
    </row>
    <row r="25" spans="1:22" ht="20.100000000000001" customHeight="1" x14ac:dyDescent="0.2">
      <c r="D25" s="146" t="s">
        <v>1744</v>
      </c>
      <c r="E25" s="146">
        <v>0.33700000000000002</v>
      </c>
      <c r="F25" s="146">
        <v>0</v>
      </c>
      <c r="G25" s="146" t="s">
        <v>1745</v>
      </c>
      <c r="H25" s="146" t="s">
        <v>1744</v>
      </c>
      <c r="I25" s="146" t="s">
        <v>1182</v>
      </c>
      <c r="K25" s="19" t="s">
        <v>1744</v>
      </c>
      <c r="L25" s="19">
        <v>0.33700000000000002</v>
      </c>
      <c r="Q25" s="19" t="s">
        <v>1744</v>
      </c>
      <c r="R25" s="19">
        <v>0</v>
      </c>
    </row>
    <row r="26" spans="1:22" ht="20.100000000000001" customHeight="1" x14ac:dyDescent="0.2">
      <c r="A26" s="6" t="s">
        <v>2</v>
      </c>
      <c r="D26" s="146" t="s">
        <v>1746</v>
      </c>
      <c r="E26" s="146">
        <v>0.27</v>
      </c>
      <c r="F26" s="146">
        <v>0</v>
      </c>
      <c r="G26" s="146" t="s">
        <v>1745</v>
      </c>
      <c r="H26" s="146" t="s">
        <v>1746</v>
      </c>
      <c r="I26" s="146" t="s">
        <v>1182</v>
      </c>
      <c r="K26" s="19" t="s">
        <v>1746</v>
      </c>
      <c r="L26" s="19">
        <v>0.27</v>
      </c>
      <c r="Q26" s="19" t="s">
        <v>1746</v>
      </c>
      <c r="R26" s="19">
        <v>0</v>
      </c>
    </row>
    <row r="27" spans="1:22" ht="20.100000000000001" customHeight="1" x14ac:dyDescent="0.2">
      <c r="A27" s="5" t="str">
        <f>HYPERLINK("#'3.1.1.1-2 Enteric Methane'!A1", "3.1.1.1-2 Enteric Methane")</f>
        <v>3.1.1.1-2 Enteric Methane</v>
      </c>
      <c r="D27" s="146" t="s">
        <v>1747</v>
      </c>
      <c r="E27" s="146">
        <v>1</v>
      </c>
      <c r="F27" s="146">
        <v>0</v>
      </c>
      <c r="G27" s="146" t="s">
        <v>1739</v>
      </c>
      <c r="H27" s="146" t="s">
        <v>1747</v>
      </c>
      <c r="I27" s="146" t="s">
        <v>1748</v>
      </c>
      <c r="K27" s="19" t="s">
        <v>1763</v>
      </c>
      <c r="L27" s="19">
        <v>0.21</v>
      </c>
      <c r="Q27" s="19" t="s">
        <v>1763</v>
      </c>
      <c r="R27" s="19">
        <v>0</v>
      </c>
    </row>
    <row r="28" spans="1:22" ht="20.100000000000001" customHeight="1" x14ac:dyDescent="0.2">
      <c r="A28" s="5" t="str">
        <f>HYPERLINK("#'4.1.1.1-2 Methane'!A1", "4.1.1.1-2 Manure Methane")</f>
        <v>4.1.1.1-2 Manure Methane</v>
      </c>
      <c r="D28" s="146" t="s">
        <v>1749</v>
      </c>
      <c r="E28" s="146">
        <v>1</v>
      </c>
      <c r="F28" s="146">
        <v>0</v>
      </c>
      <c r="G28" s="146" t="s">
        <v>1750</v>
      </c>
      <c r="H28" s="146" t="s">
        <v>1751</v>
      </c>
      <c r="I28" s="146" t="s">
        <v>1748</v>
      </c>
      <c r="K28" s="19" t="s">
        <v>1764</v>
      </c>
      <c r="L28" s="19">
        <v>0.155</v>
      </c>
      <c r="Q28" s="19" t="s">
        <v>1764</v>
      </c>
      <c r="R28" s="19">
        <v>0</v>
      </c>
    </row>
    <row r="29" spans="1:22" ht="20.100000000000001" customHeight="1" x14ac:dyDescent="0.2">
      <c r="A29" s="5" t="str">
        <f>HYPERLINK("#'4.1.1.3-4 Direct N20'!A1", "4.1.1.3-4 Manure Direct N2O")</f>
        <v>4.1.1.3-4 Manure Direct N2O</v>
      </c>
      <c r="D29" s="146" t="s">
        <v>1752</v>
      </c>
      <c r="E29" s="146">
        <v>1</v>
      </c>
      <c r="F29" s="146">
        <v>0</v>
      </c>
      <c r="G29" s="146" t="s">
        <v>1741</v>
      </c>
      <c r="H29" s="146" t="s">
        <v>1753</v>
      </c>
      <c r="I29" s="146" t="s">
        <v>1748</v>
      </c>
    </row>
    <row r="30" spans="1:22" ht="20.100000000000001" customHeight="1" x14ac:dyDescent="0.2">
      <c r="A30" s="5" t="str">
        <f>HYPERLINK("#'4.1.1.5-6 Atmos Deposition'!A1", "4.1.1.5-6 Manure Atmos Dep")</f>
        <v>4.1.1.5-6 Manure Atmos Dep</v>
      </c>
      <c r="D30" s="146" t="s">
        <v>1754</v>
      </c>
      <c r="E30" s="146">
        <v>0</v>
      </c>
      <c r="F30" s="146">
        <v>0</v>
      </c>
      <c r="G30" s="146" t="s">
        <v>1755</v>
      </c>
      <c r="H30" s="146" t="s">
        <v>1756</v>
      </c>
      <c r="I30" s="146" t="s">
        <v>1748</v>
      </c>
    </row>
    <row r="31" spans="1:22" ht="20.100000000000001" customHeight="1" x14ac:dyDescent="0.2">
      <c r="A31" s="5" t="str">
        <f>HYPERLINK("#'4.1.1.9 Manure applied to soils'!A1", "4.1.1.9 Manure applied to soils")</f>
        <v>4.1.1.9 Manure applied to soils</v>
      </c>
      <c r="D31" s="146" t="s">
        <v>716</v>
      </c>
      <c r="E31" s="146">
        <v>0</v>
      </c>
      <c r="F31" s="146">
        <v>0</v>
      </c>
      <c r="G31" s="146" t="s">
        <v>1755</v>
      </c>
      <c r="H31" s="146" t="s">
        <v>1757</v>
      </c>
      <c r="I31" s="146" t="s">
        <v>1748</v>
      </c>
    </row>
    <row r="32" spans="1:22" ht="20.100000000000001" customHeight="1" x14ac:dyDescent="0.2">
      <c r="A32" s="5" t="str">
        <f>HYPERLINK("#'8.1.1.1-2 Transport fuel'!A1", "8.1.1.1-2 Transport fuel")</f>
        <v>8.1.1.1-2 Transport fuel</v>
      </c>
      <c r="D32" s="146" t="s">
        <v>717</v>
      </c>
      <c r="E32" s="146">
        <v>0</v>
      </c>
      <c r="F32" s="146">
        <v>0</v>
      </c>
      <c r="G32" s="146" t="s">
        <v>1755</v>
      </c>
      <c r="H32" s="146" t="s">
        <v>1758</v>
      </c>
      <c r="I32" s="146" t="s">
        <v>1748</v>
      </c>
    </row>
    <row r="33" spans="1:10" ht="20.100000000000001" customHeight="1" x14ac:dyDescent="0.2">
      <c r="A33" s="5" t="str">
        <f>HYPERLINK("#'8.2.1.1-2 Stationary fuel'!A1", "8.2.1.1-2 Stationary fuel")</f>
        <v>8.2.1.1-2 Stationary fuel</v>
      </c>
      <c r="D33" s="146" t="s">
        <v>715</v>
      </c>
      <c r="E33" s="146">
        <v>0</v>
      </c>
      <c r="F33" s="146">
        <v>0</v>
      </c>
      <c r="G33" s="146" t="s">
        <v>1755</v>
      </c>
      <c r="H33" s="146" t="s">
        <v>1759</v>
      </c>
      <c r="I33" s="146" t="s">
        <v>1748</v>
      </c>
    </row>
    <row r="34" spans="1:10" ht="20.100000000000001" customHeight="1" x14ac:dyDescent="0.2">
      <c r="A34" s="5" t="str">
        <f>HYPERLINK("#'10.1.1-2 Solid waste treatment'!A1", "10.1.1.1-2 Solid waste")</f>
        <v>10.1.1.1-2 Solid waste</v>
      </c>
      <c r="D34" s="146" t="s">
        <v>1760</v>
      </c>
      <c r="E34" s="146">
        <v>0</v>
      </c>
      <c r="F34" s="146">
        <v>0</v>
      </c>
      <c r="G34" s="146" t="s">
        <v>1755</v>
      </c>
      <c r="H34" s="146" t="s">
        <v>1760</v>
      </c>
      <c r="I34" s="146" t="s">
        <v>1748</v>
      </c>
    </row>
    <row r="35" spans="1:10" ht="20.100000000000001" customHeight="1" x14ac:dyDescent="0.2">
      <c r="A35" s="5" t="str">
        <f>HYPERLINK("#'14.1.1-2 Purchased electricity'!A1", "14.1.1-2 Purchased electricity")</f>
        <v>14.1.1-2 Purchased electricity</v>
      </c>
      <c r="D35" s="146" t="s">
        <v>1761</v>
      </c>
      <c r="E35" s="146">
        <v>0</v>
      </c>
      <c r="F35" s="146">
        <v>0</v>
      </c>
      <c r="G35" s="146" t="s">
        <v>1755</v>
      </c>
      <c r="H35" s="146" t="s">
        <v>1761</v>
      </c>
      <c r="I35" s="146" t="s">
        <v>1748</v>
      </c>
    </row>
    <row r="36" spans="1:10" ht="20.100000000000001" customHeight="1" x14ac:dyDescent="0.2">
      <c r="A36" s="5" t="str">
        <f>HYPERLINK("#'15 Scope 3'!A1", "15 Scope 3")</f>
        <v>15 Scope 3</v>
      </c>
      <c r="D36" s="146" t="s">
        <v>1762</v>
      </c>
      <c r="E36" s="146">
        <v>0</v>
      </c>
      <c r="F36" s="146">
        <v>0</v>
      </c>
      <c r="G36" s="146" t="s">
        <v>1755</v>
      </c>
      <c r="H36" s="146" t="s">
        <v>1762</v>
      </c>
      <c r="I36" s="146" t="s">
        <v>1748</v>
      </c>
    </row>
    <row r="37" spans="1:10" ht="20.100000000000001" customHeight="1" x14ac:dyDescent="0.2">
      <c r="A37" s="5" t="str">
        <f>HYPERLINK("#'Calcs - Manure sent off-site'!A1", "Calcs - Manure sent off-site")</f>
        <v>Calcs - Manure sent off-site</v>
      </c>
      <c r="D37" s="146" t="s">
        <v>720</v>
      </c>
      <c r="E37" s="146">
        <v>0.82350000000000001</v>
      </c>
      <c r="F37" s="146">
        <v>0</v>
      </c>
      <c r="G37" s="146" t="s">
        <v>1739</v>
      </c>
      <c r="H37" s="146" t="s">
        <v>720</v>
      </c>
      <c r="I37" s="146" t="s">
        <v>1748</v>
      </c>
    </row>
    <row r="38" spans="1:10" ht="20.100000000000001" customHeight="1" x14ac:dyDescent="0.2">
      <c r="A38" s="5" t="str">
        <f>HYPERLINK("#'5.1.1.1-2 Inorganic fert N2O'!A1", "5.1.1.1-2 Inorganic fert N2O")</f>
        <v>5.1.1.1-2 Inorganic fert N2O</v>
      </c>
      <c r="D38" s="19" t="s">
        <v>714</v>
      </c>
      <c r="E38" s="19">
        <v>0.155</v>
      </c>
      <c r="F38" s="19">
        <v>0</v>
      </c>
      <c r="G38" s="19" t="s">
        <v>1750</v>
      </c>
      <c r="H38" s="19" t="s">
        <v>714</v>
      </c>
      <c r="I38" s="19" t="s">
        <v>1182</v>
      </c>
    </row>
    <row r="39" spans="1:10" ht="20.100000000000001" customHeight="1" x14ac:dyDescent="0.2">
      <c r="A39" s="5" t="str">
        <f>HYPERLINK("#'5.1.1.3-4 Inorganic fert CO2'!A1", "5.1.1.3-4 Inorganic fert CO2")</f>
        <v>5.1.1.3-4 Inorganic fert CO2</v>
      </c>
    </row>
    <row r="40" spans="1:10" ht="20.100000000000001" customHeight="1" x14ac:dyDescent="0.2">
      <c r="A40" s="5" t="str">
        <f>HYPERLINK("#'5.2.1.1-2 Organic Fert N2O'!A1", "5.2.1.1-2 Organic Fert N2O")</f>
        <v>5.2.1.1-2 Organic Fert N2O</v>
      </c>
      <c r="D40" s="2" t="s">
        <v>839</v>
      </c>
      <c r="F40" s="2" t="s">
        <v>840</v>
      </c>
      <c r="H40" s="2" t="s">
        <v>475</v>
      </c>
      <c r="J40" s="2" t="s">
        <v>841</v>
      </c>
    </row>
    <row r="41" spans="1:10" ht="20.100000000000001" customHeight="1" x14ac:dyDescent="0.2">
      <c r="A41" s="5" t="str">
        <f>HYPERLINK("#'5.3.1.1-2 Lime CO2'!A1", "5.3.1.1-2 Lime CO2")</f>
        <v>5.3.1.1-2 Lime CO2</v>
      </c>
      <c r="D41" s="19" t="s">
        <v>479</v>
      </c>
      <c r="F41" s="19" t="s">
        <v>479</v>
      </c>
      <c r="H41" s="19" t="s">
        <v>63</v>
      </c>
      <c r="J41" s="19" t="s">
        <v>842</v>
      </c>
    </row>
    <row r="42" spans="1:10" ht="20.100000000000001" customHeight="1" x14ac:dyDescent="0.2">
      <c r="A42" s="5" t="str">
        <f>HYPERLINK("#'5.4.1.1-4 Atmos deposition'!A1", "5.4.1.1-4 Atmos deposition")</f>
        <v>5.4.1.1-4 Atmos deposition</v>
      </c>
      <c r="D42" s="19" t="s">
        <v>319</v>
      </c>
      <c r="F42" s="19" t="s">
        <v>319</v>
      </c>
      <c r="H42" s="19" t="s">
        <v>320</v>
      </c>
      <c r="J42" s="19" t="s">
        <v>843</v>
      </c>
    </row>
    <row r="43" spans="1:10" ht="20.100000000000001" customHeight="1" x14ac:dyDescent="0.2">
      <c r="A43" s="5" t="str">
        <f>HYPERLINK("#'5.5.1.1-2 Leaching and runoff'!A1", "5.5.1.1-2 Leaching and runoff")</f>
        <v>5.5.1.1-2 Leaching and runoff</v>
      </c>
      <c r="D43" s="1" t="s">
        <v>671</v>
      </c>
      <c r="F43" s="1" t="s">
        <v>844</v>
      </c>
      <c r="H43" s="19" t="s">
        <v>481</v>
      </c>
      <c r="J43" s="1" t="s">
        <v>740</v>
      </c>
    </row>
    <row r="44" spans="1:10" ht="20.100000000000001" customHeight="1" x14ac:dyDescent="0.2">
      <c r="F44" s="1" t="s">
        <v>673</v>
      </c>
      <c r="H44" s="1" t="s">
        <v>482</v>
      </c>
      <c r="J44" s="1" t="s">
        <v>845</v>
      </c>
    </row>
    <row r="45" spans="1:10" ht="20.100000000000001" customHeight="1" x14ac:dyDescent="0.2">
      <c r="F45" s="1" t="s">
        <v>779</v>
      </c>
      <c r="H45" s="1" t="s">
        <v>483</v>
      </c>
      <c r="J45" s="1" t="s">
        <v>739</v>
      </c>
    </row>
    <row r="46" spans="1:10" ht="20.100000000000001" customHeight="1" x14ac:dyDescent="0.2">
      <c r="A46" s="80" t="s">
        <v>1</v>
      </c>
      <c r="H46" s="1" t="s">
        <v>484</v>
      </c>
      <c r="J46" s="1" t="s">
        <v>741</v>
      </c>
    </row>
    <row r="47" spans="1:10" ht="20.100000000000001" customHeight="1" x14ac:dyDescent="0.2">
      <c r="A47" s="5" t="str">
        <f>HYPERLINK("#'Constants - Feedlot'!A1", "Constants - Feedlot")</f>
        <v>Constants - Feedlot</v>
      </c>
    </row>
    <row r="48" spans="1:10" ht="20.100000000000001" customHeight="1" x14ac:dyDescent="0.2">
      <c r="A48" s="5" t="str">
        <f>HYPERLINK("#'Constants - Common livestock'!A1", "Constants - Common Livestock")</f>
        <v>Constants - Common Livestock</v>
      </c>
      <c r="D48" s="2" t="s">
        <v>1769</v>
      </c>
      <c r="G48" s="152"/>
    </row>
    <row r="49" spans="1:8" ht="20.100000000000001" customHeight="1" x14ac:dyDescent="0.2">
      <c r="A49" s="5" t="str">
        <f>HYPERLINK("#'Constants - Electricity'!A1", "Constants - Electricity")</f>
        <v>Constants - Electricity</v>
      </c>
      <c r="D49" s="17" t="s">
        <v>1770</v>
      </c>
      <c r="G49" s="152"/>
    </row>
    <row r="50" spans="1:8" ht="20.100000000000001" customHeight="1" x14ac:dyDescent="0.2">
      <c r="A50" s="81" t="str">
        <f>HYPERLINK("#'Constants - Fertiliser'!A1", "Constants - Fertiliser")</f>
        <v>Constants - Fertiliser</v>
      </c>
      <c r="D50" s="19" t="s">
        <v>756</v>
      </c>
      <c r="E50" s="19" t="s">
        <v>846</v>
      </c>
      <c r="G50" s="152"/>
    </row>
    <row r="51" spans="1:8" ht="20.100000000000001" customHeight="1" x14ac:dyDescent="0.2">
      <c r="A51" s="5" t="str">
        <f>HYPERLINK("#'Constants - Fuel'!A1", "Constants - Fuel")</f>
        <v>Constants - Fuel</v>
      </c>
      <c r="D51" s="19" t="s">
        <v>1741</v>
      </c>
      <c r="E51" s="19">
        <v>0.15</v>
      </c>
      <c r="G51" s="152"/>
    </row>
    <row r="52" spans="1:8" ht="20.100000000000001" customHeight="1" x14ac:dyDescent="0.2">
      <c r="A52" s="5" t="str">
        <f>HYPERLINK("#'Constants - Scope 3'!A1", "Constants - Scope 3")</f>
        <v>Constants - Scope 3</v>
      </c>
      <c r="D52" s="1" t="s">
        <v>1739</v>
      </c>
      <c r="E52" s="19">
        <v>0.08</v>
      </c>
      <c r="G52" s="152"/>
    </row>
    <row r="53" spans="1:8" ht="20.100000000000001" customHeight="1" x14ac:dyDescent="0.2">
      <c r="A53" s="5" t="str">
        <f>HYPERLINK("#'Constants - Solid Waste'!A1", "Constants - Solid Waste")</f>
        <v>Constants - Solid Waste</v>
      </c>
      <c r="D53" s="1" t="s">
        <v>1750</v>
      </c>
      <c r="E53" s="19">
        <v>0.01</v>
      </c>
      <c r="G53" s="152"/>
    </row>
    <row r="54" spans="1:8" ht="20.100000000000001" customHeight="1" x14ac:dyDescent="0.2">
      <c r="A54" s="5" t="str">
        <f>HYPERLINK("#'Constants - Common'!A1", "Constants - Common")</f>
        <v>Constants - Common</v>
      </c>
      <c r="D54" s="1" t="s">
        <v>1745</v>
      </c>
      <c r="E54" s="19">
        <v>0.05</v>
      </c>
      <c r="G54" s="152"/>
      <c r="H54" s="152"/>
    </row>
    <row r="55" spans="1:8" ht="20.100000000000001" customHeight="1" x14ac:dyDescent="0.2">
      <c r="A55" s="5" t="str">
        <f>HYPERLINK("#'Acknowledgements'!A1", "Acknowledgements")</f>
        <v>Acknowledgements</v>
      </c>
      <c r="D55" s="1" t="s">
        <v>1755</v>
      </c>
      <c r="E55" s="19">
        <v>0.11</v>
      </c>
      <c r="G55" s="152"/>
      <c r="H55" s="152"/>
    </row>
    <row r="58" spans="1:8" ht="20.100000000000001" customHeight="1" x14ac:dyDescent="0.2">
      <c r="D58" s="2" t="s">
        <v>1771</v>
      </c>
    </row>
    <row r="59" spans="1:8" ht="20.100000000000001" customHeight="1" x14ac:dyDescent="0.2">
      <c r="D59" s="17" t="s">
        <v>1772</v>
      </c>
    </row>
    <row r="60" spans="1:8" ht="20.100000000000001" customHeight="1" x14ac:dyDescent="0.2">
      <c r="D60" s="75" t="s">
        <v>1773</v>
      </c>
      <c r="E60" s="1">
        <v>0.2</v>
      </c>
      <c r="F60" s="9" t="s">
        <v>1774</v>
      </c>
    </row>
    <row r="63" spans="1:8" ht="20.100000000000001" customHeight="1" x14ac:dyDescent="0.2">
      <c r="D63" s="2" t="s">
        <v>1775</v>
      </c>
    </row>
    <row r="64" spans="1:8" ht="20.100000000000001" customHeight="1" x14ac:dyDescent="0.2">
      <c r="D64" s="17" t="s">
        <v>1776</v>
      </c>
    </row>
    <row r="65" spans="1:6" ht="20.100000000000001" customHeight="1" x14ac:dyDescent="0.2">
      <c r="D65" s="19" t="s">
        <v>800</v>
      </c>
      <c r="E65" s="19" t="s">
        <v>847</v>
      </c>
      <c r="F65" s="19" t="s">
        <v>776</v>
      </c>
    </row>
    <row r="66" spans="1:6" ht="20.100000000000001" customHeight="1" x14ac:dyDescent="0.2">
      <c r="A66" s="79" t="str">
        <f>HYPERLINK("#A1", "▲ Back to top")</f>
        <v>▲ Back to top</v>
      </c>
      <c r="D66" s="19" t="s">
        <v>1777</v>
      </c>
      <c r="E66" s="19">
        <v>0.9</v>
      </c>
      <c r="F66" s="19">
        <v>0.12</v>
      </c>
    </row>
    <row r="67" spans="1:6" ht="20.100000000000001" customHeight="1" x14ac:dyDescent="0.2">
      <c r="D67" s="1" t="s">
        <v>1778</v>
      </c>
      <c r="E67" s="19">
        <v>0.95</v>
      </c>
      <c r="F67" s="19">
        <v>0.13</v>
      </c>
    </row>
    <row r="68" spans="1:6" ht="20.100000000000001" customHeight="1" x14ac:dyDescent="0.2">
      <c r="D68" s="1" t="s">
        <v>1779</v>
      </c>
      <c r="E68" s="19">
        <v>0</v>
      </c>
      <c r="F68" s="19">
        <v>0</v>
      </c>
    </row>
    <row r="71" spans="1:6" ht="20.100000000000001" customHeight="1" x14ac:dyDescent="0.2">
      <c r="D71" s="2" t="s">
        <v>1780</v>
      </c>
    </row>
    <row r="72" spans="1:6" ht="20.100000000000001" customHeight="1" x14ac:dyDescent="0.2">
      <c r="D72" s="17" t="s">
        <v>1781</v>
      </c>
    </row>
    <row r="73" spans="1:6" ht="20.100000000000001" customHeight="1" x14ac:dyDescent="0.2">
      <c r="D73" s="75" t="s">
        <v>1782</v>
      </c>
      <c r="E73" s="1">
        <v>0.21</v>
      </c>
      <c r="F73" s="9" t="s">
        <v>448</v>
      </c>
    </row>
    <row r="76" spans="1:6" ht="20.100000000000001" customHeight="1" x14ac:dyDescent="0.2">
      <c r="D76" s="2" t="s">
        <v>1783</v>
      </c>
    </row>
    <row r="77" spans="1:6" ht="20.100000000000001" customHeight="1" x14ac:dyDescent="0.2">
      <c r="D77" s="17" t="s">
        <v>1784</v>
      </c>
    </row>
    <row r="78" spans="1:6" ht="20.100000000000001" customHeight="1" x14ac:dyDescent="0.2">
      <c r="D78" s="75" t="s">
        <v>1617</v>
      </c>
      <c r="E78" s="1">
        <v>0.24</v>
      </c>
      <c r="F78" s="9" t="s">
        <v>299</v>
      </c>
    </row>
    <row r="81" spans="1:39" ht="20.100000000000001" customHeight="1" x14ac:dyDescent="0.2">
      <c r="D81" s="2" t="s">
        <v>1785</v>
      </c>
    </row>
    <row r="82" spans="1:39" ht="20.100000000000001" customHeight="1" x14ac:dyDescent="0.2">
      <c r="D82" s="17" t="s">
        <v>1784</v>
      </c>
    </row>
    <row r="83" spans="1:39" ht="20.100000000000001" customHeight="1" x14ac:dyDescent="0.2">
      <c r="D83" s="75" t="s">
        <v>1786</v>
      </c>
      <c r="E83" s="1">
        <v>1.0999999999999999E-2</v>
      </c>
      <c r="F83" s="9" t="s">
        <v>1787</v>
      </c>
    </row>
    <row r="87" spans="1:39" ht="20.100000000000001" customHeight="1" x14ac:dyDescent="0.2">
      <c r="D87" s="2" t="s">
        <v>848</v>
      </c>
      <c r="E87" s="152"/>
      <c r="F87" s="152"/>
      <c r="G87" s="152"/>
      <c r="H87" s="152"/>
      <c r="I87" s="152"/>
      <c r="J87" s="152"/>
      <c r="K87" s="152"/>
      <c r="L87" s="152"/>
      <c r="N87" s="152"/>
      <c r="O87" s="152"/>
      <c r="P87" s="152"/>
      <c r="Q87" s="152"/>
      <c r="R87" s="152"/>
      <c r="S87" s="152"/>
      <c r="T87" s="152"/>
      <c r="U87" s="152"/>
    </row>
    <row r="88" spans="1:39" ht="20.100000000000001" customHeight="1" x14ac:dyDescent="0.2">
      <c r="D88" s="152"/>
    </row>
    <row r="89" spans="1:39" ht="20.100000000000001" customHeight="1" x14ac:dyDescent="0.2">
      <c r="D89" s="234" t="s">
        <v>849</v>
      </c>
      <c r="E89" s="19" t="s">
        <v>132</v>
      </c>
      <c r="F89" s="19" t="s">
        <v>118</v>
      </c>
      <c r="G89" s="194" t="s">
        <v>685</v>
      </c>
      <c r="H89" s="194" t="s">
        <v>850</v>
      </c>
      <c r="I89" s="194" t="s">
        <v>702</v>
      </c>
      <c r="J89" s="194" t="s">
        <v>703</v>
      </c>
      <c r="K89" s="194" t="s">
        <v>851</v>
      </c>
      <c r="L89" s="194" t="s">
        <v>852</v>
      </c>
      <c r="M89" s="194" t="s">
        <v>853</v>
      </c>
      <c r="N89" s="194" t="s">
        <v>854</v>
      </c>
      <c r="O89" s="194" t="s">
        <v>687</v>
      </c>
      <c r="P89" s="194" t="s">
        <v>688</v>
      </c>
      <c r="Q89" s="19" t="s">
        <v>689</v>
      </c>
      <c r="R89" s="19" t="s">
        <v>690</v>
      </c>
      <c r="S89" s="19" t="s">
        <v>691</v>
      </c>
      <c r="T89" s="19" t="s">
        <v>692</v>
      </c>
      <c r="U89" s="194" t="s">
        <v>693</v>
      </c>
      <c r="V89" s="194" t="s">
        <v>694</v>
      </c>
      <c r="W89" s="19" t="s">
        <v>695</v>
      </c>
      <c r="X89" s="194" t="s">
        <v>696</v>
      </c>
      <c r="Y89" s="194" t="s">
        <v>697</v>
      </c>
      <c r="Z89" s="194" t="s">
        <v>698</v>
      </c>
      <c r="AA89" s="194" t="s">
        <v>855</v>
      </c>
      <c r="AB89" s="194" t="s">
        <v>856</v>
      </c>
      <c r="AC89" s="19" t="s">
        <v>857</v>
      </c>
      <c r="AD89" s="19" t="s">
        <v>858</v>
      </c>
      <c r="AE89" s="19" t="s">
        <v>859</v>
      </c>
      <c r="AF89" s="19" t="s">
        <v>860</v>
      </c>
      <c r="AG89" s="19" t="s">
        <v>861</v>
      </c>
      <c r="AH89" s="19" t="s">
        <v>862</v>
      </c>
      <c r="AK89" s="1"/>
      <c r="AL89" s="1"/>
      <c r="AM89" s="1"/>
    </row>
    <row r="90" spans="1:39" ht="20.100000000000001" customHeight="1" x14ac:dyDescent="0.2">
      <c r="D90" s="146" t="s">
        <v>1788</v>
      </c>
      <c r="E90" s="146" t="s">
        <v>1789</v>
      </c>
      <c r="F90" s="146" t="s">
        <v>652</v>
      </c>
      <c r="G90" s="146">
        <v>1.26</v>
      </c>
      <c r="H90" s="146"/>
      <c r="I90" s="146"/>
      <c r="J90" s="146"/>
      <c r="K90" s="146">
        <v>2.6</v>
      </c>
      <c r="L90" s="146">
        <v>4</v>
      </c>
      <c r="M90" s="146">
        <v>22.5</v>
      </c>
      <c r="N90" s="146"/>
      <c r="O90" s="146" t="s">
        <v>716</v>
      </c>
      <c r="P90" s="146">
        <v>0.22500000000000001</v>
      </c>
      <c r="Q90" s="146" t="s">
        <v>1754</v>
      </c>
      <c r="R90" s="146">
        <v>0.04</v>
      </c>
      <c r="S90" s="146" t="s">
        <v>1752</v>
      </c>
      <c r="T90" s="146">
        <v>2.5999999999999999E-2</v>
      </c>
      <c r="U90" s="146"/>
      <c r="V90" s="146"/>
      <c r="W90" s="146"/>
      <c r="X90" s="146"/>
      <c r="Y90" s="146"/>
      <c r="Z90" s="146"/>
      <c r="AA90" s="146"/>
      <c r="AB90" s="146"/>
      <c r="AC90" s="146"/>
      <c r="AD90" s="146"/>
      <c r="AE90" s="146"/>
      <c r="AF90" s="146"/>
      <c r="AG90" s="146"/>
      <c r="AH90" s="146"/>
      <c r="AK90" s="1"/>
      <c r="AL90" s="1"/>
      <c r="AM90" s="1"/>
    </row>
    <row r="91" spans="1:39" ht="20.100000000000001" customHeight="1" x14ac:dyDescent="0.2">
      <c r="D91" s="146" t="s">
        <v>1788</v>
      </c>
      <c r="E91" s="146" t="s">
        <v>1790</v>
      </c>
      <c r="F91" s="146" t="s">
        <v>652</v>
      </c>
      <c r="G91" s="146">
        <v>1.26</v>
      </c>
      <c r="H91" s="146"/>
      <c r="I91" s="146"/>
      <c r="J91" s="146"/>
      <c r="K91" s="146">
        <v>9.6</v>
      </c>
      <c r="L91" s="146">
        <v>5</v>
      </c>
      <c r="M91" s="146">
        <v>10.5</v>
      </c>
      <c r="N91" s="146"/>
      <c r="O91" s="146" t="s">
        <v>716</v>
      </c>
      <c r="P91" s="146">
        <v>0.105</v>
      </c>
      <c r="Q91" s="146" t="s">
        <v>1752</v>
      </c>
      <c r="R91" s="146">
        <v>9.6000000000000002E-2</v>
      </c>
      <c r="S91" s="146" t="s">
        <v>1754</v>
      </c>
      <c r="T91" s="146">
        <v>0.05</v>
      </c>
      <c r="U91" s="146"/>
      <c r="V91" s="146"/>
      <c r="W91" s="146"/>
      <c r="X91" s="146"/>
      <c r="Y91" s="146"/>
      <c r="Z91" s="146"/>
      <c r="AA91" s="146"/>
      <c r="AB91" s="146"/>
      <c r="AC91" s="146"/>
      <c r="AD91" s="146"/>
      <c r="AE91" s="146"/>
      <c r="AF91" s="146"/>
      <c r="AG91" s="146"/>
      <c r="AH91" s="146"/>
      <c r="AK91" s="1"/>
      <c r="AL91" s="1"/>
      <c r="AM91" s="1"/>
    </row>
    <row r="92" spans="1:39" ht="20.100000000000001" customHeight="1" x14ac:dyDescent="0.2">
      <c r="D92" s="146" t="s">
        <v>1788</v>
      </c>
      <c r="E92" s="146" t="s">
        <v>1791</v>
      </c>
      <c r="F92" s="146" t="s">
        <v>652</v>
      </c>
      <c r="G92" s="146">
        <v>1.24</v>
      </c>
      <c r="H92" s="146"/>
      <c r="I92" s="146"/>
      <c r="J92" s="146"/>
      <c r="K92" s="146">
        <v>22.3</v>
      </c>
      <c r="L92" s="146"/>
      <c r="M92" s="146"/>
      <c r="N92" s="146"/>
      <c r="O92" s="146" t="s">
        <v>1747</v>
      </c>
      <c r="P92" s="146">
        <v>0.223</v>
      </c>
      <c r="Q92" s="146"/>
      <c r="R92" s="146"/>
      <c r="S92" s="146"/>
      <c r="T92" s="146"/>
      <c r="U92" s="146"/>
      <c r="V92" s="146"/>
      <c r="W92" s="146"/>
      <c r="X92" s="146"/>
      <c r="Y92" s="146"/>
      <c r="Z92" s="146"/>
      <c r="AA92" s="146"/>
      <c r="AB92" s="146"/>
      <c r="AC92" s="146"/>
      <c r="AD92" s="146"/>
      <c r="AE92" s="146"/>
      <c r="AF92" s="146"/>
      <c r="AG92" s="146"/>
      <c r="AH92" s="146"/>
      <c r="AK92" s="1"/>
      <c r="AL92" s="1"/>
      <c r="AM92" s="1"/>
    </row>
    <row r="93" spans="1:39" ht="20.100000000000001" customHeight="1" x14ac:dyDescent="0.2">
      <c r="D93" s="146" t="s">
        <v>1788</v>
      </c>
      <c r="E93" s="146" t="s">
        <v>1792</v>
      </c>
      <c r="F93" s="146" t="s">
        <v>652</v>
      </c>
      <c r="G93" s="146">
        <v>1.5</v>
      </c>
      <c r="H93" s="146"/>
      <c r="I93" s="146"/>
      <c r="J93" s="146"/>
      <c r="K93" s="146">
        <v>13.2</v>
      </c>
      <c r="L93" s="146"/>
      <c r="M93" s="146"/>
      <c r="N93" s="146"/>
      <c r="O93" s="146" t="s">
        <v>1793</v>
      </c>
      <c r="P93" s="146">
        <v>0.16200000000000001</v>
      </c>
      <c r="Q93" s="146" t="s">
        <v>1749</v>
      </c>
      <c r="R93" s="146">
        <v>0.13200000000000001</v>
      </c>
      <c r="S93" s="146"/>
      <c r="T93" s="146"/>
      <c r="U93" s="146"/>
      <c r="V93" s="146"/>
      <c r="W93" s="146"/>
      <c r="X93" s="146"/>
      <c r="Y93" s="146"/>
      <c r="Z93" s="146"/>
      <c r="AA93" s="146"/>
      <c r="AB93" s="146"/>
      <c r="AC93" s="146"/>
      <c r="AD93" s="146"/>
      <c r="AE93" s="146"/>
      <c r="AF93" s="146"/>
      <c r="AG93" s="146"/>
      <c r="AH93" s="146"/>
      <c r="AK93" s="1"/>
      <c r="AL93" s="1"/>
      <c r="AM93" s="1"/>
    </row>
    <row r="94" spans="1:39" ht="20.100000000000001" customHeight="1" x14ac:dyDescent="0.2">
      <c r="D94" s="146" t="s">
        <v>1788</v>
      </c>
      <c r="E94" s="146" t="s">
        <v>1794</v>
      </c>
      <c r="F94" s="146" t="s">
        <v>652</v>
      </c>
      <c r="G94" s="146">
        <v>1.5</v>
      </c>
      <c r="H94" s="146"/>
      <c r="I94" s="146"/>
      <c r="J94" s="146"/>
      <c r="K94" s="146">
        <v>13.2</v>
      </c>
      <c r="L94" s="146"/>
      <c r="M94" s="146"/>
      <c r="N94" s="146"/>
      <c r="O94" s="146" t="s">
        <v>1793</v>
      </c>
      <c r="P94" s="146">
        <v>0.187</v>
      </c>
      <c r="Q94" s="146" t="s">
        <v>1749</v>
      </c>
      <c r="R94" s="146">
        <v>0.13200000000000001</v>
      </c>
      <c r="S94" s="146"/>
      <c r="T94" s="146"/>
      <c r="U94" s="146"/>
      <c r="V94" s="146"/>
      <c r="W94" s="146"/>
      <c r="X94" s="146"/>
      <c r="Y94" s="146"/>
      <c r="Z94" s="146"/>
      <c r="AA94" s="146"/>
      <c r="AB94" s="146"/>
      <c r="AC94" s="146"/>
      <c r="AD94" s="146"/>
      <c r="AE94" s="146"/>
      <c r="AF94" s="146"/>
      <c r="AG94" s="146"/>
      <c r="AH94" s="146"/>
      <c r="AK94" s="1"/>
      <c r="AL94" s="1"/>
      <c r="AM94" s="1"/>
    </row>
    <row r="95" spans="1:39" ht="20.100000000000001" customHeight="1" x14ac:dyDescent="0.2">
      <c r="D95" s="146" t="s">
        <v>1788</v>
      </c>
      <c r="E95" s="146" t="s">
        <v>1795</v>
      </c>
      <c r="F95" s="146" t="s">
        <v>652</v>
      </c>
      <c r="G95" s="146">
        <v>1.5</v>
      </c>
      <c r="H95" s="146"/>
      <c r="I95" s="146"/>
      <c r="J95" s="146"/>
      <c r="K95" s="146">
        <v>13.2</v>
      </c>
      <c r="L95" s="146"/>
      <c r="M95" s="146"/>
      <c r="N95" s="146"/>
      <c r="O95" s="146" t="s">
        <v>1793</v>
      </c>
      <c r="P95" s="146">
        <v>0.183</v>
      </c>
      <c r="Q95" s="146" t="s">
        <v>1749</v>
      </c>
      <c r="R95" s="146">
        <v>0.13200000000000001</v>
      </c>
      <c r="S95" s="146"/>
      <c r="T95" s="146"/>
      <c r="U95" s="146"/>
      <c r="V95" s="146"/>
      <c r="W95" s="146"/>
      <c r="X95" s="146"/>
      <c r="Y95" s="146"/>
      <c r="Z95" s="146"/>
      <c r="AA95" s="146"/>
      <c r="AB95" s="146"/>
      <c r="AC95" s="146"/>
      <c r="AD95" s="146"/>
      <c r="AE95" s="146"/>
      <c r="AF95" s="146"/>
      <c r="AG95" s="146"/>
      <c r="AH95" s="146"/>
      <c r="AK95" s="1"/>
      <c r="AL95" s="1"/>
      <c r="AM95" s="1"/>
    </row>
    <row r="96" spans="1:39" ht="20.100000000000001" customHeight="1" x14ac:dyDescent="0.2">
      <c r="A96" s="79" t="str">
        <f>HYPERLINK("#A1", "▲ Back to top")</f>
        <v>▲ Back to top</v>
      </c>
      <c r="D96" s="146" t="s">
        <v>1788</v>
      </c>
      <c r="E96" s="146" t="s">
        <v>1796</v>
      </c>
      <c r="F96" s="146" t="s">
        <v>652</v>
      </c>
      <c r="G96" s="146">
        <v>1.25</v>
      </c>
      <c r="H96" s="146"/>
      <c r="I96" s="146"/>
      <c r="J96" s="146"/>
      <c r="K96" s="146">
        <v>10.3</v>
      </c>
      <c r="L96" s="146">
        <v>10</v>
      </c>
      <c r="M96" s="146">
        <v>3.4</v>
      </c>
      <c r="N96" s="146"/>
      <c r="O96" s="146" t="s">
        <v>1752</v>
      </c>
      <c r="P96" s="146">
        <v>0.10299999999999999</v>
      </c>
      <c r="Q96" s="146" t="s">
        <v>1754</v>
      </c>
      <c r="R96" s="146">
        <v>0.1</v>
      </c>
      <c r="S96" s="146" t="s">
        <v>716</v>
      </c>
      <c r="T96" s="146">
        <v>3.4000000000000002E-2</v>
      </c>
      <c r="U96" s="146"/>
      <c r="V96" s="146"/>
      <c r="W96" s="146"/>
      <c r="X96" s="146"/>
      <c r="Y96" s="146"/>
      <c r="Z96" s="146"/>
      <c r="AA96" s="146"/>
      <c r="AB96" s="146"/>
      <c r="AC96" s="146"/>
      <c r="AD96" s="146"/>
      <c r="AE96" s="146"/>
      <c r="AF96" s="146"/>
      <c r="AG96" s="146"/>
      <c r="AH96" s="146"/>
      <c r="AK96" s="1"/>
      <c r="AL96" s="1"/>
      <c r="AM96" s="1"/>
    </row>
    <row r="97" spans="4:39" ht="20.100000000000001" customHeight="1" x14ac:dyDescent="0.2">
      <c r="D97" s="146" t="s">
        <v>1788</v>
      </c>
      <c r="E97" s="146" t="s">
        <v>1797</v>
      </c>
      <c r="F97" s="146" t="s">
        <v>652</v>
      </c>
      <c r="G97" s="146">
        <v>1.43</v>
      </c>
      <c r="H97" s="146"/>
      <c r="I97" s="146"/>
      <c r="J97" s="146"/>
      <c r="K97" s="146">
        <v>2.5</v>
      </c>
      <c r="L97" s="146">
        <v>3.8</v>
      </c>
      <c r="M97" s="146">
        <v>22.5</v>
      </c>
      <c r="N97" s="146"/>
      <c r="O97" s="146" t="s">
        <v>716</v>
      </c>
      <c r="P97" s="146">
        <v>0.22500000000000001</v>
      </c>
      <c r="Q97" s="146" t="s">
        <v>1754</v>
      </c>
      <c r="R97" s="146">
        <v>3.7999999999999999E-2</v>
      </c>
      <c r="S97" s="146" t="s">
        <v>1752</v>
      </c>
      <c r="T97" s="146">
        <v>2.5000000000000001E-2</v>
      </c>
      <c r="U97" s="146"/>
      <c r="V97" s="146"/>
      <c r="W97" s="146"/>
      <c r="X97" s="146"/>
      <c r="Y97" s="146"/>
      <c r="Z97" s="146"/>
      <c r="AA97" s="146"/>
      <c r="AB97" s="146"/>
      <c r="AC97" s="146"/>
      <c r="AD97" s="146"/>
      <c r="AE97" s="146"/>
      <c r="AF97" s="146"/>
      <c r="AG97" s="146"/>
      <c r="AH97" s="146"/>
      <c r="AK97" s="1"/>
      <c r="AL97" s="1"/>
      <c r="AM97" s="1"/>
    </row>
    <row r="98" spans="4:39" ht="20.100000000000001" customHeight="1" x14ac:dyDescent="0.2">
      <c r="D98" s="146" t="s">
        <v>1788</v>
      </c>
      <c r="E98" s="146" t="s">
        <v>1798</v>
      </c>
      <c r="F98" s="146" t="s">
        <v>652</v>
      </c>
      <c r="G98" s="146">
        <v>1.29</v>
      </c>
      <c r="H98" s="146"/>
      <c r="I98" s="146"/>
      <c r="J98" s="146"/>
      <c r="K98" s="146">
        <v>10.5</v>
      </c>
      <c r="L98" s="146">
        <v>9.4</v>
      </c>
      <c r="M98" s="146">
        <v>4</v>
      </c>
      <c r="N98" s="146">
        <v>3</v>
      </c>
      <c r="O98" s="146" t="s">
        <v>1752</v>
      </c>
      <c r="P98" s="146">
        <v>0.105</v>
      </c>
      <c r="Q98" s="146" t="s">
        <v>1754</v>
      </c>
      <c r="R98" s="146">
        <v>9.4E-2</v>
      </c>
      <c r="S98" s="146" t="s">
        <v>716</v>
      </c>
      <c r="T98" s="146">
        <v>0.04</v>
      </c>
      <c r="U98" s="146" t="s">
        <v>717</v>
      </c>
      <c r="V98" s="146">
        <v>0.03</v>
      </c>
      <c r="W98" s="146"/>
      <c r="X98" s="146"/>
      <c r="Y98" s="146"/>
      <c r="Z98" s="146"/>
      <c r="AA98" s="146"/>
      <c r="AB98" s="146"/>
      <c r="AC98" s="146"/>
      <c r="AD98" s="146"/>
      <c r="AE98" s="146"/>
      <c r="AF98" s="146"/>
      <c r="AG98" s="146"/>
      <c r="AH98" s="146"/>
      <c r="AK98" s="1"/>
      <c r="AL98" s="1"/>
      <c r="AM98" s="1"/>
    </row>
    <row r="99" spans="4:39" ht="20.100000000000001" customHeight="1" x14ac:dyDescent="0.2">
      <c r="D99" s="146" t="s">
        <v>1788</v>
      </c>
      <c r="E99" s="146" t="s">
        <v>1799</v>
      </c>
      <c r="F99" s="146" t="s">
        <v>652</v>
      </c>
      <c r="G99" s="146">
        <v>1.32</v>
      </c>
      <c r="H99" s="146"/>
      <c r="I99" s="146"/>
      <c r="J99" s="146"/>
      <c r="K99" s="146">
        <v>9.5</v>
      </c>
      <c r="L99" s="146">
        <v>4.7</v>
      </c>
      <c r="M99" s="146">
        <v>10.8</v>
      </c>
      <c r="N99" s="146">
        <v>8.1</v>
      </c>
      <c r="O99" s="146" t="s">
        <v>716</v>
      </c>
      <c r="P99" s="146">
        <v>0.108</v>
      </c>
      <c r="Q99" s="146" t="s">
        <v>1752</v>
      </c>
      <c r="R99" s="146">
        <v>9.5000000000000001E-2</v>
      </c>
      <c r="S99" s="146" t="s">
        <v>717</v>
      </c>
      <c r="T99" s="146">
        <v>8.1000000000000003E-2</v>
      </c>
      <c r="U99" s="146" t="s">
        <v>1754</v>
      </c>
      <c r="V99" s="146">
        <v>4.7E-2</v>
      </c>
      <c r="W99" s="146"/>
      <c r="X99" s="146"/>
      <c r="Y99" s="146"/>
      <c r="Z99" s="146"/>
      <c r="AA99" s="146"/>
      <c r="AB99" s="146"/>
      <c r="AC99" s="146"/>
      <c r="AD99" s="146"/>
      <c r="AE99" s="146"/>
      <c r="AF99" s="146"/>
      <c r="AG99" s="146"/>
      <c r="AH99" s="146"/>
      <c r="AK99" s="1"/>
      <c r="AL99" s="1"/>
      <c r="AM99" s="1"/>
    </row>
    <row r="100" spans="4:39" ht="20.100000000000001" customHeight="1" x14ac:dyDescent="0.2">
      <c r="D100" s="146" t="s">
        <v>1788</v>
      </c>
      <c r="E100" s="146" t="s">
        <v>705</v>
      </c>
      <c r="F100" s="146" t="s">
        <v>748</v>
      </c>
      <c r="G100" s="146">
        <v>1</v>
      </c>
      <c r="H100" s="146"/>
      <c r="I100" s="146"/>
      <c r="J100" s="146"/>
      <c r="K100" s="146">
        <v>24</v>
      </c>
      <c r="L100" s="146">
        <v>5.2</v>
      </c>
      <c r="M100" s="146">
        <v>8</v>
      </c>
      <c r="N100" s="146">
        <v>5.3</v>
      </c>
      <c r="O100" s="146" t="s">
        <v>704</v>
      </c>
      <c r="P100" s="146">
        <v>0.52173899999999995</v>
      </c>
      <c r="Q100" s="146" t="s">
        <v>716</v>
      </c>
      <c r="R100" s="146">
        <v>0.08</v>
      </c>
      <c r="S100" s="146" t="s">
        <v>717</v>
      </c>
      <c r="T100" s="146">
        <v>5.2999999999999999E-2</v>
      </c>
      <c r="U100" s="146" t="s">
        <v>1754</v>
      </c>
      <c r="V100" s="146">
        <v>5.1999999999999998E-2</v>
      </c>
      <c r="W100" s="146" t="s">
        <v>1800</v>
      </c>
      <c r="X100" s="146">
        <v>1.2999999999999999E-2</v>
      </c>
      <c r="Y100" s="146" t="s">
        <v>1801</v>
      </c>
      <c r="Z100" s="146">
        <v>2E-3</v>
      </c>
      <c r="AA100" s="146" t="s">
        <v>1802</v>
      </c>
      <c r="AB100" s="146">
        <v>3.5000000000000001E-3</v>
      </c>
      <c r="AC100" s="146" t="s">
        <v>1803</v>
      </c>
      <c r="AD100" s="146">
        <v>1.2999999999999999E-3</v>
      </c>
      <c r="AE100" s="146" t="s">
        <v>1804</v>
      </c>
      <c r="AF100" s="146">
        <v>6.9999999999999999E-4</v>
      </c>
      <c r="AG100" s="146" t="s">
        <v>1805</v>
      </c>
      <c r="AH100" s="146">
        <v>6.9999999999999999E-4</v>
      </c>
      <c r="AK100" s="1"/>
      <c r="AL100" s="1"/>
      <c r="AM100" s="1"/>
    </row>
    <row r="101" spans="4:39" ht="20.100000000000001" customHeight="1" x14ac:dyDescent="0.2">
      <c r="D101" s="146" t="s">
        <v>1788</v>
      </c>
      <c r="E101" s="146" t="s">
        <v>1806</v>
      </c>
      <c r="F101" s="146" t="s">
        <v>748</v>
      </c>
      <c r="G101" s="146">
        <v>1</v>
      </c>
      <c r="H101" s="146"/>
      <c r="I101" s="146"/>
      <c r="J101" s="146"/>
      <c r="K101" s="146">
        <v>17</v>
      </c>
      <c r="L101" s="146">
        <v>0.04</v>
      </c>
      <c r="M101" s="146">
        <v>11.6</v>
      </c>
      <c r="N101" s="146">
        <v>0.5</v>
      </c>
      <c r="O101" s="146" t="s">
        <v>1760</v>
      </c>
      <c r="P101" s="146">
        <v>0.23200000000000001</v>
      </c>
      <c r="Q101" s="146" t="s">
        <v>1752</v>
      </c>
      <c r="R101" s="146">
        <v>0.17</v>
      </c>
      <c r="S101" s="146" t="s">
        <v>717</v>
      </c>
      <c r="T101" s="146">
        <v>5.0000000000000001E-3</v>
      </c>
      <c r="U101" s="146" t="s">
        <v>1800</v>
      </c>
      <c r="V101" s="146">
        <v>2.3999999999999998E-3</v>
      </c>
      <c r="W101" s="146" t="s">
        <v>1754</v>
      </c>
      <c r="X101" s="146">
        <v>4.0000000000000002E-4</v>
      </c>
      <c r="Y101" s="146"/>
      <c r="Z101" s="146"/>
      <c r="AA101" s="146"/>
      <c r="AB101" s="146"/>
      <c r="AC101" s="146"/>
      <c r="AD101" s="146"/>
      <c r="AE101" s="146"/>
      <c r="AF101" s="146"/>
      <c r="AG101" s="146"/>
      <c r="AH101" s="146"/>
      <c r="AK101" s="1"/>
      <c r="AL101" s="1"/>
      <c r="AM101" s="1"/>
    </row>
    <row r="102" spans="4:39" ht="20.100000000000001" customHeight="1" x14ac:dyDescent="0.2">
      <c r="D102" s="146" t="s">
        <v>1788</v>
      </c>
      <c r="E102" s="146" t="s">
        <v>1807</v>
      </c>
      <c r="F102" s="146" t="s">
        <v>652</v>
      </c>
      <c r="G102" s="146">
        <v>1.45</v>
      </c>
      <c r="H102" s="146"/>
      <c r="I102" s="146"/>
      <c r="J102" s="146"/>
      <c r="K102" s="146"/>
      <c r="L102" s="146"/>
      <c r="M102" s="146"/>
      <c r="N102" s="146"/>
      <c r="O102" s="146" t="s">
        <v>1793</v>
      </c>
      <c r="P102" s="146">
        <v>0.107</v>
      </c>
      <c r="Q102" s="146"/>
      <c r="R102" s="146"/>
      <c r="S102" s="146"/>
      <c r="T102" s="146"/>
      <c r="U102" s="146"/>
      <c r="V102" s="146"/>
      <c r="W102" s="146"/>
      <c r="X102" s="146"/>
      <c r="Y102" s="146"/>
      <c r="Z102" s="146"/>
      <c r="AA102" s="146"/>
      <c r="AB102" s="146"/>
      <c r="AC102" s="146"/>
      <c r="AD102" s="146"/>
      <c r="AE102" s="146"/>
      <c r="AF102" s="146"/>
      <c r="AG102" s="146"/>
      <c r="AH102" s="146"/>
      <c r="AK102" s="1"/>
      <c r="AL102" s="1"/>
      <c r="AM102" s="1"/>
    </row>
    <row r="103" spans="4:39" ht="20.100000000000001" customHeight="1" x14ac:dyDescent="0.2">
      <c r="D103" s="146" t="s">
        <v>1788</v>
      </c>
      <c r="E103" s="146" t="s">
        <v>1808</v>
      </c>
      <c r="F103" s="146" t="s">
        <v>748</v>
      </c>
      <c r="G103" s="146">
        <v>1</v>
      </c>
      <c r="H103" s="146"/>
      <c r="I103" s="146"/>
      <c r="J103" s="146"/>
      <c r="K103" s="146">
        <v>15</v>
      </c>
      <c r="L103" s="146">
        <v>6.5</v>
      </c>
      <c r="M103" s="146">
        <v>12.5</v>
      </c>
      <c r="N103" s="146">
        <v>6</v>
      </c>
      <c r="O103" s="146" t="s">
        <v>1747</v>
      </c>
      <c r="P103" s="146">
        <v>7.4999999999999997E-2</v>
      </c>
      <c r="Q103" s="146" t="s">
        <v>1749</v>
      </c>
      <c r="R103" s="146">
        <v>7.4999999999999997E-2</v>
      </c>
      <c r="S103" s="146" t="s">
        <v>716</v>
      </c>
      <c r="T103" s="146">
        <v>0.125</v>
      </c>
      <c r="U103" s="146" t="s">
        <v>1754</v>
      </c>
      <c r="V103" s="146">
        <v>6.5000000000000002E-2</v>
      </c>
      <c r="W103" s="146" t="s">
        <v>717</v>
      </c>
      <c r="X103" s="146">
        <v>0.06</v>
      </c>
      <c r="Y103" s="146"/>
      <c r="Z103" s="146"/>
      <c r="AA103" s="146"/>
      <c r="AB103" s="146"/>
      <c r="AC103" s="146"/>
      <c r="AD103" s="146"/>
      <c r="AE103" s="146"/>
      <c r="AF103" s="146"/>
      <c r="AG103" s="146"/>
      <c r="AH103" s="146"/>
      <c r="AK103" s="1"/>
      <c r="AL103" s="1"/>
      <c r="AM103" s="1"/>
    </row>
    <row r="104" spans="4:39" ht="20.100000000000001" customHeight="1" x14ac:dyDescent="0.2">
      <c r="D104" s="146" t="s">
        <v>1788</v>
      </c>
      <c r="E104" s="146" t="s">
        <v>1809</v>
      </c>
      <c r="F104" s="146" t="s">
        <v>652</v>
      </c>
      <c r="G104" s="146">
        <v>1.2150000000000001</v>
      </c>
      <c r="H104" s="146"/>
      <c r="I104" s="146"/>
      <c r="J104" s="146"/>
      <c r="K104" s="146">
        <v>12</v>
      </c>
      <c r="L104" s="146"/>
      <c r="M104" s="146">
        <v>10</v>
      </c>
      <c r="N104" s="146"/>
      <c r="O104" s="146" t="s">
        <v>704</v>
      </c>
      <c r="P104" s="146">
        <v>0.19565199999999999</v>
      </c>
      <c r="Q104" s="146" t="s">
        <v>716</v>
      </c>
      <c r="R104" s="146">
        <v>0.1</v>
      </c>
      <c r="S104" s="146" t="s">
        <v>1752</v>
      </c>
      <c r="T104" s="146">
        <v>0.03</v>
      </c>
      <c r="U104" s="146" t="s">
        <v>1805</v>
      </c>
      <c r="V104" s="146">
        <v>5.0000000000000001E-3</v>
      </c>
      <c r="W104" s="146"/>
      <c r="X104" s="146"/>
      <c r="Y104" s="146"/>
      <c r="Z104" s="146"/>
      <c r="AA104" s="146"/>
      <c r="AB104" s="146"/>
      <c r="AC104" s="146"/>
      <c r="AD104" s="146"/>
      <c r="AE104" s="146"/>
      <c r="AF104" s="146"/>
      <c r="AG104" s="146"/>
      <c r="AH104" s="146"/>
      <c r="AK104" s="1"/>
      <c r="AL104" s="1"/>
      <c r="AM104" s="1"/>
    </row>
    <row r="105" spans="4:39" ht="20.100000000000001" customHeight="1" x14ac:dyDescent="0.2">
      <c r="D105" s="146" t="s">
        <v>1788</v>
      </c>
      <c r="E105" s="146" t="s">
        <v>1810</v>
      </c>
      <c r="F105" s="146" t="s">
        <v>748</v>
      </c>
      <c r="G105" s="146">
        <v>1</v>
      </c>
      <c r="H105" s="146"/>
      <c r="I105" s="146"/>
      <c r="J105" s="146"/>
      <c r="K105" s="146">
        <v>21.66</v>
      </c>
      <c r="L105" s="146"/>
      <c r="M105" s="146"/>
      <c r="N105" s="146">
        <v>13.2</v>
      </c>
      <c r="O105" s="146" t="s">
        <v>1742</v>
      </c>
      <c r="P105" s="146">
        <v>0.55000000000000004</v>
      </c>
      <c r="Q105" s="146" t="s">
        <v>1744</v>
      </c>
      <c r="R105" s="146">
        <v>0.3</v>
      </c>
      <c r="S105" s="146"/>
      <c r="T105" s="146"/>
      <c r="U105" s="146"/>
      <c r="V105" s="146"/>
      <c r="W105" s="146"/>
      <c r="X105" s="146"/>
      <c r="Y105" s="146"/>
      <c r="Z105" s="146"/>
      <c r="AA105" s="146"/>
      <c r="AB105" s="146"/>
      <c r="AC105" s="146"/>
      <c r="AD105" s="146"/>
      <c r="AE105" s="146"/>
      <c r="AF105" s="146"/>
      <c r="AG105" s="146"/>
      <c r="AH105" s="146"/>
      <c r="AK105" s="1"/>
      <c r="AL105" s="1"/>
      <c r="AM105" s="1"/>
    </row>
    <row r="106" spans="4:39" ht="20.100000000000001" customHeight="1" x14ac:dyDescent="0.2">
      <c r="D106" s="146" t="s">
        <v>1811</v>
      </c>
      <c r="E106" s="146" t="s">
        <v>1812</v>
      </c>
      <c r="F106" s="146" t="s">
        <v>652</v>
      </c>
      <c r="G106" s="146">
        <v>1.319</v>
      </c>
      <c r="H106" s="146"/>
      <c r="I106" s="146"/>
      <c r="J106" s="146"/>
      <c r="K106" s="146">
        <v>5</v>
      </c>
      <c r="L106" s="146">
        <v>15</v>
      </c>
      <c r="M106" s="146">
        <v>2.1</v>
      </c>
      <c r="N106" s="146"/>
      <c r="O106" s="146" t="s">
        <v>1754</v>
      </c>
      <c r="P106" s="146">
        <v>0.15</v>
      </c>
      <c r="Q106" s="146" t="s">
        <v>1793</v>
      </c>
      <c r="R106" s="146">
        <v>0.04</v>
      </c>
      <c r="S106" s="146" t="s">
        <v>1747</v>
      </c>
      <c r="T106" s="146">
        <v>2.9000000000000001E-2</v>
      </c>
      <c r="U106" s="146" t="s">
        <v>1749</v>
      </c>
      <c r="V106" s="146">
        <v>2.1000000000000001E-2</v>
      </c>
      <c r="W106" s="146" t="s">
        <v>716</v>
      </c>
      <c r="X106" s="146">
        <v>2.1000000000000001E-2</v>
      </c>
      <c r="Y106" s="146" t="s">
        <v>1804</v>
      </c>
      <c r="Z106" s="146">
        <v>5.0000000000000001E-3</v>
      </c>
      <c r="AA106" s="146" t="s">
        <v>1801</v>
      </c>
      <c r="AB106" s="146">
        <v>4.0000000000000001E-3</v>
      </c>
      <c r="AC106" s="146" t="s">
        <v>1802</v>
      </c>
      <c r="AD106" s="146">
        <v>4.0000000000000001E-3</v>
      </c>
      <c r="AE106" s="146" t="s">
        <v>1800</v>
      </c>
      <c r="AF106" s="146">
        <v>2E-3</v>
      </c>
      <c r="AG106" s="146"/>
      <c r="AH106" s="146"/>
      <c r="AK106" s="1"/>
      <c r="AL106" s="1"/>
      <c r="AM106" s="1"/>
    </row>
    <row r="107" spans="4:39" ht="20.100000000000001" customHeight="1" x14ac:dyDescent="0.2">
      <c r="D107" s="146" t="s">
        <v>1813</v>
      </c>
      <c r="E107" s="146" t="s">
        <v>1814</v>
      </c>
      <c r="F107" s="146" t="s">
        <v>748</v>
      </c>
      <c r="G107" s="146">
        <v>1</v>
      </c>
      <c r="H107" s="146"/>
      <c r="I107" s="146"/>
      <c r="J107" s="146" t="s">
        <v>1767</v>
      </c>
      <c r="K107" s="146">
        <v>17.7</v>
      </c>
      <c r="L107" s="146"/>
      <c r="M107" s="146"/>
      <c r="N107" s="146"/>
      <c r="O107" s="146" t="s">
        <v>1747</v>
      </c>
      <c r="P107" s="146">
        <v>0.17699999999999999</v>
      </c>
      <c r="Q107" s="146"/>
      <c r="R107" s="146"/>
      <c r="S107" s="146"/>
      <c r="T107" s="146"/>
      <c r="U107" s="146"/>
      <c r="V107" s="146"/>
      <c r="W107" s="146"/>
      <c r="X107" s="146"/>
      <c r="Y107" s="146"/>
      <c r="Z107" s="146"/>
      <c r="AA107" s="146"/>
      <c r="AB107" s="146"/>
      <c r="AC107" s="146"/>
      <c r="AD107" s="146"/>
      <c r="AE107" s="146"/>
      <c r="AF107" s="146"/>
      <c r="AG107" s="146"/>
      <c r="AH107" s="146"/>
      <c r="AK107" s="1"/>
      <c r="AL107" s="1"/>
      <c r="AM107" s="1"/>
    </row>
    <row r="108" spans="4:39" ht="20.100000000000001" customHeight="1" x14ac:dyDescent="0.2">
      <c r="D108" s="146" t="s">
        <v>1813</v>
      </c>
      <c r="E108" s="146" t="s">
        <v>1763</v>
      </c>
      <c r="F108" s="146" t="s">
        <v>748</v>
      </c>
      <c r="G108" s="146">
        <v>1</v>
      </c>
      <c r="H108" s="146"/>
      <c r="I108" s="146"/>
      <c r="J108" s="146" t="s">
        <v>1767</v>
      </c>
      <c r="K108" s="146">
        <v>21</v>
      </c>
      <c r="L108" s="146"/>
      <c r="M108" s="146"/>
      <c r="N108" s="146">
        <v>24</v>
      </c>
      <c r="O108" s="146" t="s">
        <v>717</v>
      </c>
      <c r="P108" s="146">
        <v>0.24</v>
      </c>
      <c r="Q108" s="146" t="s">
        <v>1747</v>
      </c>
      <c r="R108" s="146">
        <v>0.21</v>
      </c>
      <c r="S108" s="146"/>
      <c r="T108" s="146"/>
      <c r="U108" s="146"/>
      <c r="V108" s="146"/>
      <c r="W108" s="146"/>
      <c r="X108" s="146"/>
      <c r="Y108" s="146"/>
      <c r="Z108" s="146"/>
      <c r="AA108" s="146"/>
      <c r="AB108" s="146"/>
      <c r="AC108" s="146"/>
      <c r="AD108" s="146"/>
      <c r="AE108" s="146"/>
      <c r="AF108" s="146"/>
      <c r="AG108" s="146"/>
      <c r="AH108" s="146"/>
      <c r="AK108" s="1"/>
      <c r="AL108" s="1"/>
      <c r="AM108" s="1"/>
    </row>
    <row r="109" spans="4:39" ht="20.100000000000001" customHeight="1" x14ac:dyDescent="0.2">
      <c r="D109" s="146" t="s">
        <v>1815</v>
      </c>
      <c r="E109" s="146" t="s">
        <v>1816</v>
      </c>
      <c r="F109" s="146" t="s">
        <v>748</v>
      </c>
      <c r="G109" s="146">
        <v>1</v>
      </c>
      <c r="H109" s="146"/>
      <c r="I109" s="146"/>
      <c r="J109" s="146"/>
      <c r="K109" s="146">
        <v>21</v>
      </c>
      <c r="L109" s="146"/>
      <c r="M109" s="146"/>
      <c r="N109" s="146">
        <v>24</v>
      </c>
      <c r="O109" s="146" t="s">
        <v>1742</v>
      </c>
      <c r="P109" s="146">
        <v>1</v>
      </c>
      <c r="Q109" s="146"/>
      <c r="R109" s="146"/>
      <c r="S109" s="146"/>
      <c r="T109" s="146"/>
      <c r="U109" s="146"/>
      <c r="V109" s="146"/>
      <c r="W109" s="146"/>
      <c r="X109" s="146"/>
      <c r="Y109" s="146"/>
      <c r="Z109" s="146"/>
      <c r="AA109" s="146"/>
      <c r="AB109" s="146"/>
      <c r="AC109" s="146"/>
      <c r="AD109" s="146"/>
      <c r="AE109" s="146"/>
      <c r="AF109" s="146"/>
      <c r="AG109" s="146"/>
      <c r="AH109" s="146"/>
      <c r="AK109" s="1"/>
      <c r="AL109" s="1"/>
      <c r="AM109" s="1"/>
    </row>
    <row r="110" spans="4:39" ht="20.100000000000001" customHeight="1" x14ac:dyDescent="0.2">
      <c r="D110" s="146" t="s">
        <v>1817</v>
      </c>
      <c r="E110" s="146" t="s">
        <v>1818</v>
      </c>
      <c r="F110" s="146" t="s">
        <v>748</v>
      </c>
      <c r="G110" s="146">
        <v>1</v>
      </c>
      <c r="H110" s="146"/>
      <c r="I110" s="146"/>
      <c r="J110" s="146"/>
      <c r="K110" s="146">
        <v>18</v>
      </c>
      <c r="L110" s="146">
        <v>20</v>
      </c>
      <c r="M110" s="146"/>
      <c r="N110" s="146"/>
      <c r="O110" s="146" t="s">
        <v>1740</v>
      </c>
      <c r="P110" s="146">
        <v>1</v>
      </c>
      <c r="Q110" s="146"/>
      <c r="R110" s="146"/>
      <c r="S110" s="146"/>
      <c r="T110" s="146"/>
      <c r="U110" s="146"/>
      <c r="V110" s="146"/>
      <c r="W110" s="146"/>
      <c r="X110" s="146"/>
      <c r="Y110" s="146"/>
      <c r="Z110" s="146"/>
      <c r="AA110" s="146"/>
      <c r="AB110" s="146"/>
      <c r="AC110" s="146"/>
      <c r="AD110" s="146"/>
      <c r="AE110" s="146"/>
      <c r="AF110" s="146"/>
      <c r="AG110" s="146"/>
      <c r="AH110" s="146"/>
      <c r="AK110" s="1"/>
      <c r="AL110" s="1"/>
      <c r="AM110" s="1"/>
    </row>
    <row r="111" spans="4:39" ht="20.100000000000001" customHeight="1" x14ac:dyDescent="0.2">
      <c r="D111" s="146" t="s">
        <v>1819</v>
      </c>
      <c r="E111" s="146" t="s">
        <v>1820</v>
      </c>
      <c r="F111" s="146" t="s">
        <v>748</v>
      </c>
      <c r="G111" s="146">
        <v>1</v>
      </c>
      <c r="H111" s="146"/>
      <c r="I111" s="146"/>
      <c r="J111" s="146"/>
      <c r="K111" s="146">
        <v>8</v>
      </c>
      <c r="L111" s="146">
        <v>14</v>
      </c>
      <c r="M111" s="146"/>
      <c r="N111" s="146">
        <v>27.6</v>
      </c>
      <c r="O111" s="146" t="s">
        <v>717</v>
      </c>
      <c r="P111" s="146">
        <v>0.27600000000000002</v>
      </c>
      <c r="Q111" s="146" t="s">
        <v>1754</v>
      </c>
      <c r="R111" s="146">
        <v>0.14000000000000001</v>
      </c>
      <c r="S111" s="146" t="s">
        <v>1752</v>
      </c>
      <c r="T111" s="146">
        <v>0.08</v>
      </c>
      <c r="U111" s="146" t="s">
        <v>1821</v>
      </c>
      <c r="V111" s="146">
        <v>2.4E-2</v>
      </c>
      <c r="W111" s="146"/>
      <c r="X111" s="146"/>
      <c r="Y111" s="146"/>
      <c r="Z111" s="146"/>
      <c r="AA111" s="146"/>
      <c r="AB111" s="146"/>
      <c r="AC111" s="146"/>
      <c r="AD111" s="146"/>
      <c r="AE111" s="146"/>
      <c r="AF111" s="146"/>
      <c r="AG111" s="146"/>
      <c r="AH111" s="146"/>
      <c r="AK111" s="1"/>
      <c r="AL111" s="1"/>
      <c r="AM111" s="1"/>
    </row>
    <row r="112" spans="4:39" ht="20.100000000000001" customHeight="1" x14ac:dyDescent="0.2">
      <c r="D112" s="146" t="s">
        <v>1822</v>
      </c>
      <c r="E112" s="146" t="s">
        <v>1823</v>
      </c>
      <c r="F112" s="146" t="s">
        <v>748</v>
      </c>
      <c r="G112" s="146">
        <v>1</v>
      </c>
      <c r="H112" s="146"/>
      <c r="I112" s="146"/>
      <c r="J112" s="146"/>
      <c r="K112" s="146">
        <v>16.899999999999999</v>
      </c>
      <c r="L112" s="146">
        <v>18.2</v>
      </c>
      <c r="M112" s="146"/>
      <c r="N112" s="146">
        <v>8</v>
      </c>
      <c r="O112" s="146" t="s">
        <v>1754</v>
      </c>
      <c r="P112" s="146">
        <v>0.182</v>
      </c>
      <c r="Q112" s="146" t="s">
        <v>1752</v>
      </c>
      <c r="R112" s="146">
        <v>0.16900000000000001</v>
      </c>
      <c r="S112" s="146" t="s">
        <v>717</v>
      </c>
      <c r="T112" s="146">
        <v>0.08</v>
      </c>
      <c r="U112" s="146" t="s">
        <v>1801</v>
      </c>
      <c r="V112" s="146">
        <v>2E-3</v>
      </c>
      <c r="W112" s="146" t="s">
        <v>1804</v>
      </c>
      <c r="X112" s="146">
        <v>1E-3</v>
      </c>
      <c r="Y112" s="146"/>
      <c r="Z112" s="146"/>
      <c r="AA112" s="146"/>
      <c r="AB112" s="146"/>
      <c r="AC112" s="146"/>
      <c r="AD112" s="146"/>
      <c r="AE112" s="146"/>
      <c r="AF112" s="146"/>
      <c r="AG112" s="146"/>
      <c r="AH112" s="146"/>
      <c r="AK112" s="1"/>
      <c r="AL112" s="1"/>
      <c r="AM112" s="1"/>
    </row>
    <row r="113" spans="1:39" ht="20.100000000000001" customHeight="1" x14ac:dyDescent="0.2">
      <c r="D113" s="146" t="s">
        <v>1819</v>
      </c>
      <c r="E113" s="146" t="s">
        <v>1824</v>
      </c>
      <c r="F113" s="146" t="s">
        <v>652</v>
      </c>
      <c r="G113" s="146">
        <v>1.32</v>
      </c>
      <c r="H113" s="146"/>
      <c r="I113" s="146"/>
      <c r="J113" s="146"/>
      <c r="K113" s="146">
        <v>42.5</v>
      </c>
      <c r="L113" s="146"/>
      <c r="M113" s="146"/>
      <c r="N113" s="146"/>
      <c r="O113" s="146" t="s">
        <v>704</v>
      </c>
      <c r="P113" s="146">
        <v>0.467391</v>
      </c>
      <c r="Q113" s="146" t="s">
        <v>1749</v>
      </c>
      <c r="R113" s="146">
        <v>0.105</v>
      </c>
      <c r="S113" s="146" t="s">
        <v>1747</v>
      </c>
      <c r="T113" s="146">
        <v>0.105</v>
      </c>
      <c r="U113" s="146" t="s">
        <v>1825</v>
      </c>
      <c r="V113" s="146">
        <v>6.0000000000000001E-3</v>
      </c>
      <c r="W113" s="146"/>
      <c r="X113" s="146"/>
      <c r="Y113" s="146"/>
      <c r="Z113" s="146"/>
      <c r="AA113" s="146"/>
      <c r="AB113" s="146"/>
      <c r="AC113" s="146"/>
      <c r="AD113" s="146"/>
      <c r="AE113" s="146"/>
      <c r="AF113" s="146"/>
      <c r="AG113" s="146"/>
      <c r="AH113" s="146"/>
      <c r="AK113" s="1"/>
      <c r="AL113" s="1"/>
      <c r="AM113" s="1"/>
    </row>
    <row r="114" spans="1:39" ht="20.100000000000001" customHeight="1" x14ac:dyDescent="0.2">
      <c r="D114" s="146" t="s">
        <v>1813</v>
      </c>
      <c r="E114" s="146" t="s">
        <v>1826</v>
      </c>
      <c r="F114" s="146" t="s">
        <v>748</v>
      </c>
      <c r="G114" s="146">
        <v>1</v>
      </c>
      <c r="H114" s="146"/>
      <c r="I114" s="146"/>
      <c r="J114" s="146" t="s">
        <v>1767</v>
      </c>
      <c r="K114" s="146">
        <v>40.5</v>
      </c>
      <c r="L114" s="146"/>
      <c r="M114" s="146"/>
      <c r="N114" s="146"/>
      <c r="O114" s="146" t="s">
        <v>1747</v>
      </c>
      <c r="P114" s="146">
        <v>0.27</v>
      </c>
      <c r="Q114" s="146" t="s">
        <v>1749</v>
      </c>
      <c r="R114" s="146">
        <v>0.13500000000000001</v>
      </c>
      <c r="S114" s="146" t="s">
        <v>1793</v>
      </c>
      <c r="T114" s="146">
        <v>0.12</v>
      </c>
      <c r="U114" s="146"/>
      <c r="V114" s="146"/>
      <c r="W114" s="146"/>
      <c r="X114" s="146"/>
      <c r="Y114" s="146"/>
      <c r="Z114" s="146"/>
      <c r="AA114" s="146"/>
      <c r="AB114" s="146"/>
      <c r="AC114" s="146"/>
      <c r="AD114" s="146"/>
      <c r="AE114" s="146"/>
      <c r="AF114" s="146"/>
      <c r="AG114" s="146"/>
      <c r="AH114" s="146"/>
      <c r="AK114" s="1"/>
      <c r="AL114" s="1"/>
      <c r="AM114" s="1"/>
    </row>
    <row r="115" spans="1:39" ht="20.100000000000001" customHeight="1" x14ac:dyDescent="0.2">
      <c r="D115" s="146" t="s">
        <v>1811</v>
      </c>
      <c r="E115" s="146" t="s">
        <v>1827</v>
      </c>
      <c r="F115" s="146" t="s">
        <v>652</v>
      </c>
      <c r="G115" s="146">
        <v>1.1379999999999999</v>
      </c>
      <c r="H115" s="146"/>
      <c r="I115" s="146"/>
      <c r="J115" s="146"/>
      <c r="K115" s="146"/>
      <c r="L115" s="146"/>
      <c r="M115" s="146"/>
      <c r="N115" s="146"/>
      <c r="O115" s="146" t="s">
        <v>1793</v>
      </c>
      <c r="P115" s="146">
        <v>5.8999999999999997E-2</v>
      </c>
      <c r="Q115" s="146" t="s">
        <v>1804</v>
      </c>
      <c r="R115" s="146">
        <v>3.0000000000000001E-3</v>
      </c>
      <c r="S115" s="146" t="s">
        <v>1805</v>
      </c>
      <c r="T115" s="146">
        <v>1E-3</v>
      </c>
      <c r="U115" s="146"/>
      <c r="V115" s="146"/>
      <c r="W115" s="146"/>
      <c r="X115" s="146"/>
      <c r="Y115" s="146"/>
      <c r="Z115" s="146"/>
      <c r="AA115" s="146"/>
      <c r="AB115" s="146"/>
      <c r="AC115" s="146"/>
      <c r="AD115" s="146"/>
      <c r="AE115" s="146"/>
      <c r="AF115" s="146"/>
      <c r="AG115" s="146"/>
      <c r="AH115" s="146"/>
      <c r="AK115" s="1"/>
      <c r="AL115" s="1"/>
      <c r="AM115" s="1"/>
    </row>
    <row r="116" spans="1:39" ht="20.100000000000001" customHeight="1" x14ac:dyDescent="0.2">
      <c r="D116" s="146" t="s">
        <v>1819</v>
      </c>
      <c r="E116" s="146" t="s">
        <v>1828</v>
      </c>
      <c r="F116" s="146" t="s">
        <v>748</v>
      </c>
      <c r="G116" s="146">
        <v>1</v>
      </c>
      <c r="H116" s="146"/>
      <c r="I116" s="146"/>
      <c r="J116" s="146"/>
      <c r="K116" s="146">
        <v>13.5</v>
      </c>
      <c r="L116" s="146">
        <v>15</v>
      </c>
      <c r="M116" s="146">
        <v>6.25</v>
      </c>
      <c r="N116" s="146">
        <v>1.2</v>
      </c>
      <c r="O116" s="146" t="s">
        <v>1754</v>
      </c>
      <c r="P116" s="146">
        <v>0.15</v>
      </c>
      <c r="Q116" s="146" t="s">
        <v>1747</v>
      </c>
      <c r="R116" s="146">
        <v>0.13500000000000001</v>
      </c>
      <c r="S116" s="146" t="s">
        <v>1760</v>
      </c>
      <c r="T116" s="146">
        <v>0.125</v>
      </c>
      <c r="U116" s="146" t="s">
        <v>1821</v>
      </c>
      <c r="V116" s="146">
        <v>2.3E-2</v>
      </c>
      <c r="W116" s="146" t="s">
        <v>717</v>
      </c>
      <c r="X116" s="146">
        <v>1.2E-2</v>
      </c>
      <c r="Y116" s="146"/>
      <c r="Z116" s="146"/>
      <c r="AA116" s="146"/>
      <c r="AB116" s="146"/>
      <c r="AC116" s="146"/>
      <c r="AD116" s="146"/>
      <c r="AE116" s="146"/>
      <c r="AF116" s="146"/>
      <c r="AG116" s="146"/>
      <c r="AH116" s="146"/>
      <c r="AK116" s="1"/>
      <c r="AL116" s="1"/>
      <c r="AM116" s="1"/>
    </row>
    <row r="117" spans="1:39" ht="20.100000000000001" customHeight="1" x14ac:dyDescent="0.2">
      <c r="D117" s="146" t="s">
        <v>1829</v>
      </c>
      <c r="E117" s="146" t="s">
        <v>1830</v>
      </c>
      <c r="F117" s="146" t="s">
        <v>652</v>
      </c>
      <c r="G117" s="146">
        <v>1.25</v>
      </c>
      <c r="H117" s="146"/>
      <c r="I117" s="146"/>
      <c r="J117" s="146"/>
      <c r="K117" s="146">
        <v>3</v>
      </c>
      <c r="L117" s="146"/>
      <c r="M117" s="146">
        <v>21</v>
      </c>
      <c r="N117" s="146"/>
      <c r="O117" s="146" t="s">
        <v>716</v>
      </c>
      <c r="P117" s="146">
        <v>0.21</v>
      </c>
      <c r="Q117" s="146" t="s">
        <v>1752</v>
      </c>
      <c r="R117" s="146">
        <v>0.03</v>
      </c>
      <c r="S117" s="146"/>
      <c r="T117" s="146"/>
      <c r="U117" s="146"/>
      <c r="V117" s="146"/>
      <c r="W117" s="146"/>
      <c r="X117" s="146"/>
      <c r="Y117" s="146"/>
      <c r="Z117" s="146"/>
      <c r="AA117" s="146"/>
      <c r="AB117" s="146"/>
      <c r="AC117" s="146"/>
      <c r="AD117" s="146"/>
      <c r="AE117" s="146"/>
      <c r="AF117" s="146"/>
      <c r="AG117" s="146"/>
      <c r="AH117" s="146"/>
      <c r="AK117" s="1"/>
      <c r="AL117" s="1"/>
      <c r="AM117" s="1"/>
    </row>
    <row r="118" spans="1:39" ht="20.100000000000001" customHeight="1" x14ac:dyDescent="0.2">
      <c r="D118" s="146" t="s">
        <v>1829</v>
      </c>
      <c r="E118" s="146" t="s">
        <v>1831</v>
      </c>
      <c r="F118" s="146" t="s">
        <v>652</v>
      </c>
      <c r="G118" s="146">
        <v>1.2</v>
      </c>
      <c r="H118" s="146"/>
      <c r="I118" s="146"/>
      <c r="J118" s="146"/>
      <c r="K118" s="146">
        <v>5</v>
      </c>
      <c r="L118" s="146">
        <v>3</v>
      </c>
      <c r="M118" s="146">
        <v>8</v>
      </c>
      <c r="N118" s="146"/>
      <c r="O118" s="146" t="s">
        <v>716</v>
      </c>
      <c r="P118" s="146">
        <v>0.08</v>
      </c>
      <c r="Q118" s="146" t="s">
        <v>1752</v>
      </c>
      <c r="R118" s="146">
        <v>0.05</v>
      </c>
      <c r="S118" s="146" t="s">
        <v>1754</v>
      </c>
      <c r="T118" s="146">
        <v>0.03</v>
      </c>
      <c r="U118" s="146"/>
      <c r="V118" s="146"/>
      <c r="W118" s="146"/>
      <c r="X118" s="146"/>
      <c r="Y118" s="146"/>
      <c r="Z118" s="146"/>
      <c r="AA118" s="146"/>
      <c r="AB118" s="146"/>
      <c r="AC118" s="146"/>
      <c r="AD118" s="146"/>
      <c r="AE118" s="146"/>
      <c r="AF118" s="146"/>
      <c r="AG118" s="146"/>
      <c r="AH118" s="146"/>
      <c r="AK118" s="1"/>
      <c r="AL118" s="1"/>
      <c r="AM118" s="1"/>
    </row>
    <row r="119" spans="1:39" ht="20.100000000000001" customHeight="1" x14ac:dyDescent="0.2">
      <c r="D119" s="146" t="s">
        <v>1819</v>
      </c>
      <c r="E119" s="146" t="s">
        <v>1832</v>
      </c>
      <c r="F119" s="146" t="s">
        <v>748</v>
      </c>
      <c r="G119" s="146">
        <v>1</v>
      </c>
      <c r="H119" s="146"/>
      <c r="I119" s="146"/>
      <c r="J119" s="146"/>
      <c r="K119" s="146">
        <v>21</v>
      </c>
      <c r="L119" s="146"/>
      <c r="M119" s="146"/>
      <c r="N119" s="146">
        <v>24</v>
      </c>
      <c r="O119" s="146" t="s">
        <v>1742</v>
      </c>
      <c r="P119" s="146">
        <v>1</v>
      </c>
      <c r="Q119" s="146"/>
      <c r="R119" s="146"/>
      <c r="S119" s="146"/>
      <c r="T119" s="146"/>
      <c r="U119" s="146"/>
      <c r="V119" s="146"/>
      <c r="W119" s="146"/>
      <c r="X119" s="146"/>
      <c r="Y119" s="146"/>
      <c r="Z119" s="146"/>
      <c r="AA119" s="146"/>
      <c r="AB119" s="146"/>
      <c r="AC119" s="146"/>
      <c r="AD119" s="146"/>
      <c r="AE119" s="146"/>
      <c r="AF119" s="146"/>
      <c r="AG119" s="146"/>
      <c r="AH119" s="146"/>
      <c r="AK119" s="1"/>
      <c r="AL119" s="1"/>
      <c r="AM119" s="1"/>
    </row>
    <row r="120" spans="1:39" ht="20.100000000000001" customHeight="1" x14ac:dyDescent="0.2">
      <c r="D120" s="146" t="s">
        <v>1788</v>
      </c>
      <c r="E120" s="146" t="s">
        <v>1833</v>
      </c>
      <c r="F120" s="146" t="s">
        <v>652</v>
      </c>
      <c r="G120" s="146">
        <v>1.5</v>
      </c>
      <c r="H120" s="146"/>
      <c r="I120" s="146"/>
      <c r="J120" s="146"/>
      <c r="K120" s="146">
        <v>9</v>
      </c>
      <c r="L120" s="146"/>
      <c r="M120" s="146"/>
      <c r="N120" s="146">
        <v>13.94</v>
      </c>
      <c r="O120" s="146" t="s">
        <v>1742</v>
      </c>
      <c r="P120" s="146">
        <v>0.58064499999999997</v>
      </c>
      <c r="Q120" s="146" t="s">
        <v>1800</v>
      </c>
      <c r="R120" s="146">
        <v>1.2E-2</v>
      </c>
      <c r="S120" s="146"/>
      <c r="T120" s="146"/>
      <c r="U120" s="146"/>
      <c r="V120" s="146"/>
      <c r="W120" s="146"/>
      <c r="X120" s="146"/>
      <c r="Y120" s="146"/>
      <c r="Z120" s="146"/>
      <c r="AA120" s="146"/>
      <c r="AB120" s="146"/>
      <c r="AC120" s="146"/>
      <c r="AD120" s="146"/>
      <c r="AE120" s="146"/>
      <c r="AF120" s="146"/>
      <c r="AG120" s="146"/>
      <c r="AH120" s="146"/>
      <c r="AK120" s="1"/>
      <c r="AL120" s="1"/>
      <c r="AM120" s="1"/>
    </row>
    <row r="121" spans="1:39" ht="20.100000000000001" customHeight="1" x14ac:dyDescent="0.2">
      <c r="D121" s="146" t="s">
        <v>1819</v>
      </c>
      <c r="E121" s="146" t="s">
        <v>1834</v>
      </c>
      <c r="F121" s="146" t="s">
        <v>748</v>
      </c>
      <c r="G121" s="146">
        <v>1</v>
      </c>
      <c r="H121" s="146"/>
      <c r="I121" s="146"/>
      <c r="J121" s="146"/>
      <c r="K121" s="146">
        <v>10</v>
      </c>
      <c r="L121" s="146">
        <v>17.5</v>
      </c>
      <c r="M121" s="146"/>
      <c r="N121" s="146">
        <v>12</v>
      </c>
      <c r="O121" s="146" t="s">
        <v>1754</v>
      </c>
      <c r="P121" s="146">
        <v>0.17499999999999999</v>
      </c>
      <c r="Q121" s="146" t="s">
        <v>717</v>
      </c>
      <c r="R121" s="146">
        <v>0.12</v>
      </c>
      <c r="S121" s="146" t="s">
        <v>1747</v>
      </c>
      <c r="T121" s="146">
        <v>0.1</v>
      </c>
      <c r="U121" s="146" t="s">
        <v>1821</v>
      </c>
      <c r="V121" s="146">
        <v>0.03</v>
      </c>
      <c r="W121" s="146"/>
      <c r="X121" s="146"/>
      <c r="Y121" s="146"/>
      <c r="Z121" s="146"/>
      <c r="AA121" s="146"/>
      <c r="AB121" s="146"/>
      <c r="AC121" s="146"/>
      <c r="AD121" s="146"/>
      <c r="AE121" s="146"/>
      <c r="AF121" s="146"/>
      <c r="AG121" s="146"/>
      <c r="AH121" s="146"/>
      <c r="AK121" s="1"/>
      <c r="AL121" s="1"/>
      <c r="AM121" s="1"/>
    </row>
    <row r="122" spans="1:39" ht="20.100000000000001" customHeight="1" x14ac:dyDescent="0.2">
      <c r="D122" s="146" t="s">
        <v>1819</v>
      </c>
      <c r="E122" s="146" t="s">
        <v>1835</v>
      </c>
      <c r="F122" s="146" t="s">
        <v>748</v>
      </c>
      <c r="G122" s="146">
        <v>1</v>
      </c>
      <c r="H122" s="146"/>
      <c r="I122" s="146"/>
      <c r="J122" s="146"/>
      <c r="K122" s="146">
        <v>11</v>
      </c>
      <c r="L122" s="146">
        <v>21.8</v>
      </c>
      <c r="M122" s="146"/>
      <c r="N122" s="146">
        <v>4</v>
      </c>
      <c r="O122" s="146" t="s">
        <v>1754</v>
      </c>
      <c r="P122" s="146">
        <v>0.218</v>
      </c>
      <c r="Q122" s="146" t="s">
        <v>1752</v>
      </c>
      <c r="R122" s="146">
        <v>0.11</v>
      </c>
      <c r="S122" s="146" t="s">
        <v>717</v>
      </c>
      <c r="T122" s="146">
        <v>0.04</v>
      </c>
      <c r="U122" s="146" t="s">
        <v>1821</v>
      </c>
      <c r="V122" s="146">
        <v>0.03</v>
      </c>
      <c r="W122" s="146" t="s">
        <v>1801</v>
      </c>
      <c r="X122" s="146">
        <v>0.01</v>
      </c>
      <c r="Y122" s="146"/>
      <c r="Z122" s="146"/>
      <c r="AA122" s="146"/>
      <c r="AB122" s="146"/>
      <c r="AC122" s="146"/>
      <c r="AD122" s="146"/>
      <c r="AE122" s="146"/>
      <c r="AF122" s="146"/>
      <c r="AG122" s="146"/>
      <c r="AH122" s="146"/>
      <c r="AK122" s="1"/>
      <c r="AL122" s="1"/>
      <c r="AM122" s="1"/>
    </row>
    <row r="123" spans="1:39" ht="20.100000000000001" customHeight="1" x14ac:dyDescent="0.2">
      <c r="D123" s="146" t="s">
        <v>1819</v>
      </c>
      <c r="E123" s="146" t="s">
        <v>1836</v>
      </c>
      <c r="F123" s="146" t="s">
        <v>748</v>
      </c>
      <c r="G123" s="146">
        <v>1</v>
      </c>
      <c r="H123" s="146"/>
      <c r="I123" s="146"/>
      <c r="J123" s="146"/>
      <c r="K123" s="146">
        <v>32.5</v>
      </c>
      <c r="L123" s="146">
        <v>5.4</v>
      </c>
      <c r="M123" s="146">
        <v>6.25</v>
      </c>
      <c r="N123" s="146"/>
      <c r="O123" s="146" t="s">
        <v>704</v>
      </c>
      <c r="P123" s="146">
        <v>0.6</v>
      </c>
      <c r="Q123" s="146" t="s">
        <v>1747</v>
      </c>
      <c r="R123" s="146">
        <v>4.9000000000000002E-2</v>
      </c>
      <c r="S123" s="146" t="s">
        <v>1754</v>
      </c>
      <c r="T123" s="146">
        <v>5.3999999999999999E-2</v>
      </c>
      <c r="U123" s="146" t="s">
        <v>1760</v>
      </c>
      <c r="V123" s="146">
        <v>0.125</v>
      </c>
      <c r="W123" s="146"/>
      <c r="X123" s="146"/>
      <c r="Y123" s="146"/>
      <c r="Z123" s="146"/>
      <c r="AA123" s="146"/>
      <c r="AB123" s="146"/>
      <c r="AC123" s="146"/>
      <c r="AD123" s="146"/>
      <c r="AE123" s="146"/>
      <c r="AF123" s="146"/>
      <c r="AG123" s="146"/>
      <c r="AH123" s="146"/>
      <c r="AK123" s="1"/>
      <c r="AL123" s="1"/>
      <c r="AM123" s="1"/>
    </row>
    <row r="124" spans="1:39" ht="20.100000000000001" customHeight="1" x14ac:dyDescent="0.2">
      <c r="D124" s="146" t="s">
        <v>1815</v>
      </c>
      <c r="E124" s="146" t="s">
        <v>1837</v>
      </c>
      <c r="F124" s="146" t="s">
        <v>748</v>
      </c>
      <c r="G124" s="146">
        <v>1</v>
      </c>
      <c r="H124" s="146" t="s">
        <v>1838</v>
      </c>
      <c r="I124" s="146"/>
      <c r="J124" s="146"/>
      <c r="K124" s="146">
        <v>45.54</v>
      </c>
      <c r="L124" s="146"/>
      <c r="M124" s="146"/>
      <c r="N124" s="146"/>
      <c r="O124" s="146" t="s">
        <v>704</v>
      </c>
      <c r="P124" s="146">
        <v>0.99</v>
      </c>
      <c r="Q124" s="146"/>
      <c r="R124" s="146"/>
      <c r="S124" s="146"/>
      <c r="T124" s="146"/>
      <c r="U124" s="146"/>
      <c r="V124" s="146"/>
      <c r="W124" s="146"/>
      <c r="X124" s="146"/>
      <c r="Y124" s="146"/>
      <c r="Z124" s="146"/>
      <c r="AA124" s="146"/>
      <c r="AB124" s="146"/>
      <c r="AC124" s="146"/>
      <c r="AD124" s="146"/>
      <c r="AE124" s="146"/>
      <c r="AF124" s="146"/>
      <c r="AG124" s="146"/>
      <c r="AH124" s="146"/>
      <c r="AK124" s="1"/>
      <c r="AL124" s="1"/>
      <c r="AM124" s="1"/>
    </row>
    <row r="125" spans="1:39" ht="20.100000000000001" customHeight="1" x14ac:dyDescent="0.2">
      <c r="D125" s="146" t="s">
        <v>1788</v>
      </c>
      <c r="E125" s="146" t="s">
        <v>1839</v>
      </c>
      <c r="F125" s="146" t="s">
        <v>748</v>
      </c>
      <c r="G125" s="146">
        <v>1</v>
      </c>
      <c r="H125" s="146"/>
      <c r="I125" s="146"/>
      <c r="J125" s="146"/>
      <c r="K125" s="146">
        <v>14.87</v>
      </c>
      <c r="L125" s="146">
        <v>2.2000000000000002</v>
      </c>
      <c r="M125" s="146">
        <v>16.600000000000001</v>
      </c>
      <c r="N125" s="146">
        <v>8</v>
      </c>
      <c r="O125" s="146" t="s">
        <v>1744</v>
      </c>
      <c r="P125" s="146">
        <v>0.44117600000000001</v>
      </c>
      <c r="Q125" s="146" t="s">
        <v>716</v>
      </c>
      <c r="R125" s="146">
        <v>0.16600000000000001</v>
      </c>
      <c r="S125" s="146" t="s">
        <v>717</v>
      </c>
      <c r="T125" s="146">
        <v>0.08</v>
      </c>
      <c r="U125" s="146" t="s">
        <v>1754</v>
      </c>
      <c r="V125" s="146">
        <v>2.1999999999999999E-2</v>
      </c>
      <c r="W125" s="146" t="s">
        <v>1800</v>
      </c>
      <c r="X125" s="146">
        <v>1.2E-2</v>
      </c>
      <c r="Y125" s="146" t="s">
        <v>1805</v>
      </c>
      <c r="Z125" s="146">
        <v>2.0000000000000001E-4</v>
      </c>
      <c r="AA125" s="146" t="s">
        <v>1801</v>
      </c>
      <c r="AB125" s="146">
        <v>1E-4</v>
      </c>
      <c r="AC125" s="146"/>
      <c r="AD125" s="146"/>
      <c r="AE125" s="146"/>
      <c r="AF125" s="146"/>
      <c r="AG125" s="146"/>
      <c r="AH125" s="146"/>
      <c r="AK125" s="1"/>
      <c r="AL125" s="1"/>
      <c r="AM125" s="1"/>
    </row>
    <row r="126" spans="1:39" ht="20.100000000000001" customHeight="1" x14ac:dyDescent="0.2">
      <c r="A126" s="79" t="str">
        <f>HYPERLINK("#A1", "▲ Back to top")</f>
        <v>▲ Back to top</v>
      </c>
      <c r="D126" s="146" t="s">
        <v>1811</v>
      </c>
      <c r="E126" s="146" t="s">
        <v>1840</v>
      </c>
      <c r="F126" s="146" t="s">
        <v>652</v>
      </c>
      <c r="G126" s="146">
        <v>1.2989999999999999</v>
      </c>
      <c r="H126" s="146"/>
      <c r="I126" s="146"/>
      <c r="J126" s="146"/>
      <c r="K126" s="146">
        <v>38</v>
      </c>
      <c r="L126" s="146"/>
      <c r="M126" s="146"/>
      <c r="N126" s="146">
        <v>2</v>
      </c>
      <c r="O126" s="146" t="s">
        <v>704</v>
      </c>
      <c r="P126" s="146">
        <v>0.46087</v>
      </c>
      <c r="Q126" s="146" t="s">
        <v>1747</v>
      </c>
      <c r="R126" s="146">
        <v>9.1999999999999998E-2</v>
      </c>
      <c r="S126" s="146" t="s">
        <v>1749</v>
      </c>
      <c r="T126" s="146">
        <v>7.5999999999999998E-2</v>
      </c>
      <c r="U126" s="146" t="s">
        <v>717</v>
      </c>
      <c r="V126" s="146">
        <v>0.02</v>
      </c>
      <c r="W126" s="146"/>
      <c r="X126" s="146"/>
      <c r="Y126" s="146"/>
      <c r="Z126" s="146"/>
      <c r="AA126" s="146"/>
      <c r="AB126" s="146"/>
      <c r="AC126" s="146"/>
      <c r="AD126" s="146"/>
      <c r="AE126" s="146"/>
      <c r="AF126" s="146"/>
      <c r="AG126" s="146"/>
      <c r="AH126" s="146"/>
      <c r="AK126" s="1"/>
      <c r="AL126" s="1"/>
      <c r="AM126" s="1"/>
    </row>
    <row r="127" spans="1:39" ht="20.100000000000001" customHeight="1" x14ac:dyDescent="0.2">
      <c r="D127" s="146" t="s">
        <v>1817</v>
      </c>
      <c r="E127" s="146" t="s">
        <v>1841</v>
      </c>
      <c r="F127" s="146" t="s">
        <v>748</v>
      </c>
      <c r="G127" s="146">
        <v>1</v>
      </c>
      <c r="H127" s="146"/>
      <c r="I127" s="146"/>
      <c r="J127" s="146"/>
      <c r="K127" s="146"/>
      <c r="L127" s="146">
        <v>8.8000000000000007</v>
      </c>
      <c r="M127" s="146"/>
      <c r="N127" s="146">
        <v>11</v>
      </c>
      <c r="O127" s="146" t="s">
        <v>1762</v>
      </c>
      <c r="P127" s="146">
        <v>1</v>
      </c>
      <c r="Q127" s="146"/>
      <c r="R127" s="146"/>
      <c r="S127" s="146"/>
      <c r="T127" s="146"/>
      <c r="U127" s="146"/>
      <c r="V127" s="146"/>
      <c r="W127" s="146"/>
      <c r="X127" s="146"/>
      <c r="Y127" s="146"/>
      <c r="Z127" s="146"/>
      <c r="AA127" s="146"/>
      <c r="AB127" s="146"/>
      <c r="AC127" s="146"/>
      <c r="AD127" s="146"/>
      <c r="AE127" s="146"/>
      <c r="AF127" s="146"/>
      <c r="AG127" s="146"/>
      <c r="AH127" s="146"/>
      <c r="AK127" s="1"/>
      <c r="AL127" s="1"/>
      <c r="AM127" s="1"/>
    </row>
    <row r="128" spans="1:39" ht="20.100000000000001" customHeight="1" x14ac:dyDescent="0.2">
      <c r="D128" s="146" t="s">
        <v>1829</v>
      </c>
      <c r="E128" s="146" t="s">
        <v>1842</v>
      </c>
      <c r="F128" s="146" t="s">
        <v>652</v>
      </c>
      <c r="G128" s="146">
        <v>1.2</v>
      </c>
      <c r="H128" s="146"/>
      <c r="I128" s="146"/>
      <c r="J128" s="146"/>
      <c r="K128" s="146">
        <v>10</v>
      </c>
      <c r="L128" s="146">
        <v>1</v>
      </c>
      <c r="M128" s="146">
        <v>11</v>
      </c>
      <c r="N128" s="146"/>
      <c r="O128" s="146" t="s">
        <v>716</v>
      </c>
      <c r="P128" s="146">
        <v>0.11</v>
      </c>
      <c r="Q128" s="146" t="s">
        <v>1752</v>
      </c>
      <c r="R128" s="146">
        <v>0.1</v>
      </c>
      <c r="S128" s="146" t="s">
        <v>1754</v>
      </c>
      <c r="T128" s="146">
        <v>0.01</v>
      </c>
      <c r="U128" s="146"/>
      <c r="V128" s="146"/>
      <c r="W128" s="146"/>
      <c r="X128" s="146"/>
      <c r="Y128" s="146"/>
      <c r="Z128" s="146"/>
      <c r="AA128" s="146"/>
      <c r="AB128" s="146"/>
      <c r="AC128" s="146"/>
      <c r="AD128" s="146"/>
      <c r="AE128" s="146"/>
      <c r="AF128" s="146"/>
      <c r="AG128" s="146"/>
      <c r="AH128" s="146"/>
      <c r="AK128" s="1"/>
      <c r="AL128" s="1"/>
      <c r="AM128" s="1"/>
    </row>
    <row r="129" spans="4:39" ht="20.100000000000001" customHeight="1" x14ac:dyDescent="0.2">
      <c r="D129" s="146" t="s">
        <v>1829</v>
      </c>
      <c r="E129" s="146" t="s">
        <v>1843</v>
      </c>
      <c r="F129" s="146" t="s">
        <v>652</v>
      </c>
      <c r="G129" s="146">
        <v>1.3</v>
      </c>
      <c r="H129" s="146"/>
      <c r="I129" s="146"/>
      <c r="J129" s="146"/>
      <c r="K129" s="146">
        <v>3</v>
      </c>
      <c r="L129" s="146"/>
      <c r="M129" s="146">
        <v>22</v>
      </c>
      <c r="N129" s="146"/>
      <c r="O129" s="146" t="s">
        <v>716</v>
      </c>
      <c r="P129" s="146">
        <v>0.22</v>
      </c>
      <c r="Q129" s="146" t="s">
        <v>1752</v>
      </c>
      <c r="R129" s="146">
        <v>0.03</v>
      </c>
      <c r="S129" s="146"/>
      <c r="T129" s="146"/>
      <c r="U129" s="146"/>
      <c r="V129" s="146"/>
      <c r="W129" s="146"/>
      <c r="X129" s="146"/>
      <c r="Y129" s="146"/>
      <c r="Z129" s="146"/>
      <c r="AA129" s="146"/>
      <c r="AB129" s="146"/>
      <c r="AC129" s="146"/>
      <c r="AD129" s="146"/>
      <c r="AE129" s="146"/>
      <c r="AF129" s="146"/>
      <c r="AG129" s="146"/>
      <c r="AH129" s="146"/>
      <c r="AK129" s="1"/>
      <c r="AL129" s="1"/>
      <c r="AM129" s="1"/>
    </row>
    <row r="130" spans="4:39" ht="20.100000000000001" customHeight="1" x14ac:dyDescent="0.2">
      <c r="D130" s="146" t="s">
        <v>1844</v>
      </c>
      <c r="E130" s="146" t="s">
        <v>1845</v>
      </c>
      <c r="F130" s="146" t="s">
        <v>652</v>
      </c>
      <c r="G130" s="146">
        <v>1.1850000000000001</v>
      </c>
      <c r="H130" s="146"/>
      <c r="I130" s="146"/>
      <c r="J130" s="146"/>
      <c r="K130" s="146">
        <v>23.8</v>
      </c>
      <c r="L130" s="146"/>
      <c r="M130" s="146"/>
      <c r="N130" s="146"/>
      <c r="O130" s="146" t="s">
        <v>704</v>
      </c>
      <c r="P130" s="146">
        <v>0.51739100000000005</v>
      </c>
      <c r="Q130" s="146"/>
      <c r="R130" s="146"/>
      <c r="S130" s="146"/>
      <c r="T130" s="146"/>
      <c r="U130" s="146"/>
      <c r="V130" s="146"/>
      <c r="W130" s="146"/>
      <c r="X130" s="146"/>
      <c r="Y130" s="146"/>
      <c r="Z130" s="146"/>
      <c r="AA130" s="146"/>
      <c r="AB130" s="146"/>
      <c r="AC130" s="146"/>
      <c r="AD130" s="146"/>
      <c r="AE130" s="146"/>
      <c r="AF130" s="146"/>
      <c r="AG130" s="146"/>
      <c r="AH130" s="146"/>
      <c r="AK130" s="1"/>
      <c r="AL130" s="1"/>
      <c r="AM130" s="1"/>
    </row>
    <row r="131" spans="4:39" ht="20.100000000000001" customHeight="1" x14ac:dyDescent="0.2">
      <c r="D131" s="146" t="s">
        <v>1811</v>
      </c>
      <c r="E131" s="146" t="s">
        <v>1846</v>
      </c>
      <c r="F131" s="146" t="s">
        <v>652</v>
      </c>
      <c r="G131" s="146">
        <v>1.2549999999999999</v>
      </c>
      <c r="H131" s="146"/>
      <c r="I131" s="146"/>
      <c r="J131" s="146"/>
      <c r="K131" s="146"/>
      <c r="L131" s="146"/>
      <c r="M131" s="146">
        <v>0.1</v>
      </c>
      <c r="N131" s="146">
        <v>4.4000000000000004</v>
      </c>
      <c r="O131" s="146" t="s">
        <v>717</v>
      </c>
      <c r="P131" s="146">
        <v>4.3999999999999997E-2</v>
      </c>
      <c r="Q131" s="146" t="s">
        <v>1801</v>
      </c>
      <c r="R131" s="146">
        <v>2.1999999999999999E-2</v>
      </c>
      <c r="S131" s="146" t="s">
        <v>1803</v>
      </c>
      <c r="T131" s="146">
        <v>2.1999999999999999E-2</v>
      </c>
      <c r="U131" s="146" t="s">
        <v>1802</v>
      </c>
      <c r="V131" s="146">
        <v>1.6E-2</v>
      </c>
      <c r="W131" s="146" t="s">
        <v>1805</v>
      </c>
      <c r="X131" s="146">
        <v>8.0000000000000002E-3</v>
      </c>
      <c r="Y131" s="146" t="s">
        <v>1800</v>
      </c>
      <c r="Z131" s="146">
        <v>7.0000000000000001E-3</v>
      </c>
      <c r="AA131" s="146" t="s">
        <v>1847</v>
      </c>
      <c r="AB131" s="146">
        <v>5.0000000000000001E-3</v>
      </c>
      <c r="AC131" s="146" t="s">
        <v>1804</v>
      </c>
      <c r="AD131" s="146">
        <v>3.0000000000000001E-3</v>
      </c>
      <c r="AE131" s="146" t="s">
        <v>716</v>
      </c>
      <c r="AF131" s="146">
        <v>1E-3</v>
      </c>
      <c r="AG131" s="146" t="s">
        <v>1848</v>
      </c>
      <c r="AH131" s="146">
        <v>2.9999999999999997E-4</v>
      </c>
      <c r="AK131" s="1"/>
      <c r="AL131" s="1"/>
      <c r="AM131" s="1"/>
    </row>
    <row r="132" spans="4:39" ht="20.100000000000001" customHeight="1" x14ac:dyDescent="0.2">
      <c r="D132" s="146" t="s">
        <v>1829</v>
      </c>
      <c r="E132" s="146" t="s">
        <v>1849</v>
      </c>
      <c r="F132" s="146" t="s">
        <v>652</v>
      </c>
      <c r="G132" s="146">
        <v>1.23</v>
      </c>
      <c r="H132" s="146"/>
      <c r="I132" s="146"/>
      <c r="J132" s="146"/>
      <c r="K132" s="146">
        <v>9.7100000000000009</v>
      </c>
      <c r="L132" s="146"/>
      <c r="M132" s="146">
        <v>3.25</v>
      </c>
      <c r="N132" s="146">
        <v>2.11</v>
      </c>
      <c r="O132" s="146" t="s">
        <v>1752</v>
      </c>
      <c r="P132" s="146">
        <v>9.7100000000000006E-2</v>
      </c>
      <c r="Q132" s="146" t="s">
        <v>716</v>
      </c>
      <c r="R132" s="146">
        <v>3.2500000000000001E-2</v>
      </c>
      <c r="S132" s="146" t="s">
        <v>717</v>
      </c>
      <c r="T132" s="146">
        <v>2.1100000000000001E-2</v>
      </c>
      <c r="U132" s="146" t="s">
        <v>1801</v>
      </c>
      <c r="V132" s="146">
        <v>1.4999999999999999E-2</v>
      </c>
      <c r="W132" s="146" t="s">
        <v>1803</v>
      </c>
      <c r="X132" s="146">
        <v>1.11E-2</v>
      </c>
      <c r="Y132" s="146" t="s">
        <v>1802</v>
      </c>
      <c r="Z132" s="146">
        <v>1.15E-2</v>
      </c>
      <c r="AA132" s="146" t="s">
        <v>1800</v>
      </c>
      <c r="AB132" s="146">
        <v>4.4999999999999997E-3</v>
      </c>
      <c r="AC132" s="146" t="s">
        <v>1805</v>
      </c>
      <c r="AD132" s="146">
        <v>2E-3</v>
      </c>
      <c r="AE132" s="146"/>
      <c r="AF132" s="146"/>
      <c r="AG132" s="146"/>
      <c r="AH132" s="146"/>
      <c r="AK132" s="1"/>
      <c r="AL132" s="1"/>
      <c r="AM132" s="1"/>
    </row>
    <row r="133" spans="4:39" ht="20.100000000000001" customHeight="1" x14ac:dyDescent="0.2">
      <c r="D133" s="146" t="s">
        <v>1788</v>
      </c>
      <c r="E133" s="146" t="s">
        <v>1850</v>
      </c>
      <c r="F133" s="146" t="s">
        <v>748</v>
      </c>
      <c r="G133" s="146">
        <v>1</v>
      </c>
      <c r="H133" s="146"/>
      <c r="I133" s="146"/>
      <c r="J133" s="146"/>
      <c r="K133" s="146">
        <v>10</v>
      </c>
      <c r="L133" s="146">
        <v>10.9</v>
      </c>
      <c r="M133" s="146">
        <v>10</v>
      </c>
      <c r="N133" s="146">
        <v>4.34</v>
      </c>
      <c r="O133" s="146" t="s">
        <v>1738</v>
      </c>
      <c r="P133" s="146">
        <v>0.4178</v>
      </c>
      <c r="Q133" s="146" t="s">
        <v>1744</v>
      </c>
      <c r="R133" s="146">
        <v>0.17280000000000001</v>
      </c>
      <c r="S133" s="146" t="s">
        <v>1851</v>
      </c>
      <c r="T133" s="146">
        <v>0.24096400000000001</v>
      </c>
      <c r="U133" s="146" t="s">
        <v>1761</v>
      </c>
      <c r="V133" s="146">
        <v>0.1</v>
      </c>
      <c r="W133" s="146" t="s">
        <v>1800</v>
      </c>
      <c r="X133" s="146">
        <v>1.2E-2</v>
      </c>
      <c r="Y133" s="146" t="s">
        <v>1801</v>
      </c>
      <c r="Z133" s="146">
        <v>3.5999999999999999E-3</v>
      </c>
      <c r="AA133" s="146" t="s">
        <v>1805</v>
      </c>
      <c r="AB133" s="146">
        <v>1E-3</v>
      </c>
      <c r="AC133" s="146" t="s">
        <v>1852</v>
      </c>
      <c r="AD133" s="146">
        <v>5.1900000000000002E-2</v>
      </c>
      <c r="AE133" s="146"/>
      <c r="AF133" s="146"/>
      <c r="AG133" s="146"/>
      <c r="AH133" s="146"/>
      <c r="AK133" s="1"/>
      <c r="AL133" s="1"/>
      <c r="AM133" s="1"/>
    </row>
    <row r="134" spans="4:39" ht="20.100000000000001" customHeight="1" x14ac:dyDescent="0.2">
      <c r="D134" s="146" t="s">
        <v>1817</v>
      </c>
      <c r="E134" s="146" t="s">
        <v>1742</v>
      </c>
      <c r="F134" s="146" t="s">
        <v>748</v>
      </c>
      <c r="G134" s="146">
        <v>1</v>
      </c>
      <c r="H134" s="146"/>
      <c r="I134" s="146"/>
      <c r="J134" s="146"/>
      <c r="K134" s="146">
        <v>21</v>
      </c>
      <c r="L134" s="146"/>
      <c r="M134" s="146"/>
      <c r="N134" s="146">
        <v>24</v>
      </c>
      <c r="O134" s="146" t="s">
        <v>1742</v>
      </c>
      <c r="P134" s="146">
        <v>1</v>
      </c>
      <c r="Q134" s="146"/>
      <c r="R134" s="146"/>
      <c r="S134" s="146"/>
      <c r="T134" s="146"/>
      <c r="U134" s="146"/>
      <c r="V134" s="146"/>
      <c r="W134" s="146"/>
      <c r="X134" s="146"/>
      <c r="Y134" s="146"/>
      <c r="Z134" s="146"/>
      <c r="AA134" s="146"/>
      <c r="AB134" s="146"/>
      <c r="AC134" s="146"/>
      <c r="AD134" s="146"/>
      <c r="AE134" s="146"/>
      <c r="AF134" s="146"/>
      <c r="AG134" s="146"/>
      <c r="AH134" s="146"/>
      <c r="AK134" s="1"/>
      <c r="AL134" s="1"/>
      <c r="AM134" s="1"/>
    </row>
    <row r="135" spans="4:39" ht="20.100000000000001" customHeight="1" x14ac:dyDescent="0.2">
      <c r="D135" s="146" t="s">
        <v>1817</v>
      </c>
      <c r="E135" s="146" t="s">
        <v>1853</v>
      </c>
      <c r="F135" s="146" t="s">
        <v>748</v>
      </c>
      <c r="G135" s="146">
        <v>1</v>
      </c>
      <c r="H135" s="146"/>
      <c r="I135" s="146"/>
      <c r="J135" s="146"/>
      <c r="K135" s="146">
        <v>10</v>
      </c>
      <c r="L135" s="146">
        <v>21.9</v>
      </c>
      <c r="M135" s="146"/>
      <c r="N135" s="146">
        <v>1.5</v>
      </c>
      <c r="O135" s="146" t="s">
        <v>1738</v>
      </c>
      <c r="P135" s="146">
        <v>1</v>
      </c>
      <c r="Q135" s="146"/>
      <c r="R135" s="146"/>
      <c r="S135" s="146"/>
      <c r="T135" s="146"/>
      <c r="U135" s="146"/>
      <c r="V135" s="146"/>
      <c r="W135" s="146"/>
      <c r="X135" s="146"/>
      <c r="Y135" s="146"/>
      <c r="Z135" s="146"/>
      <c r="AA135" s="146"/>
      <c r="AB135" s="146"/>
      <c r="AC135" s="146"/>
      <c r="AD135" s="146"/>
      <c r="AE135" s="146"/>
      <c r="AF135" s="146"/>
      <c r="AG135" s="146"/>
      <c r="AH135" s="146"/>
      <c r="AK135" s="1"/>
      <c r="AL135" s="1"/>
      <c r="AM135" s="1"/>
    </row>
    <row r="136" spans="4:39" ht="20.100000000000001" customHeight="1" x14ac:dyDescent="0.2">
      <c r="D136" s="146" t="s">
        <v>1817</v>
      </c>
      <c r="E136" s="146" t="s">
        <v>704</v>
      </c>
      <c r="F136" s="146" t="s">
        <v>748</v>
      </c>
      <c r="G136" s="146">
        <v>1</v>
      </c>
      <c r="H136" s="146"/>
      <c r="I136" s="146"/>
      <c r="J136" s="146"/>
      <c r="K136" s="146">
        <v>46</v>
      </c>
      <c r="L136" s="146"/>
      <c r="M136" s="146"/>
      <c r="N136" s="146"/>
      <c r="O136" s="146" t="s">
        <v>704</v>
      </c>
      <c r="P136" s="146">
        <v>1</v>
      </c>
      <c r="Q136" s="146"/>
      <c r="R136" s="146"/>
      <c r="S136" s="146"/>
      <c r="T136" s="146"/>
      <c r="U136" s="146"/>
      <c r="V136" s="146"/>
      <c r="W136" s="146"/>
      <c r="X136" s="146"/>
      <c r="Y136" s="146"/>
      <c r="Z136" s="146"/>
      <c r="AA136" s="146"/>
      <c r="AB136" s="146"/>
      <c r="AC136" s="146"/>
      <c r="AD136" s="146"/>
      <c r="AE136" s="146"/>
      <c r="AF136" s="146"/>
      <c r="AG136" s="146"/>
      <c r="AH136" s="146"/>
      <c r="AK136" s="1"/>
      <c r="AL136" s="1"/>
      <c r="AM136" s="1"/>
    </row>
    <row r="137" spans="4:39" ht="20.100000000000001" customHeight="1" x14ac:dyDescent="0.2">
      <c r="D137" s="146" t="s">
        <v>1854</v>
      </c>
      <c r="E137" s="146" t="s">
        <v>1760</v>
      </c>
      <c r="F137" s="146" t="s">
        <v>748</v>
      </c>
      <c r="G137" s="146">
        <v>1</v>
      </c>
      <c r="H137" s="146"/>
      <c r="I137" s="146"/>
      <c r="J137" s="146"/>
      <c r="K137" s="146"/>
      <c r="L137" s="146"/>
      <c r="M137" s="146">
        <v>50</v>
      </c>
      <c r="N137" s="146"/>
      <c r="O137" s="146" t="s">
        <v>1760</v>
      </c>
      <c r="P137" s="146">
        <v>1</v>
      </c>
      <c r="Q137" s="146"/>
      <c r="R137" s="146"/>
      <c r="S137" s="146"/>
      <c r="T137" s="146"/>
      <c r="U137" s="146"/>
      <c r="V137" s="146"/>
      <c r="W137" s="146"/>
      <c r="X137" s="146"/>
      <c r="Y137" s="146"/>
      <c r="Z137" s="146"/>
      <c r="AA137" s="146"/>
      <c r="AB137" s="146"/>
      <c r="AC137" s="146"/>
      <c r="AD137" s="146"/>
      <c r="AE137" s="146"/>
      <c r="AF137" s="146"/>
      <c r="AG137" s="146"/>
      <c r="AH137" s="146"/>
      <c r="AK137" s="1"/>
      <c r="AL137" s="1"/>
      <c r="AM137" s="1"/>
    </row>
    <row r="138" spans="4:39" ht="20.100000000000001" customHeight="1" x14ac:dyDescent="0.2">
      <c r="D138" s="146" t="s">
        <v>1813</v>
      </c>
      <c r="E138" s="146" t="s">
        <v>1855</v>
      </c>
      <c r="F138" s="146" t="s">
        <v>652</v>
      </c>
      <c r="G138" s="146">
        <v>1.32</v>
      </c>
      <c r="H138" s="146"/>
      <c r="I138" s="146" t="s">
        <v>1767</v>
      </c>
      <c r="J138" s="146" t="s">
        <v>1767</v>
      </c>
      <c r="K138" s="146">
        <v>32</v>
      </c>
      <c r="L138" s="146"/>
      <c r="M138" s="146"/>
      <c r="N138" s="146"/>
      <c r="O138" s="146" t="s">
        <v>1743</v>
      </c>
      <c r="P138" s="146">
        <v>1</v>
      </c>
      <c r="Q138" s="146"/>
      <c r="R138" s="146"/>
      <c r="S138" s="146"/>
      <c r="T138" s="146"/>
      <c r="U138" s="146"/>
      <c r="V138" s="146"/>
      <c r="W138" s="146"/>
      <c r="X138" s="146"/>
      <c r="Y138" s="146"/>
      <c r="Z138" s="146"/>
      <c r="AA138" s="146"/>
      <c r="AB138" s="146"/>
      <c r="AC138" s="146"/>
      <c r="AD138" s="146"/>
      <c r="AE138" s="146"/>
      <c r="AF138" s="146"/>
      <c r="AG138" s="146"/>
      <c r="AH138" s="146"/>
      <c r="AK138" s="1"/>
      <c r="AL138" s="1"/>
      <c r="AM138" s="1"/>
    </row>
    <row r="139" spans="4:39" ht="20.100000000000001" customHeight="1" x14ac:dyDescent="0.2">
      <c r="D139" s="146" t="s">
        <v>1813</v>
      </c>
      <c r="E139" s="146" t="s">
        <v>1856</v>
      </c>
      <c r="F139" s="146" t="s">
        <v>748</v>
      </c>
      <c r="G139" s="146">
        <v>1</v>
      </c>
      <c r="H139" s="146"/>
      <c r="I139" s="146" t="s">
        <v>1767</v>
      </c>
      <c r="J139" s="146"/>
      <c r="K139" s="146">
        <v>46</v>
      </c>
      <c r="L139" s="146"/>
      <c r="M139" s="146"/>
      <c r="N139" s="146"/>
      <c r="O139" s="146" t="s">
        <v>704</v>
      </c>
      <c r="P139" s="146">
        <v>1</v>
      </c>
      <c r="Q139" s="146" t="s">
        <v>1857</v>
      </c>
      <c r="R139" s="146">
        <v>0</v>
      </c>
      <c r="S139" s="146"/>
      <c r="T139" s="146"/>
      <c r="U139" s="146"/>
      <c r="V139" s="146"/>
      <c r="W139" s="146"/>
      <c r="X139" s="146"/>
      <c r="Y139" s="146"/>
      <c r="Z139" s="146"/>
      <c r="AA139" s="146"/>
      <c r="AB139" s="146"/>
      <c r="AC139" s="146"/>
      <c r="AD139" s="146"/>
      <c r="AE139" s="146"/>
      <c r="AF139" s="146"/>
      <c r="AG139" s="146"/>
      <c r="AH139" s="146"/>
      <c r="AK139" s="1"/>
      <c r="AL139" s="1"/>
      <c r="AM139" s="1"/>
    </row>
    <row r="140" spans="4:39" ht="20.100000000000001" customHeight="1" x14ac:dyDescent="0.2">
      <c r="D140" s="146" t="s">
        <v>1858</v>
      </c>
      <c r="E140" s="146" t="s">
        <v>1859</v>
      </c>
      <c r="F140" s="146" t="s">
        <v>748</v>
      </c>
      <c r="G140" s="146">
        <v>1</v>
      </c>
      <c r="H140" s="146"/>
      <c r="I140" s="146"/>
      <c r="J140" s="146"/>
      <c r="K140" s="146">
        <v>15.5</v>
      </c>
      <c r="L140" s="146"/>
      <c r="M140" s="146"/>
      <c r="N140" s="146"/>
      <c r="O140" s="146" t="s">
        <v>714</v>
      </c>
      <c r="P140" s="146">
        <v>1</v>
      </c>
      <c r="Q140" s="146"/>
      <c r="R140" s="146"/>
      <c r="S140" s="146"/>
      <c r="T140" s="146"/>
      <c r="U140" s="146"/>
      <c r="V140" s="146"/>
      <c r="W140" s="146"/>
      <c r="X140" s="146"/>
      <c r="Y140" s="146"/>
      <c r="Z140" s="146"/>
      <c r="AA140" s="146"/>
      <c r="AB140" s="146"/>
      <c r="AC140" s="146"/>
      <c r="AD140" s="146"/>
      <c r="AE140" s="146"/>
      <c r="AF140" s="146"/>
      <c r="AG140" s="146"/>
      <c r="AH140" s="146"/>
      <c r="AK140" s="1"/>
      <c r="AL140" s="1"/>
      <c r="AM140" s="1"/>
    </row>
    <row r="141" spans="4:39" ht="20.100000000000001" customHeight="1" x14ac:dyDescent="0.2">
      <c r="D141" s="146" t="s">
        <v>1858</v>
      </c>
      <c r="E141" s="146" t="s">
        <v>1860</v>
      </c>
      <c r="F141" s="146" t="s">
        <v>748</v>
      </c>
      <c r="G141" s="146">
        <v>1</v>
      </c>
      <c r="H141" s="146"/>
      <c r="I141" s="146"/>
      <c r="J141" s="146"/>
      <c r="K141" s="146">
        <v>15.4</v>
      </c>
      <c r="L141" s="146"/>
      <c r="M141" s="146"/>
      <c r="N141" s="146"/>
      <c r="O141" s="146" t="s">
        <v>714</v>
      </c>
      <c r="P141" s="146">
        <v>0.99354799999999999</v>
      </c>
      <c r="Q141" s="146" t="s">
        <v>1805</v>
      </c>
      <c r="R141" s="146">
        <v>3.0000000000000001E-3</v>
      </c>
      <c r="S141" s="146"/>
      <c r="T141" s="146"/>
      <c r="U141" s="146"/>
      <c r="V141" s="146"/>
      <c r="W141" s="146"/>
      <c r="X141" s="146"/>
      <c r="Y141" s="146"/>
      <c r="Z141" s="146"/>
      <c r="AA141" s="146"/>
      <c r="AB141" s="146"/>
      <c r="AC141" s="146"/>
      <c r="AD141" s="146"/>
      <c r="AE141" s="146"/>
      <c r="AF141" s="146"/>
      <c r="AG141" s="146"/>
      <c r="AH141" s="146"/>
      <c r="AK141" s="1"/>
      <c r="AL141" s="1"/>
      <c r="AM141" s="1"/>
    </row>
    <row r="142" spans="4:39" ht="20.100000000000001" customHeight="1" x14ac:dyDescent="0.2">
      <c r="D142" s="146" t="s">
        <v>1858</v>
      </c>
      <c r="E142" s="146" t="s">
        <v>1861</v>
      </c>
      <c r="F142" s="146" t="s">
        <v>748</v>
      </c>
      <c r="G142" s="146">
        <v>1</v>
      </c>
      <c r="H142" s="146"/>
      <c r="I142" s="146"/>
      <c r="J142" s="146"/>
      <c r="K142" s="146">
        <v>12</v>
      </c>
      <c r="L142" s="146">
        <v>5</v>
      </c>
      <c r="M142" s="146">
        <v>15</v>
      </c>
      <c r="N142" s="146">
        <v>8</v>
      </c>
      <c r="O142" s="146" t="s">
        <v>1749</v>
      </c>
      <c r="P142" s="146">
        <v>0.05</v>
      </c>
      <c r="Q142" s="146" t="s">
        <v>1747</v>
      </c>
      <c r="R142" s="146">
        <v>7.0000000000000007E-2</v>
      </c>
      <c r="S142" s="146" t="s">
        <v>1754</v>
      </c>
      <c r="T142" s="146">
        <v>0.05</v>
      </c>
      <c r="U142" s="146" t="s">
        <v>716</v>
      </c>
      <c r="V142" s="146">
        <v>0.15</v>
      </c>
      <c r="W142" s="146" t="s">
        <v>717</v>
      </c>
      <c r="X142" s="146">
        <v>0.08</v>
      </c>
      <c r="Y142" s="146" t="s">
        <v>1800</v>
      </c>
      <c r="Z142" s="146">
        <v>1.6E-2</v>
      </c>
      <c r="AA142" s="146" t="s">
        <v>1801</v>
      </c>
      <c r="AB142" s="146">
        <v>2.0000000000000001E-4</v>
      </c>
      <c r="AC142" s="146" t="s">
        <v>1805</v>
      </c>
      <c r="AD142" s="146">
        <v>1.4999999999999999E-4</v>
      </c>
      <c r="AE142" s="146"/>
      <c r="AF142" s="146"/>
      <c r="AG142" s="146"/>
      <c r="AH142" s="146"/>
      <c r="AK142" s="1"/>
      <c r="AL142" s="1"/>
      <c r="AM142" s="1"/>
    </row>
    <row r="143" spans="4:39" ht="20.100000000000001" customHeight="1" x14ac:dyDescent="0.2">
      <c r="D143" s="146" t="s">
        <v>1858</v>
      </c>
      <c r="E143" s="146" t="s">
        <v>1862</v>
      </c>
      <c r="F143" s="146" t="s">
        <v>748</v>
      </c>
      <c r="G143" s="146">
        <v>1</v>
      </c>
      <c r="H143" s="146"/>
      <c r="I143" s="146"/>
      <c r="J143" s="146"/>
      <c r="K143" s="146">
        <v>9</v>
      </c>
      <c r="L143" s="146"/>
      <c r="M143" s="146">
        <v>30</v>
      </c>
      <c r="N143" s="146">
        <v>14</v>
      </c>
      <c r="O143" s="146" t="s">
        <v>716</v>
      </c>
      <c r="P143" s="146">
        <v>0.3</v>
      </c>
      <c r="Q143" s="146" t="s">
        <v>717</v>
      </c>
      <c r="R143" s="146">
        <v>0.14000000000000001</v>
      </c>
      <c r="S143" s="146" t="s">
        <v>1749</v>
      </c>
      <c r="T143" s="146">
        <v>4.4999999999999998E-2</v>
      </c>
      <c r="U143" s="146" t="s">
        <v>1747</v>
      </c>
      <c r="V143" s="146">
        <v>4.4999999999999998E-2</v>
      </c>
      <c r="W143" s="146"/>
      <c r="X143" s="146"/>
      <c r="Y143" s="146"/>
      <c r="Z143" s="146"/>
      <c r="AA143" s="146"/>
      <c r="AB143" s="146"/>
      <c r="AC143" s="146"/>
      <c r="AD143" s="146"/>
      <c r="AE143" s="146"/>
      <c r="AF143" s="146"/>
      <c r="AG143" s="146"/>
      <c r="AH143" s="146"/>
      <c r="AK143" s="1"/>
      <c r="AL143" s="1"/>
      <c r="AM143" s="1"/>
    </row>
    <row r="144" spans="4:39" ht="20.100000000000001" customHeight="1" x14ac:dyDescent="0.2">
      <c r="D144" s="146" t="s">
        <v>1858</v>
      </c>
      <c r="E144" s="146" t="s">
        <v>1863</v>
      </c>
      <c r="F144" s="146" t="s">
        <v>748</v>
      </c>
      <c r="G144" s="146">
        <v>1</v>
      </c>
      <c r="H144" s="146"/>
      <c r="I144" s="146"/>
      <c r="J144" s="146"/>
      <c r="K144" s="146">
        <v>13</v>
      </c>
      <c r="L144" s="146">
        <v>1.75</v>
      </c>
      <c r="M144" s="146">
        <v>21</v>
      </c>
      <c r="N144" s="146">
        <v>10.8</v>
      </c>
      <c r="O144" s="146" t="s">
        <v>716</v>
      </c>
      <c r="P144" s="146">
        <v>0.21</v>
      </c>
      <c r="Q144" s="146" t="s">
        <v>717</v>
      </c>
      <c r="R144" s="146">
        <v>0.108</v>
      </c>
      <c r="S144" s="146" t="s">
        <v>1747</v>
      </c>
      <c r="T144" s="146">
        <v>7.6999999999999999E-2</v>
      </c>
      <c r="U144" s="146" t="s">
        <v>1749</v>
      </c>
      <c r="V144" s="146">
        <v>5.2999999999999999E-2</v>
      </c>
      <c r="W144" s="146" t="s">
        <v>1754</v>
      </c>
      <c r="X144" s="146">
        <v>1.7500000000000002E-2</v>
      </c>
      <c r="Y144" s="146" t="s">
        <v>1800</v>
      </c>
      <c r="Z144" s="146">
        <v>4.0000000000000001E-3</v>
      </c>
      <c r="AA144" s="146" t="s">
        <v>1801</v>
      </c>
      <c r="AB144" s="146">
        <v>8.0000000000000004E-4</v>
      </c>
      <c r="AC144" s="146" t="s">
        <v>1805</v>
      </c>
      <c r="AD144" s="146">
        <v>8.0000000000000004E-4</v>
      </c>
      <c r="AE144" s="146"/>
      <c r="AF144" s="146"/>
      <c r="AG144" s="146"/>
      <c r="AH144" s="146"/>
      <c r="AK144" s="1"/>
      <c r="AL144" s="1"/>
      <c r="AM144" s="1"/>
    </row>
    <row r="145" spans="1:39" ht="20.100000000000001" customHeight="1" x14ac:dyDescent="0.2">
      <c r="D145" s="146" t="s">
        <v>1858</v>
      </c>
      <c r="E145" s="146" t="s">
        <v>1864</v>
      </c>
      <c r="F145" s="146" t="s">
        <v>748</v>
      </c>
      <c r="G145" s="146">
        <v>1</v>
      </c>
      <c r="H145" s="146"/>
      <c r="I145" s="146"/>
      <c r="J145" s="146"/>
      <c r="K145" s="146">
        <v>15</v>
      </c>
      <c r="L145" s="146">
        <v>6.5</v>
      </c>
      <c r="M145" s="146">
        <v>12.5</v>
      </c>
      <c r="N145" s="146">
        <v>7.2</v>
      </c>
      <c r="O145" s="146" t="s">
        <v>1749</v>
      </c>
      <c r="P145" s="146">
        <v>9.5000000000000001E-2</v>
      </c>
      <c r="Q145" s="146" t="s">
        <v>716</v>
      </c>
      <c r="R145" s="146">
        <v>0.125</v>
      </c>
      <c r="S145" s="146" t="s">
        <v>717</v>
      </c>
      <c r="T145" s="146">
        <v>7.1999999999999995E-2</v>
      </c>
      <c r="U145" s="146" t="s">
        <v>1754</v>
      </c>
      <c r="V145" s="146">
        <v>6.5000000000000002E-2</v>
      </c>
      <c r="W145" s="146" t="s">
        <v>1747</v>
      </c>
      <c r="X145" s="146">
        <v>5.5E-2</v>
      </c>
      <c r="Y145" s="146" t="s">
        <v>1800</v>
      </c>
      <c r="Z145" s="146">
        <v>6.6E-3</v>
      </c>
      <c r="AA145" s="146" t="s">
        <v>1805</v>
      </c>
      <c r="AB145" s="146">
        <v>1E-3</v>
      </c>
      <c r="AC145" s="146" t="s">
        <v>1801</v>
      </c>
      <c r="AD145" s="146">
        <v>5.9999999999999995E-4</v>
      </c>
      <c r="AE145" s="146"/>
      <c r="AF145" s="146"/>
      <c r="AG145" s="146"/>
      <c r="AH145" s="146"/>
      <c r="AK145" s="1"/>
      <c r="AL145" s="1"/>
      <c r="AM145" s="1"/>
    </row>
    <row r="146" spans="1:39" ht="20.100000000000001" customHeight="1" x14ac:dyDescent="0.2">
      <c r="D146" s="146" t="s">
        <v>1858</v>
      </c>
      <c r="E146" s="146" t="s">
        <v>1865</v>
      </c>
      <c r="F146" s="146" t="s">
        <v>748</v>
      </c>
      <c r="G146" s="146">
        <v>1</v>
      </c>
      <c r="H146" s="146"/>
      <c r="I146" s="146"/>
      <c r="J146" s="146"/>
      <c r="K146" s="146">
        <v>15.5</v>
      </c>
      <c r="L146" s="146"/>
      <c r="M146" s="146"/>
      <c r="N146" s="146"/>
      <c r="O146" s="146" t="s">
        <v>714</v>
      </c>
      <c r="P146" s="146">
        <v>1</v>
      </c>
      <c r="Q146" s="146" t="s">
        <v>1805</v>
      </c>
      <c r="R146" s="146">
        <v>1E-3</v>
      </c>
      <c r="S146" s="146"/>
      <c r="T146" s="146"/>
      <c r="U146" s="146"/>
      <c r="V146" s="146"/>
      <c r="W146" s="146"/>
      <c r="X146" s="146"/>
      <c r="Y146" s="146"/>
      <c r="Z146" s="146"/>
      <c r="AA146" s="146"/>
      <c r="AB146" s="146"/>
      <c r="AC146" s="146"/>
      <c r="AD146" s="146"/>
      <c r="AE146" s="146"/>
      <c r="AF146" s="146"/>
      <c r="AG146" s="146"/>
      <c r="AH146" s="146"/>
      <c r="AK146" s="1"/>
      <c r="AL146" s="1"/>
      <c r="AM146" s="1"/>
    </row>
    <row r="147" spans="1:39" ht="20.100000000000001" customHeight="1" x14ac:dyDescent="0.2">
      <c r="D147" s="146" t="s">
        <v>1858</v>
      </c>
      <c r="E147" s="146" t="s">
        <v>1866</v>
      </c>
      <c r="F147" s="146" t="s">
        <v>748</v>
      </c>
      <c r="G147" s="146">
        <v>1</v>
      </c>
      <c r="H147" s="146"/>
      <c r="I147" s="146"/>
      <c r="J147" s="146"/>
      <c r="K147" s="146">
        <v>10</v>
      </c>
      <c r="L147" s="146">
        <v>21.9</v>
      </c>
      <c r="M147" s="146"/>
      <c r="N147" s="146"/>
      <c r="O147" s="146" t="s">
        <v>1738</v>
      </c>
      <c r="P147" s="146">
        <v>1</v>
      </c>
      <c r="Q147" s="146"/>
      <c r="R147" s="146"/>
      <c r="S147" s="146"/>
      <c r="T147" s="146"/>
      <c r="U147" s="146"/>
      <c r="V147" s="146"/>
      <c r="W147" s="146"/>
      <c r="X147" s="146"/>
      <c r="Y147" s="146"/>
      <c r="Z147" s="146"/>
      <c r="AA147" s="146"/>
      <c r="AB147" s="146"/>
      <c r="AC147" s="146"/>
      <c r="AD147" s="146"/>
      <c r="AE147" s="146"/>
      <c r="AF147" s="146"/>
      <c r="AG147" s="146"/>
      <c r="AH147" s="146"/>
      <c r="AK147" s="1"/>
      <c r="AL147" s="1"/>
      <c r="AM147" s="1"/>
    </row>
    <row r="148" spans="1:39" ht="20.100000000000001" customHeight="1" x14ac:dyDescent="0.2">
      <c r="D148" s="146" t="s">
        <v>1858</v>
      </c>
      <c r="E148" s="146" t="s">
        <v>1867</v>
      </c>
      <c r="F148" s="146" t="s">
        <v>748</v>
      </c>
      <c r="G148" s="146">
        <v>1</v>
      </c>
      <c r="H148" s="146"/>
      <c r="I148" s="146"/>
      <c r="J148" s="146"/>
      <c r="K148" s="146">
        <v>12</v>
      </c>
      <c r="L148" s="146">
        <v>5.2</v>
      </c>
      <c r="M148" s="146">
        <v>29.9</v>
      </c>
      <c r="N148" s="146">
        <v>1</v>
      </c>
      <c r="O148" s="146" t="s">
        <v>716</v>
      </c>
      <c r="P148" s="146">
        <v>0.29899999999999999</v>
      </c>
      <c r="Q148" s="146" t="s">
        <v>1749</v>
      </c>
      <c r="R148" s="146">
        <v>0.10100000000000001</v>
      </c>
      <c r="S148" s="146" t="s">
        <v>1754</v>
      </c>
      <c r="T148" s="146">
        <v>5.1999999999999998E-2</v>
      </c>
      <c r="U148" s="146" t="s">
        <v>1747</v>
      </c>
      <c r="V148" s="146">
        <v>1.9E-2</v>
      </c>
      <c r="W148" s="146" t="s">
        <v>717</v>
      </c>
      <c r="X148" s="146">
        <v>0.01</v>
      </c>
      <c r="Y148" s="146" t="s">
        <v>1800</v>
      </c>
      <c r="Z148" s="146">
        <v>6.0000000000000001E-3</v>
      </c>
      <c r="AA148" s="146" t="s">
        <v>1803</v>
      </c>
      <c r="AB148" s="146">
        <v>6.9999999999999999E-4</v>
      </c>
      <c r="AC148" s="146" t="s">
        <v>1802</v>
      </c>
      <c r="AD148" s="146">
        <v>4.0000000000000002E-4</v>
      </c>
      <c r="AE148" s="146" t="s">
        <v>1801</v>
      </c>
      <c r="AF148" s="146">
        <v>2.5000000000000001E-4</v>
      </c>
      <c r="AG148" s="146" t="s">
        <v>1805</v>
      </c>
      <c r="AH148" s="146">
        <v>2.5000000000000001E-4</v>
      </c>
      <c r="AK148" s="1"/>
      <c r="AL148" s="1"/>
      <c r="AM148" s="1"/>
    </row>
    <row r="149" spans="1:39" ht="20.100000000000001" customHeight="1" x14ac:dyDescent="0.2">
      <c r="D149" s="146" t="s">
        <v>1858</v>
      </c>
      <c r="E149" s="146" t="s">
        <v>1868</v>
      </c>
      <c r="F149" s="146" t="s">
        <v>748</v>
      </c>
      <c r="G149" s="146">
        <v>1</v>
      </c>
      <c r="H149" s="146"/>
      <c r="I149" s="146"/>
      <c r="J149" s="146"/>
      <c r="K149" s="146">
        <v>18</v>
      </c>
      <c r="L149" s="146">
        <v>7.9</v>
      </c>
      <c r="M149" s="146">
        <v>14.9</v>
      </c>
      <c r="N149" s="146">
        <v>2</v>
      </c>
      <c r="O149" s="146" t="s">
        <v>716</v>
      </c>
      <c r="P149" s="146">
        <v>0.14899999999999999</v>
      </c>
      <c r="Q149" s="146" t="s">
        <v>704</v>
      </c>
      <c r="R149" s="146">
        <v>0.21304300000000001</v>
      </c>
      <c r="S149" s="146" t="s">
        <v>1754</v>
      </c>
      <c r="T149" s="146">
        <v>7.9000000000000001E-2</v>
      </c>
      <c r="U149" s="146" t="s">
        <v>1749</v>
      </c>
      <c r="V149" s="146">
        <v>4.9000000000000002E-2</v>
      </c>
      <c r="W149" s="146" t="s">
        <v>1747</v>
      </c>
      <c r="X149" s="146">
        <v>3.3000000000000002E-2</v>
      </c>
      <c r="Y149" s="146" t="s">
        <v>717</v>
      </c>
      <c r="Z149" s="146">
        <v>0.02</v>
      </c>
      <c r="AA149" s="146" t="s">
        <v>1800</v>
      </c>
      <c r="AB149" s="146">
        <v>1.7999999999999999E-2</v>
      </c>
      <c r="AC149" s="146" t="s">
        <v>1803</v>
      </c>
      <c r="AD149" s="146">
        <v>6.9999999999999999E-4</v>
      </c>
      <c r="AE149" s="146" t="s">
        <v>1802</v>
      </c>
      <c r="AF149" s="146">
        <v>4.0000000000000002E-4</v>
      </c>
      <c r="AG149" s="146" t="s">
        <v>1801</v>
      </c>
      <c r="AH149" s="146">
        <v>2.5000000000000001E-4</v>
      </c>
      <c r="AK149" s="1"/>
      <c r="AL149" s="1"/>
      <c r="AM149" s="1"/>
    </row>
    <row r="150" spans="1:39" ht="20.100000000000001" customHeight="1" x14ac:dyDescent="0.2">
      <c r="D150" s="146" t="s">
        <v>1858</v>
      </c>
      <c r="E150" s="146" t="s">
        <v>1869</v>
      </c>
      <c r="F150" s="146" t="s">
        <v>748</v>
      </c>
      <c r="G150" s="146">
        <v>1</v>
      </c>
      <c r="H150" s="146"/>
      <c r="I150" s="146"/>
      <c r="J150" s="146"/>
      <c r="K150" s="146">
        <v>21</v>
      </c>
      <c r="L150" s="146">
        <v>7.4</v>
      </c>
      <c r="M150" s="146">
        <v>2.5</v>
      </c>
      <c r="N150" s="146">
        <v>4</v>
      </c>
      <c r="O150" s="146" t="s">
        <v>1749</v>
      </c>
      <c r="P150" s="146">
        <v>0.105</v>
      </c>
      <c r="Q150" s="146" t="s">
        <v>1747</v>
      </c>
      <c r="R150" s="146">
        <v>0.105</v>
      </c>
      <c r="S150" s="146" t="s">
        <v>1754</v>
      </c>
      <c r="T150" s="146">
        <v>7.3999999999999996E-2</v>
      </c>
      <c r="U150" s="146" t="s">
        <v>717</v>
      </c>
      <c r="V150" s="146">
        <v>0.04</v>
      </c>
      <c r="W150" s="146" t="s">
        <v>716</v>
      </c>
      <c r="X150" s="146">
        <v>2.5000000000000001E-2</v>
      </c>
      <c r="Y150" s="146" t="s">
        <v>1800</v>
      </c>
      <c r="Z150" s="146">
        <v>4.0000000000000001E-3</v>
      </c>
      <c r="AA150" s="146" t="s">
        <v>1801</v>
      </c>
      <c r="AB150" s="146">
        <v>1.5E-3</v>
      </c>
      <c r="AC150" s="146"/>
      <c r="AD150" s="146"/>
      <c r="AE150" s="146"/>
      <c r="AF150" s="146"/>
      <c r="AG150" s="146"/>
      <c r="AH150" s="146"/>
      <c r="AK150" s="1"/>
      <c r="AL150" s="1"/>
      <c r="AM150" s="1"/>
    </row>
    <row r="151" spans="1:39" ht="20.100000000000001" customHeight="1" x14ac:dyDescent="0.2">
      <c r="D151" s="146" t="s">
        <v>1858</v>
      </c>
      <c r="E151" s="146" t="s">
        <v>1870</v>
      </c>
      <c r="F151" s="146" t="s">
        <v>748</v>
      </c>
      <c r="G151" s="146">
        <v>1</v>
      </c>
      <c r="H151" s="146"/>
      <c r="I151" s="146"/>
      <c r="J151" s="146"/>
      <c r="K151" s="146">
        <v>7.5</v>
      </c>
      <c r="L151" s="146"/>
      <c r="M151" s="146">
        <v>29.9</v>
      </c>
      <c r="N151" s="146">
        <v>4</v>
      </c>
      <c r="O151" s="146" t="s">
        <v>716</v>
      </c>
      <c r="P151" s="146">
        <v>0.29899999999999999</v>
      </c>
      <c r="Q151" s="146" t="s">
        <v>1749</v>
      </c>
      <c r="R151" s="146">
        <v>5.1999999999999998E-2</v>
      </c>
      <c r="S151" s="146" t="s">
        <v>717</v>
      </c>
      <c r="T151" s="146">
        <v>0.04</v>
      </c>
      <c r="U151" s="146" t="s">
        <v>1800</v>
      </c>
      <c r="V151" s="146">
        <v>2.7E-2</v>
      </c>
      <c r="W151" s="146" t="s">
        <v>1747</v>
      </c>
      <c r="X151" s="146">
        <v>2.3E-2</v>
      </c>
      <c r="Y151" s="146"/>
      <c r="Z151" s="146"/>
      <c r="AA151" s="146"/>
      <c r="AB151" s="146"/>
      <c r="AC151" s="146"/>
      <c r="AD151" s="146"/>
      <c r="AE151" s="146"/>
      <c r="AF151" s="146"/>
      <c r="AG151" s="146"/>
      <c r="AH151" s="146"/>
      <c r="AK151" s="1"/>
      <c r="AL151" s="1"/>
      <c r="AM151" s="1"/>
    </row>
    <row r="152" spans="1:39" ht="20.100000000000001" customHeight="1" x14ac:dyDescent="0.2">
      <c r="D152" s="146" t="s">
        <v>1788</v>
      </c>
      <c r="E152" s="146" t="s">
        <v>1871</v>
      </c>
      <c r="F152" s="146" t="s">
        <v>748</v>
      </c>
      <c r="G152" s="146">
        <v>1</v>
      </c>
      <c r="H152" s="146"/>
      <c r="I152" s="146"/>
      <c r="J152" s="146"/>
      <c r="K152" s="146">
        <v>10</v>
      </c>
      <c r="L152" s="146">
        <v>21.9</v>
      </c>
      <c r="M152" s="146"/>
      <c r="N152" s="146"/>
      <c r="O152" s="146" t="s">
        <v>1738</v>
      </c>
      <c r="P152" s="146">
        <v>1</v>
      </c>
      <c r="Q152" s="146"/>
      <c r="R152" s="146"/>
      <c r="S152" s="146"/>
      <c r="T152" s="146"/>
      <c r="U152" s="146"/>
      <c r="V152" s="146"/>
      <c r="W152" s="146"/>
      <c r="X152" s="146"/>
      <c r="Y152" s="146"/>
      <c r="Z152" s="146"/>
      <c r="AA152" s="146"/>
      <c r="AB152" s="146"/>
      <c r="AC152" s="146"/>
      <c r="AD152" s="146"/>
      <c r="AE152" s="146"/>
      <c r="AF152" s="146"/>
      <c r="AG152" s="146"/>
      <c r="AH152" s="146"/>
      <c r="AK152" s="1"/>
      <c r="AL152" s="1"/>
      <c r="AM152" s="1"/>
    </row>
    <row r="153" spans="1:39" ht="20.100000000000001" customHeight="1" x14ac:dyDescent="0.2">
      <c r="D153" s="146" t="s">
        <v>1788</v>
      </c>
      <c r="E153" s="146" t="s">
        <v>1872</v>
      </c>
      <c r="F153" s="146" t="s">
        <v>748</v>
      </c>
      <c r="G153" s="146">
        <v>1</v>
      </c>
      <c r="H153" s="146"/>
      <c r="I153" s="146"/>
      <c r="J153" s="146"/>
      <c r="K153" s="146">
        <v>21</v>
      </c>
      <c r="L153" s="146"/>
      <c r="M153" s="146"/>
      <c r="N153" s="146">
        <v>24</v>
      </c>
      <c r="O153" s="146" t="s">
        <v>1742</v>
      </c>
      <c r="P153" s="146">
        <v>1</v>
      </c>
      <c r="Q153" s="146"/>
      <c r="R153" s="146"/>
      <c r="S153" s="146"/>
      <c r="T153" s="146"/>
      <c r="U153" s="146"/>
      <c r="V153" s="146"/>
      <c r="W153" s="146"/>
      <c r="X153" s="146"/>
      <c r="Y153" s="146"/>
      <c r="Z153" s="146"/>
      <c r="AA153" s="146"/>
      <c r="AB153" s="146"/>
      <c r="AC153" s="146"/>
      <c r="AD153" s="146"/>
      <c r="AE153" s="146"/>
      <c r="AF153" s="146"/>
      <c r="AG153" s="146"/>
      <c r="AH153" s="146"/>
      <c r="AK153" s="1"/>
      <c r="AL153" s="1"/>
      <c r="AM153" s="1"/>
    </row>
    <row r="154" spans="1:39" ht="20.100000000000001" customHeight="1" x14ac:dyDescent="0.2">
      <c r="D154" s="146" t="s">
        <v>1788</v>
      </c>
      <c r="E154" s="146" t="s">
        <v>1873</v>
      </c>
      <c r="F154" s="146" t="s">
        <v>748</v>
      </c>
      <c r="G154" s="146">
        <v>1</v>
      </c>
      <c r="H154" s="146"/>
      <c r="I154" s="146"/>
      <c r="J154" s="146"/>
      <c r="K154" s="146">
        <v>12</v>
      </c>
      <c r="L154" s="146">
        <v>5</v>
      </c>
      <c r="M154" s="146">
        <v>14</v>
      </c>
      <c r="N154" s="146">
        <v>9.6999999999999993</v>
      </c>
      <c r="O154" s="146" t="s">
        <v>716</v>
      </c>
      <c r="P154" s="146">
        <v>0.14000000000000001</v>
      </c>
      <c r="Q154" s="146" t="s">
        <v>717</v>
      </c>
      <c r="R154" s="146">
        <v>9.7000000000000003E-2</v>
      </c>
      <c r="S154" s="146" t="s">
        <v>1749</v>
      </c>
      <c r="T154" s="146">
        <v>0.06</v>
      </c>
      <c r="U154" s="146" t="s">
        <v>1747</v>
      </c>
      <c r="V154" s="146">
        <v>0.06</v>
      </c>
      <c r="W154" s="146" t="s">
        <v>1754</v>
      </c>
      <c r="X154" s="146">
        <v>0.05</v>
      </c>
      <c r="Y154" s="146" t="s">
        <v>1793</v>
      </c>
      <c r="Z154" s="146">
        <v>3.1E-2</v>
      </c>
      <c r="AA154" s="146" t="s">
        <v>1800</v>
      </c>
      <c r="AB154" s="146">
        <v>1.2E-2</v>
      </c>
      <c r="AC154" s="146" t="s">
        <v>1801</v>
      </c>
      <c r="AD154" s="146">
        <v>1E-3</v>
      </c>
      <c r="AE154" s="146" t="s">
        <v>1805</v>
      </c>
      <c r="AF154" s="146">
        <v>2.0000000000000001E-4</v>
      </c>
      <c r="AG154" s="146"/>
      <c r="AH154" s="146"/>
      <c r="AK154" s="1"/>
    </row>
    <row r="155" spans="1:39" ht="20.100000000000001" customHeight="1" x14ac:dyDescent="0.2">
      <c r="D155" s="146" t="s">
        <v>1788</v>
      </c>
      <c r="E155" s="146" t="s">
        <v>1874</v>
      </c>
      <c r="F155" s="146" t="s">
        <v>748</v>
      </c>
      <c r="G155" s="146">
        <v>1</v>
      </c>
      <c r="H155" s="146"/>
      <c r="I155" s="146"/>
      <c r="J155" s="146"/>
      <c r="K155" s="146">
        <v>10</v>
      </c>
      <c r="L155" s="146">
        <v>11</v>
      </c>
      <c r="M155" s="146">
        <v>10</v>
      </c>
      <c r="N155" s="146">
        <v>6</v>
      </c>
      <c r="O155" s="146" t="s">
        <v>1754</v>
      </c>
      <c r="P155" s="146">
        <v>0.11</v>
      </c>
      <c r="Q155" s="146" t="s">
        <v>716</v>
      </c>
      <c r="R155" s="146">
        <v>0.1</v>
      </c>
      <c r="S155" s="146" t="s">
        <v>717</v>
      </c>
      <c r="T155" s="146">
        <v>0.06</v>
      </c>
      <c r="U155" s="146" t="s">
        <v>1749</v>
      </c>
      <c r="V155" s="146">
        <v>0.05</v>
      </c>
      <c r="W155" s="146" t="s">
        <v>1747</v>
      </c>
      <c r="X155" s="146">
        <v>0.05</v>
      </c>
      <c r="Y155" s="146" t="s">
        <v>1793</v>
      </c>
      <c r="Z155" s="146">
        <v>4.2999999999999997E-2</v>
      </c>
      <c r="AA155" s="146" t="s">
        <v>1800</v>
      </c>
      <c r="AB155" s="146">
        <v>1.2E-2</v>
      </c>
      <c r="AC155" s="146" t="s">
        <v>1801</v>
      </c>
      <c r="AD155" s="146">
        <v>3.5999999999999999E-3</v>
      </c>
      <c r="AE155" s="146" t="s">
        <v>1805</v>
      </c>
      <c r="AF155" s="146">
        <v>1E-3</v>
      </c>
      <c r="AG155" s="146"/>
      <c r="AH155" s="146"/>
      <c r="AK155" s="1"/>
    </row>
    <row r="156" spans="1:39" ht="20.100000000000001" customHeight="1" x14ac:dyDescent="0.2">
      <c r="A156" s="79" t="str">
        <f>HYPERLINK("#A1", "▲ Back to top")</f>
        <v>▲ Back to top</v>
      </c>
      <c r="D156" s="146" t="s">
        <v>1788</v>
      </c>
      <c r="E156" s="146" t="s">
        <v>1875</v>
      </c>
      <c r="F156" s="146" t="s">
        <v>748</v>
      </c>
      <c r="G156" s="146">
        <v>1</v>
      </c>
      <c r="H156" s="146"/>
      <c r="I156" s="146"/>
      <c r="J156" s="146"/>
      <c r="K156" s="146">
        <v>11</v>
      </c>
      <c r="L156" s="146">
        <v>2.6</v>
      </c>
      <c r="M156" s="146">
        <v>20.8</v>
      </c>
      <c r="N156" s="146">
        <v>4</v>
      </c>
      <c r="O156" s="146" t="s">
        <v>1749</v>
      </c>
      <c r="P156" s="146">
        <v>5.5E-2</v>
      </c>
      <c r="Q156" s="146" t="s">
        <v>1747</v>
      </c>
      <c r="R156" s="146">
        <v>5.5E-2</v>
      </c>
      <c r="S156" s="146" t="s">
        <v>1754</v>
      </c>
      <c r="T156" s="146">
        <v>2.5999999999999999E-2</v>
      </c>
      <c r="U156" s="146" t="s">
        <v>716</v>
      </c>
      <c r="V156" s="146">
        <v>0.20799999999999999</v>
      </c>
      <c r="W156" s="146" t="s">
        <v>717</v>
      </c>
      <c r="X156" s="146">
        <v>0.04</v>
      </c>
      <c r="Y156" s="146" t="s">
        <v>1800</v>
      </c>
      <c r="Z156" s="146">
        <v>2.4E-2</v>
      </c>
      <c r="AA156" s="146"/>
      <c r="AB156" s="146"/>
      <c r="AC156" s="146"/>
      <c r="AD156" s="146"/>
      <c r="AE156" s="146"/>
      <c r="AF156" s="146"/>
      <c r="AG156" s="146"/>
      <c r="AH156" s="146"/>
      <c r="AK156" s="1"/>
    </row>
    <row r="157" spans="1:39" ht="20.100000000000001" customHeight="1" x14ac:dyDescent="0.2">
      <c r="D157" s="146" t="s">
        <v>1788</v>
      </c>
      <c r="E157" s="146" t="s">
        <v>1876</v>
      </c>
      <c r="F157" s="146" t="s">
        <v>748</v>
      </c>
      <c r="G157" s="146">
        <v>1</v>
      </c>
      <c r="H157" s="146"/>
      <c r="I157" s="146"/>
      <c r="J157" s="146"/>
      <c r="K157" s="146">
        <v>12</v>
      </c>
      <c r="L157" s="146">
        <v>5.2</v>
      </c>
      <c r="M157" s="146">
        <v>14.1</v>
      </c>
      <c r="N157" s="146">
        <v>9.6</v>
      </c>
      <c r="O157" s="146" t="s">
        <v>716</v>
      </c>
      <c r="P157" s="146">
        <v>0.14099999999999999</v>
      </c>
      <c r="Q157" s="146" t="s">
        <v>717</v>
      </c>
      <c r="R157" s="146">
        <v>9.6000000000000002E-2</v>
      </c>
      <c r="S157" s="146" t="s">
        <v>1749</v>
      </c>
      <c r="T157" s="146">
        <v>0.06</v>
      </c>
      <c r="U157" s="146" t="s">
        <v>1747</v>
      </c>
      <c r="V157" s="146">
        <v>0.06</v>
      </c>
      <c r="W157" s="146" t="s">
        <v>1754</v>
      </c>
      <c r="X157" s="146">
        <v>5.1999999999999998E-2</v>
      </c>
      <c r="Y157" s="146" t="s">
        <v>1800</v>
      </c>
      <c r="Z157" s="146">
        <v>1.2E-2</v>
      </c>
      <c r="AA157" s="146" t="s">
        <v>1801</v>
      </c>
      <c r="AB157" s="146">
        <v>8.0000000000000004E-4</v>
      </c>
      <c r="AC157" s="146" t="s">
        <v>1803</v>
      </c>
      <c r="AD157" s="146">
        <v>6.9999999999999999E-4</v>
      </c>
      <c r="AE157" s="146" t="s">
        <v>1802</v>
      </c>
      <c r="AF157" s="146">
        <v>5.9999999999999995E-4</v>
      </c>
      <c r="AG157" s="146" t="s">
        <v>1805</v>
      </c>
      <c r="AH157" s="146">
        <v>2.0000000000000001E-4</v>
      </c>
      <c r="AK157" s="1"/>
    </row>
    <row r="158" spans="1:39" ht="20.100000000000001" customHeight="1" x14ac:dyDescent="0.2">
      <c r="D158" s="146" t="s">
        <v>1788</v>
      </c>
      <c r="E158" s="146" t="s">
        <v>1877</v>
      </c>
      <c r="F158" s="146" t="s">
        <v>748</v>
      </c>
      <c r="G158" s="146">
        <v>1</v>
      </c>
      <c r="H158" s="146"/>
      <c r="I158" s="146"/>
      <c r="J158" s="146"/>
      <c r="K158" s="146">
        <v>25</v>
      </c>
      <c r="L158" s="146"/>
      <c r="M158" s="146"/>
      <c r="N158" s="146">
        <v>12.8</v>
      </c>
      <c r="O158" s="146" t="s">
        <v>1742</v>
      </c>
      <c r="P158" s="146">
        <v>0.53333299999999995</v>
      </c>
      <c r="Q158" s="146" t="s">
        <v>1744</v>
      </c>
      <c r="R158" s="146">
        <v>0.40949600000000003</v>
      </c>
      <c r="S158" s="146" t="s">
        <v>1801</v>
      </c>
      <c r="T158" s="146">
        <v>1E-3</v>
      </c>
      <c r="U158" s="146" t="s">
        <v>1802</v>
      </c>
      <c r="V158" s="146">
        <v>1E-3</v>
      </c>
      <c r="W158" s="146" t="s">
        <v>1805</v>
      </c>
      <c r="X158" s="146">
        <v>1E-4</v>
      </c>
      <c r="Y158" s="146" t="s">
        <v>1848</v>
      </c>
      <c r="Z158" s="254">
        <v>1.0000000000000001E-5</v>
      </c>
      <c r="AA158" s="146"/>
      <c r="AB158" s="146"/>
      <c r="AC158" s="146"/>
      <c r="AD158" s="146"/>
      <c r="AE158" s="146"/>
      <c r="AF158" s="146"/>
      <c r="AG158" s="146"/>
      <c r="AH158" s="146"/>
      <c r="AK158" s="1"/>
    </row>
    <row r="159" spans="1:39" ht="20.100000000000001" customHeight="1" x14ac:dyDescent="0.2">
      <c r="D159" s="146" t="s">
        <v>1878</v>
      </c>
      <c r="E159" s="146" t="s">
        <v>1879</v>
      </c>
      <c r="F159" s="146" t="s">
        <v>748</v>
      </c>
      <c r="G159" s="146">
        <v>1</v>
      </c>
      <c r="H159" s="146"/>
      <c r="I159" s="146"/>
      <c r="J159" s="146"/>
      <c r="K159" s="146"/>
      <c r="L159" s="146">
        <v>8.8000000000000007</v>
      </c>
      <c r="M159" s="146"/>
      <c r="N159" s="146">
        <v>11</v>
      </c>
      <c r="O159" s="146" t="s">
        <v>1762</v>
      </c>
      <c r="P159" s="146">
        <v>1</v>
      </c>
      <c r="Q159" s="146"/>
      <c r="R159" s="146"/>
      <c r="S159" s="146"/>
      <c r="T159" s="146"/>
      <c r="U159" s="146"/>
      <c r="V159" s="146"/>
      <c r="W159" s="146"/>
      <c r="X159" s="146"/>
      <c r="Y159" s="146"/>
      <c r="Z159" s="146"/>
      <c r="AA159" s="146"/>
      <c r="AB159" s="146"/>
      <c r="AC159" s="146"/>
      <c r="AD159" s="146"/>
      <c r="AE159" s="146"/>
      <c r="AF159" s="146"/>
      <c r="AG159" s="146"/>
      <c r="AH159" s="146"/>
      <c r="AK159" s="1"/>
    </row>
    <row r="160" spans="1:39" ht="20.100000000000001" customHeight="1" x14ac:dyDescent="0.2">
      <c r="D160" s="146" t="s">
        <v>1817</v>
      </c>
      <c r="E160" s="146" t="s">
        <v>1880</v>
      </c>
      <c r="F160" s="146" t="s">
        <v>748</v>
      </c>
      <c r="G160" s="146">
        <v>1</v>
      </c>
      <c r="H160" s="146"/>
      <c r="I160" s="146"/>
      <c r="J160" s="146"/>
      <c r="K160" s="146">
        <v>10</v>
      </c>
      <c r="L160" s="146">
        <v>21.9</v>
      </c>
      <c r="M160" s="146">
        <v>0</v>
      </c>
      <c r="N160" s="146">
        <v>2</v>
      </c>
      <c r="O160" s="146" t="s">
        <v>1738</v>
      </c>
      <c r="P160" s="146">
        <v>1</v>
      </c>
      <c r="Q160" s="146" t="s">
        <v>1801</v>
      </c>
      <c r="R160" s="146">
        <v>0.01</v>
      </c>
      <c r="S160" s="146"/>
      <c r="T160" s="146"/>
      <c r="U160" s="146"/>
      <c r="V160" s="146"/>
      <c r="W160" s="146"/>
      <c r="X160" s="146"/>
      <c r="Y160" s="146"/>
      <c r="Z160" s="146"/>
      <c r="AA160" s="146"/>
      <c r="AB160" s="146"/>
      <c r="AC160" s="146"/>
      <c r="AD160" s="146"/>
      <c r="AE160" s="146"/>
      <c r="AF160" s="146"/>
      <c r="AG160" s="146"/>
      <c r="AH160" s="146"/>
      <c r="AK160" s="1"/>
    </row>
    <row r="161" spans="4:37" ht="20.100000000000001" customHeight="1" x14ac:dyDescent="0.2">
      <c r="D161" s="146" t="s">
        <v>1881</v>
      </c>
      <c r="E161" s="146" t="s">
        <v>1882</v>
      </c>
      <c r="F161" s="146" t="s">
        <v>748</v>
      </c>
      <c r="G161" s="146">
        <v>1</v>
      </c>
      <c r="H161" s="146"/>
      <c r="I161" s="146"/>
      <c r="J161" s="146"/>
      <c r="K161" s="146">
        <v>21</v>
      </c>
      <c r="L161" s="146">
        <v>0.86</v>
      </c>
      <c r="M161" s="146">
        <v>5.8</v>
      </c>
      <c r="N161" s="146">
        <v>4.2</v>
      </c>
      <c r="O161" s="146" t="s">
        <v>1752</v>
      </c>
      <c r="P161" s="146">
        <v>0.21</v>
      </c>
      <c r="Q161" s="146" t="s">
        <v>716</v>
      </c>
      <c r="R161" s="146">
        <v>5.8000000000000003E-2</v>
      </c>
      <c r="S161" s="146" t="s">
        <v>717</v>
      </c>
      <c r="T161" s="146">
        <v>4.2000000000000003E-2</v>
      </c>
      <c r="U161" s="146" t="s">
        <v>1754</v>
      </c>
      <c r="V161" s="146">
        <v>8.6E-3</v>
      </c>
      <c r="W161" s="146"/>
      <c r="X161" s="146"/>
      <c r="Y161" s="146"/>
      <c r="Z161" s="146"/>
      <c r="AA161" s="146"/>
      <c r="AB161" s="146"/>
      <c r="AC161" s="146"/>
      <c r="AD161" s="146"/>
      <c r="AE161" s="146"/>
      <c r="AF161" s="146"/>
      <c r="AG161" s="146"/>
      <c r="AH161" s="146"/>
      <c r="AK161" s="1"/>
    </row>
    <row r="162" spans="4:37" ht="20.100000000000001" customHeight="1" x14ac:dyDescent="0.2">
      <c r="D162" s="146" t="s">
        <v>1819</v>
      </c>
      <c r="E162" s="146" t="s">
        <v>1883</v>
      </c>
      <c r="F162" s="146" t="s">
        <v>748</v>
      </c>
      <c r="G162" s="146">
        <v>1</v>
      </c>
      <c r="H162" s="146"/>
      <c r="I162" s="146"/>
      <c r="J162" s="146"/>
      <c r="K162" s="146"/>
      <c r="L162" s="146">
        <v>8.8000000000000007</v>
      </c>
      <c r="M162" s="146"/>
      <c r="N162" s="146">
        <v>11</v>
      </c>
      <c r="O162" s="146" t="s">
        <v>1762</v>
      </c>
      <c r="P162" s="146">
        <v>1</v>
      </c>
      <c r="Q162" s="146"/>
      <c r="R162" s="146"/>
      <c r="S162" s="146"/>
      <c r="T162" s="146"/>
      <c r="U162" s="146"/>
      <c r="V162" s="146"/>
      <c r="W162" s="146"/>
      <c r="X162" s="146"/>
      <c r="Y162" s="146"/>
      <c r="Z162" s="146"/>
      <c r="AA162" s="146"/>
      <c r="AB162" s="146"/>
      <c r="AC162" s="146"/>
      <c r="AD162" s="146"/>
      <c r="AE162" s="146"/>
      <c r="AF162" s="146"/>
      <c r="AG162" s="146"/>
      <c r="AH162" s="146"/>
      <c r="AK162" s="1"/>
    </row>
    <row r="163" spans="4:37" ht="20.100000000000001" customHeight="1" x14ac:dyDescent="0.2">
      <c r="D163" s="146" t="s">
        <v>1884</v>
      </c>
      <c r="E163" s="146" t="s">
        <v>1885</v>
      </c>
      <c r="F163" s="146" t="s">
        <v>748</v>
      </c>
      <c r="G163" s="146">
        <v>1</v>
      </c>
      <c r="H163" s="146"/>
      <c r="I163" s="146"/>
      <c r="J163" s="146"/>
      <c r="K163" s="146">
        <v>82.35</v>
      </c>
      <c r="L163" s="146"/>
      <c r="M163" s="146"/>
      <c r="N163" s="146"/>
      <c r="O163" s="146" t="s">
        <v>720</v>
      </c>
      <c r="P163" s="146">
        <v>1</v>
      </c>
      <c r="Q163" s="146"/>
      <c r="R163" s="146"/>
      <c r="S163" s="146"/>
      <c r="T163" s="146"/>
      <c r="U163" s="146"/>
      <c r="V163" s="146"/>
      <c r="W163" s="146"/>
      <c r="X163" s="146"/>
      <c r="Y163" s="146"/>
      <c r="Z163" s="146"/>
      <c r="AA163" s="146"/>
      <c r="AB163" s="146"/>
      <c r="AC163" s="146"/>
      <c r="AD163" s="146"/>
      <c r="AE163" s="146"/>
      <c r="AF163" s="146"/>
      <c r="AG163" s="146"/>
      <c r="AH163" s="146"/>
      <c r="AK163" s="1"/>
    </row>
    <row r="164" spans="4:37" ht="20.100000000000001" customHeight="1" x14ac:dyDescent="0.2">
      <c r="D164" s="146" t="s">
        <v>1819</v>
      </c>
      <c r="E164" s="146" t="s">
        <v>1886</v>
      </c>
      <c r="F164" s="146" t="s">
        <v>748</v>
      </c>
      <c r="G164" s="146">
        <v>1</v>
      </c>
      <c r="H164" s="146" t="s">
        <v>1838</v>
      </c>
      <c r="I164" s="146"/>
      <c r="J164" s="146"/>
      <c r="K164" s="146">
        <v>46</v>
      </c>
      <c r="L164" s="146"/>
      <c r="M164" s="146"/>
      <c r="N164" s="146"/>
      <c r="O164" s="146" t="s">
        <v>704</v>
      </c>
      <c r="P164" s="146">
        <v>1</v>
      </c>
      <c r="Q164" s="146"/>
      <c r="R164" s="146"/>
      <c r="S164" s="146"/>
      <c r="T164" s="146"/>
      <c r="U164" s="146"/>
      <c r="V164" s="146"/>
      <c r="W164" s="146"/>
      <c r="X164" s="146"/>
      <c r="Y164" s="146"/>
      <c r="Z164" s="146"/>
      <c r="AA164" s="146"/>
      <c r="AB164" s="146"/>
      <c r="AC164" s="146"/>
      <c r="AD164" s="146"/>
      <c r="AE164" s="146"/>
      <c r="AF164" s="146"/>
      <c r="AG164" s="146"/>
      <c r="AH164" s="146"/>
      <c r="AK164" s="1"/>
    </row>
    <row r="165" spans="4:37" ht="20.100000000000001" customHeight="1" x14ac:dyDescent="0.2">
      <c r="D165" s="146" t="s">
        <v>1887</v>
      </c>
      <c r="E165" s="146" t="s">
        <v>1888</v>
      </c>
      <c r="F165" s="146" t="s">
        <v>748</v>
      </c>
      <c r="G165" s="146">
        <v>1</v>
      </c>
      <c r="H165" s="146" t="s">
        <v>1838</v>
      </c>
      <c r="I165" s="146"/>
      <c r="J165" s="146"/>
      <c r="K165" s="146">
        <v>45.54</v>
      </c>
      <c r="L165" s="146"/>
      <c r="M165" s="146"/>
      <c r="N165" s="146"/>
      <c r="O165" s="146" t="s">
        <v>704</v>
      </c>
      <c r="P165" s="146">
        <v>0.99</v>
      </c>
      <c r="Q165" s="146" t="s">
        <v>1889</v>
      </c>
      <c r="R165" s="146">
        <v>0.01</v>
      </c>
      <c r="S165" s="146"/>
      <c r="T165" s="146"/>
      <c r="U165" s="146"/>
      <c r="V165" s="146"/>
      <c r="W165" s="146"/>
      <c r="X165" s="146"/>
      <c r="Y165" s="146"/>
      <c r="Z165" s="146"/>
      <c r="AA165" s="146"/>
      <c r="AB165" s="146"/>
      <c r="AC165" s="146"/>
      <c r="AD165" s="146"/>
      <c r="AE165" s="146"/>
      <c r="AF165" s="146"/>
      <c r="AG165" s="146"/>
      <c r="AH165" s="146"/>
      <c r="AK165" s="1"/>
    </row>
    <row r="166" spans="4:37" ht="20.100000000000001" customHeight="1" x14ac:dyDescent="0.2">
      <c r="D166" s="146" t="s">
        <v>1890</v>
      </c>
      <c r="E166" s="146" t="s">
        <v>1891</v>
      </c>
      <c r="F166" s="146" t="s">
        <v>748</v>
      </c>
      <c r="G166" s="146">
        <v>1</v>
      </c>
      <c r="H166" s="146"/>
      <c r="I166" s="146"/>
      <c r="J166" s="146"/>
      <c r="K166" s="146"/>
      <c r="L166" s="146"/>
      <c r="M166" s="146">
        <v>50</v>
      </c>
      <c r="N166" s="146"/>
      <c r="O166" s="146" t="s">
        <v>1760</v>
      </c>
      <c r="P166" s="146">
        <v>1</v>
      </c>
      <c r="Q166" s="146"/>
      <c r="R166" s="146"/>
      <c r="S166" s="146"/>
      <c r="T166" s="146"/>
      <c r="U166" s="146"/>
      <c r="V166" s="146"/>
      <c r="W166" s="146"/>
      <c r="X166" s="146"/>
      <c r="Y166" s="146"/>
      <c r="Z166" s="146"/>
      <c r="AA166" s="146"/>
      <c r="AB166" s="146"/>
      <c r="AC166" s="146"/>
      <c r="AD166" s="146"/>
      <c r="AE166" s="146"/>
      <c r="AF166" s="146"/>
      <c r="AG166" s="146"/>
      <c r="AH166" s="146"/>
      <c r="AK166" s="1"/>
    </row>
    <row r="167" spans="4:37" ht="20.100000000000001" customHeight="1" x14ac:dyDescent="0.2">
      <c r="D167" s="146" t="s">
        <v>1892</v>
      </c>
      <c r="E167" s="146" t="s">
        <v>1893</v>
      </c>
      <c r="F167" s="146" t="s">
        <v>748</v>
      </c>
      <c r="G167" s="146">
        <v>1</v>
      </c>
      <c r="H167" s="146"/>
      <c r="I167" s="146"/>
      <c r="J167" s="146"/>
      <c r="K167" s="146">
        <v>10</v>
      </c>
      <c r="L167" s="146">
        <v>21.9</v>
      </c>
      <c r="M167" s="146"/>
      <c r="N167" s="146"/>
      <c r="O167" s="146" t="s">
        <v>1738</v>
      </c>
      <c r="P167" s="146">
        <v>1</v>
      </c>
      <c r="Q167" s="146"/>
      <c r="R167" s="146"/>
      <c r="S167" s="146"/>
      <c r="T167" s="146"/>
      <c r="U167" s="146"/>
      <c r="V167" s="146"/>
      <c r="W167" s="146"/>
      <c r="X167" s="146"/>
      <c r="Y167" s="146"/>
      <c r="Z167" s="146"/>
      <c r="AA167" s="146"/>
      <c r="AB167" s="146"/>
      <c r="AC167" s="146"/>
      <c r="AD167" s="146"/>
      <c r="AE167" s="146"/>
      <c r="AF167" s="146"/>
      <c r="AG167" s="146"/>
      <c r="AH167" s="146"/>
      <c r="AK167" s="1"/>
    </row>
    <row r="168" spans="4:37" ht="20.100000000000001" customHeight="1" x14ac:dyDescent="0.2">
      <c r="D168" s="146" t="s">
        <v>1788</v>
      </c>
      <c r="E168" s="146" t="s">
        <v>1894</v>
      </c>
      <c r="F168" s="146" t="s">
        <v>748</v>
      </c>
      <c r="G168" s="146">
        <v>1</v>
      </c>
      <c r="H168" s="146"/>
      <c r="I168" s="146"/>
      <c r="J168" s="146"/>
      <c r="K168" s="146">
        <v>26</v>
      </c>
      <c r="L168" s="146"/>
      <c r="M168" s="146"/>
      <c r="N168" s="146">
        <v>13</v>
      </c>
      <c r="O168" s="146" t="s">
        <v>1742</v>
      </c>
      <c r="P168" s="146">
        <v>0.54166700000000001</v>
      </c>
      <c r="Q168" s="146" t="s">
        <v>1744</v>
      </c>
      <c r="R168" s="146">
        <v>0.43397599999999997</v>
      </c>
      <c r="S168" s="146"/>
      <c r="T168" s="146"/>
      <c r="U168" s="146"/>
      <c r="V168" s="146"/>
      <c r="W168" s="146"/>
      <c r="X168" s="146"/>
      <c r="Y168" s="146"/>
      <c r="Z168" s="146"/>
      <c r="AA168" s="146"/>
      <c r="AB168" s="146"/>
      <c r="AC168" s="146"/>
      <c r="AD168" s="146"/>
      <c r="AE168" s="146"/>
      <c r="AF168" s="146"/>
      <c r="AG168" s="146"/>
      <c r="AH168" s="146"/>
      <c r="AK168" s="1"/>
    </row>
    <row r="169" spans="4:37" ht="20.100000000000001" customHeight="1" x14ac:dyDescent="0.2">
      <c r="D169" s="146" t="s">
        <v>1895</v>
      </c>
      <c r="E169" s="146" t="s">
        <v>1896</v>
      </c>
      <c r="F169" s="146" t="s">
        <v>652</v>
      </c>
      <c r="G169" s="146">
        <v>1.2350000000000001</v>
      </c>
      <c r="H169" s="146"/>
      <c r="I169" s="146"/>
      <c r="J169" s="146"/>
      <c r="K169" s="146">
        <v>26.6</v>
      </c>
      <c r="L169" s="146"/>
      <c r="M169" s="146"/>
      <c r="N169" s="146">
        <v>6.7</v>
      </c>
      <c r="O169" s="146" t="s">
        <v>704</v>
      </c>
      <c r="P169" s="146">
        <v>0.45081500000000002</v>
      </c>
      <c r="Q169" s="146" t="s">
        <v>1742</v>
      </c>
      <c r="R169" s="146">
        <v>0.279167</v>
      </c>
      <c r="S169" s="146"/>
      <c r="T169" s="146"/>
      <c r="U169" s="146"/>
      <c r="V169" s="146"/>
      <c r="W169" s="146"/>
      <c r="X169" s="146"/>
      <c r="Y169" s="146"/>
      <c r="Z169" s="146"/>
      <c r="AA169" s="146"/>
      <c r="AB169" s="146"/>
      <c r="AC169" s="146"/>
      <c r="AD169" s="146"/>
      <c r="AE169" s="146"/>
      <c r="AF169" s="146"/>
      <c r="AG169" s="146"/>
      <c r="AH169" s="146"/>
      <c r="AK169" s="1"/>
    </row>
    <row r="170" spans="4:37" ht="20.100000000000001" customHeight="1" x14ac:dyDescent="0.2">
      <c r="D170" s="146" t="s">
        <v>1895</v>
      </c>
      <c r="E170" s="146" t="s">
        <v>1897</v>
      </c>
      <c r="F170" s="146" t="s">
        <v>652</v>
      </c>
      <c r="G170" s="146">
        <v>1.28</v>
      </c>
      <c r="H170" s="146"/>
      <c r="I170" s="146"/>
      <c r="J170" s="146"/>
      <c r="K170" s="146">
        <v>0</v>
      </c>
      <c r="L170" s="146"/>
      <c r="M170" s="146"/>
      <c r="N170" s="146"/>
      <c r="O170" s="146" t="s">
        <v>704</v>
      </c>
      <c r="P170" s="146">
        <v>0.65217400000000003</v>
      </c>
      <c r="Q170" s="146"/>
      <c r="R170" s="146"/>
      <c r="S170" s="146"/>
      <c r="T170" s="146"/>
      <c r="U170" s="146"/>
      <c r="V170" s="146"/>
      <c r="W170" s="146"/>
      <c r="X170" s="146"/>
      <c r="Y170" s="146"/>
      <c r="Z170" s="146"/>
      <c r="AA170" s="146"/>
      <c r="AB170" s="146"/>
      <c r="AC170" s="146"/>
      <c r="AD170" s="146"/>
      <c r="AE170" s="146"/>
      <c r="AF170" s="146"/>
      <c r="AG170" s="146"/>
      <c r="AH170" s="146"/>
      <c r="AK170" s="1"/>
    </row>
    <row r="171" spans="4:37" ht="20.100000000000001" customHeight="1" x14ac:dyDescent="0.2">
      <c r="D171" s="146" t="s">
        <v>1898</v>
      </c>
      <c r="E171" s="146" t="s">
        <v>1899</v>
      </c>
      <c r="F171" s="146" t="s">
        <v>748</v>
      </c>
      <c r="G171" s="146">
        <v>1</v>
      </c>
      <c r="H171" s="146"/>
      <c r="I171" s="146"/>
      <c r="J171" s="146"/>
      <c r="K171" s="146">
        <v>36</v>
      </c>
      <c r="L171" s="146"/>
      <c r="M171" s="146"/>
      <c r="N171" s="146">
        <v>9.6</v>
      </c>
      <c r="O171" s="146" t="s">
        <v>1752</v>
      </c>
      <c r="P171" s="146">
        <v>0.36</v>
      </c>
      <c r="Q171" s="146" t="s">
        <v>717</v>
      </c>
      <c r="R171" s="146">
        <v>9.6000000000000002E-2</v>
      </c>
      <c r="S171" s="146"/>
      <c r="T171" s="146"/>
      <c r="U171" s="146"/>
      <c r="V171" s="146"/>
      <c r="W171" s="146"/>
      <c r="X171" s="146"/>
      <c r="Y171" s="146"/>
      <c r="Z171" s="146"/>
      <c r="AA171" s="146"/>
      <c r="AB171" s="146"/>
      <c r="AC171" s="146"/>
      <c r="AD171" s="146"/>
      <c r="AE171" s="146"/>
      <c r="AF171" s="146"/>
      <c r="AG171" s="146"/>
      <c r="AH171" s="146"/>
      <c r="AK171" s="1"/>
    </row>
    <row r="172" spans="4:37" ht="20.100000000000001" customHeight="1" x14ac:dyDescent="0.2">
      <c r="D172" s="146" t="s">
        <v>1813</v>
      </c>
      <c r="E172" s="146" t="s">
        <v>1900</v>
      </c>
      <c r="F172" s="146" t="s">
        <v>652</v>
      </c>
      <c r="G172" s="146">
        <v>1.3</v>
      </c>
      <c r="H172" s="146"/>
      <c r="I172" s="146"/>
      <c r="J172" s="146"/>
      <c r="K172" s="146">
        <v>20</v>
      </c>
      <c r="L172" s="146">
        <v>8.73</v>
      </c>
      <c r="M172" s="146">
        <v>16.600000000000001</v>
      </c>
      <c r="N172" s="146"/>
      <c r="O172" s="146" t="s">
        <v>1752</v>
      </c>
      <c r="P172" s="146">
        <v>0.2</v>
      </c>
      <c r="Q172" s="146" t="s">
        <v>1754</v>
      </c>
      <c r="R172" s="146">
        <v>8.7279999999999996E-2</v>
      </c>
      <c r="S172" s="146" t="s">
        <v>716</v>
      </c>
      <c r="T172" s="146">
        <v>0.16602</v>
      </c>
      <c r="U172" s="146"/>
      <c r="V172" s="146"/>
      <c r="W172" s="146"/>
      <c r="X172" s="146"/>
      <c r="Y172" s="146"/>
      <c r="Z172" s="146"/>
      <c r="AA172" s="146"/>
      <c r="AB172" s="146"/>
      <c r="AC172" s="146"/>
      <c r="AD172" s="146"/>
      <c r="AE172" s="146"/>
      <c r="AF172" s="146"/>
      <c r="AG172" s="146"/>
      <c r="AH172" s="146"/>
      <c r="AK172" s="1"/>
    </row>
    <row r="173" spans="4:37" ht="20.100000000000001" customHeight="1" x14ac:dyDescent="0.2">
      <c r="D173" s="146" t="s">
        <v>1901</v>
      </c>
      <c r="E173" s="146" t="s">
        <v>1902</v>
      </c>
      <c r="F173" s="146" t="s">
        <v>748</v>
      </c>
      <c r="G173" s="146">
        <v>1</v>
      </c>
      <c r="H173" s="146"/>
      <c r="I173" s="146"/>
      <c r="J173" s="146"/>
      <c r="K173" s="146">
        <v>15</v>
      </c>
      <c r="L173" s="146"/>
      <c r="M173" s="146">
        <v>9.9600000000000009</v>
      </c>
      <c r="N173" s="146"/>
      <c r="O173" s="146" t="s">
        <v>1749</v>
      </c>
      <c r="P173" s="146">
        <v>8.4737000000000007E-2</v>
      </c>
      <c r="Q173" s="146" t="s">
        <v>716</v>
      </c>
      <c r="R173" s="146">
        <v>9.9612000000000006E-2</v>
      </c>
      <c r="S173" s="146" t="s">
        <v>714</v>
      </c>
      <c r="T173" s="146">
        <v>0.42105300000000001</v>
      </c>
      <c r="U173" s="146" t="s">
        <v>1800</v>
      </c>
      <c r="V173" s="146">
        <v>5.0000000000000001E-3</v>
      </c>
      <c r="W173" s="146" t="s">
        <v>1805</v>
      </c>
      <c r="X173" s="146">
        <v>2.0000000000000001E-4</v>
      </c>
      <c r="Y173" s="146"/>
      <c r="Z173" s="146"/>
      <c r="AA173" s="146"/>
      <c r="AB173" s="146"/>
      <c r="AC173" s="146"/>
      <c r="AD173" s="146"/>
      <c r="AE173" s="146"/>
      <c r="AF173" s="146"/>
      <c r="AG173" s="146"/>
      <c r="AH173" s="146"/>
      <c r="AK173" s="1"/>
    </row>
    <row r="174" spans="4:37" ht="20.100000000000001" customHeight="1" x14ac:dyDescent="0.2">
      <c r="D174" s="146" t="s">
        <v>1819</v>
      </c>
      <c r="E174" s="146" t="s">
        <v>1903</v>
      </c>
      <c r="F174" s="146" t="s">
        <v>748</v>
      </c>
      <c r="G174" s="146">
        <v>1</v>
      </c>
      <c r="H174" s="146"/>
      <c r="I174" s="146"/>
      <c r="J174" s="146"/>
      <c r="K174" s="146">
        <v>15.1</v>
      </c>
      <c r="L174" s="146">
        <v>4.4000000000000004</v>
      </c>
      <c r="M174" s="146">
        <v>11.5</v>
      </c>
      <c r="N174" s="146">
        <v>13.6</v>
      </c>
      <c r="O174" s="146" t="s">
        <v>1752</v>
      </c>
      <c r="P174" s="146">
        <v>0.151</v>
      </c>
      <c r="Q174" s="146" t="s">
        <v>1754</v>
      </c>
      <c r="R174" s="146">
        <v>4.3999999999999997E-2</v>
      </c>
      <c r="S174" s="146" t="s">
        <v>716</v>
      </c>
      <c r="T174" s="146">
        <v>0.115</v>
      </c>
      <c r="U174" s="146" t="s">
        <v>717</v>
      </c>
      <c r="V174" s="146">
        <v>0.13600000000000001</v>
      </c>
      <c r="W174" s="146"/>
      <c r="X174" s="146"/>
      <c r="Y174" s="146"/>
      <c r="Z174" s="146"/>
      <c r="AA174" s="146"/>
      <c r="AB174" s="146"/>
      <c r="AC174" s="146"/>
      <c r="AD174" s="146"/>
      <c r="AE174" s="146"/>
      <c r="AF174" s="146"/>
      <c r="AG174" s="146"/>
      <c r="AH174" s="146"/>
      <c r="AK174" s="1"/>
    </row>
    <row r="175" spans="4:37" ht="20.100000000000001" customHeight="1" x14ac:dyDescent="0.2">
      <c r="D175" s="146" t="s">
        <v>1819</v>
      </c>
      <c r="E175" s="146" t="s">
        <v>1904</v>
      </c>
      <c r="F175" s="146" t="s">
        <v>748</v>
      </c>
      <c r="G175" s="146">
        <v>1</v>
      </c>
      <c r="H175" s="146"/>
      <c r="I175" s="146"/>
      <c r="J175" s="146"/>
      <c r="K175" s="146">
        <v>14.6</v>
      </c>
      <c r="L175" s="146">
        <v>12.1</v>
      </c>
      <c r="M175" s="146"/>
      <c r="N175" s="146">
        <v>11.6</v>
      </c>
      <c r="O175" s="146" t="s">
        <v>1752</v>
      </c>
      <c r="P175" s="146">
        <v>0.14599999999999999</v>
      </c>
      <c r="Q175" s="146" t="s">
        <v>1754</v>
      </c>
      <c r="R175" s="146">
        <v>0.121</v>
      </c>
      <c r="S175" s="146" t="s">
        <v>717</v>
      </c>
      <c r="T175" s="146">
        <v>0.11600000000000001</v>
      </c>
      <c r="U175" s="146"/>
      <c r="V175" s="146"/>
      <c r="W175" s="146"/>
      <c r="X175" s="146"/>
      <c r="Y175" s="146"/>
      <c r="Z175" s="146"/>
      <c r="AA175" s="146"/>
      <c r="AB175" s="146"/>
      <c r="AC175" s="146"/>
      <c r="AD175" s="146"/>
      <c r="AE175" s="146"/>
      <c r="AF175" s="146"/>
      <c r="AG175" s="146"/>
      <c r="AH175" s="146"/>
      <c r="AK175" s="1"/>
    </row>
    <row r="176" spans="4:37" ht="20.100000000000001" customHeight="1" x14ac:dyDescent="0.2">
      <c r="D176" s="146" t="s">
        <v>1819</v>
      </c>
      <c r="E176" s="146" t="s">
        <v>1905</v>
      </c>
      <c r="F176" s="146" t="s">
        <v>748</v>
      </c>
      <c r="G176" s="146">
        <v>1</v>
      </c>
      <c r="H176" s="146"/>
      <c r="I176" s="146"/>
      <c r="J176" s="146"/>
      <c r="K176" s="146">
        <v>19</v>
      </c>
      <c r="L176" s="146">
        <v>13</v>
      </c>
      <c r="M176" s="146">
        <v>0</v>
      </c>
      <c r="N176" s="146">
        <v>9</v>
      </c>
      <c r="O176" s="146" t="s">
        <v>1752</v>
      </c>
      <c r="P176" s="146">
        <v>0.19</v>
      </c>
      <c r="Q176" s="146" t="s">
        <v>1754</v>
      </c>
      <c r="R176" s="146">
        <v>0.13</v>
      </c>
      <c r="S176" s="146" t="s">
        <v>717</v>
      </c>
      <c r="T176" s="146">
        <v>0.09</v>
      </c>
      <c r="U176" s="146"/>
      <c r="V176" s="146"/>
      <c r="W176" s="146"/>
      <c r="X176" s="146"/>
      <c r="Y176" s="146"/>
      <c r="Z176" s="146"/>
      <c r="AA176" s="146"/>
      <c r="AB176" s="146"/>
      <c r="AC176" s="146"/>
      <c r="AD176" s="146"/>
      <c r="AE176" s="146"/>
      <c r="AF176" s="146"/>
      <c r="AG176" s="146"/>
      <c r="AH176" s="146"/>
      <c r="AK176" s="1"/>
    </row>
    <row r="177" spans="1:37" ht="20.100000000000001" customHeight="1" x14ac:dyDescent="0.2">
      <c r="D177" s="146" t="s">
        <v>1819</v>
      </c>
      <c r="E177" s="146" t="s">
        <v>1906</v>
      </c>
      <c r="F177" s="146" t="s">
        <v>748</v>
      </c>
      <c r="G177" s="146">
        <v>1</v>
      </c>
      <c r="H177" s="146"/>
      <c r="I177" s="146"/>
      <c r="J177" s="146"/>
      <c r="K177" s="146">
        <v>23.8</v>
      </c>
      <c r="L177" s="146">
        <v>3.7</v>
      </c>
      <c r="M177" s="146">
        <v>13</v>
      </c>
      <c r="N177" s="146">
        <v>4.0999999999999996</v>
      </c>
      <c r="O177" s="146" t="s">
        <v>1752</v>
      </c>
      <c r="P177" s="146">
        <v>0.23799999999999999</v>
      </c>
      <c r="Q177" s="146" t="s">
        <v>1754</v>
      </c>
      <c r="R177" s="146">
        <v>3.6999999999999998E-2</v>
      </c>
      <c r="S177" s="146" t="s">
        <v>716</v>
      </c>
      <c r="T177" s="146">
        <v>0.13</v>
      </c>
      <c r="U177" s="146" t="s">
        <v>717</v>
      </c>
      <c r="V177" s="146">
        <v>4.1000000000000002E-2</v>
      </c>
      <c r="W177" s="146"/>
      <c r="X177" s="146"/>
      <c r="Y177" s="146"/>
      <c r="Z177" s="146"/>
      <c r="AA177" s="146"/>
      <c r="AB177" s="146"/>
      <c r="AC177" s="146"/>
      <c r="AD177" s="146"/>
      <c r="AE177" s="146"/>
      <c r="AF177" s="146"/>
      <c r="AG177" s="146"/>
      <c r="AH177" s="146"/>
      <c r="AK177" s="1"/>
    </row>
    <row r="178" spans="1:37" ht="20.100000000000001" customHeight="1" x14ac:dyDescent="0.2">
      <c r="D178" s="146" t="s">
        <v>1819</v>
      </c>
      <c r="E178" s="146" t="s">
        <v>1907</v>
      </c>
      <c r="F178" s="146" t="s">
        <v>748</v>
      </c>
      <c r="G178" s="146">
        <v>1</v>
      </c>
      <c r="H178" s="146"/>
      <c r="I178" s="146"/>
      <c r="J178" s="146"/>
      <c r="K178" s="146">
        <v>32.799999999999997</v>
      </c>
      <c r="L178" s="146"/>
      <c r="M178" s="146">
        <v>11</v>
      </c>
      <c r="N178" s="146">
        <v>2.9</v>
      </c>
      <c r="O178" s="146" t="s">
        <v>704</v>
      </c>
      <c r="P178" s="146">
        <v>0.66086999999999996</v>
      </c>
      <c r="Q178" s="146" t="s">
        <v>1747</v>
      </c>
      <c r="R178" s="146">
        <v>2.4E-2</v>
      </c>
      <c r="S178" s="146" t="s">
        <v>716</v>
      </c>
      <c r="T178" s="146">
        <v>0.11</v>
      </c>
      <c r="U178" s="146" t="s">
        <v>717</v>
      </c>
      <c r="V178" s="146">
        <v>2.9000000000000001E-2</v>
      </c>
      <c r="W178" s="146"/>
      <c r="X178" s="146"/>
      <c r="Y178" s="146"/>
      <c r="Z178" s="146"/>
      <c r="AA178" s="146"/>
      <c r="AB178" s="146"/>
      <c r="AC178" s="146"/>
      <c r="AD178" s="146"/>
      <c r="AE178" s="146"/>
      <c r="AF178" s="146"/>
      <c r="AG178" s="146"/>
      <c r="AH178" s="146"/>
      <c r="AK178" s="1"/>
    </row>
    <row r="179" spans="1:37" ht="20.100000000000001" customHeight="1" x14ac:dyDescent="0.2">
      <c r="D179" s="146" t="s">
        <v>1819</v>
      </c>
      <c r="E179" s="146" t="s">
        <v>1908</v>
      </c>
      <c r="F179" s="146" t="s">
        <v>748</v>
      </c>
      <c r="G179" s="146">
        <v>1</v>
      </c>
      <c r="H179" s="146"/>
      <c r="I179" s="146"/>
      <c r="J179" s="146"/>
      <c r="K179" s="146">
        <v>11.7</v>
      </c>
      <c r="L179" s="146">
        <v>4.7</v>
      </c>
      <c r="M179" s="146">
        <v>23.9</v>
      </c>
      <c r="N179" s="146">
        <v>4.5999999999999996</v>
      </c>
      <c r="O179" s="146" t="s">
        <v>1752</v>
      </c>
      <c r="P179" s="146">
        <v>0.11700000000000001</v>
      </c>
      <c r="Q179" s="146" t="s">
        <v>1754</v>
      </c>
      <c r="R179" s="146">
        <v>4.7E-2</v>
      </c>
      <c r="S179" s="146" t="s">
        <v>716</v>
      </c>
      <c r="T179" s="146">
        <v>0.23899999999999999</v>
      </c>
      <c r="U179" s="146" t="s">
        <v>717</v>
      </c>
      <c r="V179" s="146">
        <v>4.5999999999999999E-2</v>
      </c>
      <c r="W179" s="146"/>
      <c r="X179" s="146"/>
      <c r="Y179" s="146"/>
      <c r="Z179" s="146"/>
      <c r="AA179" s="146"/>
      <c r="AB179" s="146"/>
      <c r="AC179" s="146"/>
      <c r="AD179" s="146"/>
      <c r="AE179" s="146"/>
      <c r="AF179" s="146"/>
      <c r="AG179" s="146"/>
      <c r="AH179" s="146"/>
      <c r="AK179" s="1"/>
    </row>
    <row r="180" spans="1:37" ht="20.100000000000001" customHeight="1" x14ac:dyDescent="0.2">
      <c r="D180" s="146" t="s">
        <v>1817</v>
      </c>
      <c r="E180" s="146" t="s">
        <v>1909</v>
      </c>
      <c r="F180" s="146" t="s">
        <v>748</v>
      </c>
      <c r="G180" s="146">
        <v>1</v>
      </c>
      <c r="H180" s="146"/>
      <c r="I180" s="146"/>
      <c r="J180" s="146"/>
      <c r="K180" s="146"/>
      <c r="L180" s="146">
        <v>4.4000000000000004</v>
      </c>
      <c r="M180" s="146">
        <v>25</v>
      </c>
      <c r="N180" s="146">
        <v>5.5</v>
      </c>
      <c r="O180" s="146" t="s">
        <v>1762</v>
      </c>
      <c r="P180" s="146">
        <v>0.5</v>
      </c>
      <c r="Q180" s="146" t="s">
        <v>1760</v>
      </c>
      <c r="R180" s="146">
        <v>0.5</v>
      </c>
      <c r="S180" s="146"/>
      <c r="T180" s="146"/>
      <c r="U180" s="146"/>
      <c r="V180" s="146"/>
      <c r="W180" s="146"/>
      <c r="X180" s="146"/>
      <c r="Y180" s="146"/>
      <c r="Z180" s="146"/>
      <c r="AA180" s="146"/>
      <c r="AB180" s="146"/>
      <c r="AC180" s="146"/>
      <c r="AD180" s="146"/>
      <c r="AE180" s="146"/>
      <c r="AF180" s="146"/>
      <c r="AG180" s="146"/>
      <c r="AH180" s="146"/>
    </row>
    <row r="181" spans="1:37" ht="20.100000000000001" customHeight="1" x14ac:dyDescent="0.2">
      <c r="D181" s="146" t="s">
        <v>1817</v>
      </c>
      <c r="E181" s="146" t="s">
        <v>1910</v>
      </c>
      <c r="F181" s="146" t="s">
        <v>748</v>
      </c>
      <c r="G181" s="146">
        <v>1</v>
      </c>
      <c r="H181" s="146"/>
      <c r="I181" s="146"/>
      <c r="J181" s="146"/>
      <c r="K181" s="146"/>
      <c r="L181" s="146">
        <v>5.84</v>
      </c>
      <c r="M181" s="146">
        <v>16.8</v>
      </c>
      <c r="N181" s="146">
        <v>7.29</v>
      </c>
      <c r="O181" s="146" t="s">
        <v>1762</v>
      </c>
      <c r="P181" s="146">
        <v>0.66315800000000003</v>
      </c>
      <c r="Q181" s="146" t="s">
        <v>1760</v>
      </c>
      <c r="R181" s="146">
        <v>0.33600000000000002</v>
      </c>
      <c r="S181" s="146"/>
      <c r="T181" s="146"/>
      <c r="U181" s="146"/>
      <c r="V181" s="146"/>
      <c r="W181" s="146"/>
      <c r="X181" s="146"/>
      <c r="Y181" s="146"/>
      <c r="Z181" s="146"/>
      <c r="AA181" s="146"/>
      <c r="AB181" s="146"/>
      <c r="AC181" s="146"/>
      <c r="AD181" s="146"/>
      <c r="AE181" s="146"/>
      <c r="AF181" s="146"/>
      <c r="AG181" s="146"/>
      <c r="AH181" s="146"/>
    </row>
    <row r="182" spans="1:37" ht="20.100000000000001" customHeight="1" x14ac:dyDescent="0.2">
      <c r="D182" s="146" t="s">
        <v>1817</v>
      </c>
      <c r="E182" s="146" t="s">
        <v>1911</v>
      </c>
      <c r="F182" s="146" t="s">
        <v>748</v>
      </c>
      <c r="G182" s="146">
        <v>1</v>
      </c>
      <c r="H182" s="146"/>
      <c r="I182" s="146"/>
      <c r="J182" s="146"/>
      <c r="K182" s="146"/>
      <c r="L182" s="146">
        <v>6.58</v>
      </c>
      <c r="M182" s="146">
        <v>12.5</v>
      </c>
      <c r="N182" s="146">
        <v>8.2200000000000006</v>
      </c>
      <c r="O182" s="146" t="s">
        <v>1762</v>
      </c>
      <c r="P182" s="146">
        <v>0.74736800000000003</v>
      </c>
      <c r="Q182" s="146" t="s">
        <v>1760</v>
      </c>
      <c r="R182" s="146">
        <v>0.25</v>
      </c>
      <c r="S182" s="146"/>
      <c r="T182" s="146"/>
      <c r="U182" s="146"/>
      <c r="V182" s="146"/>
      <c r="W182" s="146"/>
      <c r="X182" s="146"/>
      <c r="Y182" s="146"/>
      <c r="Z182" s="146"/>
      <c r="AA182" s="146"/>
      <c r="AB182" s="146"/>
      <c r="AC182" s="146"/>
      <c r="AD182" s="146"/>
      <c r="AE182" s="146"/>
      <c r="AF182" s="146"/>
      <c r="AG182" s="146"/>
      <c r="AH182" s="146"/>
    </row>
    <row r="183" spans="1:37" ht="20.100000000000001" customHeight="1" x14ac:dyDescent="0.2">
      <c r="D183" s="146" t="s">
        <v>1817</v>
      </c>
      <c r="E183" s="146" t="s">
        <v>1912</v>
      </c>
      <c r="F183" s="146" t="s">
        <v>748</v>
      </c>
      <c r="G183" s="146">
        <v>1</v>
      </c>
      <c r="H183" s="146"/>
      <c r="I183" s="146"/>
      <c r="J183" s="146"/>
      <c r="K183" s="146"/>
      <c r="L183" s="146">
        <v>7.04</v>
      </c>
      <c r="M183" s="146">
        <v>10</v>
      </c>
      <c r="N183" s="146">
        <v>8.8000000000000007</v>
      </c>
      <c r="O183" s="146" t="s">
        <v>1762</v>
      </c>
      <c r="P183" s="146">
        <v>0.8</v>
      </c>
      <c r="Q183" s="146" t="s">
        <v>1760</v>
      </c>
      <c r="R183" s="146">
        <v>0.2</v>
      </c>
      <c r="S183" s="146"/>
      <c r="T183" s="146"/>
      <c r="U183" s="146"/>
      <c r="V183" s="146"/>
      <c r="W183" s="146"/>
      <c r="X183" s="146"/>
      <c r="Y183" s="146"/>
      <c r="Z183" s="146"/>
      <c r="AA183" s="146"/>
      <c r="AB183" s="146"/>
      <c r="AC183" s="146"/>
      <c r="AD183" s="146"/>
      <c r="AE183" s="146"/>
      <c r="AF183" s="146"/>
      <c r="AG183" s="146"/>
      <c r="AH183" s="146"/>
    </row>
    <row r="184" spans="1:37" ht="20.100000000000001" customHeight="1" x14ac:dyDescent="0.2">
      <c r="D184" s="146" t="s">
        <v>1817</v>
      </c>
      <c r="E184" s="146" t="s">
        <v>1913</v>
      </c>
      <c r="F184" s="146" t="s">
        <v>748</v>
      </c>
      <c r="G184" s="146">
        <v>1</v>
      </c>
      <c r="H184" s="146"/>
      <c r="I184" s="146"/>
      <c r="J184" s="146"/>
      <c r="K184" s="146"/>
      <c r="L184" s="146">
        <v>7.32</v>
      </c>
      <c r="M184" s="146">
        <v>8.4</v>
      </c>
      <c r="N184" s="146">
        <v>9.15</v>
      </c>
      <c r="O184" s="146" t="s">
        <v>1762</v>
      </c>
      <c r="P184" s="146">
        <v>0.83157899999999996</v>
      </c>
      <c r="Q184" s="146" t="s">
        <v>1760</v>
      </c>
      <c r="R184" s="146">
        <v>0.16800000000000001</v>
      </c>
      <c r="S184" s="146"/>
      <c r="T184" s="146"/>
      <c r="U184" s="146"/>
      <c r="V184" s="146"/>
      <c r="W184" s="146"/>
      <c r="X184" s="146"/>
      <c r="Y184" s="146"/>
      <c r="Z184" s="146"/>
      <c r="AA184" s="146"/>
      <c r="AB184" s="146"/>
      <c r="AC184" s="146"/>
      <c r="AD184" s="146"/>
      <c r="AE184" s="146"/>
      <c r="AF184" s="146"/>
      <c r="AG184" s="146"/>
      <c r="AH184" s="146"/>
    </row>
    <row r="185" spans="1:37" ht="20.100000000000001" customHeight="1" x14ac:dyDescent="0.2">
      <c r="D185" s="146" t="s">
        <v>1914</v>
      </c>
      <c r="E185" s="146" t="s">
        <v>1915</v>
      </c>
      <c r="F185" s="146" t="s">
        <v>748</v>
      </c>
      <c r="G185" s="146">
        <v>1</v>
      </c>
      <c r="H185" s="146"/>
      <c r="I185" s="146"/>
      <c r="J185" s="146"/>
      <c r="K185" s="146">
        <v>23.9</v>
      </c>
      <c r="L185" s="146"/>
      <c r="M185" s="146"/>
      <c r="N185" s="146">
        <v>10.8</v>
      </c>
      <c r="O185" s="146" t="s">
        <v>1749</v>
      </c>
      <c r="P185" s="146">
        <v>7.3999999999999996E-2</v>
      </c>
      <c r="Q185" s="146" t="s">
        <v>1747</v>
      </c>
      <c r="R185" s="146">
        <v>0.16500000000000001</v>
      </c>
      <c r="S185" s="146" t="s">
        <v>717</v>
      </c>
      <c r="T185" s="146">
        <v>0.108</v>
      </c>
      <c r="U185" s="146" t="s">
        <v>1793</v>
      </c>
      <c r="V185" s="146">
        <v>4.3999999999999997E-2</v>
      </c>
      <c r="W185" s="146"/>
      <c r="X185" s="146"/>
      <c r="Y185" s="146"/>
      <c r="Z185" s="146"/>
      <c r="AA185" s="146"/>
      <c r="AB185" s="146"/>
      <c r="AC185" s="146"/>
      <c r="AD185" s="146"/>
      <c r="AE185" s="146"/>
      <c r="AF185" s="146"/>
      <c r="AG185" s="146"/>
      <c r="AH185" s="146"/>
    </row>
    <row r="186" spans="1:37" ht="20.100000000000001" customHeight="1" x14ac:dyDescent="0.2">
      <c r="A186" s="79" t="str">
        <f>HYPERLINK("#A1", "▲ Back to top")</f>
        <v>▲ Back to top</v>
      </c>
      <c r="D186" s="146" t="s">
        <v>1914</v>
      </c>
      <c r="E186" s="146" t="s">
        <v>706</v>
      </c>
      <c r="F186" s="146" t="s">
        <v>748</v>
      </c>
      <c r="G186" s="146">
        <v>1</v>
      </c>
      <c r="H186" s="146"/>
      <c r="I186" s="146"/>
      <c r="J186" s="146"/>
      <c r="K186" s="146">
        <v>17.899999999999999</v>
      </c>
      <c r="L186" s="146"/>
      <c r="M186" s="146">
        <v>15</v>
      </c>
      <c r="N186" s="146">
        <v>3.6</v>
      </c>
      <c r="O186" s="146" t="s">
        <v>1749</v>
      </c>
      <c r="P186" s="146">
        <v>5.5E-2</v>
      </c>
      <c r="Q186" s="146" t="s">
        <v>1747</v>
      </c>
      <c r="R186" s="146">
        <v>0.124</v>
      </c>
      <c r="S186" s="146" t="s">
        <v>716</v>
      </c>
      <c r="T186" s="146">
        <v>0.15</v>
      </c>
      <c r="U186" s="146" t="s">
        <v>717</v>
      </c>
      <c r="V186" s="146">
        <v>3.5999999999999997E-2</v>
      </c>
      <c r="W186" s="146" t="s">
        <v>1793</v>
      </c>
      <c r="X186" s="146">
        <v>4.3999999999999997E-2</v>
      </c>
      <c r="Y186" s="146"/>
      <c r="Z186" s="146"/>
      <c r="AA186" s="146"/>
      <c r="AB186" s="146"/>
      <c r="AC186" s="146"/>
      <c r="AD186" s="146"/>
      <c r="AE186" s="146"/>
      <c r="AF186" s="146"/>
      <c r="AG186" s="146"/>
      <c r="AH186" s="146"/>
    </row>
    <row r="187" spans="1:37" ht="20.100000000000001" customHeight="1" x14ac:dyDescent="0.2">
      <c r="D187" s="146" t="s">
        <v>1914</v>
      </c>
      <c r="E187" s="146" t="s">
        <v>1916</v>
      </c>
      <c r="F187" s="146" t="s">
        <v>748</v>
      </c>
      <c r="G187" s="146">
        <v>1</v>
      </c>
      <c r="H187" s="146"/>
      <c r="I187" s="146"/>
      <c r="J187" s="146"/>
      <c r="K187" s="146">
        <v>16.899999999999999</v>
      </c>
      <c r="L187" s="146"/>
      <c r="M187" s="146">
        <v>14.4</v>
      </c>
      <c r="N187" s="146">
        <v>8.6999999999999993</v>
      </c>
      <c r="O187" s="146" t="s">
        <v>1749</v>
      </c>
      <c r="P187" s="146">
        <v>5.1999999999999998E-2</v>
      </c>
      <c r="Q187" s="146" t="s">
        <v>1747</v>
      </c>
      <c r="R187" s="146">
        <v>0.11700000000000001</v>
      </c>
      <c r="S187" s="146" t="s">
        <v>716</v>
      </c>
      <c r="T187" s="146">
        <v>0.14399999999999999</v>
      </c>
      <c r="U187" s="146" t="s">
        <v>717</v>
      </c>
      <c r="V187" s="146">
        <v>8.6999999999999994E-2</v>
      </c>
      <c r="W187" s="146" t="s">
        <v>1793</v>
      </c>
      <c r="X187" s="146">
        <v>4.3999999999999997E-2</v>
      </c>
      <c r="Y187" s="146"/>
      <c r="Z187" s="146"/>
      <c r="AA187" s="146"/>
      <c r="AB187" s="146"/>
      <c r="AC187" s="146"/>
      <c r="AD187" s="146"/>
      <c r="AE187" s="146"/>
      <c r="AF187" s="146"/>
      <c r="AG187" s="146"/>
      <c r="AH187" s="146"/>
    </row>
    <row r="188" spans="1:37" ht="20.100000000000001" customHeight="1" x14ac:dyDescent="0.2">
      <c r="D188" s="146" t="s">
        <v>1914</v>
      </c>
      <c r="E188" s="146" t="s">
        <v>1917</v>
      </c>
      <c r="F188" s="146" t="s">
        <v>748</v>
      </c>
      <c r="G188" s="146">
        <v>1</v>
      </c>
      <c r="H188" s="146"/>
      <c r="I188" s="146"/>
      <c r="J188" s="146"/>
      <c r="K188" s="146">
        <v>18.8</v>
      </c>
      <c r="L188" s="146">
        <v>1</v>
      </c>
      <c r="M188" s="146">
        <v>12.5</v>
      </c>
      <c r="N188" s="146">
        <v>3.7</v>
      </c>
      <c r="O188" s="146" t="s">
        <v>1749</v>
      </c>
      <c r="P188" s="146">
        <v>5.8000000000000003E-2</v>
      </c>
      <c r="Q188" s="146" t="s">
        <v>1747</v>
      </c>
      <c r="R188" s="146">
        <v>0.13</v>
      </c>
      <c r="S188" s="146" t="s">
        <v>1754</v>
      </c>
      <c r="T188" s="146">
        <v>0.01</v>
      </c>
      <c r="U188" s="146" t="s">
        <v>716</v>
      </c>
      <c r="V188" s="146">
        <v>0.125</v>
      </c>
      <c r="W188" s="146" t="s">
        <v>717</v>
      </c>
      <c r="X188" s="146">
        <v>3.6999999999999998E-2</v>
      </c>
      <c r="Y188" s="146" t="s">
        <v>1793</v>
      </c>
      <c r="Z188" s="146">
        <v>4.3999999999999997E-2</v>
      </c>
      <c r="AA188" s="146"/>
      <c r="AB188" s="146"/>
      <c r="AC188" s="146"/>
      <c r="AD188" s="146"/>
      <c r="AE188" s="146"/>
      <c r="AF188" s="146"/>
      <c r="AG188" s="146"/>
      <c r="AH188" s="146"/>
    </row>
    <row r="189" spans="1:37" ht="20.100000000000001" customHeight="1" x14ac:dyDescent="0.2">
      <c r="D189" s="146" t="s">
        <v>1914</v>
      </c>
      <c r="E189" s="146" t="s">
        <v>1918</v>
      </c>
      <c r="F189" s="146" t="s">
        <v>748</v>
      </c>
      <c r="G189" s="146">
        <v>1</v>
      </c>
      <c r="H189" s="146"/>
      <c r="I189" s="146"/>
      <c r="J189" s="146"/>
      <c r="K189" s="146">
        <v>18.600000000000001</v>
      </c>
      <c r="L189" s="146">
        <v>3</v>
      </c>
      <c r="M189" s="146">
        <v>12.5</v>
      </c>
      <c r="N189" s="146">
        <v>1.4</v>
      </c>
      <c r="O189" s="146" t="s">
        <v>1749</v>
      </c>
      <c r="P189" s="146">
        <v>5.8000000000000003E-2</v>
      </c>
      <c r="Q189" s="146" t="s">
        <v>1747</v>
      </c>
      <c r="R189" s="146">
        <v>0.128</v>
      </c>
      <c r="S189" s="146" t="s">
        <v>1754</v>
      </c>
      <c r="T189" s="146">
        <v>0.03</v>
      </c>
      <c r="U189" s="146" t="s">
        <v>716</v>
      </c>
      <c r="V189" s="146">
        <v>0.125</v>
      </c>
      <c r="W189" s="146" t="s">
        <v>717</v>
      </c>
      <c r="X189" s="146">
        <v>1.4E-2</v>
      </c>
      <c r="Y189" s="146" t="s">
        <v>1793</v>
      </c>
      <c r="Z189" s="146">
        <v>4.3999999999999997E-2</v>
      </c>
      <c r="AA189" s="146"/>
      <c r="AB189" s="146"/>
      <c r="AC189" s="146"/>
      <c r="AD189" s="146"/>
      <c r="AE189" s="146"/>
      <c r="AF189" s="146"/>
      <c r="AG189" s="146"/>
      <c r="AH189" s="146"/>
    </row>
    <row r="190" spans="1:37" ht="20.100000000000001" customHeight="1" x14ac:dyDescent="0.2">
      <c r="D190" s="146" t="s">
        <v>1914</v>
      </c>
      <c r="E190" s="146" t="s">
        <v>1919</v>
      </c>
      <c r="F190" s="146" t="s">
        <v>748</v>
      </c>
      <c r="G190" s="146">
        <v>1</v>
      </c>
      <c r="H190" s="146"/>
      <c r="I190" s="146"/>
      <c r="J190" s="146"/>
      <c r="K190" s="146">
        <v>15.8</v>
      </c>
      <c r="L190" s="146"/>
      <c r="M190" s="146">
        <v>19</v>
      </c>
      <c r="N190" s="146">
        <v>3.2</v>
      </c>
      <c r="O190" s="146" t="s">
        <v>1749</v>
      </c>
      <c r="P190" s="146">
        <v>4.9000000000000002E-2</v>
      </c>
      <c r="Q190" s="146" t="s">
        <v>1747</v>
      </c>
      <c r="R190" s="146">
        <v>0.109</v>
      </c>
      <c r="S190" s="146" t="s">
        <v>716</v>
      </c>
      <c r="T190" s="146">
        <v>0.19</v>
      </c>
      <c r="U190" s="146" t="s">
        <v>717</v>
      </c>
      <c r="V190" s="146">
        <v>3.2000000000000001E-2</v>
      </c>
      <c r="W190" s="146" t="s">
        <v>1793</v>
      </c>
      <c r="X190" s="146">
        <v>3.9E-2</v>
      </c>
      <c r="Y190" s="146"/>
      <c r="Z190" s="146"/>
      <c r="AA190" s="146"/>
      <c r="AB190" s="146"/>
      <c r="AC190" s="146"/>
      <c r="AD190" s="146"/>
      <c r="AE190" s="146"/>
      <c r="AF190" s="146"/>
      <c r="AG190" s="146"/>
      <c r="AH190" s="146"/>
    </row>
    <row r="191" spans="1:37" ht="20.100000000000001" customHeight="1" x14ac:dyDescent="0.2">
      <c r="D191" s="146" t="s">
        <v>1819</v>
      </c>
      <c r="E191" s="146" t="s">
        <v>1920</v>
      </c>
      <c r="F191" s="146" t="s">
        <v>748</v>
      </c>
      <c r="G191" s="146">
        <v>1</v>
      </c>
      <c r="H191" s="146"/>
      <c r="I191" s="146"/>
      <c r="J191" s="146"/>
      <c r="K191" s="146">
        <v>25.9</v>
      </c>
      <c r="L191" s="146">
        <v>3.9</v>
      </c>
      <c r="M191" s="146">
        <v>15.9</v>
      </c>
      <c r="N191" s="146">
        <v>0.3</v>
      </c>
      <c r="O191" s="146" t="s">
        <v>1752</v>
      </c>
      <c r="P191" s="146">
        <v>0.25900000000000001</v>
      </c>
      <c r="Q191" s="146" t="s">
        <v>1754</v>
      </c>
      <c r="R191" s="146">
        <v>3.9E-2</v>
      </c>
      <c r="S191" s="146" t="s">
        <v>716</v>
      </c>
      <c r="T191" s="146">
        <v>0.159</v>
      </c>
      <c r="U191" s="146" t="s">
        <v>717</v>
      </c>
      <c r="V191" s="146">
        <v>3.0000000000000001E-3</v>
      </c>
      <c r="W191" s="146"/>
      <c r="X191" s="146"/>
      <c r="Y191" s="146"/>
      <c r="Z191" s="146"/>
      <c r="AA191" s="146"/>
      <c r="AB191" s="146"/>
      <c r="AC191" s="146"/>
      <c r="AD191" s="146"/>
      <c r="AE191" s="146"/>
      <c r="AF191" s="146"/>
      <c r="AG191" s="146"/>
      <c r="AH191" s="146"/>
    </row>
    <row r="192" spans="1:37" ht="20.100000000000001" customHeight="1" x14ac:dyDescent="0.2">
      <c r="D192" s="146" t="s">
        <v>1858</v>
      </c>
      <c r="E192" s="146" t="s">
        <v>1921</v>
      </c>
      <c r="F192" s="146" t="s">
        <v>748</v>
      </c>
      <c r="G192" s="146">
        <v>1</v>
      </c>
      <c r="H192" s="146"/>
      <c r="I192" s="146"/>
      <c r="J192" s="146"/>
      <c r="K192" s="146">
        <v>15.6</v>
      </c>
      <c r="L192" s="146">
        <v>6.37</v>
      </c>
      <c r="M192" s="146">
        <v>12.45</v>
      </c>
      <c r="N192" s="146">
        <v>2.6</v>
      </c>
      <c r="O192" s="146" t="s">
        <v>1749</v>
      </c>
      <c r="P192" s="146">
        <v>5.8000000000000003E-2</v>
      </c>
      <c r="Q192" s="146" t="s">
        <v>1747</v>
      </c>
      <c r="R192" s="146">
        <v>9.8000000000000004E-2</v>
      </c>
      <c r="S192" s="146" t="s">
        <v>1754</v>
      </c>
      <c r="T192" s="146">
        <v>6.3714000000000007E-2</v>
      </c>
      <c r="U192" s="146" t="s">
        <v>716</v>
      </c>
      <c r="V192" s="146">
        <v>0.124515</v>
      </c>
      <c r="W192" s="146" t="s">
        <v>717</v>
      </c>
      <c r="X192" s="146">
        <v>2.5999999999999999E-2</v>
      </c>
      <c r="Y192" s="146"/>
      <c r="Z192" s="146"/>
      <c r="AA192" s="146"/>
      <c r="AB192" s="146"/>
      <c r="AC192" s="146"/>
      <c r="AD192" s="146"/>
      <c r="AE192" s="146"/>
      <c r="AF192" s="146"/>
      <c r="AG192" s="146"/>
      <c r="AH192" s="146"/>
    </row>
    <row r="193" spans="4:34" ht="20.100000000000001" customHeight="1" x14ac:dyDescent="0.2">
      <c r="D193" s="146" t="s">
        <v>1922</v>
      </c>
      <c r="E193" s="146" t="s">
        <v>1923</v>
      </c>
      <c r="F193" s="146" t="s">
        <v>748</v>
      </c>
      <c r="G193" s="146">
        <v>1</v>
      </c>
      <c r="H193" s="146"/>
      <c r="I193" s="146"/>
      <c r="J193" s="146"/>
      <c r="K193" s="146">
        <v>11.15</v>
      </c>
      <c r="L193" s="146">
        <v>17.52</v>
      </c>
      <c r="M193" s="146"/>
      <c r="N193" s="146">
        <v>3.6</v>
      </c>
      <c r="O193" s="146" t="s">
        <v>1738</v>
      </c>
      <c r="P193" s="146">
        <v>0.8</v>
      </c>
      <c r="Q193" s="146" t="s">
        <v>1742</v>
      </c>
      <c r="R193" s="146">
        <v>0.15</v>
      </c>
      <c r="S193" s="146" t="s">
        <v>1804</v>
      </c>
      <c r="T193" s="146" t="s">
        <v>1124</v>
      </c>
      <c r="U193" s="146" t="s">
        <v>1848</v>
      </c>
      <c r="V193" s="146" t="s">
        <v>1124</v>
      </c>
      <c r="W193" s="146" t="s">
        <v>1801</v>
      </c>
      <c r="X193" s="146" t="s">
        <v>1124</v>
      </c>
      <c r="Y193" s="146"/>
      <c r="Z193" s="146"/>
      <c r="AA193" s="146"/>
      <c r="AB193" s="146"/>
      <c r="AC193" s="146"/>
      <c r="AD193" s="146"/>
      <c r="AE193" s="146"/>
      <c r="AF193" s="146"/>
      <c r="AG193" s="146"/>
      <c r="AH193" s="146"/>
    </row>
    <row r="194" spans="4:34" ht="20.100000000000001" customHeight="1" x14ac:dyDescent="0.2">
      <c r="D194" s="146" t="s">
        <v>1922</v>
      </c>
      <c r="E194" s="146" t="s">
        <v>1924</v>
      </c>
      <c r="F194" s="146" t="s">
        <v>748</v>
      </c>
      <c r="G194" s="146">
        <v>1</v>
      </c>
      <c r="H194" s="146"/>
      <c r="I194" s="146"/>
      <c r="J194" s="146"/>
      <c r="K194" s="146"/>
      <c r="L194" s="146">
        <v>5.5</v>
      </c>
      <c r="M194" s="146">
        <v>15</v>
      </c>
      <c r="N194" s="146">
        <v>6.88</v>
      </c>
      <c r="O194" s="146" t="s">
        <v>1762</v>
      </c>
      <c r="P194" s="146">
        <v>0.625</v>
      </c>
      <c r="Q194" s="146" t="s">
        <v>1760</v>
      </c>
      <c r="R194" s="146">
        <v>0.3</v>
      </c>
      <c r="S194" s="146"/>
      <c r="T194" s="146"/>
      <c r="U194" s="146"/>
      <c r="V194" s="146"/>
      <c r="W194" s="146"/>
      <c r="X194" s="146"/>
      <c r="Y194" s="146"/>
      <c r="Z194" s="146"/>
      <c r="AA194" s="146"/>
      <c r="AB194" s="146"/>
      <c r="AC194" s="146"/>
      <c r="AD194" s="146"/>
      <c r="AE194" s="146"/>
      <c r="AF194" s="146"/>
      <c r="AG194" s="146"/>
      <c r="AH194" s="146"/>
    </row>
    <row r="195" spans="4:34" ht="20.100000000000001" customHeight="1" x14ac:dyDescent="0.2">
      <c r="D195" s="146" t="s">
        <v>1925</v>
      </c>
      <c r="E195" s="146" t="s">
        <v>1926</v>
      </c>
      <c r="F195" s="146" t="s">
        <v>748</v>
      </c>
      <c r="G195" s="146">
        <v>1</v>
      </c>
      <c r="H195" s="146"/>
      <c r="I195" s="146"/>
      <c r="J195" s="146"/>
      <c r="K195" s="146">
        <v>27</v>
      </c>
      <c r="L195" s="146"/>
      <c r="M195" s="146"/>
      <c r="N195" s="146"/>
      <c r="O195" s="146" t="s">
        <v>1746</v>
      </c>
      <c r="P195" s="146">
        <v>1</v>
      </c>
      <c r="Q195" s="146"/>
      <c r="R195" s="146"/>
      <c r="S195" s="146"/>
      <c r="T195" s="146"/>
      <c r="U195" s="146"/>
      <c r="V195" s="146"/>
      <c r="W195" s="146"/>
      <c r="X195" s="146"/>
      <c r="Y195" s="146"/>
      <c r="Z195" s="146"/>
      <c r="AA195" s="146"/>
      <c r="AB195" s="146"/>
      <c r="AC195" s="146"/>
      <c r="AD195" s="146"/>
      <c r="AE195" s="146"/>
      <c r="AF195" s="146"/>
      <c r="AG195" s="146"/>
      <c r="AH195" s="146"/>
    </row>
    <row r="196" spans="4:34" ht="20.100000000000001" customHeight="1" x14ac:dyDescent="0.2">
      <c r="D196" s="146" t="s">
        <v>1819</v>
      </c>
      <c r="E196" s="146" t="s">
        <v>1927</v>
      </c>
      <c r="F196" s="146" t="s">
        <v>748</v>
      </c>
      <c r="G196" s="146">
        <v>1</v>
      </c>
      <c r="H196" s="146"/>
      <c r="I196" s="146"/>
      <c r="J196" s="146"/>
      <c r="K196" s="146">
        <v>20.6</v>
      </c>
      <c r="L196" s="146">
        <v>3</v>
      </c>
      <c r="M196" s="146">
        <v>7.5</v>
      </c>
      <c r="N196" s="146">
        <v>3.8</v>
      </c>
      <c r="O196" s="146" t="s">
        <v>1749</v>
      </c>
      <c r="P196" s="146">
        <v>6.4000000000000001E-2</v>
      </c>
      <c r="Q196" s="146" t="s">
        <v>1747</v>
      </c>
      <c r="R196" s="146">
        <v>0.14199999999999999</v>
      </c>
      <c r="S196" s="146" t="s">
        <v>1754</v>
      </c>
      <c r="T196" s="146">
        <v>0.03</v>
      </c>
      <c r="U196" s="146" t="s">
        <v>716</v>
      </c>
      <c r="V196" s="146">
        <v>7.4999999999999997E-2</v>
      </c>
      <c r="W196" s="146" t="s">
        <v>717</v>
      </c>
      <c r="X196" s="146">
        <v>3.7999999999999999E-2</v>
      </c>
      <c r="Y196" s="146" t="s">
        <v>1793</v>
      </c>
      <c r="Z196" s="146">
        <v>4.3999999999999997E-2</v>
      </c>
      <c r="AA196" s="146"/>
      <c r="AB196" s="146"/>
      <c r="AC196" s="146"/>
      <c r="AD196" s="146"/>
      <c r="AE196" s="146"/>
      <c r="AF196" s="146"/>
      <c r="AG196" s="146"/>
      <c r="AH196" s="146"/>
    </row>
    <row r="197" spans="4:34" ht="20.100000000000001" customHeight="1" x14ac:dyDescent="0.2">
      <c r="D197" s="146" t="s">
        <v>1819</v>
      </c>
      <c r="E197" s="146" t="s">
        <v>1928</v>
      </c>
      <c r="F197" s="146" t="s">
        <v>748</v>
      </c>
      <c r="G197" s="146">
        <v>1</v>
      </c>
      <c r="H197" s="146"/>
      <c r="I197" s="146"/>
      <c r="J197" s="146"/>
      <c r="K197" s="146">
        <v>17.8</v>
      </c>
      <c r="L197" s="146">
        <v>1</v>
      </c>
      <c r="M197" s="146">
        <v>15</v>
      </c>
      <c r="N197" s="146">
        <v>2.5</v>
      </c>
      <c r="O197" s="146" t="s">
        <v>1749</v>
      </c>
      <c r="P197" s="146">
        <v>5.5E-2</v>
      </c>
      <c r="Q197" s="146" t="s">
        <v>1747</v>
      </c>
      <c r="R197" s="146">
        <v>0.123</v>
      </c>
      <c r="S197" s="146" t="s">
        <v>1754</v>
      </c>
      <c r="T197" s="146">
        <v>0.01</v>
      </c>
      <c r="U197" s="146" t="s">
        <v>716</v>
      </c>
      <c r="V197" s="146">
        <v>0.15</v>
      </c>
      <c r="W197" s="146" t="s">
        <v>717</v>
      </c>
      <c r="X197" s="146">
        <v>2.5000000000000001E-2</v>
      </c>
      <c r="Y197" s="146" t="s">
        <v>1793</v>
      </c>
      <c r="Z197" s="146">
        <v>4.3999999999999997E-2</v>
      </c>
      <c r="AA197" s="146"/>
      <c r="AB197" s="146"/>
      <c r="AC197" s="146"/>
      <c r="AD197" s="146"/>
      <c r="AE197" s="146"/>
      <c r="AF197" s="146"/>
      <c r="AG197" s="146"/>
      <c r="AH197" s="146"/>
    </row>
    <row r="198" spans="4:34" ht="20.100000000000001" customHeight="1" x14ac:dyDescent="0.2">
      <c r="D198" s="146" t="s">
        <v>1929</v>
      </c>
      <c r="E198" s="146" t="s">
        <v>1930</v>
      </c>
      <c r="F198" s="146" t="s">
        <v>748</v>
      </c>
      <c r="G198" s="146">
        <v>1</v>
      </c>
      <c r="H198" s="146"/>
      <c r="I198" s="146"/>
      <c r="J198" s="146"/>
      <c r="K198" s="146">
        <v>10</v>
      </c>
      <c r="L198" s="146">
        <v>22</v>
      </c>
      <c r="M198" s="146"/>
      <c r="N198" s="146">
        <v>1.5</v>
      </c>
      <c r="O198" s="146" t="s">
        <v>1752</v>
      </c>
      <c r="P198" s="146">
        <v>0.1</v>
      </c>
      <c r="Q198" s="146" t="s">
        <v>1754</v>
      </c>
      <c r="R198" s="146">
        <v>0.22</v>
      </c>
      <c r="S198" s="146" t="s">
        <v>717</v>
      </c>
      <c r="T198" s="146">
        <v>1.4999999999999999E-2</v>
      </c>
      <c r="U198" s="146" t="s">
        <v>1801</v>
      </c>
      <c r="V198" s="146">
        <v>0.01</v>
      </c>
      <c r="W198" s="146"/>
      <c r="X198" s="146"/>
      <c r="Y198" s="146"/>
      <c r="Z198" s="146"/>
      <c r="AA198" s="146"/>
      <c r="AB198" s="146"/>
      <c r="AC198" s="146"/>
      <c r="AD198" s="146"/>
      <c r="AE198" s="146"/>
      <c r="AF198" s="146"/>
      <c r="AG198" s="146"/>
      <c r="AH198" s="146"/>
    </row>
    <row r="199" spans="4:34" ht="20.100000000000001" customHeight="1" x14ac:dyDescent="0.2">
      <c r="D199" s="146" t="s">
        <v>1929</v>
      </c>
      <c r="E199" s="146" t="s">
        <v>1931</v>
      </c>
      <c r="F199" s="146" t="s">
        <v>748</v>
      </c>
      <c r="G199" s="146">
        <v>1</v>
      </c>
      <c r="H199" s="146"/>
      <c r="I199" s="146"/>
      <c r="J199" s="146"/>
      <c r="K199" s="146"/>
      <c r="L199" s="146">
        <v>15.7</v>
      </c>
      <c r="M199" s="146"/>
      <c r="N199" s="146">
        <v>4.5999999999999996</v>
      </c>
      <c r="O199" s="146" t="s">
        <v>1754</v>
      </c>
      <c r="P199" s="146">
        <v>0.157</v>
      </c>
      <c r="Q199" s="146" t="s">
        <v>717</v>
      </c>
      <c r="R199" s="146">
        <v>4.5999999999999999E-2</v>
      </c>
      <c r="S199" s="146" t="s">
        <v>1793</v>
      </c>
      <c r="T199" s="146">
        <v>0.14000000000000001</v>
      </c>
      <c r="U199" s="146"/>
      <c r="V199" s="146"/>
      <c r="W199" s="146"/>
      <c r="X199" s="146"/>
      <c r="Y199" s="146"/>
      <c r="Z199" s="146"/>
      <c r="AA199" s="146"/>
      <c r="AB199" s="146"/>
      <c r="AC199" s="146"/>
      <c r="AD199" s="146"/>
      <c r="AE199" s="146"/>
      <c r="AF199" s="146"/>
      <c r="AG199" s="146"/>
      <c r="AH199" s="146"/>
    </row>
    <row r="200" spans="4:34" ht="20.100000000000001" customHeight="1" x14ac:dyDescent="0.2">
      <c r="D200" s="146" t="s">
        <v>1929</v>
      </c>
      <c r="E200" s="146" t="s">
        <v>1932</v>
      </c>
      <c r="F200" s="146" t="s">
        <v>748</v>
      </c>
      <c r="G200" s="146">
        <v>1</v>
      </c>
      <c r="H200" s="146"/>
      <c r="I200" s="146"/>
      <c r="J200" s="146"/>
      <c r="K200" s="146"/>
      <c r="L200" s="146"/>
      <c r="M200" s="146"/>
      <c r="N200" s="146">
        <v>90</v>
      </c>
      <c r="O200" s="146" t="s">
        <v>717</v>
      </c>
      <c r="P200" s="146">
        <v>0.9</v>
      </c>
      <c r="Q200" s="146"/>
      <c r="R200" s="146"/>
      <c r="S200" s="146"/>
      <c r="T200" s="146"/>
      <c r="U200" s="146"/>
      <c r="V200" s="146"/>
      <c r="W200" s="146"/>
      <c r="X200" s="146"/>
      <c r="Y200" s="146"/>
      <c r="Z200" s="146"/>
      <c r="AA200" s="146"/>
      <c r="AB200" s="146"/>
      <c r="AC200" s="146"/>
      <c r="AD200" s="146"/>
      <c r="AE200" s="146"/>
      <c r="AF200" s="146"/>
      <c r="AG200" s="146"/>
      <c r="AH200" s="146"/>
    </row>
    <row r="201" spans="4:34" ht="20.100000000000001" customHeight="1" x14ac:dyDescent="0.2">
      <c r="D201" s="146" t="s">
        <v>1929</v>
      </c>
      <c r="E201" s="146" t="s">
        <v>1933</v>
      </c>
      <c r="F201" s="146" t="s">
        <v>748</v>
      </c>
      <c r="G201" s="146">
        <v>1</v>
      </c>
      <c r="H201" s="146"/>
      <c r="I201" s="146"/>
      <c r="J201" s="146"/>
      <c r="K201" s="146">
        <v>19.5</v>
      </c>
      <c r="L201" s="146">
        <v>0.7</v>
      </c>
      <c r="M201" s="146"/>
      <c r="N201" s="146">
        <v>23</v>
      </c>
      <c r="O201" s="146" t="s">
        <v>1752</v>
      </c>
      <c r="P201" s="146">
        <v>0.19500000000000001</v>
      </c>
      <c r="Q201" s="146" t="s">
        <v>1754</v>
      </c>
      <c r="R201" s="146">
        <v>7.0000000000000001E-3</v>
      </c>
      <c r="S201" s="146" t="s">
        <v>717</v>
      </c>
      <c r="T201" s="146">
        <v>0.23</v>
      </c>
      <c r="U201" s="146"/>
      <c r="V201" s="146"/>
      <c r="W201" s="146"/>
      <c r="X201" s="146"/>
      <c r="Y201" s="146"/>
      <c r="Z201" s="146"/>
      <c r="AA201" s="146"/>
      <c r="AB201" s="146"/>
      <c r="AC201" s="146"/>
      <c r="AD201" s="146"/>
      <c r="AE201" s="146"/>
      <c r="AF201" s="146"/>
      <c r="AG201" s="146"/>
      <c r="AH201" s="146"/>
    </row>
    <row r="202" spans="4:34" ht="20.100000000000001" customHeight="1" x14ac:dyDescent="0.2">
      <c r="D202" s="146" t="s">
        <v>1929</v>
      </c>
      <c r="E202" s="146" t="s">
        <v>1934</v>
      </c>
      <c r="F202" s="146" t="s">
        <v>748</v>
      </c>
      <c r="G202" s="146">
        <v>1</v>
      </c>
      <c r="H202" s="146"/>
      <c r="I202" s="146"/>
      <c r="J202" s="146"/>
      <c r="K202" s="146">
        <v>10</v>
      </c>
      <c r="L202" s="146">
        <v>18</v>
      </c>
      <c r="M202" s="146"/>
      <c r="N202" s="146">
        <v>8</v>
      </c>
      <c r="O202" s="146" t="s">
        <v>1752</v>
      </c>
      <c r="P202" s="146">
        <v>0.1</v>
      </c>
      <c r="Q202" s="146" t="s">
        <v>1754</v>
      </c>
      <c r="R202" s="146">
        <v>0.18</v>
      </c>
      <c r="S202" s="146" t="s">
        <v>717</v>
      </c>
      <c r="T202" s="146">
        <v>0.08</v>
      </c>
      <c r="U202" s="146" t="s">
        <v>1801</v>
      </c>
      <c r="V202" s="146">
        <v>5.0000000000000001E-3</v>
      </c>
      <c r="W202" s="146"/>
      <c r="X202" s="146"/>
      <c r="Y202" s="146"/>
      <c r="Z202" s="146"/>
      <c r="AA202" s="146"/>
      <c r="AB202" s="146"/>
      <c r="AC202" s="146"/>
      <c r="AD202" s="146"/>
      <c r="AE202" s="146"/>
      <c r="AF202" s="146"/>
      <c r="AG202" s="146"/>
      <c r="AH202" s="146"/>
    </row>
    <row r="203" spans="4:34" ht="20.100000000000001" customHeight="1" x14ac:dyDescent="0.2">
      <c r="D203" s="146" t="s">
        <v>1929</v>
      </c>
      <c r="E203" s="146" t="s">
        <v>1935</v>
      </c>
      <c r="F203" s="146" t="s">
        <v>748</v>
      </c>
      <c r="G203" s="146">
        <v>1</v>
      </c>
      <c r="H203" s="146"/>
      <c r="I203" s="146"/>
      <c r="J203" s="146"/>
      <c r="K203" s="146">
        <v>9</v>
      </c>
      <c r="L203" s="146">
        <v>19.8</v>
      </c>
      <c r="M203" s="146">
        <v>0</v>
      </c>
      <c r="N203" s="146">
        <v>10.4</v>
      </c>
      <c r="O203" s="146" t="s">
        <v>1752</v>
      </c>
      <c r="P203" s="146">
        <v>0.09</v>
      </c>
      <c r="Q203" s="146" t="s">
        <v>1754</v>
      </c>
      <c r="R203" s="146">
        <v>0.19800000000000001</v>
      </c>
      <c r="S203" s="146" t="s">
        <v>717</v>
      </c>
      <c r="T203" s="146">
        <v>0.104</v>
      </c>
      <c r="U203" s="146"/>
      <c r="V203" s="146"/>
      <c r="W203" s="146"/>
      <c r="X203" s="146"/>
      <c r="Y203" s="146"/>
      <c r="Z203" s="146"/>
      <c r="AA203" s="146"/>
      <c r="AB203" s="146"/>
      <c r="AC203" s="146"/>
      <c r="AD203" s="146"/>
      <c r="AE203" s="146"/>
      <c r="AF203" s="146"/>
      <c r="AG203" s="146"/>
      <c r="AH203" s="146"/>
    </row>
    <row r="204" spans="4:34" ht="20.100000000000001" customHeight="1" x14ac:dyDescent="0.2">
      <c r="D204" s="146" t="s">
        <v>1929</v>
      </c>
      <c r="E204" s="146" t="s">
        <v>1936</v>
      </c>
      <c r="F204" s="146" t="s">
        <v>748</v>
      </c>
      <c r="G204" s="146">
        <v>1</v>
      </c>
      <c r="H204" s="146"/>
      <c r="I204" s="146"/>
      <c r="J204" s="146"/>
      <c r="K204" s="146">
        <v>15.2</v>
      </c>
      <c r="L204" s="146">
        <v>16.899999999999999</v>
      </c>
      <c r="M204" s="146">
        <v>0</v>
      </c>
      <c r="N204" s="146">
        <v>15.2</v>
      </c>
      <c r="O204" s="146" t="s">
        <v>1752</v>
      </c>
      <c r="P204" s="146">
        <v>0.152</v>
      </c>
      <c r="Q204" s="146" t="s">
        <v>1754</v>
      </c>
      <c r="R204" s="146">
        <v>0.16900000000000001</v>
      </c>
      <c r="S204" s="146" t="s">
        <v>717</v>
      </c>
      <c r="T204" s="146">
        <v>0.152</v>
      </c>
      <c r="U204" s="146"/>
      <c r="V204" s="146"/>
      <c r="W204" s="146"/>
      <c r="X204" s="146"/>
      <c r="Y204" s="146"/>
      <c r="Z204" s="146"/>
      <c r="AA204" s="146"/>
      <c r="AB204" s="146"/>
      <c r="AC204" s="146"/>
      <c r="AD204" s="146"/>
      <c r="AE204" s="146"/>
      <c r="AF204" s="146"/>
      <c r="AG204" s="146"/>
      <c r="AH204" s="146"/>
    </row>
    <row r="205" spans="4:34" ht="20.100000000000001" customHeight="1" x14ac:dyDescent="0.2">
      <c r="D205" s="146" t="s">
        <v>1929</v>
      </c>
      <c r="E205" s="146" t="s">
        <v>1937</v>
      </c>
      <c r="F205" s="146" t="s">
        <v>748</v>
      </c>
      <c r="G205" s="146">
        <v>1</v>
      </c>
      <c r="H205" s="146"/>
      <c r="I205" s="146"/>
      <c r="J205" s="146"/>
      <c r="K205" s="146">
        <v>16.2</v>
      </c>
      <c r="L205" s="146">
        <v>18</v>
      </c>
      <c r="M205" s="146">
        <v>0</v>
      </c>
      <c r="N205" s="146">
        <v>10.4</v>
      </c>
      <c r="O205" s="146" t="s">
        <v>1752</v>
      </c>
      <c r="P205" s="146">
        <v>0.16200000000000001</v>
      </c>
      <c r="Q205" s="146" t="s">
        <v>1754</v>
      </c>
      <c r="R205" s="146">
        <v>0.18</v>
      </c>
      <c r="S205" s="146" t="s">
        <v>717</v>
      </c>
      <c r="T205" s="146">
        <v>0.104</v>
      </c>
      <c r="U205" s="146"/>
      <c r="V205" s="146"/>
      <c r="W205" s="146"/>
      <c r="X205" s="146"/>
      <c r="Y205" s="146"/>
      <c r="Z205" s="146"/>
      <c r="AA205" s="146"/>
      <c r="AB205" s="146"/>
      <c r="AC205" s="146"/>
      <c r="AD205" s="146"/>
      <c r="AE205" s="146"/>
      <c r="AF205" s="146"/>
      <c r="AG205" s="146"/>
      <c r="AH205" s="146"/>
    </row>
    <row r="206" spans="4:34" ht="20.100000000000001" customHeight="1" x14ac:dyDescent="0.2">
      <c r="D206" s="146" t="s">
        <v>1929</v>
      </c>
      <c r="E206" s="146" t="s">
        <v>1938</v>
      </c>
      <c r="F206" s="146" t="s">
        <v>748</v>
      </c>
      <c r="G206" s="146">
        <v>1</v>
      </c>
      <c r="H206" s="146"/>
      <c r="I206" s="146"/>
      <c r="J206" s="146"/>
      <c r="K206" s="146">
        <v>5</v>
      </c>
      <c r="L206" s="146">
        <v>15.4</v>
      </c>
      <c r="M206" s="146">
        <v>0</v>
      </c>
      <c r="N206" s="146">
        <v>6.3</v>
      </c>
      <c r="O206" s="146" t="s">
        <v>1752</v>
      </c>
      <c r="P206" s="146">
        <v>0.05</v>
      </c>
      <c r="Q206" s="146" t="s">
        <v>1754</v>
      </c>
      <c r="R206" s="146">
        <v>0.154</v>
      </c>
      <c r="S206" s="146" t="s">
        <v>717</v>
      </c>
      <c r="T206" s="146">
        <v>6.3E-2</v>
      </c>
      <c r="U206" s="146"/>
      <c r="V206" s="146"/>
      <c r="W206" s="146"/>
      <c r="X206" s="146"/>
      <c r="Y206" s="146"/>
      <c r="Z206" s="146"/>
      <c r="AA206" s="146"/>
      <c r="AB206" s="146"/>
      <c r="AC206" s="146"/>
      <c r="AD206" s="146"/>
      <c r="AE206" s="146"/>
      <c r="AF206" s="146"/>
      <c r="AG206" s="146"/>
      <c r="AH206" s="146"/>
    </row>
    <row r="207" spans="4:34" ht="20.100000000000001" customHeight="1" x14ac:dyDescent="0.2">
      <c r="D207" s="146" t="s">
        <v>1929</v>
      </c>
      <c r="E207" s="146" t="s">
        <v>1939</v>
      </c>
      <c r="F207" s="146" t="s">
        <v>748</v>
      </c>
      <c r="G207" s="146">
        <v>1</v>
      </c>
      <c r="H207" s="146"/>
      <c r="I207" s="146"/>
      <c r="J207" s="146"/>
      <c r="K207" s="146">
        <v>9</v>
      </c>
      <c r="L207" s="146">
        <v>19.8</v>
      </c>
      <c r="M207" s="146">
        <v>0</v>
      </c>
      <c r="N207" s="146">
        <v>10.4</v>
      </c>
      <c r="O207" s="146" t="s">
        <v>1752</v>
      </c>
      <c r="P207" s="146">
        <v>0.09</v>
      </c>
      <c r="Q207" s="146" t="s">
        <v>1754</v>
      </c>
      <c r="R207" s="146">
        <v>0.19800000000000001</v>
      </c>
      <c r="S207" s="146" t="s">
        <v>717</v>
      </c>
      <c r="T207" s="146">
        <v>0.104</v>
      </c>
      <c r="U207" s="146" t="s">
        <v>1801</v>
      </c>
      <c r="V207" s="146">
        <v>8.9999999999999993E-3</v>
      </c>
      <c r="W207" s="146"/>
      <c r="X207" s="146"/>
      <c r="Y207" s="146"/>
      <c r="Z207" s="146"/>
      <c r="AA207" s="146"/>
      <c r="AB207" s="146"/>
      <c r="AC207" s="146"/>
      <c r="AD207" s="146"/>
      <c r="AE207" s="146"/>
      <c r="AF207" s="146"/>
      <c r="AG207" s="146"/>
      <c r="AH207" s="146"/>
    </row>
    <row r="208" spans="4:34" ht="20.100000000000001" customHeight="1" x14ac:dyDescent="0.2">
      <c r="D208" s="146" t="s">
        <v>1929</v>
      </c>
      <c r="E208" s="146" t="s">
        <v>1940</v>
      </c>
      <c r="F208" s="146" t="s">
        <v>748</v>
      </c>
      <c r="G208" s="146">
        <v>1</v>
      </c>
      <c r="H208" s="146"/>
      <c r="I208" s="146"/>
      <c r="J208" s="146"/>
      <c r="K208" s="146">
        <v>11.9</v>
      </c>
      <c r="L208" s="146">
        <v>17.600000000000001</v>
      </c>
      <c r="M208" s="146">
        <v>0</v>
      </c>
      <c r="N208" s="146">
        <v>5.9</v>
      </c>
      <c r="O208" s="146" t="s">
        <v>1752</v>
      </c>
      <c r="P208" s="146">
        <v>0.11899999999999999</v>
      </c>
      <c r="Q208" s="146" t="s">
        <v>1754</v>
      </c>
      <c r="R208" s="146">
        <v>0.17599999999999999</v>
      </c>
      <c r="S208" s="146" t="s">
        <v>717</v>
      </c>
      <c r="T208" s="146">
        <v>5.8999999999999997E-2</v>
      </c>
      <c r="U208" s="146" t="s">
        <v>1801</v>
      </c>
      <c r="V208" s="146">
        <v>8.0000000000000002E-3</v>
      </c>
      <c r="W208" s="146"/>
      <c r="X208" s="146"/>
      <c r="Y208" s="146"/>
      <c r="Z208" s="146"/>
      <c r="AA208" s="146"/>
      <c r="AB208" s="146"/>
      <c r="AC208" s="146"/>
      <c r="AD208" s="146"/>
      <c r="AE208" s="146"/>
      <c r="AF208" s="146"/>
      <c r="AG208" s="146"/>
      <c r="AH208" s="146"/>
    </row>
    <row r="209" spans="1:34" ht="20.100000000000001" customHeight="1" x14ac:dyDescent="0.2">
      <c r="D209" s="146" t="s">
        <v>1929</v>
      </c>
      <c r="E209" s="146" t="s">
        <v>1941</v>
      </c>
      <c r="F209" s="146" t="s">
        <v>748</v>
      </c>
      <c r="G209" s="146">
        <v>1</v>
      </c>
      <c r="H209" s="146"/>
      <c r="I209" s="146"/>
      <c r="J209" s="146"/>
      <c r="K209" s="146">
        <v>14.1</v>
      </c>
      <c r="L209" s="146">
        <v>12.8</v>
      </c>
      <c r="M209" s="146">
        <v>0</v>
      </c>
      <c r="N209" s="146">
        <v>10.7</v>
      </c>
      <c r="O209" s="146" t="s">
        <v>1752</v>
      </c>
      <c r="P209" s="146">
        <v>0.14099999999999999</v>
      </c>
      <c r="Q209" s="146" t="s">
        <v>1754</v>
      </c>
      <c r="R209" s="146">
        <v>0.128</v>
      </c>
      <c r="S209" s="146" t="s">
        <v>717</v>
      </c>
      <c r="T209" s="146">
        <v>0.107</v>
      </c>
      <c r="U209" s="146" t="s">
        <v>1801</v>
      </c>
      <c r="V209" s="146">
        <v>6.0000000000000001E-3</v>
      </c>
      <c r="W209" s="146"/>
      <c r="X209" s="146"/>
      <c r="Y209" s="146"/>
      <c r="Z209" s="146"/>
      <c r="AA209" s="146"/>
      <c r="AB209" s="146"/>
      <c r="AC209" s="146"/>
      <c r="AD209" s="146"/>
      <c r="AE209" s="146"/>
      <c r="AF209" s="146"/>
      <c r="AG209" s="146"/>
      <c r="AH209" s="146"/>
    </row>
    <row r="210" spans="1:34" ht="20.100000000000001" customHeight="1" x14ac:dyDescent="0.2">
      <c r="D210" s="146" t="s">
        <v>1929</v>
      </c>
      <c r="E210" s="146" t="s">
        <v>1942</v>
      </c>
      <c r="F210" s="146" t="s">
        <v>748</v>
      </c>
      <c r="G210" s="146">
        <v>1</v>
      </c>
      <c r="H210" s="146"/>
      <c r="I210" s="146"/>
      <c r="J210" s="146"/>
      <c r="K210" s="146">
        <v>18.600000000000001</v>
      </c>
      <c r="L210" s="146">
        <v>12.7</v>
      </c>
      <c r="M210" s="146">
        <v>0</v>
      </c>
      <c r="N210" s="146">
        <v>6.8</v>
      </c>
      <c r="O210" s="146" t="s">
        <v>1752</v>
      </c>
      <c r="P210" s="146">
        <v>0.186</v>
      </c>
      <c r="Q210" s="146" t="s">
        <v>1754</v>
      </c>
      <c r="R210" s="146">
        <v>0.127</v>
      </c>
      <c r="S210" s="146" t="s">
        <v>717</v>
      </c>
      <c r="T210" s="146">
        <v>6.8000000000000005E-2</v>
      </c>
      <c r="U210" s="146" t="s">
        <v>1801</v>
      </c>
      <c r="V210" s="146">
        <v>6.0000000000000001E-3</v>
      </c>
      <c r="W210" s="146"/>
      <c r="X210" s="146"/>
      <c r="Y210" s="146"/>
      <c r="Z210" s="146"/>
      <c r="AA210" s="146"/>
      <c r="AB210" s="146"/>
      <c r="AC210" s="146"/>
      <c r="AD210" s="146"/>
      <c r="AE210" s="146"/>
      <c r="AF210" s="146"/>
      <c r="AG210" s="146"/>
      <c r="AH210" s="146"/>
    </row>
    <row r="211" spans="1:34" ht="20.100000000000001" customHeight="1" x14ac:dyDescent="0.2">
      <c r="D211" s="146" t="s">
        <v>1929</v>
      </c>
      <c r="E211" s="146" t="s">
        <v>1943</v>
      </c>
      <c r="F211" s="146" t="s">
        <v>748</v>
      </c>
      <c r="G211" s="146">
        <v>1</v>
      </c>
      <c r="H211" s="146"/>
      <c r="I211" s="146"/>
      <c r="J211" s="146"/>
      <c r="K211" s="146">
        <v>32</v>
      </c>
      <c r="L211" s="146">
        <v>0</v>
      </c>
      <c r="M211" s="146">
        <v>11</v>
      </c>
      <c r="N211" s="146">
        <v>3</v>
      </c>
      <c r="O211" s="146" t="s">
        <v>1752</v>
      </c>
      <c r="P211" s="146">
        <v>0.32</v>
      </c>
      <c r="Q211" s="146" t="s">
        <v>716</v>
      </c>
      <c r="R211" s="146">
        <v>0.11</v>
      </c>
      <c r="S211" s="146" t="s">
        <v>717</v>
      </c>
      <c r="T211" s="146">
        <v>0.03</v>
      </c>
      <c r="U211" s="146"/>
      <c r="V211" s="146"/>
      <c r="W211" s="146"/>
      <c r="X211" s="146"/>
      <c r="Y211" s="146"/>
      <c r="Z211" s="146"/>
      <c r="AA211" s="146"/>
      <c r="AB211" s="146"/>
      <c r="AC211" s="146"/>
      <c r="AD211" s="146"/>
      <c r="AE211" s="146"/>
      <c r="AF211" s="146"/>
      <c r="AG211" s="146"/>
      <c r="AH211" s="146"/>
    </row>
    <row r="212" spans="1:34" ht="20.100000000000001" customHeight="1" x14ac:dyDescent="0.2">
      <c r="D212" s="146" t="s">
        <v>1929</v>
      </c>
      <c r="E212" s="146" t="s">
        <v>1944</v>
      </c>
      <c r="F212" s="146" t="s">
        <v>748</v>
      </c>
      <c r="G212" s="146">
        <v>1</v>
      </c>
      <c r="H212" s="146"/>
      <c r="I212" s="146"/>
      <c r="J212" s="146"/>
      <c r="K212" s="146">
        <v>31</v>
      </c>
      <c r="L212" s="146">
        <v>6</v>
      </c>
      <c r="M212" s="146">
        <v>0</v>
      </c>
      <c r="N212" s="146">
        <v>6</v>
      </c>
      <c r="O212" s="146" t="s">
        <v>1752</v>
      </c>
      <c r="P212" s="146">
        <v>0.31</v>
      </c>
      <c r="Q212" s="146" t="s">
        <v>1754</v>
      </c>
      <c r="R212" s="146">
        <v>0.06</v>
      </c>
      <c r="S212" s="146" t="s">
        <v>717</v>
      </c>
      <c r="T212" s="146">
        <v>0.06</v>
      </c>
      <c r="U212" s="146"/>
      <c r="V212" s="146"/>
      <c r="W212" s="146"/>
      <c r="X212" s="146"/>
      <c r="Y212" s="146"/>
      <c r="Z212" s="146"/>
      <c r="AA212" s="146"/>
      <c r="AB212" s="146"/>
      <c r="AC212" s="146"/>
      <c r="AD212" s="146"/>
      <c r="AE212" s="146"/>
      <c r="AF212" s="146"/>
      <c r="AG212" s="146"/>
      <c r="AH212" s="146"/>
    </row>
    <row r="213" spans="1:34" ht="20.100000000000001" customHeight="1" x14ac:dyDescent="0.2">
      <c r="D213" s="146" t="s">
        <v>1929</v>
      </c>
      <c r="E213" s="146" t="s">
        <v>1945</v>
      </c>
      <c r="F213" s="146" t="s">
        <v>748</v>
      </c>
      <c r="G213" s="146">
        <v>1</v>
      </c>
      <c r="H213" s="146"/>
      <c r="I213" s="146"/>
      <c r="J213" s="146"/>
      <c r="K213" s="146">
        <v>21</v>
      </c>
      <c r="L213" s="146">
        <v>4</v>
      </c>
      <c r="M213" s="146">
        <v>8</v>
      </c>
      <c r="N213" s="146">
        <v>7</v>
      </c>
      <c r="O213" s="146" t="s">
        <v>1752</v>
      </c>
      <c r="P213" s="146">
        <v>0.21</v>
      </c>
      <c r="Q213" s="146" t="s">
        <v>1754</v>
      </c>
      <c r="R213" s="146">
        <v>0.04</v>
      </c>
      <c r="S213" s="146" t="s">
        <v>716</v>
      </c>
      <c r="T213" s="146">
        <v>0.08</v>
      </c>
      <c r="U213" s="146" t="s">
        <v>717</v>
      </c>
      <c r="V213" s="146">
        <v>7.0000000000000007E-2</v>
      </c>
      <c r="W213" s="146"/>
      <c r="X213" s="146"/>
      <c r="Y213" s="146"/>
      <c r="Z213" s="146"/>
      <c r="AA213" s="146"/>
      <c r="AB213" s="146"/>
      <c r="AC213" s="146"/>
      <c r="AD213" s="146"/>
      <c r="AE213" s="146"/>
      <c r="AF213" s="146"/>
      <c r="AG213" s="146"/>
      <c r="AH213" s="146"/>
    </row>
    <row r="214" spans="1:34" ht="20.100000000000001" customHeight="1" x14ac:dyDescent="0.2">
      <c r="D214" s="146" t="s">
        <v>1929</v>
      </c>
      <c r="E214" s="146" t="s">
        <v>1946</v>
      </c>
      <c r="F214" s="146" t="s">
        <v>748</v>
      </c>
      <c r="G214" s="146">
        <v>1</v>
      </c>
      <c r="H214" s="146"/>
      <c r="I214" s="146"/>
      <c r="J214" s="146"/>
      <c r="K214" s="146">
        <v>23</v>
      </c>
      <c r="L214" s="146">
        <v>0</v>
      </c>
      <c r="M214" s="146">
        <v>25</v>
      </c>
      <c r="N214" s="146">
        <v>0</v>
      </c>
      <c r="O214" s="146" t="s">
        <v>1752</v>
      </c>
      <c r="P214" s="146">
        <v>0.23</v>
      </c>
      <c r="Q214" s="146" t="s">
        <v>716</v>
      </c>
      <c r="R214" s="146">
        <v>0.25</v>
      </c>
      <c r="S214" s="146"/>
      <c r="T214" s="146"/>
      <c r="U214" s="146"/>
      <c r="V214" s="146"/>
      <c r="W214" s="146"/>
      <c r="X214" s="146"/>
      <c r="Y214" s="146"/>
      <c r="Z214" s="146"/>
      <c r="AA214" s="146"/>
      <c r="AB214" s="146"/>
      <c r="AC214" s="146"/>
      <c r="AD214" s="146"/>
      <c r="AE214" s="146"/>
      <c r="AF214" s="146"/>
      <c r="AG214" s="146"/>
      <c r="AH214" s="146"/>
    </row>
    <row r="215" spans="1:34" ht="20.100000000000001" customHeight="1" x14ac:dyDescent="0.2">
      <c r="D215" s="146" t="s">
        <v>1929</v>
      </c>
      <c r="E215" s="146" t="s">
        <v>1947</v>
      </c>
      <c r="F215" s="146" t="s">
        <v>748</v>
      </c>
      <c r="G215" s="146">
        <v>1</v>
      </c>
      <c r="H215" s="146"/>
      <c r="I215" s="146"/>
      <c r="J215" s="146"/>
      <c r="K215" s="146">
        <v>25</v>
      </c>
      <c r="L215" s="146">
        <v>4</v>
      </c>
      <c r="M215" s="146">
        <v>13</v>
      </c>
      <c r="N215" s="146">
        <v>4</v>
      </c>
      <c r="O215" s="146" t="s">
        <v>1752</v>
      </c>
      <c r="P215" s="146">
        <v>0.25</v>
      </c>
      <c r="Q215" s="146" t="s">
        <v>1754</v>
      </c>
      <c r="R215" s="146">
        <v>0.04</v>
      </c>
      <c r="S215" s="146" t="s">
        <v>716</v>
      </c>
      <c r="T215" s="146">
        <v>0.13</v>
      </c>
      <c r="U215" s="146" t="s">
        <v>717</v>
      </c>
      <c r="V215" s="146">
        <v>0.04</v>
      </c>
      <c r="W215" s="146"/>
      <c r="X215" s="146"/>
      <c r="Y215" s="146"/>
      <c r="Z215" s="146"/>
      <c r="AA215" s="146"/>
      <c r="AB215" s="146"/>
      <c r="AC215" s="146"/>
      <c r="AD215" s="146"/>
      <c r="AE215" s="146"/>
      <c r="AF215" s="146"/>
      <c r="AG215" s="146"/>
      <c r="AH215" s="146"/>
    </row>
    <row r="216" spans="1:34" ht="20.100000000000001" customHeight="1" x14ac:dyDescent="0.2">
      <c r="A216" s="79" t="str">
        <f>HYPERLINK("#A1", "▲ Back to top")</f>
        <v>▲ Back to top</v>
      </c>
      <c r="D216" s="146" t="s">
        <v>1929</v>
      </c>
      <c r="E216" s="146" t="s">
        <v>1948</v>
      </c>
      <c r="F216" s="146" t="s">
        <v>748</v>
      </c>
      <c r="G216" s="146">
        <v>1</v>
      </c>
      <c r="H216" s="146"/>
      <c r="I216" s="146"/>
      <c r="J216" s="146"/>
      <c r="K216" s="146">
        <v>13</v>
      </c>
      <c r="L216" s="146">
        <v>5</v>
      </c>
      <c r="M216" s="146">
        <v>24</v>
      </c>
      <c r="N216" s="146">
        <v>5</v>
      </c>
      <c r="O216" s="146" t="s">
        <v>1752</v>
      </c>
      <c r="P216" s="146">
        <v>0.13</v>
      </c>
      <c r="Q216" s="146" t="s">
        <v>1754</v>
      </c>
      <c r="R216" s="146">
        <v>0.05</v>
      </c>
      <c r="S216" s="146" t="s">
        <v>716</v>
      </c>
      <c r="T216" s="146">
        <v>0.24</v>
      </c>
      <c r="U216" s="146" t="s">
        <v>717</v>
      </c>
      <c r="V216" s="146">
        <v>0.05</v>
      </c>
      <c r="W216" s="146"/>
      <c r="X216" s="146"/>
      <c r="Y216" s="146"/>
      <c r="Z216" s="146"/>
      <c r="AA216" s="146"/>
      <c r="AB216" s="146"/>
      <c r="AC216" s="146"/>
      <c r="AD216" s="146"/>
      <c r="AE216" s="146"/>
      <c r="AF216" s="146"/>
      <c r="AG216" s="146"/>
      <c r="AH216" s="146"/>
    </row>
    <row r="217" spans="1:34" ht="20.100000000000001" customHeight="1" x14ac:dyDescent="0.2">
      <c r="D217" s="146" t="s">
        <v>1929</v>
      </c>
      <c r="E217" s="146" t="s">
        <v>1949</v>
      </c>
      <c r="F217" s="146" t="s">
        <v>748</v>
      </c>
      <c r="G217" s="146">
        <v>1</v>
      </c>
      <c r="H217" s="146"/>
      <c r="I217" s="146"/>
      <c r="J217" s="146"/>
      <c r="K217" s="146">
        <v>11</v>
      </c>
      <c r="L217" s="146">
        <v>5</v>
      </c>
      <c r="M217" s="146">
        <v>24</v>
      </c>
      <c r="N217" s="146">
        <v>4</v>
      </c>
      <c r="O217" s="146" t="s">
        <v>1752</v>
      </c>
      <c r="P217" s="146">
        <v>0.11</v>
      </c>
      <c r="Q217" s="146" t="s">
        <v>1754</v>
      </c>
      <c r="R217" s="146">
        <v>0.05</v>
      </c>
      <c r="S217" s="146" t="s">
        <v>716</v>
      </c>
      <c r="T217" s="146">
        <v>0.24</v>
      </c>
      <c r="U217" s="146" t="s">
        <v>717</v>
      </c>
      <c r="V217" s="146">
        <v>0.04</v>
      </c>
      <c r="W217" s="146"/>
      <c r="X217" s="146"/>
      <c r="Y217" s="146"/>
      <c r="Z217" s="146"/>
      <c r="AA217" s="146"/>
      <c r="AB217" s="146"/>
      <c r="AC217" s="146"/>
      <c r="AD217" s="146"/>
      <c r="AE217" s="146"/>
      <c r="AF217" s="146"/>
      <c r="AG217" s="146"/>
      <c r="AH217" s="146"/>
    </row>
    <row r="218" spans="1:34" ht="20.100000000000001" customHeight="1" x14ac:dyDescent="0.2">
      <c r="D218" s="146" t="s">
        <v>1929</v>
      </c>
      <c r="E218" s="146" t="s">
        <v>1950</v>
      </c>
      <c r="F218" s="146" t="s">
        <v>748</v>
      </c>
      <c r="G218" s="146">
        <v>1</v>
      </c>
      <c r="H218" s="146"/>
      <c r="I218" s="146"/>
      <c r="J218" s="146"/>
      <c r="K218" s="146">
        <v>11</v>
      </c>
      <c r="L218" s="146">
        <v>8</v>
      </c>
      <c r="M218" s="146">
        <v>20</v>
      </c>
      <c r="N218" s="146">
        <v>6</v>
      </c>
      <c r="O218" s="146" t="s">
        <v>1752</v>
      </c>
      <c r="P218" s="146">
        <v>0.11</v>
      </c>
      <c r="Q218" s="146" t="s">
        <v>1754</v>
      </c>
      <c r="R218" s="146">
        <v>0.08</v>
      </c>
      <c r="S218" s="146" t="s">
        <v>716</v>
      </c>
      <c r="T218" s="146">
        <v>0.2</v>
      </c>
      <c r="U218" s="146" t="s">
        <v>717</v>
      </c>
      <c r="V218" s="146">
        <v>0.06</v>
      </c>
      <c r="W218" s="146"/>
      <c r="X218" s="146"/>
      <c r="Y218" s="146"/>
      <c r="Z218" s="146"/>
      <c r="AA218" s="146"/>
      <c r="AB218" s="146"/>
      <c r="AC218" s="146"/>
      <c r="AD218" s="146"/>
      <c r="AE218" s="146"/>
      <c r="AF218" s="146"/>
      <c r="AG218" s="146"/>
      <c r="AH218" s="146"/>
    </row>
    <row r="219" spans="1:34" ht="20.100000000000001" customHeight="1" x14ac:dyDescent="0.2">
      <c r="D219" s="146" t="s">
        <v>1929</v>
      </c>
      <c r="E219" s="146" t="s">
        <v>1951</v>
      </c>
      <c r="F219" s="146" t="s">
        <v>748</v>
      </c>
      <c r="G219" s="146">
        <v>1</v>
      </c>
      <c r="H219" s="146"/>
      <c r="I219" s="146"/>
      <c r="J219" s="146"/>
      <c r="K219" s="146">
        <v>9</v>
      </c>
      <c r="L219" s="146">
        <v>4</v>
      </c>
      <c r="M219" s="146">
        <v>5</v>
      </c>
      <c r="N219" s="146">
        <v>15</v>
      </c>
      <c r="O219" s="146" t="s">
        <v>1752</v>
      </c>
      <c r="P219" s="146">
        <v>0.09</v>
      </c>
      <c r="Q219" s="146" t="s">
        <v>1754</v>
      </c>
      <c r="R219" s="146">
        <v>0.04</v>
      </c>
      <c r="S219" s="146" t="s">
        <v>716</v>
      </c>
      <c r="T219" s="146">
        <v>0.05</v>
      </c>
      <c r="U219" s="146" t="s">
        <v>717</v>
      </c>
      <c r="V219" s="146">
        <v>0.15</v>
      </c>
      <c r="W219" s="146"/>
      <c r="X219" s="146"/>
      <c r="Y219" s="146"/>
      <c r="Z219" s="146"/>
      <c r="AA219" s="146"/>
      <c r="AB219" s="146"/>
      <c r="AC219" s="146"/>
      <c r="AD219" s="146"/>
      <c r="AE219" s="146"/>
      <c r="AF219" s="146"/>
      <c r="AG219" s="146"/>
      <c r="AH219" s="146"/>
    </row>
    <row r="220" spans="1:34" ht="20.100000000000001" customHeight="1" x14ac:dyDescent="0.2">
      <c r="D220" s="146" t="s">
        <v>1922</v>
      </c>
      <c r="E220" s="146" t="s">
        <v>1952</v>
      </c>
      <c r="F220" s="146" t="s">
        <v>748</v>
      </c>
      <c r="G220" s="146">
        <v>1</v>
      </c>
      <c r="H220" s="146"/>
      <c r="I220" s="146"/>
      <c r="J220" s="146"/>
      <c r="K220" s="146">
        <v>10.73</v>
      </c>
      <c r="L220" s="146">
        <v>10.95</v>
      </c>
      <c r="M220" s="146">
        <v>11.35</v>
      </c>
      <c r="N220" s="146">
        <v>6.55</v>
      </c>
      <c r="O220" s="146" t="s">
        <v>1738</v>
      </c>
      <c r="P220" s="146">
        <v>0.5</v>
      </c>
      <c r="Q220" s="146" t="s">
        <v>1742</v>
      </c>
      <c r="R220" s="146">
        <v>0.27300000000000002</v>
      </c>
      <c r="S220" s="146" t="s">
        <v>1760</v>
      </c>
      <c r="T220" s="146">
        <v>0.22700000000000001</v>
      </c>
      <c r="U220" s="146" t="s">
        <v>1804</v>
      </c>
      <c r="V220" s="146" t="s">
        <v>1124</v>
      </c>
      <c r="W220" s="146" t="s">
        <v>1801</v>
      </c>
      <c r="X220" s="146" t="s">
        <v>1124</v>
      </c>
      <c r="Y220" s="146"/>
      <c r="Z220" s="146"/>
      <c r="AA220" s="146"/>
      <c r="AB220" s="146"/>
      <c r="AC220" s="146"/>
      <c r="AD220" s="146"/>
      <c r="AE220" s="146"/>
      <c r="AF220" s="146"/>
      <c r="AG220" s="146"/>
      <c r="AH220" s="146"/>
    </row>
    <row r="221" spans="1:34" ht="20.100000000000001" customHeight="1" x14ac:dyDescent="0.2">
      <c r="D221" s="146" t="s">
        <v>1922</v>
      </c>
      <c r="E221" s="146" t="s">
        <v>1953</v>
      </c>
      <c r="F221" s="146" t="s">
        <v>748</v>
      </c>
      <c r="G221" s="146">
        <v>1</v>
      </c>
      <c r="H221" s="146"/>
      <c r="I221" s="146"/>
      <c r="J221" s="146"/>
      <c r="K221" s="146">
        <v>16.95</v>
      </c>
      <c r="L221" s="146">
        <v>8.06</v>
      </c>
      <c r="M221" s="146"/>
      <c r="N221" s="146">
        <v>15.17</v>
      </c>
      <c r="O221" s="146" t="s">
        <v>1742</v>
      </c>
      <c r="P221" s="146">
        <v>0.63200000000000001</v>
      </c>
      <c r="Q221" s="146" t="s">
        <v>1738</v>
      </c>
      <c r="R221" s="146">
        <v>0.36799999999999999</v>
      </c>
      <c r="S221" s="146" t="s">
        <v>1801</v>
      </c>
      <c r="T221" s="146" t="s">
        <v>1124</v>
      </c>
      <c r="U221" s="146" t="s">
        <v>1804</v>
      </c>
      <c r="V221" s="146" t="s">
        <v>1124</v>
      </c>
      <c r="W221" s="146" t="s">
        <v>1848</v>
      </c>
      <c r="X221" s="146" t="s">
        <v>1124</v>
      </c>
      <c r="Y221" s="146" t="s">
        <v>1954</v>
      </c>
      <c r="Z221" s="146" t="s">
        <v>1124</v>
      </c>
      <c r="AA221" s="146"/>
      <c r="AB221" s="146"/>
      <c r="AC221" s="146"/>
      <c r="AD221" s="146"/>
      <c r="AE221" s="146"/>
      <c r="AF221" s="146"/>
      <c r="AG221" s="146"/>
      <c r="AH221" s="146"/>
    </row>
    <row r="222" spans="1:34" ht="20.100000000000001" customHeight="1" x14ac:dyDescent="0.2">
      <c r="D222" s="146" t="s">
        <v>1922</v>
      </c>
      <c r="E222" s="146" t="s">
        <v>1955</v>
      </c>
      <c r="F222" s="146" t="s">
        <v>748</v>
      </c>
      <c r="G222" s="146">
        <v>1</v>
      </c>
      <c r="H222" s="146"/>
      <c r="I222" s="146"/>
      <c r="J222" s="146"/>
      <c r="K222" s="146"/>
      <c r="L222" s="146">
        <v>8.8000000000000007</v>
      </c>
      <c r="M222" s="146"/>
      <c r="N222" s="146">
        <v>11</v>
      </c>
      <c r="O222" s="146" t="s">
        <v>1762</v>
      </c>
      <c r="P222" s="146">
        <v>1</v>
      </c>
      <c r="Q222" s="146" t="s">
        <v>1804</v>
      </c>
      <c r="R222" s="146">
        <v>6.0000000000000001E-3</v>
      </c>
      <c r="S222" s="146" t="s">
        <v>1801</v>
      </c>
      <c r="T222" s="146">
        <v>3.0000000000000001E-3</v>
      </c>
      <c r="U222" s="146" t="s">
        <v>1848</v>
      </c>
      <c r="V222" s="146">
        <v>5.9999999999999995E-4</v>
      </c>
      <c r="W222" s="146"/>
      <c r="X222" s="146"/>
      <c r="Y222" s="146"/>
      <c r="Z222" s="146"/>
      <c r="AA222" s="146"/>
      <c r="AB222" s="146"/>
      <c r="AC222" s="146"/>
      <c r="AD222" s="146"/>
      <c r="AE222" s="146"/>
      <c r="AF222" s="146"/>
      <c r="AG222" s="146"/>
      <c r="AH222" s="146"/>
    </row>
    <row r="223" spans="1:34" ht="20.100000000000001" customHeight="1" x14ac:dyDescent="0.2">
      <c r="D223" s="146" t="s">
        <v>1922</v>
      </c>
      <c r="E223" s="146" t="s">
        <v>1956</v>
      </c>
      <c r="F223" s="146" t="s">
        <v>652</v>
      </c>
      <c r="G223" s="146">
        <v>1.32</v>
      </c>
      <c r="H223" s="146"/>
      <c r="I223" s="146"/>
      <c r="J223" s="146"/>
      <c r="K223" s="146">
        <v>32</v>
      </c>
      <c r="L223" s="146"/>
      <c r="M223" s="146"/>
      <c r="N223" s="146"/>
      <c r="O223" s="146" t="s">
        <v>1743</v>
      </c>
      <c r="P223" s="146">
        <v>1</v>
      </c>
      <c r="Q223" s="146"/>
      <c r="R223" s="146"/>
      <c r="S223" s="146"/>
      <c r="T223" s="146"/>
      <c r="U223" s="146"/>
      <c r="V223" s="146"/>
      <c r="W223" s="146"/>
      <c r="X223" s="146"/>
      <c r="Y223" s="146"/>
      <c r="Z223" s="146"/>
      <c r="AA223" s="146"/>
      <c r="AB223" s="146"/>
      <c r="AC223" s="146"/>
      <c r="AD223" s="146"/>
      <c r="AE223" s="146"/>
      <c r="AF223" s="146"/>
      <c r="AG223" s="146"/>
      <c r="AH223" s="146"/>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41D8-3C40-46DD-BAED-70A31A1E92AF}">
  <sheetPr>
    <tabColor theme="2" tint="-0.499984740745262"/>
  </sheetPr>
  <dimension ref="A1:AI16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627</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1957</v>
      </c>
      <c r="E5" s="152"/>
      <c r="F5" s="152"/>
      <c r="G5" s="152"/>
      <c r="H5" s="152"/>
      <c r="I5" s="152"/>
      <c r="J5" s="152"/>
      <c r="K5" s="152"/>
      <c r="L5" s="152"/>
    </row>
    <row r="6" spans="1:35" ht="20.100000000000001" customHeight="1" x14ac:dyDescent="0.2">
      <c r="D6" s="1" t="s">
        <v>1958</v>
      </c>
      <c r="E6" s="152"/>
      <c r="F6" s="152"/>
      <c r="G6" s="152"/>
      <c r="H6" s="152"/>
      <c r="I6" s="152"/>
      <c r="J6" s="152"/>
      <c r="K6" s="152"/>
      <c r="L6" s="152"/>
    </row>
    <row r="7" spans="1:35" ht="20.100000000000001" customHeight="1" x14ac:dyDescent="0.2">
      <c r="D7" s="17" t="s">
        <v>1959</v>
      </c>
      <c r="E7" s="152"/>
      <c r="F7" s="152"/>
      <c r="G7" s="152"/>
      <c r="H7" s="152"/>
      <c r="I7" s="152"/>
      <c r="J7" s="152"/>
      <c r="K7" s="152"/>
      <c r="L7" s="152"/>
    </row>
    <row r="8" spans="1:35" ht="20.100000000000001" customHeight="1" x14ac:dyDescent="0.2">
      <c r="A8" s="7" t="s">
        <v>0</v>
      </c>
      <c r="D8" s="25" t="str" cm="1">
        <f t="array" ref="D8">"⚠️" &amp; Fuel_SourceData.Fuel_Scope1Scope3EmissionFactorsTransport_Variation()</f>
        <v>⚠️VARIATION OF SOURCE DATA: 'NE' values returned as zero for calculations.</v>
      </c>
      <c r="E8" s="152"/>
      <c r="F8" s="152"/>
      <c r="G8" s="152"/>
      <c r="H8" s="152"/>
      <c r="I8" s="152"/>
      <c r="J8" s="152"/>
      <c r="K8" s="152"/>
      <c r="L8" s="152"/>
    </row>
    <row r="9" spans="1:35" ht="20.100000000000001" customHeight="1" x14ac:dyDescent="0.2">
      <c r="A9" s="5" t="str">
        <f>HYPERLINK("#'Input - Enterprise'!A1", "Enterprise")</f>
        <v>Enterprise</v>
      </c>
      <c r="D9" s="179" t="s">
        <v>628</v>
      </c>
      <c r="E9" s="179" t="s">
        <v>629</v>
      </c>
      <c r="F9" s="179" t="s">
        <v>630</v>
      </c>
      <c r="G9" s="179" t="s">
        <v>631</v>
      </c>
      <c r="H9" s="179" t="s">
        <v>632</v>
      </c>
      <c r="I9" s="179" t="s">
        <v>633</v>
      </c>
      <c r="J9" s="179" t="s">
        <v>634</v>
      </c>
      <c r="K9" s="179" t="s">
        <v>635</v>
      </c>
      <c r="L9" s="179" t="s">
        <v>636</v>
      </c>
    </row>
    <row r="10" spans="1:35" ht="20.100000000000001" customHeight="1" x14ac:dyDescent="0.2">
      <c r="A10" s="5" t="str">
        <f>HYPERLINK("#'Input - Site'!A1", "Site")</f>
        <v>Site</v>
      </c>
      <c r="D10" s="180" t="s">
        <v>591</v>
      </c>
      <c r="E10" s="180" t="s">
        <v>1960</v>
      </c>
      <c r="F10" s="180">
        <v>34.200000000000003</v>
      </c>
      <c r="G10" s="180" t="s">
        <v>1961</v>
      </c>
      <c r="H10" s="180">
        <v>67.400000000000006</v>
      </c>
      <c r="I10" s="180">
        <v>0.02</v>
      </c>
      <c r="J10" s="180">
        <v>0.2</v>
      </c>
      <c r="K10" s="180">
        <v>67.62</v>
      </c>
      <c r="L10" s="180">
        <v>17.2</v>
      </c>
    </row>
    <row r="11" spans="1:35" ht="20.100000000000001" customHeight="1" x14ac:dyDescent="0.2">
      <c r="A11" s="5" t="str">
        <f>HYPERLINK("#'Input - Feedlot'!A1", "Feedlot")</f>
        <v>Feedlot</v>
      </c>
      <c r="D11" s="180" t="s">
        <v>591</v>
      </c>
      <c r="E11" s="180" t="s">
        <v>1962</v>
      </c>
      <c r="F11" s="180">
        <v>38.6</v>
      </c>
      <c r="G11" s="180" t="s">
        <v>1961</v>
      </c>
      <c r="H11" s="180">
        <v>69.900000000000006</v>
      </c>
      <c r="I11" s="180">
        <v>0.01</v>
      </c>
      <c r="J11" s="180">
        <v>0.5</v>
      </c>
      <c r="K11" s="180">
        <v>70.41</v>
      </c>
      <c r="L11" s="180">
        <v>17.3</v>
      </c>
    </row>
    <row r="12" spans="1:35" ht="20.100000000000001" customHeight="1" x14ac:dyDescent="0.2">
      <c r="A12" s="5" t="str">
        <f>HYPERLINK("#'Input - Livestock sales'!A1", "Livestock sales")</f>
        <v>Livestock sales</v>
      </c>
      <c r="D12" s="180" t="s">
        <v>591</v>
      </c>
      <c r="E12" s="180" t="s">
        <v>653</v>
      </c>
      <c r="F12" s="180">
        <v>26.2</v>
      </c>
      <c r="G12" s="180" t="s">
        <v>1961</v>
      </c>
      <c r="H12" s="180">
        <v>60.2</v>
      </c>
      <c r="I12" s="180">
        <v>0.5</v>
      </c>
      <c r="J12" s="180">
        <v>0.3</v>
      </c>
      <c r="K12" s="180">
        <v>61</v>
      </c>
      <c r="L12" s="180">
        <v>20.2</v>
      </c>
    </row>
    <row r="13" spans="1:35" ht="20.100000000000001" customHeight="1" x14ac:dyDescent="0.2">
      <c r="A13" s="5" t="str">
        <f>HYPERLINK("#'Input - Beef cattle purchases'!A1", "Beef cattle purchases")</f>
        <v>Beef cattle purchases</v>
      </c>
      <c r="D13" s="180" t="s">
        <v>591</v>
      </c>
      <c r="E13" s="180" t="s">
        <v>595</v>
      </c>
      <c r="F13" s="180">
        <v>39.700000000000003</v>
      </c>
      <c r="G13" s="180" t="s">
        <v>1961</v>
      </c>
      <c r="H13" s="180">
        <v>73.599999999999994</v>
      </c>
      <c r="I13" s="180">
        <v>0.08</v>
      </c>
      <c r="J13" s="180">
        <v>0.5</v>
      </c>
      <c r="K13" s="180">
        <v>74.180000000000007</v>
      </c>
      <c r="L13" s="180">
        <v>18</v>
      </c>
    </row>
    <row r="14" spans="1:35" ht="20.100000000000001" customHeight="1" x14ac:dyDescent="0.2">
      <c r="A14" s="5" t="str">
        <f>HYPERLINK("#'Input - Fuel'!A1", "Fuel")</f>
        <v>Fuel</v>
      </c>
      <c r="D14" s="180" t="s">
        <v>591</v>
      </c>
      <c r="E14" s="180" t="s">
        <v>655</v>
      </c>
      <c r="F14" s="180">
        <v>23.4</v>
      </c>
      <c r="G14" s="180" t="s">
        <v>1961</v>
      </c>
      <c r="H14" s="180">
        <v>0</v>
      </c>
      <c r="I14" s="180">
        <v>0.2</v>
      </c>
      <c r="J14" s="180">
        <v>0.2</v>
      </c>
      <c r="K14" s="180">
        <v>0.4</v>
      </c>
      <c r="L14" s="180" t="s">
        <v>1963</v>
      </c>
    </row>
    <row r="15" spans="1:35" ht="20.100000000000001" customHeight="1" x14ac:dyDescent="0.2">
      <c r="A15" s="5" t="str">
        <f>HYPERLINK("#'Input - Electricity'!A1", "Electricity")</f>
        <v>Electricity</v>
      </c>
      <c r="D15" s="180" t="s">
        <v>591</v>
      </c>
      <c r="E15" s="180" t="s">
        <v>654</v>
      </c>
      <c r="F15" s="180">
        <v>34.6</v>
      </c>
      <c r="G15" s="180" t="s">
        <v>1961</v>
      </c>
      <c r="H15" s="180">
        <v>0</v>
      </c>
      <c r="I15" s="180">
        <v>0.8</v>
      </c>
      <c r="J15" s="180">
        <v>1.7</v>
      </c>
      <c r="K15" s="180">
        <v>2.5</v>
      </c>
      <c r="L15" s="180" t="s">
        <v>1963</v>
      </c>
    </row>
    <row r="16" spans="1:35" ht="20.100000000000001" customHeight="1" x14ac:dyDescent="0.2">
      <c r="A16" s="5" t="str">
        <f>HYPERLINK("#'Input - Common farm inputs'!A1", "Common farm inputs")</f>
        <v>Common farm inputs</v>
      </c>
      <c r="D16" s="180" t="s">
        <v>591</v>
      </c>
      <c r="E16" s="180" t="s">
        <v>657</v>
      </c>
      <c r="F16" s="180">
        <v>38.6</v>
      </c>
      <c r="G16" s="180" t="s">
        <v>1961</v>
      </c>
      <c r="H16" s="180">
        <v>0</v>
      </c>
      <c r="I16" s="180">
        <v>0.01</v>
      </c>
      <c r="J16" s="180">
        <v>0.5</v>
      </c>
      <c r="K16" s="180">
        <v>0.51</v>
      </c>
      <c r="L16" s="180" t="s">
        <v>1963</v>
      </c>
    </row>
    <row r="17" spans="1:12" ht="20.100000000000001" customHeight="1" x14ac:dyDescent="0.2">
      <c r="A17" s="5" t="str">
        <f>HYPERLINK("#'Input - Livestock farm Inputs'!A1", "Livestock farm Inputs")</f>
        <v>Livestock farm Inputs</v>
      </c>
      <c r="D17" s="180" t="s">
        <v>591</v>
      </c>
      <c r="E17" s="180" t="s">
        <v>656</v>
      </c>
      <c r="F17" s="180">
        <v>23.4</v>
      </c>
      <c r="G17" s="180" t="s">
        <v>1961</v>
      </c>
      <c r="H17" s="180">
        <v>0</v>
      </c>
      <c r="I17" s="180">
        <v>0.8</v>
      </c>
      <c r="J17" s="180">
        <v>1.7</v>
      </c>
      <c r="K17" s="180">
        <v>2.5</v>
      </c>
      <c r="L17" s="180" t="s">
        <v>1963</v>
      </c>
    </row>
    <row r="18" spans="1:12" ht="20.100000000000001" customHeight="1" x14ac:dyDescent="0.2">
      <c r="A18" s="5" t="str">
        <f>HYPERLINK("#'Input - Freight'!A1", "Freight")</f>
        <v>Freight</v>
      </c>
      <c r="D18" s="180" t="s">
        <v>1964</v>
      </c>
      <c r="E18" s="180" t="s">
        <v>1965</v>
      </c>
      <c r="F18" s="180">
        <v>3.9300000000000002E-2</v>
      </c>
      <c r="G18" s="180" t="s">
        <v>1406</v>
      </c>
      <c r="H18" s="180">
        <v>51.4</v>
      </c>
      <c r="I18" s="180">
        <v>7.3</v>
      </c>
      <c r="J18" s="180">
        <v>0.3</v>
      </c>
      <c r="K18" s="180">
        <v>59</v>
      </c>
      <c r="L18" s="180">
        <v>18</v>
      </c>
    </row>
    <row r="19" spans="1:12" ht="20.100000000000001" customHeight="1" x14ac:dyDescent="0.2">
      <c r="A19" s="5" t="str">
        <f>HYPERLINK("#'Input - Solid waste'!A1", "Solid waste")</f>
        <v>Solid waste</v>
      </c>
      <c r="D19" s="180" t="s">
        <v>1964</v>
      </c>
      <c r="E19" s="180" t="s">
        <v>1966</v>
      </c>
      <c r="F19" s="180">
        <v>25.3</v>
      </c>
      <c r="G19" s="180" t="s">
        <v>1961</v>
      </c>
      <c r="H19" s="180">
        <v>51.4</v>
      </c>
      <c r="I19" s="180">
        <v>7.3</v>
      </c>
      <c r="J19" s="180">
        <v>0.3</v>
      </c>
      <c r="K19" s="180">
        <v>59</v>
      </c>
      <c r="L19" s="180">
        <v>18</v>
      </c>
    </row>
    <row r="20" spans="1:12" ht="20.100000000000001" customHeight="1" x14ac:dyDescent="0.2">
      <c r="A20" s="5" t="str">
        <f>HYPERLINK("#'Input - Manure sent off-site'!A1", "Manure sent off-site")</f>
        <v>Manure sent off-site</v>
      </c>
      <c r="D20" s="180" t="s">
        <v>1967</v>
      </c>
      <c r="E20" s="180" t="s">
        <v>1965</v>
      </c>
      <c r="F20" s="180">
        <v>3.9300000000000002E-2</v>
      </c>
      <c r="G20" s="180" t="s">
        <v>1406</v>
      </c>
      <c r="H20" s="180">
        <v>51.4</v>
      </c>
      <c r="I20" s="180">
        <v>2.8</v>
      </c>
      <c r="J20" s="180">
        <v>0.3</v>
      </c>
      <c r="K20" s="180">
        <v>54.5</v>
      </c>
      <c r="L20" s="180">
        <v>18</v>
      </c>
    </row>
    <row r="21" spans="1:12" ht="20.100000000000001" customHeight="1" x14ac:dyDescent="0.2">
      <c r="A21" s="5" t="str">
        <f>HYPERLINK("#'Input - Data quality'!A1", "Data quality")</f>
        <v>Data quality</v>
      </c>
      <c r="D21" s="180" t="s">
        <v>1967</v>
      </c>
      <c r="E21" s="180" t="s">
        <v>1966</v>
      </c>
      <c r="F21" s="180">
        <v>25.3</v>
      </c>
      <c r="G21" s="180" t="s">
        <v>1961</v>
      </c>
      <c r="H21" s="180">
        <v>51.4</v>
      </c>
      <c r="I21" s="180">
        <v>2.8</v>
      </c>
      <c r="J21" s="180">
        <v>0.3</v>
      </c>
      <c r="K21" s="180">
        <v>54.5</v>
      </c>
      <c r="L21" s="180">
        <v>18</v>
      </c>
    </row>
    <row r="22" spans="1:12" ht="20.100000000000001" customHeight="1" x14ac:dyDescent="0.2">
      <c r="A22" s="5" t="str">
        <f>HYPERLINK("#'Input - Fert Prod System'!A1", "Fert Prod System")</f>
        <v>Fert Prod System</v>
      </c>
      <c r="D22" s="180" t="s">
        <v>1967</v>
      </c>
      <c r="E22" s="180" t="s">
        <v>1968</v>
      </c>
      <c r="F22" s="180">
        <v>38.6</v>
      </c>
      <c r="G22" s="180" t="s">
        <v>1961</v>
      </c>
      <c r="H22" s="180">
        <v>69.900000000000006</v>
      </c>
      <c r="I22" s="180">
        <v>7.0000000000000007E-2</v>
      </c>
      <c r="J22" s="180">
        <v>0.4</v>
      </c>
      <c r="K22" s="180">
        <v>70.37</v>
      </c>
      <c r="L22" s="180">
        <v>17.3</v>
      </c>
    </row>
    <row r="23" spans="1:12" ht="20.100000000000001" customHeight="1" x14ac:dyDescent="0.2">
      <c r="A23" s="5" t="str">
        <f>HYPERLINK("#'Input - Fertiliser'!A1", "Fertiliser")</f>
        <v>Fertiliser</v>
      </c>
      <c r="D23" s="180" t="s">
        <v>1967</v>
      </c>
      <c r="E23" s="180" t="s">
        <v>1969</v>
      </c>
      <c r="F23" s="180">
        <v>38.6</v>
      </c>
      <c r="G23" s="180" t="s">
        <v>1961</v>
      </c>
      <c r="H23" s="180">
        <v>69.900000000000006</v>
      </c>
      <c r="I23" s="180">
        <v>0.1</v>
      </c>
      <c r="J23" s="180">
        <v>0.4</v>
      </c>
      <c r="K23" s="180">
        <v>70.400000000000006</v>
      </c>
      <c r="L23" s="180">
        <v>17.3</v>
      </c>
    </row>
    <row r="24" spans="1:12" ht="20.100000000000001" customHeight="1" x14ac:dyDescent="0.2">
      <c r="D24" s="180" t="s">
        <v>1967</v>
      </c>
      <c r="E24" s="180" t="s">
        <v>1970</v>
      </c>
      <c r="F24" s="180">
        <v>38.6</v>
      </c>
      <c r="G24" s="180" t="s">
        <v>1961</v>
      </c>
      <c r="H24" s="180">
        <v>69.900000000000006</v>
      </c>
      <c r="I24" s="180">
        <v>0.2</v>
      </c>
      <c r="J24" s="180">
        <v>0.4</v>
      </c>
      <c r="K24" s="180">
        <v>70.5</v>
      </c>
      <c r="L24" s="180">
        <v>17.3</v>
      </c>
    </row>
    <row r="25" spans="1:12" ht="20.100000000000001" customHeight="1" x14ac:dyDescent="0.2">
      <c r="D25" s="180" t="s">
        <v>1967</v>
      </c>
      <c r="E25" s="180" t="s">
        <v>665</v>
      </c>
      <c r="F25" s="180">
        <v>38.6</v>
      </c>
      <c r="G25" s="180" t="s">
        <v>1961</v>
      </c>
      <c r="H25" s="180">
        <v>0</v>
      </c>
      <c r="I25" s="180">
        <v>7.0000000000000007E-2</v>
      </c>
      <c r="J25" s="180">
        <v>0.4</v>
      </c>
      <c r="K25" s="180">
        <v>0.47</v>
      </c>
      <c r="L25" s="180" t="s">
        <v>1963</v>
      </c>
    </row>
    <row r="26" spans="1:12" ht="20.100000000000001" customHeight="1" x14ac:dyDescent="0.2">
      <c r="A26" s="6" t="s">
        <v>2</v>
      </c>
      <c r="D26" s="180" t="s">
        <v>1967</v>
      </c>
      <c r="E26" s="180" t="s">
        <v>666</v>
      </c>
      <c r="F26" s="180">
        <v>38.6</v>
      </c>
      <c r="G26" s="180" t="s">
        <v>1961</v>
      </c>
      <c r="H26" s="180">
        <v>0</v>
      </c>
      <c r="I26" s="180">
        <v>0.1</v>
      </c>
      <c r="J26" s="180">
        <v>0.4</v>
      </c>
      <c r="K26" s="180">
        <v>0.5</v>
      </c>
      <c r="L26" s="180" t="s">
        <v>1963</v>
      </c>
    </row>
    <row r="27" spans="1:12" ht="20.100000000000001" customHeight="1" x14ac:dyDescent="0.2">
      <c r="A27" s="5" t="str">
        <f>HYPERLINK("#'3.1.1.1-2 Enteric Methane'!A1", "3.1.1.1-2 Enteric Methane")</f>
        <v>3.1.1.1-2 Enteric Methane</v>
      </c>
      <c r="D27" s="180" t="s">
        <v>1967</v>
      </c>
      <c r="E27" s="180" t="s">
        <v>667</v>
      </c>
      <c r="F27" s="180">
        <v>38.6</v>
      </c>
      <c r="G27" s="180" t="s">
        <v>1961</v>
      </c>
      <c r="H27" s="180">
        <v>0</v>
      </c>
      <c r="I27" s="180">
        <v>0.2</v>
      </c>
      <c r="J27" s="180">
        <v>0.4</v>
      </c>
      <c r="K27" s="180">
        <v>0.6</v>
      </c>
      <c r="L27" s="180" t="s">
        <v>1963</v>
      </c>
    </row>
    <row r="28" spans="1:12" ht="20.100000000000001" customHeight="1" x14ac:dyDescent="0.2">
      <c r="A28" s="5" t="str">
        <f>HYPERLINK("#'4.1.1.1-2 Methane'!A1", "4.1.1.1-2 Manure Methane")</f>
        <v>4.1.1.1-2 Manure Methane</v>
      </c>
      <c r="D28" s="180" t="s">
        <v>648</v>
      </c>
      <c r="E28" s="180" t="s">
        <v>1971</v>
      </c>
      <c r="F28" s="180">
        <v>33.1</v>
      </c>
      <c r="G28" s="180" t="s">
        <v>1961</v>
      </c>
      <c r="H28" s="180">
        <v>67</v>
      </c>
      <c r="I28" s="180">
        <v>0.06</v>
      </c>
      <c r="J28" s="180">
        <v>0.6</v>
      </c>
      <c r="K28" s="180">
        <v>67.66</v>
      </c>
      <c r="L28" s="180">
        <v>18</v>
      </c>
    </row>
    <row r="29" spans="1:12" ht="20.100000000000001" customHeight="1" x14ac:dyDescent="0.2">
      <c r="A29" s="5" t="str">
        <f>HYPERLINK("#'4.1.1.3-4 Direct N20'!A1", "4.1.1.3-4 Manure Direct N2O")</f>
        <v>4.1.1.3-4 Manure Direct N2O</v>
      </c>
      <c r="D29" s="180" t="s">
        <v>648</v>
      </c>
      <c r="E29" s="180" t="s">
        <v>1972</v>
      </c>
      <c r="F29" s="180">
        <v>36.799999999999997</v>
      </c>
      <c r="G29" s="180" t="s">
        <v>1961</v>
      </c>
      <c r="H29" s="180">
        <v>69.599999999999994</v>
      </c>
      <c r="I29" s="180">
        <v>0.01</v>
      </c>
      <c r="J29" s="180">
        <v>0.6</v>
      </c>
      <c r="K29" s="180">
        <v>70.209999999999994</v>
      </c>
      <c r="L29" s="180">
        <v>18</v>
      </c>
    </row>
    <row r="30" spans="1:12" ht="20.100000000000001" customHeight="1" x14ac:dyDescent="0.2">
      <c r="A30" s="5" t="str">
        <f>HYPERLINK("#'4.1.1.5-6 Atmos Deposition'!A1", "4.1.1.5-6 Manure Atmos Dep")</f>
        <v>4.1.1.5-6 Manure Atmos Dep</v>
      </c>
      <c r="D30" s="180" t="s">
        <v>648</v>
      </c>
      <c r="E30" s="180" t="s">
        <v>660</v>
      </c>
      <c r="F30" s="180">
        <v>36.799999999999997</v>
      </c>
      <c r="G30" s="180" t="s">
        <v>1961</v>
      </c>
      <c r="H30" s="180">
        <v>0</v>
      </c>
      <c r="I30" s="180">
        <v>0.01</v>
      </c>
      <c r="J30" s="180">
        <v>0.6</v>
      </c>
      <c r="K30" s="180">
        <v>0.61</v>
      </c>
      <c r="L30" s="180" t="s">
        <v>1963</v>
      </c>
    </row>
    <row r="31" spans="1:12" ht="20.100000000000001" customHeight="1" x14ac:dyDescent="0.2">
      <c r="A31" s="5" t="str">
        <f>HYPERLINK("#'4.1.1.9 Manure applied to soils'!A1", "4.1.1.9 Manure applied to soils")</f>
        <v>4.1.1.9 Manure applied to soils</v>
      </c>
      <c r="D31" s="180" t="s">
        <v>594</v>
      </c>
      <c r="E31" s="180" t="s">
        <v>1960</v>
      </c>
      <c r="F31" s="180">
        <v>34.200000000000003</v>
      </c>
      <c r="G31" s="180" t="s">
        <v>651</v>
      </c>
      <c r="H31" s="180">
        <v>67.400000000000006</v>
      </c>
      <c r="I31" s="180">
        <v>10.1</v>
      </c>
      <c r="J31" s="180">
        <v>0.3</v>
      </c>
      <c r="K31" s="180"/>
      <c r="L31" s="180">
        <v>17.2</v>
      </c>
    </row>
    <row r="32" spans="1:12" ht="20.100000000000001" customHeight="1" x14ac:dyDescent="0.2">
      <c r="A32" s="5" t="str">
        <f>HYPERLINK("#'8.1.1.1-2 Transport fuel'!A1", "8.1.1.1-2 Transport fuel")</f>
        <v>8.1.1.1-2 Transport fuel</v>
      </c>
      <c r="D32" s="181" t="s">
        <v>594</v>
      </c>
      <c r="E32" s="181" t="s">
        <v>1962</v>
      </c>
      <c r="F32" s="181">
        <v>38.6</v>
      </c>
      <c r="G32" s="181" t="s">
        <v>651</v>
      </c>
      <c r="H32" s="181">
        <v>69.900000000000006</v>
      </c>
      <c r="I32" s="181">
        <v>0.2</v>
      </c>
      <c r="J32" s="181">
        <v>0.5</v>
      </c>
      <c r="K32" s="181"/>
      <c r="L32" s="181">
        <v>17.3</v>
      </c>
    </row>
    <row r="33" spans="1:12" ht="20.100000000000001" customHeight="1" x14ac:dyDescent="0.2">
      <c r="A33" s="5" t="str">
        <f>HYPERLINK("#'8.2.1.1-2 Stationary fuel'!A1", "8.2.1.1-2 Stationary fuel")</f>
        <v>8.2.1.1-2 Stationary fuel</v>
      </c>
      <c r="D33" s="181" t="s">
        <v>594</v>
      </c>
      <c r="E33" s="181" t="s">
        <v>1973</v>
      </c>
      <c r="F33" s="181">
        <v>39.700000000000003</v>
      </c>
      <c r="G33" s="181" t="s">
        <v>651</v>
      </c>
      <c r="H33" s="181">
        <v>73.599999999999994</v>
      </c>
      <c r="I33" s="181">
        <v>0.2</v>
      </c>
      <c r="J33" s="181">
        <v>0.5</v>
      </c>
      <c r="K33" s="181"/>
      <c r="L33" s="181">
        <v>18</v>
      </c>
    </row>
    <row r="34" spans="1:12" ht="20.100000000000001" customHeight="1" x14ac:dyDescent="0.2">
      <c r="A34" s="5" t="str">
        <f>HYPERLINK("#'10.1.1-2 Solid waste treatment'!A1", "10.1.1.1-2 Solid waste")</f>
        <v>10.1.1.1-2 Solid waste</v>
      </c>
      <c r="D34" s="181" t="s">
        <v>593</v>
      </c>
      <c r="E34" s="181" t="s">
        <v>1962</v>
      </c>
      <c r="F34" s="181">
        <v>38.6</v>
      </c>
      <c r="G34" s="181" t="s">
        <v>651</v>
      </c>
      <c r="H34" s="181">
        <v>69.900000000000006</v>
      </c>
      <c r="I34" s="181">
        <v>0.3</v>
      </c>
      <c r="J34" s="181">
        <v>0.5</v>
      </c>
      <c r="K34" s="181"/>
      <c r="L34" s="181">
        <v>17.3</v>
      </c>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row>
    <row r="37" spans="1:12" ht="20.100000000000001" customHeight="1" x14ac:dyDescent="0.2">
      <c r="A37" s="5" t="str">
        <f>HYPERLINK("#'Calcs - Manure sent off-site'!A1", "Calcs - Manure sent off-site")</f>
        <v>Calcs - Manure sent off-site</v>
      </c>
      <c r="D37" s="2" t="s">
        <v>1974</v>
      </c>
    </row>
    <row r="38" spans="1:12" ht="20.100000000000001" customHeight="1" x14ac:dyDescent="0.2">
      <c r="A38" s="5" t="str">
        <f>HYPERLINK("#'5.1.1.1-2 Inorganic fert N2O'!A1", "5.1.1.1-2 Inorganic fert N2O")</f>
        <v>5.1.1.1-2 Inorganic fert N2O</v>
      </c>
      <c r="D38" s="17" t="s">
        <v>1975</v>
      </c>
    </row>
    <row r="39" spans="1:12" ht="20.100000000000001" customHeight="1" x14ac:dyDescent="0.2">
      <c r="A39" s="5" t="str">
        <f>HYPERLINK("#'5.1.1.3-4 Inorganic fert CO2'!A1", "5.1.1.3-4 Inorganic fert CO2")</f>
        <v>5.1.1.3-4 Inorganic fert CO2</v>
      </c>
      <c r="D39" s="19" t="s">
        <v>637</v>
      </c>
      <c r="E39" s="19" t="s">
        <v>638</v>
      </c>
      <c r="F39" s="19" t="s">
        <v>639</v>
      </c>
      <c r="G39" s="19" t="s">
        <v>640</v>
      </c>
      <c r="H39" s="19" t="s">
        <v>641</v>
      </c>
      <c r="I39" s="19" t="s">
        <v>642</v>
      </c>
      <c r="J39" s="19" t="s">
        <v>643</v>
      </c>
    </row>
    <row r="40" spans="1:12" ht="20.100000000000001" customHeight="1" x14ac:dyDescent="0.2">
      <c r="A40" s="5" t="str">
        <f>HYPERLINK("#'5.2.1.1-2 Organic Fert N2O'!A1", "5.2.1.1-2 Organic Fert N2O")</f>
        <v>5.2.1.1-2 Organic Fert N2O</v>
      </c>
      <c r="D40" s="19" t="s">
        <v>1976</v>
      </c>
      <c r="E40" s="19" t="s">
        <v>590</v>
      </c>
      <c r="F40" s="19">
        <v>34.200000000000003</v>
      </c>
      <c r="G40" s="19">
        <v>67.400000000000006</v>
      </c>
      <c r="H40" s="19">
        <v>10.1</v>
      </c>
      <c r="I40" s="19">
        <v>0.3</v>
      </c>
      <c r="J40" s="19">
        <v>17.2</v>
      </c>
    </row>
    <row r="41" spans="1:12" ht="20.100000000000001" customHeight="1" x14ac:dyDescent="0.2">
      <c r="A41" s="5" t="str">
        <f>HYPERLINK("#'5.3.1.1-2 Lime CO2'!A1", "5.3.1.1-2 Lime CO2")</f>
        <v>5.3.1.1-2 Lime CO2</v>
      </c>
      <c r="D41" s="1" t="s">
        <v>1976</v>
      </c>
      <c r="E41" s="19" t="s">
        <v>592</v>
      </c>
      <c r="F41" s="19">
        <v>38.6</v>
      </c>
      <c r="G41" s="19">
        <v>69.900000000000006</v>
      </c>
      <c r="H41" s="19">
        <v>0.2</v>
      </c>
      <c r="I41" s="19">
        <v>0.5</v>
      </c>
      <c r="J41" s="19">
        <v>17.3</v>
      </c>
    </row>
    <row r="42" spans="1:12" ht="20.100000000000001" customHeight="1" x14ac:dyDescent="0.2">
      <c r="A42" s="5" t="str">
        <f>HYPERLINK("#'5.4.1.1-4 Atmos deposition'!A1", "5.4.1.1-4 Atmos deposition")</f>
        <v>5.4.1.1-4 Atmos deposition</v>
      </c>
      <c r="D42" s="1" t="s">
        <v>1976</v>
      </c>
      <c r="E42" s="19" t="s">
        <v>1973</v>
      </c>
      <c r="F42" s="19">
        <v>39.700000000000003</v>
      </c>
      <c r="G42" s="19">
        <v>73.599999999999994</v>
      </c>
      <c r="H42" s="19">
        <v>0.2</v>
      </c>
      <c r="I42" s="19">
        <v>0.5</v>
      </c>
      <c r="J42" s="19">
        <v>18</v>
      </c>
    </row>
    <row r="43" spans="1:12" ht="20.100000000000001" customHeight="1" x14ac:dyDescent="0.2">
      <c r="A43" s="5" t="str">
        <f>HYPERLINK("#'5.5.1.1-2 Leaching and runoff'!A1", "5.5.1.1-2 Leaching and runoff")</f>
        <v>5.5.1.1-2 Leaching and runoff</v>
      </c>
      <c r="D43" s="1" t="s">
        <v>593</v>
      </c>
      <c r="E43" s="19" t="s">
        <v>592</v>
      </c>
      <c r="F43" s="19">
        <v>38.6</v>
      </c>
      <c r="G43" s="19">
        <v>69.900000000000006</v>
      </c>
      <c r="H43" s="19">
        <v>0.3</v>
      </c>
      <c r="I43" s="19">
        <v>0.5</v>
      </c>
      <c r="J43" s="19">
        <v>17.3</v>
      </c>
    </row>
    <row r="46" spans="1:12" ht="20.100000000000001" customHeight="1" x14ac:dyDescent="0.2">
      <c r="A46" s="80" t="s">
        <v>1</v>
      </c>
    </row>
    <row r="47" spans="1:12" ht="20.100000000000001" customHeight="1" x14ac:dyDescent="0.2">
      <c r="A47" s="5" t="str">
        <f>HYPERLINK("#'Constants - Feedlot'!A1", "Constants - Feedlot")</f>
        <v>Constants - Feedlot</v>
      </c>
    </row>
    <row r="48" spans="1:12" ht="20.100000000000001" customHeight="1" x14ac:dyDescent="0.2">
      <c r="A48" s="5" t="str">
        <f>HYPERLINK("#'Constants - Common livestock'!A1", "Constants - Common Livestock")</f>
        <v>Constants - Common Livestock</v>
      </c>
    </row>
    <row r="49" spans="1:12" ht="20.100000000000001" customHeight="1" x14ac:dyDescent="0.2">
      <c r="A49" s="5" t="str">
        <f>HYPERLINK("#'Constants - Electricity'!A1", "Constants - Electricity")</f>
        <v>Constants - Electricity</v>
      </c>
      <c r="D49" s="2" t="s">
        <v>1977</v>
      </c>
      <c r="E49" s="152"/>
      <c r="F49" s="152"/>
      <c r="G49" s="152"/>
      <c r="H49" s="152"/>
      <c r="I49" s="152"/>
      <c r="J49" s="152"/>
      <c r="K49" s="152"/>
      <c r="L49" s="152"/>
    </row>
    <row r="50" spans="1:12" ht="20.100000000000001" customHeight="1" x14ac:dyDescent="0.2">
      <c r="A50" s="5" t="str">
        <f>HYPERLINK("#'Constants - Fertiliser'!A1", "Constants - Fertiliser")</f>
        <v>Constants - Fertiliser</v>
      </c>
      <c r="D50" s="1" t="s">
        <v>1978</v>
      </c>
      <c r="E50" s="152"/>
      <c r="F50" s="152"/>
      <c r="G50" s="152"/>
      <c r="H50" s="152"/>
      <c r="I50" s="152"/>
      <c r="J50" s="152"/>
      <c r="K50" s="152"/>
      <c r="L50" s="152"/>
    </row>
    <row r="51" spans="1:12" ht="20.100000000000001" customHeight="1" x14ac:dyDescent="0.2">
      <c r="A51" s="81" t="str">
        <f>HYPERLINK("#'Constants - Fuel'!A1", "Constants - Fuel")</f>
        <v>Constants - Fuel</v>
      </c>
      <c r="D51" s="17" t="s">
        <v>1979</v>
      </c>
      <c r="E51" s="152"/>
      <c r="F51" s="152"/>
      <c r="G51" s="152"/>
      <c r="H51" s="152"/>
      <c r="I51" s="152"/>
      <c r="J51" s="152"/>
      <c r="K51" s="152"/>
      <c r="L51" s="152"/>
    </row>
    <row r="52" spans="1:12" ht="20.100000000000001" customHeight="1" x14ac:dyDescent="0.2">
      <c r="A52" s="5" t="str">
        <f>HYPERLINK("#'Constants - Scope 3'!A1", "Constants - Scope 3")</f>
        <v>Constants - Scope 3</v>
      </c>
      <c r="D52" s="25" t="str" cm="1">
        <f t="array" ref="D52">"⚠️" &amp; Fuel_SourceData.Fuel_Scope1Scope3EmissionFactorsStationaryLiquid_Variation()</f>
        <v>⚠️VARIATION OF SOURCE DATA: 'NE' values returned as zero for calculations.</v>
      </c>
      <c r="E52" s="152"/>
      <c r="F52" s="152"/>
      <c r="G52" s="152"/>
      <c r="H52" s="152"/>
      <c r="I52" s="152"/>
      <c r="J52" s="152"/>
      <c r="K52" s="152"/>
      <c r="L52" s="152"/>
    </row>
    <row r="53" spans="1:12" ht="20.100000000000001" customHeight="1" x14ac:dyDescent="0.2">
      <c r="A53" s="5" t="str">
        <f>HYPERLINK("#'Constants - Solid Waste'!A1", "Constants - Solid Waste")</f>
        <v>Constants - Solid Waste</v>
      </c>
      <c r="D53" s="145" t="s">
        <v>629</v>
      </c>
      <c r="E53" s="179" t="s">
        <v>630</v>
      </c>
      <c r="F53" s="145" t="s">
        <v>631</v>
      </c>
      <c r="G53" s="179" t="s">
        <v>632</v>
      </c>
      <c r="H53" s="179" t="s">
        <v>633</v>
      </c>
      <c r="I53" s="179" t="s">
        <v>634</v>
      </c>
      <c r="J53" s="179" t="s">
        <v>635</v>
      </c>
      <c r="K53" s="179" t="s">
        <v>636</v>
      </c>
      <c r="L53" s="152"/>
    </row>
    <row r="54" spans="1:12" ht="20.100000000000001" customHeight="1" x14ac:dyDescent="0.2">
      <c r="A54" s="5" t="str">
        <f>HYPERLINK("#'Constants - Common'!A1", "Constants - Common")</f>
        <v>Constants - Common</v>
      </c>
      <c r="D54" s="180" t="s">
        <v>1980</v>
      </c>
      <c r="E54" s="180">
        <v>38.799999999999997</v>
      </c>
      <c r="F54" s="180" t="s">
        <v>1961</v>
      </c>
      <c r="G54" s="180">
        <v>13.9</v>
      </c>
      <c r="H54" s="180">
        <v>0</v>
      </c>
      <c r="I54" s="180">
        <v>0</v>
      </c>
      <c r="J54" s="180">
        <v>13.9</v>
      </c>
      <c r="K54" s="180">
        <v>18</v>
      </c>
      <c r="L54" s="152"/>
    </row>
    <row r="55" spans="1:12" ht="20.100000000000001" customHeight="1" x14ac:dyDescent="0.2">
      <c r="A55" s="5" t="str">
        <f>HYPERLINK("#'Acknowledgements'!A1", "Acknowledgements")</f>
        <v>Acknowledgements</v>
      </c>
      <c r="D55" s="180" t="s">
        <v>1981</v>
      </c>
      <c r="E55" s="180">
        <v>38.799999999999997</v>
      </c>
      <c r="F55" s="180" t="s">
        <v>1961</v>
      </c>
      <c r="G55" s="180">
        <v>3.5</v>
      </c>
      <c r="H55" s="180">
        <v>0</v>
      </c>
      <c r="I55" s="180">
        <v>0</v>
      </c>
      <c r="J55" s="180">
        <v>3.5</v>
      </c>
      <c r="K55" s="180">
        <v>18</v>
      </c>
      <c r="L55" s="152"/>
    </row>
    <row r="56" spans="1:12" ht="20.100000000000001" customHeight="1" x14ac:dyDescent="0.2">
      <c r="D56" s="180" t="s">
        <v>1982</v>
      </c>
      <c r="E56" s="180">
        <v>45.3</v>
      </c>
      <c r="F56" s="180" t="s">
        <v>1398</v>
      </c>
      <c r="G56" s="180">
        <v>69.599999999999994</v>
      </c>
      <c r="H56" s="180">
        <v>0.08</v>
      </c>
      <c r="I56" s="180">
        <v>0.2</v>
      </c>
      <c r="J56" s="180">
        <v>69.88</v>
      </c>
      <c r="K56" s="180" t="s">
        <v>1963</v>
      </c>
      <c r="L56" s="152"/>
    </row>
    <row r="57" spans="1:12" ht="20.100000000000001" customHeight="1" x14ac:dyDescent="0.2">
      <c r="D57" s="180" t="s">
        <v>1983</v>
      </c>
      <c r="E57" s="180">
        <v>46.5</v>
      </c>
      <c r="F57" s="180" t="s">
        <v>1398</v>
      </c>
      <c r="G57" s="180">
        <v>61</v>
      </c>
      <c r="H57" s="180">
        <v>0.08</v>
      </c>
      <c r="I57" s="180">
        <v>0.2</v>
      </c>
      <c r="J57" s="180">
        <v>61.28</v>
      </c>
      <c r="K57" s="180" t="s">
        <v>1963</v>
      </c>
      <c r="L57" s="152"/>
    </row>
    <row r="58" spans="1:12" ht="20.100000000000001" customHeight="1" x14ac:dyDescent="0.2">
      <c r="D58" s="180" t="s">
        <v>1984</v>
      </c>
      <c r="E58" s="180">
        <v>34.200000000000003</v>
      </c>
      <c r="F58" s="180" t="s">
        <v>651</v>
      </c>
      <c r="G58" s="180">
        <v>67.400000000000006</v>
      </c>
      <c r="H58" s="180">
        <v>0.2</v>
      </c>
      <c r="I58" s="180">
        <v>0.2</v>
      </c>
      <c r="J58" s="180">
        <v>67.8</v>
      </c>
      <c r="K58" s="180">
        <v>17.2</v>
      </c>
      <c r="L58" s="152"/>
    </row>
    <row r="59" spans="1:12" ht="20.100000000000001" customHeight="1" x14ac:dyDescent="0.2">
      <c r="D59" s="180" t="s">
        <v>1985</v>
      </c>
      <c r="E59" s="180">
        <v>33.1</v>
      </c>
      <c r="F59" s="180" t="s">
        <v>651</v>
      </c>
      <c r="G59" s="180">
        <v>67</v>
      </c>
      <c r="H59" s="180">
        <v>0.2</v>
      </c>
      <c r="I59" s="180">
        <v>0.2</v>
      </c>
      <c r="J59" s="180">
        <v>67.400000000000006</v>
      </c>
      <c r="K59" s="180">
        <v>18</v>
      </c>
      <c r="L59" s="152"/>
    </row>
    <row r="60" spans="1:12" ht="20.100000000000001" customHeight="1" x14ac:dyDescent="0.2">
      <c r="D60" s="180" t="s">
        <v>1986</v>
      </c>
      <c r="E60" s="180">
        <v>37.5</v>
      </c>
      <c r="F60" s="180" t="s">
        <v>651</v>
      </c>
      <c r="G60" s="180">
        <v>68.900000000000006</v>
      </c>
      <c r="H60" s="180">
        <v>0.01</v>
      </c>
      <c r="I60" s="180">
        <v>0.2</v>
      </c>
      <c r="J60" s="180">
        <v>69.11</v>
      </c>
      <c r="K60" s="180">
        <v>18</v>
      </c>
      <c r="L60" s="152"/>
    </row>
    <row r="61" spans="1:12" ht="20.100000000000001" customHeight="1" x14ac:dyDescent="0.2">
      <c r="D61" s="180" t="s">
        <v>1987</v>
      </c>
      <c r="E61" s="180">
        <v>36.799999999999997</v>
      </c>
      <c r="F61" s="180" t="s">
        <v>651</v>
      </c>
      <c r="G61" s="180">
        <v>69.599999999999994</v>
      </c>
      <c r="H61" s="180">
        <v>0.02</v>
      </c>
      <c r="I61" s="180">
        <v>0.2</v>
      </c>
      <c r="J61" s="180">
        <v>69.819999999999993</v>
      </c>
      <c r="K61" s="180">
        <v>18</v>
      </c>
      <c r="L61" s="152"/>
    </row>
    <row r="62" spans="1:12" ht="20.100000000000001" customHeight="1" x14ac:dyDescent="0.2">
      <c r="D62" s="180" t="s">
        <v>1988</v>
      </c>
      <c r="E62" s="180">
        <v>37.299999999999997</v>
      </c>
      <c r="F62" s="180" t="s">
        <v>651</v>
      </c>
      <c r="G62" s="180">
        <v>69.5</v>
      </c>
      <c r="H62" s="180">
        <v>0.03</v>
      </c>
      <c r="I62" s="180">
        <v>0.2</v>
      </c>
      <c r="J62" s="180">
        <v>69.73</v>
      </c>
      <c r="K62" s="180">
        <v>18</v>
      </c>
      <c r="L62" s="152"/>
    </row>
    <row r="63" spans="1:12" ht="20.100000000000001" customHeight="1" x14ac:dyDescent="0.2">
      <c r="D63" s="180" t="s">
        <v>1962</v>
      </c>
      <c r="E63" s="180">
        <v>38.6</v>
      </c>
      <c r="F63" s="180" t="s">
        <v>651</v>
      </c>
      <c r="G63" s="180">
        <v>69.900000000000006</v>
      </c>
      <c r="H63" s="180">
        <v>0.1</v>
      </c>
      <c r="I63" s="180">
        <v>0.2</v>
      </c>
      <c r="J63" s="180">
        <v>70.2</v>
      </c>
      <c r="K63" s="180">
        <v>17.3</v>
      </c>
      <c r="L63" s="152"/>
    </row>
    <row r="64" spans="1:12" ht="20.100000000000001" customHeight="1" x14ac:dyDescent="0.2">
      <c r="D64" s="180" t="s">
        <v>595</v>
      </c>
      <c r="E64" s="180">
        <v>39.700000000000003</v>
      </c>
      <c r="F64" s="180" t="s">
        <v>651</v>
      </c>
      <c r="G64" s="180">
        <v>73.599999999999994</v>
      </c>
      <c r="H64" s="180">
        <v>0.04</v>
      </c>
      <c r="I64" s="180">
        <v>0.2</v>
      </c>
      <c r="J64" s="180">
        <v>73.84</v>
      </c>
      <c r="K64" s="180">
        <v>18</v>
      </c>
      <c r="L64" s="152"/>
    </row>
    <row r="65" spans="1:13" ht="20.100000000000001" customHeight="1" x14ac:dyDescent="0.2">
      <c r="D65" s="180" t="s">
        <v>1989</v>
      </c>
      <c r="E65" s="180">
        <v>34.4</v>
      </c>
      <c r="F65" s="180" t="s">
        <v>651</v>
      </c>
      <c r="G65" s="180">
        <v>69.7</v>
      </c>
      <c r="H65" s="180">
        <v>0.03</v>
      </c>
      <c r="I65" s="180">
        <v>0.2</v>
      </c>
      <c r="J65" s="180">
        <v>69.930000000000007</v>
      </c>
      <c r="K65" s="180">
        <v>18</v>
      </c>
      <c r="L65" s="152"/>
    </row>
    <row r="66" spans="1:13" ht="20.100000000000001" customHeight="1" x14ac:dyDescent="0.2">
      <c r="A66" s="79" t="str">
        <f>HYPERLINK("#A1", "▲ Back to top")</f>
        <v>▲ Back to top</v>
      </c>
      <c r="D66" s="180" t="s">
        <v>1990</v>
      </c>
      <c r="E66" s="180">
        <v>34.4</v>
      </c>
      <c r="F66" s="180" t="s">
        <v>651</v>
      </c>
      <c r="G66" s="180">
        <v>69.7</v>
      </c>
      <c r="H66" s="180">
        <v>0.03</v>
      </c>
      <c r="I66" s="180">
        <v>0.2</v>
      </c>
      <c r="J66" s="180">
        <v>69.930000000000007</v>
      </c>
      <c r="K66" s="180">
        <v>18</v>
      </c>
      <c r="L66" s="152"/>
    </row>
    <row r="67" spans="1:13" ht="20.100000000000001" customHeight="1" x14ac:dyDescent="0.2">
      <c r="D67" s="180" t="s">
        <v>653</v>
      </c>
      <c r="E67" s="180">
        <v>25.7</v>
      </c>
      <c r="F67" s="180" t="s">
        <v>651</v>
      </c>
      <c r="G67" s="180">
        <v>60.2</v>
      </c>
      <c r="H67" s="180">
        <v>0.2</v>
      </c>
      <c r="I67" s="180">
        <v>0.2</v>
      </c>
      <c r="J67" s="180">
        <v>60.6</v>
      </c>
      <c r="K67" s="180">
        <v>20.2</v>
      </c>
      <c r="L67" s="152"/>
    </row>
    <row r="68" spans="1:13" ht="20.100000000000001" customHeight="1" x14ac:dyDescent="0.2">
      <c r="D68" s="180" t="s">
        <v>1991</v>
      </c>
      <c r="E68" s="180">
        <v>31.4</v>
      </c>
      <c r="F68" s="180" t="s">
        <v>651</v>
      </c>
      <c r="G68" s="180">
        <v>69.8</v>
      </c>
      <c r="H68" s="180">
        <v>0.01</v>
      </c>
      <c r="I68" s="180">
        <v>0.01</v>
      </c>
      <c r="J68" s="180">
        <v>69.819999999999993</v>
      </c>
      <c r="K68" s="180">
        <v>18</v>
      </c>
      <c r="L68" s="152"/>
    </row>
    <row r="69" spans="1:13" ht="20.100000000000001" customHeight="1" x14ac:dyDescent="0.2">
      <c r="D69" s="180" t="s">
        <v>1992</v>
      </c>
      <c r="E69" s="180">
        <v>34.200000000000003</v>
      </c>
      <c r="F69" s="180" t="s">
        <v>1398</v>
      </c>
      <c r="G69" s="180">
        <v>92.6</v>
      </c>
      <c r="H69" s="180">
        <v>0.08</v>
      </c>
      <c r="I69" s="180">
        <v>0.2</v>
      </c>
      <c r="J69" s="180">
        <v>92.88</v>
      </c>
      <c r="K69" s="180">
        <v>18</v>
      </c>
      <c r="L69" s="152"/>
    </row>
    <row r="70" spans="1:13" ht="20.100000000000001" customHeight="1" x14ac:dyDescent="0.2">
      <c r="D70" s="180" t="s">
        <v>1993</v>
      </c>
      <c r="E70" s="180">
        <v>42.9</v>
      </c>
      <c r="F70" s="180" t="s">
        <v>1398</v>
      </c>
      <c r="G70" s="180">
        <v>54.7</v>
      </c>
      <c r="H70" s="180">
        <v>0.03</v>
      </c>
      <c r="I70" s="180">
        <v>0.03</v>
      </c>
      <c r="J70" s="180">
        <v>54.76</v>
      </c>
      <c r="K70" s="180">
        <v>18</v>
      </c>
      <c r="L70" s="152"/>
    </row>
    <row r="71" spans="1:13" ht="20.100000000000001" customHeight="1" x14ac:dyDescent="0.2">
      <c r="D71" s="180" t="s">
        <v>1994</v>
      </c>
      <c r="E71" s="180">
        <v>34.200000000000003</v>
      </c>
      <c r="F71" s="180" t="s">
        <v>1398</v>
      </c>
      <c r="G71" s="180">
        <v>92.6</v>
      </c>
      <c r="H71" s="180">
        <v>0.08</v>
      </c>
      <c r="I71" s="180">
        <v>0.2</v>
      </c>
      <c r="J71" s="180">
        <v>92.88</v>
      </c>
      <c r="K71" s="180">
        <v>18</v>
      </c>
      <c r="L71" s="152"/>
    </row>
    <row r="72" spans="1:13" ht="20.100000000000001" customHeight="1" x14ac:dyDescent="0.2">
      <c r="D72" s="180" t="s">
        <v>1995</v>
      </c>
      <c r="E72" s="180">
        <v>34.4</v>
      </c>
      <c r="F72" s="180" t="s">
        <v>651</v>
      </c>
      <c r="G72" s="180">
        <v>69.8</v>
      </c>
      <c r="H72" s="180">
        <v>0.02</v>
      </c>
      <c r="I72" s="180">
        <v>0.1</v>
      </c>
      <c r="J72" s="180">
        <v>69.92</v>
      </c>
      <c r="K72" s="180">
        <v>18</v>
      </c>
      <c r="L72" s="152"/>
    </row>
    <row r="73" spans="1:13" ht="20.100000000000001" customHeight="1" x14ac:dyDescent="0.2">
      <c r="D73" s="180" t="s">
        <v>654</v>
      </c>
      <c r="E73" s="180">
        <v>34.6</v>
      </c>
      <c r="F73" s="180" t="s">
        <v>651</v>
      </c>
      <c r="G73" s="180">
        <v>0</v>
      </c>
      <c r="H73" s="180">
        <v>0.08</v>
      </c>
      <c r="I73" s="180">
        <v>0.2</v>
      </c>
      <c r="J73" s="180">
        <v>0.28000000000000003</v>
      </c>
      <c r="K73" s="180" t="s">
        <v>1963</v>
      </c>
      <c r="L73" s="152"/>
    </row>
    <row r="74" spans="1:13" ht="20.100000000000001" customHeight="1" x14ac:dyDescent="0.2">
      <c r="D74" s="180" t="s">
        <v>1996</v>
      </c>
      <c r="E74" s="180">
        <v>23.4</v>
      </c>
      <c r="F74" s="180" t="s">
        <v>651</v>
      </c>
      <c r="G74" s="180">
        <v>0</v>
      </c>
      <c r="H74" s="180">
        <v>0.08</v>
      </c>
      <c r="I74" s="180">
        <v>0.2</v>
      </c>
      <c r="J74" s="180">
        <v>0.28000000000000003</v>
      </c>
      <c r="K74" s="180" t="s">
        <v>1963</v>
      </c>
      <c r="L74" s="152"/>
    </row>
    <row r="75" spans="1:13" ht="20.100000000000001" customHeight="1" x14ac:dyDescent="0.2">
      <c r="D75" s="180" t="s">
        <v>1997</v>
      </c>
      <c r="E75" s="180">
        <v>23.4</v>
      </c>
      <c r="F75" s="180" t="s">
        <v>651</v>
      </c>
      <c r="G75" s="180">
        <v>0</v>
      </c>
      <c r="H75" s="180">
        <v>0.08</v>
      </c>
      <c r="I75" s="180">
        <v>0.2</v>
      </c>
      <c r="J75" s="180">
        <v>0.28000000000000003</v>
      </c>
      <c r="K75" s="180" t="s">
        <v>1963</v>
      </c>
      <c r="L75" s="152"/>
    </row>
    <row r="76" spans="1:13" ht="20.100000000000001" customHeight="1" x14ac:dyDescent="0.2">
      <c r="D76" s="180" t="s">
        <v>660</v>
      </c>
      <c r="E76" s="180">
        <v>36.799999999999997</v>
      </c>
      <c r="F76" s="180" t="s">
        <v>651</v>
      </c>
      <c r="G76" s="180">
        <v>0</v>
      </c>
      <c r="H76" s="180">
        <v>0.02</v>
      </c>
      <c r="I76" s="180">
        <v>0.2</v>
      </c>
      <c r="J76" s="180">
        <v>0.22</v>
      </c>
      <c r="K76" s="180" t="s">
        <v>1963</v>
      </c>
      <c r="L76" s="152"/>
    </row>
    <row r="77" spans="1:13" ht="20.100000000000001" customHeight="1" x14ac:dyDescent="0.2">
      <c r="D77" s="180" t="s">
        <v>657</v>
      </c>
      <c r="E77" s="180">
        <v>38.6</v>
      </c>
      <c r="F77" s="180" t="s">
        <v>651</v>
      </c>
      <c r="G77" s="180">
        <v>0</v>
      </c>
      <c r="H77" s="180">
        <v>0.1</v>
      </c>
      <c r="I77" s="180">
        <v>0.2</v>
      </c>
      <c r="J77" s="180">
        <v>0.3</v>
      </c>
      <c r="K77" s="180" t="s">
        <v>1963</v>
      </c>
      <c r="L77" s="152"/>
    </row>
    <row r="78" spans="1:13" ht="20.100000000000001" customHeight="1" x14ac:dyDescent="0.2">
      <c r="D78" s="152"/>
      <c r="E78" s="152"/>
      <c r="F78" s="152"/>
      <c r="G78" s="152"/>
      <c r="H78" s="152"/>
      <c r="I78" s="152"/>
      <c r="J78" s="152"/>
      <c r="K78" s="152"/>
      <c r="L78" s="152"/>
    </row>
    <row r="79" spans="1:13" ht="20.100000000000001" customHeight="1" x14ac:dyDescent="0.2">
      <c r="D79" s="152"/>
      <c r="E79" s="152"/>
      <c r="F79" s="152"/>
      <c r="G79" s="152"/>
      <c r="H79" s="152"/>
      <c r="I79" s="152"/>
      <c r="J79" s="152"/>
      <c r="K79" s="152"/>
      <c r="L79" s="152"/>
      <c r="M79" s="152"/>
    </row>
    <row r="80" spans="1:13" ht="20.100000000000001" customHeight="1" x14ac:dyDescent="0.2">
      <c r="D80" s="152"/>
      <c r="E80" s="152"/>
      <c r="F80" s="152"/>
      <c r="G80" s="152"/>
      <c r="H80" s="152"/>
      <c r="I80" s="152"/>
      <c r="J80" s="152"/>
      <c r="K80" s="152"/>
      <c r="L80" s="152"/>
      <c r="M80" s="152"/>
    </row>
    <row r="81" spans="1:12" ht="20.100000000000001" customHeight="1" x14ac:dyDescent="0.2">
      <c r="D81" s="2" t="s">
        <v>1998</v>
      </c>
      <c r="E81" s="152"/>
      <c r="F81" s="152"/>
      <c r="G81" s="152"/>
      <c r="H81" s="152"/>
      <c r="I81" s="152"/>
      <c r="J81" s="152"/>
      <c r="K81" s="152"/>
      <c r="L81" s="152"/>
    </row>
    <row r="82" spans="1:12" ht="20.100000000000001" customHeight="1" x14ac:dyDescent="0.2">
      <c r="D82" s="1" t="s">
        <v>1999</v>
      </c>
      <c r="E82" s="152"/>
      <c r="F82" s="152"/>
      <c r="G82" s="152"/>
      <c r="H82" s="152"/>
      <c r="I82" s="152"/>
      <c r="J82" s="152"/>
      <c r="K82" s="152"/>
      <c r="L82" s="152"/>
    </row>
    <row r="83" spans="1:12" ht="20.100000000000001" customHeight="1" x14ac:dyDescent="0.2">
      <c r="D83" s="17" t="s">
        <v>2000</v>
      </c>
      <c r="E83" s="152"/>
      <c r="F83" s="152"/>
      <c r="G83" s="152"/>
      <c r="H83" s="152"/>
      <c r="I83" s="152"/>
      <c r="J83" s="152"/>
      <c r="K83" s="152"/>
      <c r="L83" s="152"/>
    </row>
    <row r="84" spans="1: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2"/>
      <c r="F84" s="152"/>
      <c r="G84" s="152"/>
      <c r="H84" s="152"/>
      <c r="I84" s="152"/>
      <c r="J84" s="152"/>
      <c r="K84" s="152"/>
      <c r="L84" s="152"/>
    </row>
    <row r="85" spans="1:12" ht="20.100000000000001" customHeight="1" x14ac:dyDescent="0.2">
      <c r="D85" s="152"/>
      <c r="E85" s="152"/>
      <c r="F85" s="152"/>
      <c r="G85" s="152"/>
      <c r="H85" s="152"/>
      <c r="I85" s="152"/>
      <c r="J85" s="152"/>
      <c r="K85" s="152"/>
      <c r="L85" s="152"/>
    </row>
    <row r="86" spans="1:12" ht="20.100000000000001" customHeight="1" x14ac:dyDescent="0.2">
      <c r="D86" s="145" t="s">
        <v>629</v>
      </c>
      <c r="E86" s="179" t="s">
        <v>630</v>
      </c>
      <c r="F86" s="145" t="s">
        <v>631</v>
      </c>
      <c r="G86" s="179" t="s">
        <v>632</v>
      </c>
      <c r="H86" s="179" t="s">
        <v>633</v>
      </c>
      <c r="I86" s="179" t="s">
        <v>634</v>
      </c>
      <c r="J86" s="179" t="s">
        <v>635</v>
      </c>
      <c r="K86" s="152"/>
      <c r="L86" s="152"/>
    </row>
    <row r="87" spans="1:12" ht="20.100000000000001" customHeight="1" x14ac:dyDescent="0.2">
      <c r="D87" s="180" t="s">
        <v>2001</v>
      </c>
      <c r="E87" s="180">
        <v>3.9300000000000002E-2</v>
      </c>
      <c r="F87" s="180" t="s">
        <v>1406</v>
      </c>
      <c r="G87" s="180">
        <v>51.4</v>
      </c>
      <c r="H87" s="180">
        <v>0.1</v>
      </c>
      <c r="I87" s="180">
        <v>0.03</v>
      </c>
      <c r="J87" s="180">
        <v>51.53</v>
      </c>
      <c r="K87" s="152"/>
      <c r="L87" s="152"/>
    </row>
    <row r="88" spans="1:12" ht="20.100000000000001" customHeight="1" x14ac:dyDescent="0.2">
      <c r="D88" s="180" t="s">
        <v>2002</v>
      </c>
      <c r="E88" s="180">
        <v>3.7699999999999997E-2</v>
      </c>
      <c r="F88" s="180" t="s">
        <v>1406</v>
      </c>
      <c r="G88" s="180">
        <v>51.4</v>
      </c>
      <c r="H88" s="180">
        <v>0.2</v>
      </c>
      <c r="I88" s="180">
        <v>0.03</v>
      </c>
      <c r="J88" s="180">
        <v>51.63</v>
      </c>
      <c r="K88" s="152"/>
      <c r="L88" s="152"/>
    </row>
    <row r="89" spans="1:12" ht="20.100000000000001" customHeight="1" x14ac:dyDescent="0.2">
      <c r="D89" s="180" t="s">
        <v>2003</v>
      </c>
      <c r="E89" s="180">
        <v>3.7699999999999997E-2</v>
      </c>
      <c r="F89" s="180" t="s">
        <v>1406</v>
      </c>
      <c r="G89" s="180">
        <v>51.9</v>
      </c>
      <c r="H89" s="180">
        <v>4.5999999999999996</v>
      </c>
      <c r="I89" s="180">
        <v>0.3</v>
      </c>
      <c r="J89" s="180">
        <v>56.8</v>
      </c>
      <c r="K89" s="152"/>
      <c r="L89" s="152"/>
    </row>
    <row r="90" spans="1:12" ht="20.100000000000001" customHeight="1" x14ac:dyDescent="0.2">
      <c r="D90" s="180" t="s">
        <v>2004</v>
      </c>
      <c r="E90" s="180">
        <v>3.9300000000000002E-2</v>
      </c>
      <c r="F90" s="180" t="s">
        <v>1406</v>
      </c>
      <c r="G90" s="180">
        <v>51.4</v>
      </c>
      <c r="H90" s="180">
        <v>0.1</v>
      </c>
      <c r="I90" s="180">
        <v>0.03</v>
      </c>
      <c r="J90" s="180">
        <v>51.53</v>
      </c>
      <c r="K90" s="152"/>
      <c r="L90" s="152"/>
    </row>
    <row r="91" spans="1:12" ht="20.100000000000001" customHeight="1" x14ac:dyDescent="0.2">
      <c r="D91" s="180" t="s">
        <v>2005</v>
      </c>
      <c r="E91" s="180">
        <v>3.9300000000000002E-2</v>
      </c>
      <c r="F91" s="180" t="s">
        <v>1406</v>
      </c>
      <c r="G91" s="180">
        <v>51.4</v>
      </c>
      <c r="H91" s="180">
        <v>0.1</v>
      </c>
      <c r="I91" s="180">
        <v>0.03</v>
      </c>
      <c r="J91" s="180">
        <v>51.53</v>
      </c>
      <c r="K91" s="152"/>
      <c r="L91" s="152"/>
    </row>
    <row r="92" spans="1:12" ht="20.100000000000001" customHeight="1" x14ac:dyDescent="0.2">
      <c r="D92" s="180" t="s">
        <v>2006</v>
      </c>
      <c r="E92" s="180">
        <v>6.2899999999999998E-2</v>
      </c>
      <c r="F92" s="180" t="s">
        <v>1406</v>
      </c>
      <c r="G92" s="180">
        <v>56.5</v>
      </c>
      <c r="H92" s="180">
        <v>0.03</v>
      </c>
      <c r="I92" s="180">
        <v>0.03</v>
      </c>
      <c r="J92" s="180">
        <v>56.56</v>
      </c>
      <c r="K92" s="152"/>
      <c r="L92" s="152"/>
    </row>
    <row r="93" spans="1:12" ht="20.100000000000001" customHeight="1" x14ac:dyDescent="0.2">
      <c r="D93" s="180" t="s">
        <v>2007</v>
      </c>
      <c r="E93" s="180">
        <v>1.8100000000000002E-2</v>
      </c>
      <c r="F93" s="180" t="s">
        <v>1406</v>
      </c>
      <c r="G93" s="180">
        <v>37</v>
      </c>
      <c r="H93" s="180">
        <v>0.03</v>
      </c>
      <c r="I93" s="180">
        <v>0.05</v>
      </c>
      <c r="J93" s="180">
        <v>37.08</v>
      </c>
      <c r="K93" s="152"/>
      <c r="L93" s="152"/>
    </row>
    <row r="94" spans="1:12" ht="20.100000000000001" customHeight="1" x14ac:dyDescent="0.2">
      <c r="D94" s="180" t="s">
        <v>2008</v>
      </c>
      <c r="E94" s="180">
        <v>4.0000000000000001E-3</v>
      </c>
      <c r="F94" s="180" t="s">
        <v>1406</v>
      </c>
      <c r="G94" s="180">
        <v>234</v>
      </c>
      <c r="H94" s="180">
        <v>0.03</v>
      </c>
      <c r="I94" s="180">
        <v>0.02</v>
      </c>
      <c r="J94" s="180">
        <v>234.05</v>
      </c>
      <c r="K94" s="152"/>
      <c r="L94" s="152"/>
    </row>
    <row r="95" spans="1:12" ht="20.100000000000001" customHeight="1" x14ac:dyDescent="0.2">
      <c r="D95" s="180" t="s">
        <v>2009</v>
      </c>
      <c r="E95" s="180">
        <v>3.9E-2</v>
      </c>
      <c r="F95" s="180" t="s">
        <v>1406</v>
      </c>
      <c r="G95" s="180">
        <v>60.2</v>
      </c>
      <c r="H95" s="180">
        <v>0.04</v>
      </c>
      <c r="I95" s="180">
        <v>0.03</v>
      </c>
      <c r="J95" s="180">
        <v>60.27</v>
      </c>
      <c r="K95" s="152"/>
      <c r="L95" s="152"/>
    </row>
    <row r="96" spans="1:12" ht="20.100000000000001" customHeight="1" x14ac:dyDescent="0.2">
      <c r="A96" s="79" t="str">
        <f>HYPERLINK("#A1", "▲ Back to top")</f>
        <v>▲ Back to top</v>
      </c>
      <c r="D96" s="180" t="s">
        <v>1966</v>
      </c>
      <c r="E96" s="180">
        <v>25.3</v>
      </c>
      <c r="F96" s="180" t="s">
        <v>651</v>
      </c>
      <c r="G96" s="180">
        <v>51.4</v>
      </c>
      <c r="H96" s="180">
        <v>0.1</v>
      </c>
      <c r="I96" s="180">
        <v>0.03</v>
      </c>
      <c r="J96" s="180">
        <v>51.53</v>
      </c>
      <c r="K96" s="152"/>
      <c r="L96" s="152"/>
    </row>
    <row r="97" spans="4:13" ht="20.100000000000001" customHeight="1" x14ac:dyDescent="0.2">
      <c r="D97" s="180" t="s">
        <v>2010</v>
      </c>
      <c r="E97" s="180">
        <v>3.9E-2</v>
      </c>
      <c r="F97" s="180" t="s">
        <v>1406</v>
      </c>
      <c r="G97" s="180">
        <v>51.4</v>
      </c>
      <c r="H97" s="180">
        <v>0.1</v>
      </c>
      <c r="I97" s="180">
        <v>0.03</v>
      </c>
      <c r="J97" s="180">
        <v>51.53</v>
      </c>
      <c r="K97" s="152"/>
      <c r="L97" s="152"/>
    </row>
    <row r="98" spans="4:13" ht="20.100000000000001" customHeight="1" x14ac:dyDescent="0.2">
      <c r="D98" s="180" t="s">
        <v>2011</v>
      </c>
      <c r="E98" s="180">
        <v>3.7699999999999997E-2</v>
      </c>
      <c r="F98" s="180" t="s">
        <v>1406</v>
      </c>
      <c r="G98" s="180">
        <v>0</v>
      </c>
      <c r="H98" s="180">
        <v>6.4</v>
      </c>
      <c r="I98" s="180">
        <v>0.03</v>
      </c>
      <c r="J98" s="180">
        <v>6.43</v>
      </c>
      <c r="K98" s="152"/>
      <c r="L98" s="152"/>
    </row>
    <row r="99" spans="4:13" ht="20.100000000000001" customHeight="1" x14ac:dyDescent="0.2">
      <c r="D99" s="180" t="s">
        <v>2012</v>
      </c>
      <c r="E99" s="180">
        <v>3.7699999999999997E-2</v>
      </c>
      <c r="F99" s="180" t="s">
        <v>1406</v>
      </c>
      <c r="G99" s="180">
        <v>0</v>
      </c>
      <c r="H99" s="180">
        <v>6.4</v>
      </c>
      <c r="I99" s="180">
        <v>0.03</v>
      </c>
      <c r="J99" s="180">
        <v>6.43</v>
      </c>
      <c r="K99" s="152"/>
      <c r="L99" s="152"/>
    </row>
    <row r="100" spans="4:13" ht="20.100000000000001" customHeight="1" x14ac:dyDescent="0.2">
      <c r="D100" s="180" t="s">
        <v>2013</v>
      </c>
      <c r="E100" s="180">
        <v>3.6999999999999998E-2</v>
      </c>
      <c r="F100" s="180" t="s">
        <v>1406</v>
      </c>
      <c r="G100" s="180">
        <v>0</v>
      </c>
      <c r="H100" s="180">
        <v>6.4</v>
      </c>
      <c r="I100" s="180">
        <v>0.03</v>
      </c>
      <c r="J100" s="180">
        <v>6.43</v>
      </c>
      <c r="K100" s="152"/>
      <c r="L100" s="152"/>
    </row>
    <row r="101" spans="4:13" ht="20.100000000000001" customHeight="1" x14ac:dyDescent="0.2">
      <c r="D101" s="180" t="s">
        <v>2014</v>
      </c>
      <c r="E101" s="180">
        <v>3.9300000000000002E-2</v>
      </c>
      <c r="F101" s="180" t="s">
        <v>1406</v>
      </c>
      <c r="G101" s="180">
        <v>0</v>
      </c>
      <c r="H101" s="180">
        <v>0.1</v>
      </c>
      <c r="I101" s="180">
        <v>0.03</v>
      </c>
      <c r="J101" s="180">
        <v>0.13</v>
      </c>
      <c r="K101" s="152"/>
      <c r="L101" s="152"/>
    </row>
    <row r="102" spans="4:13" ht="20.100000000000001" customHeight="1" x14ac:dyDescent="0.2">
      <c r="D102" s="180" t="s">
        <v>2015</v>
      </c>
      <c r="E102" s="180">
        <v>1.2200000000000001E-2</v>
      </c>
      <c r="F102" s="180" t="s">
        <v>1406</v>
      </c>
      <c r="G102" s="180">
        <v>0</v>
      </c>
      <c r="H102" s="180">
        <v>0</v>
      </c>
      <c r="I102" s="180">
        <v>0.5</v>
      </c>
      <c r="J102" s="180">
        <v>0.5</v>
      </c>
      <c r="K102" s="152"/>
      <c r="L102" s="152"/>
    </row>
    <row r="103" spans="4:13" ht="20.100000000000001" customHeight="1" x14ac:dyDescent="0.2">
      <c r="D103" s="180" t="s">
        <v>2016</v>
      </c>
      <c r="E103" s="180">
        <v>1</v>
      </c>
      <c r="F103" s="180" t="s">
        <v>669</v>
      </c>
      <c r="G103" s="180">
        <v>51.4</v>
      </c>
      <c r="H103" s="180">
        <v>0.1</v>
      </c>
      <c r="I103" s="180">
        <v>0.03</v>
      </c>
      <c r="J103" s="180">
        <v>51.53</v>
      </c>
      <c r="K103" s="152"/>
      <c r="L103" s="152"/>
    </row>
    <row r="104" spans="4:13" ht="20.100000000000001" customHeight="1" x14ac:dyDescent="0.2">
      <c r="D104" s="180" t="s">
        <v>2017</v>
      </c>
      <c r="E104" s="180">
        <v>1</v>
      </c>
      <c r="F104" s="180" t="s">
        <v>669</v>
      </c>
      <c r="G104" s="180">
        <v>60.2</v>
      </c>
      <c r="H104" s="180">
        <v>0.04</v>
      </c>
      <c r="I104" s="180">
        <v>0.03</v>
      </c>
      <c r="J104" s="180">
        <v>60.27</v>
      </c>
      <c r="K104" s="152"/>
      <c r="L104" s="152"/>
    </row>
    <row r="105" spans="4:13" ht="20.100000000000001" customHeight="1" x14ac:dyDescent="0.2">
      <c r="D105" s="152"/>
      <c r="E105" s="152"/>
      <c r="F105" s="152"/>
      <c r="G105" s="152"/>
      <c r="H105" s="152"/>
      <c r="I105" s="152"/>
      <c r="J105" s="152"/>
      <c r="K105" s="152"/>
      <c r="L105" s="152"/>
      <c r="M105" s="152"/>
    </row>
    <row r="106" spans="4:13" ht="20.100000000000001" customHeight="1" x14ac:dyDescent="0.2">
      <c r="D106" s="152"/>
      <c r="E106" s="152"/>
      <c r="F106" s="152"/>
      <c r="G106" s="152"/>
      <c r="H106" s="152"/>
      <c r="I106" s="152"/>
      <c r="J106" s="152"/>
      <c r="K106" s="152"/>
      <c r="L106" s="152"/>
      <c r="M106" s="152"/>
    </row>
    <row r="107" spans="4:13" ht="20.100000000000001" customHeight="1" x14ac:dyDescent="0.2">
      <c r="D107" s="2" t="s">
        <v>2018</v>
      </c>
      <c r="E107" s="152"/>
      <c r="F107" s="152"/>
      <c r="G107" s="152"/>
      <c r="H107" s="152"/>
      <c r="I107" s="152"/>
      <c r="J107" s="152"/>
      <c r="K107" s="152"/>
      <c r="L107" s="152"/>
    </row>
    <row r="108" spans="4:13" ht="20.100000000000001" customHeight="1" x14ac:dyDescent="0.2">
      <c r="D108" s="1" t="s">
        <v>2019</v>
      </c>
      <c r="E108" s="152"/>
      <c r="F108" s="152"/>
      <c r="G108" s="152"/>
      <c r="H108" s="152"/>
      <c r="I108" s="152"/>
      <c r="J108" s="152"/>
      <c r="K108" s="152"/>
      <c r="L108" s="152"/>
    </row>
    <row r="109" spans="4:13" ht="20.100000000000001" customHeight="1" x14ac:dyDescent="0.2">
      <c r="D109" s="17" t="s">
        <v>2020</v>
      </c>
      <c r="E109" s="152"/>
      <c r="F109" s="152"/>
      <c r="G109" s="152"/>
      <c r="H109" s="152"/>
      <c r="I109" s="152"/>
      <c r="J109" s="152"/>
      <c r="K109" s="152"/>
      <c r="L109" s="152"/>
    </row>
    <row r="110" spans="4: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2"/>
      <c r="F110" s="152"/>
      <c r="G110" s="152"/>
      <c r="H110" s="152"/>
      <c r="I110" s="152"/>
      <c r="J110" s="152"/>
      <c r="K110" s="152"/>
      <c r="L110" s="152"/>
    </row>
    <row r="111" spans="4:13" ht="20.100000000000001" customHeight="1" x14ac:dyDescent="0.2">
      <c r="D111" s="152"/>
      <c r="E111" s="152"/>
      <c r="F111" s="152"/>
      <c r="G111" s="152"/>
      <c r="H111" s="152"/>
      <c r="I111" s="152"/>
      <c r="J111" s="152"/>
      <c r="K111" s="152"/>
      <c r="L111" s="152"/>
    </row>
    <row r="112" spans="4:13" ht="20.100000000000001" customHeight="1" x14ac:dyDescent="0.2">
      <c r="D112" s="145" t="s">
        <v>644</v>
      </c>
      <c r="E112" s="179" t="s">
        <v>579</v>
      </c>
      <c r="F112" s="179" t="s">
        <v>645</v>
      </c>
      <c r="G112" s="189" t="s">
        <v>2022</v>
      </c>
      <c r="H112" s="75" t="s">
        <v>646</v>
      </c>
      <c r="I112" s="152"/>
      <c r="J112" s="152"/>
      <c r="K112" s="152"/>
      <c r="L112" s="152"/>
    </row>
    <row r="113" spans="1:13" ht="20.100000000000001" customHeight="1" x14ac:dyDescent="0.2">
      <c r="D113" s="182" t="s">
        <v>1708</v>
      </c>
      <c r="E113" s="182">
        <v>13.1</v>
      </c>
      <c r="F113" s="182">
        <v>14</v>
      </c>
      <c r="G113" s="183" t="s">
        <v>2021</v>
      </c>
      <c r="H113" s="1" t="s">
        <v>2023</v>
      </c>
      <c r="I113" s="152"/>
      <c r="J113" s="152"/>
      <c r="K113" s="152"/>
      <c r="L113" s="152"/>
    </row>
    <row r="114" spans="1:13" ht="20.100000000000001" customHeight="1" x14ac:dyDescent="0.2">
      <c r="D114" s="182" t="s">
        <v>497</v>
      </c>
      <c r="E114" s="182">
        <v>13.1</v>
      </c>
      <c r="F114" s="182">
        <v>14</v>
      </c>
      <c r="G114" s="183"/>
      <c r="H114" s="1" t="s">
        <v>2024</v>
      </c>
      <c r="I114" s="152"/>
      <c r="J114" s="152"/>
      <c r="K114" s="152"/>
      <c r="L114" s="152"/>
    </row>
    <row r="115" spans="1:13" ht="20.100000000000001" customHeight="1" x14ac:dyDescent="0.2">
      <c r="D115" s="182" t="s">
        <v>1709</v>
      </c>
      <c r="E115" s="182">
        <v>4</v>
      </c>
      <c r="F115" s="182">
        <v>4</v>
      </c>
      <c r="G115" s="183"/>
      <c r="H115" s="1" t="s">
        <v>2025</v>
      </c>
      <c r="I115" s="152"/>
      <c r="J115" s="152"/>
      <c r="K115" s="152"/>
      <c r="L115" s="152"/>
    </row>
    <row r="116" spans="1:13" ht="20.100000000000001" customHeight="1" x14ac:dyDescent="0.2">
      <c r="D116" s="182" t="s">
        <v>1710</v>
      </c>
      <c r="E116" s="182">
        <v>8.8000000000000007</v>
      </c>
      <c r="F116" s="182">
        <v>7.9</v>
      </c>
      <c r="G116" s="183" t="s">
        <v>2021</v>
      </c>
      <c r="H116" s="1" t="s">
        <v>2026</v>
      </c>
      <c r="I116" s="152"/>
      <c r="J116" s="152"/>
      <c r="K116" s="152"/>
      <c r="L116" s="152"/>
    </row>
    <row r="117" spans="1:13" ht="20.100000000000001" customHeight="1" x14ac:dyDescent="0.2">
      <c r="D117" s="182" t="s">
        <v>1711</v>
      </c>
      <c r="E117" s="182">
        <v>10.7</v>
      </c>
      <c r="F117" s="182">
        <v>10.6</v>
      </c>
      <c r="G117" s="183"/>
      <c r="H117" s="1" t="s">
        <v>2027</v>
      </c>
      <c r="I117" s="152"/>
      <c r="J117" s="152"/>
      <c r="K117" s="152"/>
      <c r="L117" s="152"/>
    </row>
    <row r="118" spans="1:13" ht="20.100000000000001" customHeight="1" x14ac:dyDescent="0.2">
      <c r="D118" s="182" t="s">
        <v>99</v>
      </c>
      <c r="E118" s="182">
        <v>4.0999999999999996</v>
      </c>
      <c r="F118" s="182">
        <v>4</v>
      </c>
      <c r="G118" s="183" t="s">
        <v>2021</v>
      </c>
      <c r="H118" s="1" t="s">
        <v>2028</v>
      </c>
      <c r="I118" s="152"/>
      <c r="J118" s="152"/>
      <c r="K118" s="152"/>
      <c r="L118" s="152"/>
    </row>
    <row r="119" spans="1:13" ht="20.100000000000001" customHeight="1" x14ac:dyDescent="0.2">
      <c r="D119" s="182" t="s">
        <v>1713</v>
      </c>
      <c r="E119" s="182">
        <v>4</v>
      </c>
      <c r="F119" s="182">
        <v>4</v>
      </c>
      <c r="G119" s="183" t="s">
        <v>2021</v>
      </c>
      <c r="H119" s="1" t="s">
        <v>2029</v>
      </c>
      <c r="I119" s="152"/>
      <c r="J119" s="152"/>
      <c r="K119" s="152"/>
      <c r="L119" s="152"/>
    </row>
    <row r="120" spans="1:13" ht="20.100000000000001" customHeight="1" x14ac:dyDescent="0.2">
      <c r="D120" s="182" t="s">
        <v>2035</v>
      </c>
      <c r="E120" s="182">
        <v>4.0999999999999996</v>
      </c>
      <c r="F120" s="182">
        <v>4</v>
      </c>
      <c r="G120" s="183" t="s">
        <v>2021</v>
      </c>
      <c r="H120" s="1" t="s">
        <v>2030</v>
      </c>
      <c r="I120" s="152"/>
      <c r="J120" s="152"/>
      <c r="K120" s="152"/>
      <c r="L120" s="152"/>
    </row>
    <row r="121" spans="1:13" ht="20.100000000000001" customHeight="1" x14ac:dyDescent="0.2">
      <c r="D121" s="8"/>
      <c r="E121" s="8"/>
      <c r="F121" s="8"/>
      <c r="G121" s="183"/>
      <c r="H121" s="1" t="s">
        <v>2031</v>
      </c>
      <c r="I121" s="152"/>
      <c r="J121" s="152"/>
      <c r="K121" s="152"/>
      <c r="L121" s="152"/>
    </row>
    <row r="122" spans="1:13" ht="20.100000000000001" customHeight="1" x14ac:dyDescent="0.2">
      <c r="D122" s="152"/>
      <c r="F122" s="184"/>
      <c r="G122" s="183"/>
      <c r="H122" s="1" t="s">
        <v>2032</v>
      </c>
      <c r="I122" s="152"/>
      <c r="J122" s="152"/>
      <c r="K122" s="152"/>
      <c r="L122" s="152"/>
    </row>
    <row r="123" spans="1:13" ht="20.100000000000001" customHeight="1" x14ac:dyDescent="0.2">
      <c r="D123" s="185"/>
      <c r="F123" s="184"/>
      <c r="G123" s="183" t="s">
        <v>2021</v>
      </c>
      <c r="H123" s="1" t="s">
        <v>2033</v>
      </c>
      <c r="I123" s="152"/>
      <c r="J123" s="152"/>
      <c r="K123" s="152"/>
      <c r="L123" s="152"/>
    </row>
    <row r="124" spans="1:13" ht="20.100000000000001" customHeight="1" x14ac:dyDescent="0.2">
      <c r="D124" s="185"/>
      <c r="F124" s="184"/>
      <c r="G124" s="152"/>
      <c r="H124" s="1" t="s">
        <v>2034</v>
      </c>
      <c r="I124" s="152"/>
      <c r="J124" s="152"/>
      <c r="K124" s="152"/>
      <c r="L124" s="152"/>
    </row>
    <row r="125" spans="1:13" ht="20.100000000000001" customHeight="1" x14ac:dyDescent="0.2">
      <c r="D125" s="185"/>
      <c r="F125" s="184"/>
      <c r="G125" s="152"/>
      <c r="H125" s="152"/>
      <c r="I125" s="152"/>
      <c r="J125" s="152"/>
      <c r="K125" s="152"/>
      <c r="L125" s="152"/>
    </row>
    <row r="126" spans="1:13" ht="20.100000000000001" customHeight="1" x14ac:dyDescent="0.2">
      <c r="A126" s="79" t="str">
        <f>HYPERLINK("#A1", "▲ Back to top")</f>
        <v>▲ Back to top</v>
      </c>
      <c r="D126" s="152"/>
      <c r="E126" s="152"/>
      <c r="F126" s="152"/>
      <c r="G126" s="152"/>
      <c r="H126" s="152"/>
      <c r="I126" s="152"/>
      <c r="J126" s="152"/>
      <c r="K126" s="152"/>
      <c r="L126" s="152"/>
      <c r="M126" s="152"/>
    </row>
    <row r="127" spans="1:13" ht="20.100000000000001" customHeight="1" x14ac:dyDescent="0.2">
      <c r="D127" s="152"/>
      <c r="E127" s="152"/>
      <c r="F127" s="152"/>
      <c r="G127" s="152"/>
      <c r="H127" s="152"/>
      <c r="I127" s="152"/>
      <c r="J127" s="152"/>
      <c r="K127" s="152"/>
      <c r="L127" s="152"/>
      <c r="M127" s="152"/>
    </row>
    <row r="128" spans="1:13" ht="20.100000000000001" customHeight="1" x14ac:dyDescent="0.2">
      <c r="D128" s="152"/>
      <c r="E128" s="152"/>
      <c r="F128" s="152"/>
      <c r="G128" s="152"/>
      <c r="H128" s="152"/>
      <c r="I128" s="152"/>
      <c r="J128" s="152"/>
      <c r="K128" s="152"/>
      <c r="L128" s="152"/>
      <c r="M128" s="152"/>
    </row>
    <row r="129" spans="4:33" ht="20.100000000000001" customHeight="1" x14ac:dyDescent="0.2">
      <c r="D129" s="186"/>
      <c r="E129" s="152"/>
      <c r="F129" s="152"/>
      <c r="G129" s="152"/>
      <c r="H129" s="152"/>
      <c r="I129" s="152"/>
      <c r="J129" s="152"/>
      <c r="K129" s="152"/>
      <c r="L129" s="152"/>
    </row>
    <row r="130" spans="4:33" ht="20.100000000000001" customHeight="1" x14ac:dyDescent="0.2">
      <c r="D130" s="187" t="s">
        <v>647</v>
      </c>
      <c r="E130" s="187" t="s">
        <v>588</v>
      </c>
      <c r="F130" s="187" t="s">
        <v>648</v>
      </c>
      <c r="G130" s="187" t="s">
        <v>591</v>
      </c>
      <c r="H130" s="187" t="s">
        <v>593</v>
      </c>
      <c r="I130" s="187" t="s">
        <v>594</v>
      </c>
      <c r="J130" s="152"/>
      <c r="K130" s="152"/>
      <c r="L130" s="152"/>
    </row>
    <row r="131" spans="4:33" ht="20.100000000000001" customHeight="1" x14ac:dyDescent="0.2">
      <c r="D131" s="188" t="str">
        <f>$D$143</f>
        <v>Petrol</v>
      </c>
      <c r="E131" s="188" t="str">
        <f>$D$143</f>
        <v>Petrol</v>
      </c>
      <c r="F131" s="188" t="str">
        <f>$D$150</f>
        <v>Avgas</v>
      </c>
      <c r="G131" s="188" t="str">
        <f>$D$143</f>
        <v>Petrol</v>
      </c>
      <c r="H131" s="188" t="str">
        <f>$D$144</f>
        <v>Diesel</v>
      </c>
      <c r="I131" s="188" t="str">
        <f>$D$143</f>
        <v>Petrol</v>
      </c>
      <c r="J131" s="152"/>
      <c r="K131" s="152"/>
      <c r="L131" s="152"/>
    </row>
    <row r="132" spans="4:33" ht="20.100000000000001" customHeight="1" x14ac:dyDescent="0.2">
      <c r="D132" s="188" t="str">
        <f>$D$144</f>
        <v>Diesel</v>
      </c>
      <c r="E132" s="188" t="str">
        <f>$D$144</f>
        <v>Diesel</v>
      </c>
      <c r="F132" s="188" t="str">
        <f>$D$151</f>
        <v>Jet A1, Jet B</v>
      </c>
      <c r="G132" s="188" t="str">
        <f>$D$144</f>
        <v>Diesel</v>
      </c>
      <c r="H132" s="188"/>
      <c r="I132" s="188" t="str">
        <f>$D$144</f>
        <v>Diesel</v>
      </c>
      <c r="J132" s="152"/>
      <c r="K132" s="152"/>
      <c r="L132" s="152"/>
    </row>
    <row r="133" spans="4:33" ht="20.100000000000001" customHeight="1" x14ac:dyDescent="0.2">
      <c r="D133" s="188" t="str">
        <f>$D$145</f>
        <v>Liquefied petroleum gas (LPG)</v>
      </c>
      <c r="E133" s="188" t="str">
        <f>$D$145</f>
        <v>Liquefied petroleum gas (LPG)</v>
      </c>
      <c r="F133" s="188" t="str">
        <f>$D$152</f>
        <v>Renewable aviation kerosene</v>
      </c>
      <c r="G133" s="188" t="str">
        <f>$D$145</f>
        <v>Liquefied petroleum gas (LPG)</v>
      </c>
      <c r="H133" s="188"/>
      <c r="I133" s="188" t="s">
        <v>595</v>
      </c>
      <c r="J133" s="152"/>
      <c r="K133" s="152"/>
      <c r="L133" s="152"/>
    </row>
    <row r="134" spans="4:33" ht="20.100000000000001" customHeight="1" x14ac:dyDescent="0.2">
      <c r="D134" s="188" t="str">
        <f>$D$146</f>
        <v>Biodiesel</v>
      </c>
      <c r="E134" s="188" t="str">
        <f>$D$146</f>
        <v>Biodiesel</v>
      </c>
      <c r="F134" s="187"/>
      <c r="G134" s="188" t="str">
        <f>$D$160</f>
        <v>Fuel oil</v>
      </c>
      <c r="H134" s="188"/>
      <c r="I134" s="188"/>
      <c r="J134" s="152"/>
      <c r="K134" s="152"/>
      <c r="L134" s="152"/>
    </row>
    <row r="135" spans="4:33" ht="20.100000000000001" customHeight="1" x14ac:dyDescent="0.2">
      <c r="D135" s="188" t="str">
        <f>$D$147</f>
        <v>Ethanol</v>
      </c>
      <c r="E135" s="188" t="str">
        <f>$D$147</f>
        <v>Ethanol</v>
      </c>
      <c r="F135" s="187"/>
      <c r="G135" s="188" t="str">
        <f>$D$147</f>
        <v>Ethanol</v>
      </c>
      <c r="H135" s="188"/>
      <c r="I135" s="188"/>
      <c r="J135" s="152"/>
      <c r="K135" s="152"/>
      <c r="L135" s="152"/>
    </row>
    <row r="136" spans="4:33" ht="20.100000000000001" customHeight="1" x14ac:dyDescent="0.2">
      <c r="D136" s="188" t="str">
        <f>$D$148</f>
        <v>Other biofuels</v>
      </c>
      <c r="E136" s="188" t="str">
        <f>$D$148</f>
        <v>Other biofuels</v>
      </c>
      <c r="F136" s="187"/>
      <c r="G136" s="188" t="str">
        <f>$D$146</f>
        <v>Biodiesel</v>
      </c>
      <c r="H136" s="188"/>
      <c r="I136" s="188"/>
      <c r="J136" s="152"/>
      <c r="K136" s="152"/>
      <c r="L136" s="152"/>
    </row>
    <row r="137" spans="4:33" ht="20.100000000000001" customHeight="1" x14ac:dyDescent="0.2">
      <c r="D137" s="188" t="str">
        <f>$D$149</f>
        <v>Renewable diesel</v>
      </c>
      <c r="E137" s="188" t="str">
        <f>$D$149</f>
        <v>Renewable diesel</v>
      </c>
      <c r="F137" s="187"/>
      <c r="G137" s="188" t="str">
        <f>$D$149</f>
        <v>Renewable diesel</v>
      </c>
      <c r="H137" s="188"/>
      <c r="I137" s="188"/>
      <c r="J137" s="152"/>
      <c r="K137" s="152"/>
      <c r="L137" s="152"/>
    </row>
    <row r="138" spans="4:33" ht="20.100000000000001" customHeight="1" x14ac:dyDescent="0.2">
      <c r="D138" s="187"/>
      <c r="E138" s="189" t="str">
        <f>$D$161</f>
        <v>Natural gas (via pipeline) in GJ</v>
      </c>
      <c r="F138" s="189"/>
      <c r="G138" s="188" t="str">
        <f>$D$148</f>
        <v>Other biofuels</v>
      </c>
      <c r="H138" s="188"/>
      <c r="I138" s="188"/>
      <c r="J138" s="152"/>
      <c r="K138" s="152"/>
      <c r="L138" s="152"/>
    </row>
    <row r="139" spans="4:33" ht="20.100000000000001" customHeight="1" x14ac:dyDescent="0.2">
      <c r="D139" s="189"/>
      <c r="E139" s="189" t="str">
        <f>$D$162</f>
        <v>Town gas in GJ</v>
      </c>
      <c r="F139" s="189"/>
      <c r="G139" s="189"/>
      <c r="H139" s="189"/>
      <c r="I139" s="189"/>
      <c r="J139" s="152"/>
      <c r="K139" s="152"/>
      <c r="L139" s="152"/>
    </row>
    <row r="140" spans="4:33" ht="20.100000000000001" customHeight="1" x14ac:dyDescent="0.2">
      <c r="D140" s="152"/>
      <c r="E140" s="152"/>
      <c r="F140" s="152"/>
      <c r="G140" s="152"/>
      <c r="H140" s="152"/>
      <c r="I140" s="152"/>
      <c r="J140" s="152"/>
      <c r="K140" s="152"/>
      <c r="L140" s="152"/>
    </row>
    <row r="141" spans="4:33" ht="20.100000000000001" customHeight="1" x14ac:dyDescent="0.2">
      <c r="D141" s="152"/>
      <c r="E141" s="152"/>
      <c r="F141" s="152"/>
      <c r="G141" s="152"/>
      <c r="H141" s="152"/>
      <c r="I141" s="152"/>
      <c r="J141" s="152"/>
      <c r="K141" s="152"/>
      <c r="L141" s="152"/>
    </row>
    <row r="142" spans="4:33" ht="20.100000000000001" customHeight="1" x14ac:dyDescent="0.2">
      <c r="D142" t="s">
        <v>649</v>
      </c>
      <c r="E142" t="s">
        <v>118</v>
      </c>
      <c r="F142" t="s">
        <v>650</v>
      </c>
      <c r="G142" s="152"/>
      <c r="H142" s="152"/>
      <c r="I142" s="152"/>
      <c r="J142" s="152"/>
      <c r="K142" s="152"/>
      <c r="L142" s="152"/>
      <c r="M142" s="152"/>
      <c r="AG142" s="1"/>
    </row>
    <row r="143" spans="4:33" ht="20.100000000000001" customHeight="1" x14ac:dyDescent="0.2">
      <c r="D143" s="188" t="s">
        <v>590</v>
      </c>
      <c r="E143" t="s">
        <v>651</v>
      </c>
      <c r="F143" t="s">
        <v>652</v>
      </c>
      <c r="G143" s="152"/>
      <c r="H143" s="152"/>
      <c r="I143" s="152"/>
      <c r="J143" s="152"/>
      <c r="K143" s="152"/>
      <c r="L143" s="152"/>
      <c r="M143" s="152"/>
      <c r="AG143" s="1"/>
    </row>
    <row r="144" spans="4:33" ht="20.100000000000001" customHeight="1" x14ac:dyDescent="0.2">
      <c r="D144" s="188" t="s">
        <v>592</v>
      </c>
      <c r="E144" t="s">
        <v>651</v>
      </c>
      <c r="F144" t="s">
        <v>652</v>
      </c>
      <c r="G144" s="152"/>
      <c r="H144" s="152"/>
      <c r="I144" s="152"/>
      <c r="J144" s="152"/>
      <c r="K144" s="152"/>
      <c r="L144" s="152"/>
      <c r="M144" s="152"/>
      <c r="AG144" s="1"/>
    </row>
    <row r="145" spans="1:33" ht="20.100000000000001" customHeight="1" x14ac:dyDescent="0.2">
      <c r="D145" s="188" t="s">
        <v>653</v>
      </c>
      <c r="E145" t="s">
        <v>651</v>
      </c>
      <c r="F145" t="s">
        <v>652</v>
      </c>
      <c r="G145" s="152"/>
      <c r="H145" s="152"/>
      <c r="I145" s="152"/>
      <c r="J145" s="152"/>
      <c r="K145" s="152"/>
      <c r="L145" s="152"/>
      <c r="M145" s="152"/>
      <c r="AG145" s="1"/>
    </row>
    <row r="146" spans="1:33" ht="20.100000000000001" customHeight="1" x14ac:dyDescent="0.2">
      <c r="D146" s="188" t="s">
        <v>654</v>
      </c>
      <c r="E146" t="s">
        <v>651</v>
      </c>
      <c r="F146" t="s">
        <v>652</v>
      </c>
      <c r="G146" s="152"/>
      <c r="H146" s="152"/>
      <c r="I146" s="152"/>
      <c r="J146" s="152"/>
      <c r="K146" s="152"/>
      <c r="L146" s="152"/>
      <c r="M146" s="152"/>
      <c r="AG146" s="1"/>
    </row>
    <row r="147" spans="1:33" ht="20.100000000000001" customHeight="1" x14ac:dyDescent="0.2">
      <c r="D147" s="188" t="s">
        <v>655</v>
      </c>
      <c r="E147" t="s">
        <v>651</v>
      </c>
      <c r="F147" t="s">
        <v>652</v>
      </c>
      <c r="G147" s="152"/>
      <c r="H147" s="152"/>
      <c r="I147" s="152"/>
      <c r="J147" s="152"/>
      <c r="K147" s="152"/>
      <c r="L147" s="152"/>
      <c r="M147" s="152"/>
      <c r="AG147" s="1"/>
    </row>
    <row r="148" spans="1:33" ht="20.100000000000001" customHeight="1" x14ac:dyDescent="0.2">
      <c r="D148" s="188" t="s">
        <v>656</v>
      </c>
      <c r="E148" t="s">
        <v>651</v>
      </c>
      <c r="F148" t="s">
        <v>652</v>
      </c>
      <c r="G148" s="152"/>
      <c r="H148" s="152"/>
      <c r="I148" s="152"/>
      <c r="J148" s="152"/>
      <c r="K148" s="152"/>
      <c r="L148" s="152"/>
      <c r="M148" s="152"/>
      <c r="AG148" s="1"/>
    </row>
    <row r="149" spans="1:33" ht="20.100000000000001" customHeight="1" x14ac:dyDescent="0.2">
      <c r="D149" s="188" t="s">
        <v>657</v>
      </c>
      <c r="E149" t="s">
        <v>651</v>
      </c>
      <c r="F149" t="s">
        <v>652</v>
      </c>
      <c r="G149" s="152"/>
      <c r="H149" s="152"/>
      <c r="I149" s="152"/>
      <c r="J149" s="152"/>
      <c r="K149" s="152"/>
      <c r="L149" s="152"/>
      <c r="M149" s="152"/>
      <c r="AG149" s="1"/>
    </row>
    <row r="150" spans="1:33" ht="20.100000000000001" customHeight="1" x14ac:dyDescent="0.2">
      <c r="D150" s="188" t="s">
        <v>658</v>
      </c>
      <c r="E150" t="s">
        <v>651</v>
      </c>
      <c r="F150" t="s">
        <v>652</v>
      </c>
      <c r="G150" s="152"/>
      <c r="H150" s="152"/>
      <c r="I150" s="152"/>
      <c r="J150" s="152"/>
      <c r="K150" s="152"/>
      <c r="L150" s="152"/>
      <c r="M150" s="152"/>
      <c r="AG150" s="1"/>
    </row>
    <row r="151" spans="1:33" ht="20.100000000000001" customHeight="1" x14ac:dyDescent="0.2">
      <c r="D151" s="188" t="s">
        <v>659</v>
      </c>
      <c r="E151" t="s">
        <v>651</v>
      </c>
      <c r="F151" t="s">
        <v>652</v>
      </c>
      <c r="G151" s="152"/>
      <c r="H151" s="152"/>
      <c r="I151" s="152"/>
      <c r="J151" s="152"/>
      <c r="K151" s="152"/>
      <c r="L151" s="152"/>
      <c r="M151" s="152"/>
      <c r="AG151" s="1"/>
    </row>
    <row r="152" spans="1:33" ht="20.100000000000001" customHeight="1" x14ac:dyDescent="0.2">
      <c r="D152" s="190" t="s">
        <v>660</v>
      </c>
      <c r="E152" s="8" t="s">
        <v>651</v>
      </c>
      <c r="F152" t="s">
        <v>652</v>
      </c>
      <c r="G152" s="152"/>
      <c r="H152" s="152"/>
      <c r="I152" s="152"/>
      <c r="J152" s="152"/>
      <c r="K152" s="152"/>
      <c r="L152" s="152"/>
      <c r="M152" s="152"/>
      <c r="AG152" s="1"/>
    </row>
    <row r="153" spans="1:33" ht="20.100000000000001" customHeight="1" x14ac:dyDescent="0.2">
      <c r="D153" s="190" t="s">
        <v>661</v>
      </c>
      <c r="E153" s="8" t="s">
        <v>651</v>
      </c>
      <c r="F153" t="s">
        <v>652</v>
      </c>
      <c r="G153" s="152"/>
      <c r="H153" s="152"/>
      <c r="I153" s="152"/>
      <c r="J153" s="152"/>
      <c r="K153" s="152"/>
      <c r="L153" s="152"/>
      <c r="M153" s="152"/>
      <c r="AG153" s="1"/>
    </row>
    <row r="154" spans="1:33" ht="20.100000000000001" customHeight="1" x14ac:dyDescent="0.2">
      <c r="D154" s="190" t="s">
        <v>662</v>
      </c>
      <c r="E154" s="8" t="s">
        <v>651</v>
      </c>
      <c r="F154" t="s">
        <v>652</v>
      </c>
      <c r="G154" s="152"/>
      <c r="H154" s="152"/>
      <c r="I154" s="152"/>
      <c r="J154" s="152"/>
      <c r="K154" s="152"/>
      <c r="L154" s="152"/>
      <c r="M154" s="152"/>
      <c r="AG154" s="1"/>
    </row>
    <row r="155" spans="1:33" ht="20.100000000000001" customHeight="1" x14ac:dyDescent="0.2">
      <c r="D155" s="190" t="s">
        <v>663</v>
      </c>
      <c r="E155" s="8" t="s">
        <v>651</v>
      </c>
      <c r="F155" t="s">
        <v>652</v>
      </c>
      <c r="G155" s="152"/>
      <c r="H155" s="152"/>
      <c r="I155" s="152"/>
      <c r="J155" s="152"/>
      <c r="K155" s="152"/>
      <c r="L155" s="152"/>
      <c r="M155" s="152"/>
      <c r="AG155" s="1"/>
    </row>
    <row r="156" spans="1:33" ht="20.100000000000001" customHeight="1" x14ac:dyDescent="0.2">
      <c r="A156" s="79" t="str">
        <f>HYPERLINK("#A1", "▲ Back to top")</f>
        <v>▲ Back to top</v>
      </c>
      <c r="D156" s="190" t="s">
        <v>664</v>
      </c>
      <c r="E156" s="8" t="s">
        <v>651</v>
      </c>
      <c r="F156" t="s">
        <v>652</v>
      </c>
      <c r="G156" s="152"/>
      <c r="H156" s="152"/>
      <c r="I156" s="152"/>
      <c r="J156" s="152"/>
      <c r="K156" s="152"/>
      <c r="L156" s="152"/>
      <c r="M156" s="152"/>
      <c r="AG156" s="1"/>
    </row>
    <row r="157" spans="1:33" ht="20.100000000000001" customHeight="1" x14ac:dyDescent="0.2">
      <c r="D157" s="190" t="s">
        <v>665</v>
      </c>
      <c r="E157" s="8" t="s">
        <v>651</v>
      </c>
      <c r="F157" t="s">
        <v>652</v>
      </c>
      <c r="G157" s="152"/>
      <c r="H157" s="152"/>
      <c r="I157" s="152"/>
      <c r="J157" s="152"/>
      <c r="K157" s="152"/>
      <c r="L157" s="152"/>
      <c r="M157" s="152"/>
      <c r="AG157" s="1"/>
    </row>
    <row r="158" spans="1:33" ht="20.100000000000001" customHeight="1" x14ac:dyDescent="0.2">
      <c r="D158" s="190" t="s">
        <v>666</v>
      </c>
      <c r="E158" s="8" t="s">
        <v>651</v>
      </c>
      <c r="F158" t="s">
        <v>652</v>
      </c>
      <c r="G158" s="152"/>
      <c r="H158" s="152"/>
      <c r="I158" s="152"/>
      <c r="J158" s="152"/>
      <c r="K158" s="152"/>
      <c r="L158" s="152"/>
      <c r="M158" s="152"/>
      <c r="AG158" s="1"/>
    </row>
    <row r="159" spans="1:33" ht="20.100000000000001" customHeight="1" x14ac:dyDescent="0.2">
      <c r="D159" s="190" t="s">
        <v>667</v>
      </c>
      <c r="E159" s="8" t="s">
        <v>651</v>
      </c>
      <c r="F159" t="s">
        <v>652</v>
      </c>
      <c r="G159" s="152"/>
      <c r="H159" s="152"/>
      <c r="I159" s="152"/>
      <c r="J159" s="152"/>
      <c r="K159" s="152"/>
      <c r="L159" s="152"/>
      <c r="M159" s="152"/>
      <c r="AG159" s="1"/>
    </row>
    <row r="160" spans="1:33" ht="20.100000000000001" customHeight="1" x14ac:dyDescent="0.2">
      <c r="D160" s="190" t="s">
        <v>595</v>
      </c>
      <c r="E160" s="8" t="s">
        <v>651</v>
      </c>
      <c r="F160" t="s">
        <v>652</v>
      </c>
      <c r="G160" s="152"/>
      <c r="H160" s="152"/>
      <c r="I160" s="152"/>
      <c r="J160" s="152"/>
      <c r="K160" s="152"/>
      <c r="L160" s="152"/>
      <c r="M160" s="152"/>
      <c r="AG160" s="1"/>
    </row>
    <row r="161" spans="4:33" ht="20.100000000000001" customHeight="1" x14ac:dyDescent="0.2">
      <c r="D161" s="189" t="s">
        <v>668</v>
      </c>
      <c r="E161" s="152" t="s">
        <v>669</v>
      </c>
      <c r="F161" s="152" t="s">
        <v>669</v>
      </c>
      <c r="G161" s="152"/>
      <c r="H161" s="152"/>
      <c r="I161" s="152"/>
      <c r="J161" s="152"/>
      <c r="K161" s="152"/>
      <c r="L161" s="152"/>
      <c r="M161" s="152"/>
      <c r="AG161" s="1"/>
    </row>
    <row r="162" spans="4:33" ht="20.100000000000001" customHeight="1" x14ac:dyDescent="0.2">
      <c r="D162" s="152" t="s">
        <v>589</v>
      </c>
      <c r="E162" s="152" t="s">
        <v>669</v>
      </c>
      <c r="F162" s="152" t="s">
        <v>669</v>
      </c>
      <c r="G162" s="152"/>
      <c r="H162" s="152"/>
      <c r="I162" s="152"/>
      <c r="J162" s="152"/>
      <c r="K162" s="152"/>
      <c r="L162" s="152"/>
      <c r="M162" s="152"/>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FCA8-ACC3-4642-9E70-52A302E75F96}">
  <sheetPr>
    <tabColor theme="2" tint="-0.499984740745262"/>
  </sheetPr>
  <dimension ref="A1:R24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Feedlot'!A1", "Feedlot")</f>
        <v>Feedlot</v>
      </c>
    </row>
    <row r="12" spans="1:17" ht="20.100000000000001" customHeight="1" x14ac:dyDescent="0.2">
      <c r="A12" s="5" t="str">
        <f>HYPERLINK("#'Input - Livestock sales'!A1", "Livestock sales")</f>
        <v>Livestock sales</v>
      </c>
    </row>
    <row r="13" spans="1:17" ht="20.100000000000001" customHeight="1" x14ac:dyDescent="0.2">
      <c r="A13" s="5" t="str">
        <f>HYPERLINK("#'Input - Beef cattle purchases'!A1", "Beef cattle purchases")</f>
        <v>Beef cattle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HYPERLINK("#'3.1.1.1-2 Enteric Methane'!A1", "3.1.1.1-2 Enteric Methane")</f>
        <v>3.1.1.1-2 Enteric Methane</v>
      </c>
    </row>
    <row r="28" spans="1:12" ht="20.100000000000001" customHeight="1" x14ac:dyDescent="0.2">
      <c r="A28" s="5" t="str">
        <f>HYPERLINK("#'4.1.1.1-2 Methane'!A1", "4.1.1.1-2 Manure Methane")</f>
        <v>4.1.1.1-2 Manure Methane</v>
      </c>
    </row>
    <row r="29" spans="1:12" ht="20.100000000000001" customHeight="1" x14ac:dyDescent="0.2">
      <c r="A29" s="5" t="str">
        <f>HYPERLINK("#'4.1.1.3-4 Direct N20'!A1", "4.1.1.3-4 Manure Direct N2O")</f>
        <v>4.1.1.3-4 Manure Direct N2O</v>
      </c>
    </row>
    <row r="30" spans="1:12" ht="20.100000000000001" customHeight="1" x14ac:dyDescent="0.2">
      <c r="A30" s="5" t="str">
        <f>HYPERLINK("#'4.1.1.5-6 Atmos Deposition'!A1", "4.1.1.5-6 Manure Atmos Dep")</f>
        <v>4.1.1.5-6 Manure Atmos Dep</v>
      </c>
    </row>
    <row r="31" spans="1:12" ht="20.100000000000001" customHeight="1" x14ac:dyDescent="0.2">
      <c r="A31" s="5" t="str">
        <f>HYPERLINK("#'4.1.1.9 Manure applied to soils'!A1", "4.1.1.9 Manure applied to soils")</f>
        <v>4.1.1.9 Manure applied to soils</v>
      </c>
    </row>
    <row r="32" spans="1:12" ht="20.100000000000001" customHeight="1" x14ac:dyDescent="0.2">
      <c r="A32" s="5" t="str">
        <f>HYPERLINK("#'8.1.1.1-2 Transport fuel'!A1", "8.1.1.1-2 Transport fuel")</f>
        <v>8.1.1.1-2 Transport fuel</v>
      </c>
      <c r="D32" s="2" t="s">
        <v>1156</v>
      </c>
      <c r="L32" s="1" t="s">
        <v>1157</v>
      </c>
    </row>
    <row r="33" spans="1:13" ht="20.100000000000001" customHeight="1" x14ac:dyDescent="0.2">
      <c r="A33" s="5" t="str">
        <f>HYPERLINK("#'8.2.1.1-2 Stationary fuel'!A1", "8.2.1.1-2 Stationary fuel")</f>
        <v>8.2.1.1-2 Stationary fuel</v>
      </c>
      <c r="D33" s="19" t="s">
        <v>1158</v>
      </c>
      <c r="E33" s="19" t="s">
        <v>132</v>
      </c>
      <c r="F33" s="19" t="s">
        <v>1159</v>
      </c>
      <c r="G33" s="19" t="s">
        <v>1160</v>
      </c>
      <c r="H33" s="19" t="s">
        <v>1161</v>
      </c>
      <c r="I33" s="19" t="s">
        <v>1162</v>
      </c>
      <c r="J33" s="19" t="s">
        <v>559</v>
      </c>
      <c r="L33" s="19" t="s">
        <v>1163</v>
      </c>
      <c r="M33" s="19" t="s">
        <v>1164</v>
      </c>
    </row>
    <row r="34" spans="1:13" ht="20.100000000000001" customHeight="1" x14ac:dyDescent="0.2">
      <c r="A34" s="5" t="str">
        <f>HYPERLINK("#'10.1.1-2 Solid waste treatment'!A1", "10.1.1.1-2 Solid waste")</f>
        <v>10.1.1.1-2 Solid waste</v>
      </c>
      <c r="D34" s="19" t="s">
        <v>1029</v>
      </c>
      <c r="E34" s="19" t="s">
        <v>943</v>
      </c>
      <c r="F34" s="19" t="s">
        <v>986</v>
      </c>
      <c r="G34" s="19" t="s">
        <v>2036</v>
      </c>
      <c r="H34" s="19">
        <v>11</v>
      </c>
      <c r="I34" s="19" t="s">
        <v>2037</v>
      </c>
      <c r="J34" s="19" t="s">
        <v>1165</v>
      </c>
      <c r="L34" s="19" t="s">
        <v>497</v>
      </c>
      <c r="M34" s="19" t="s">
        <v>496</v>
      </c>
    </row>
    <row r="35" spans="1:13" ht="20.100000000000001" customHeight="1" x14ac:dyDescent="0.2">
      <c r="A35" s="5" t="str">
        <f>HYPERLINK("#'14.1.1-2 Purchased electricity'!A1", "14.1.1-2 Purchased electricity")</f>
        <v>14.1.1-2 Purchased electricity</v>
      </c>
      <c r="D35" s="19" t="s">
        <v>1029</v>
      </c>
      <c r="E35" s="19" t="s">
        <v>943</v>
      </c>
      <c r="F35" s="19" t="s">
        <v>496</v>
      </c>
      <c r="G35" s="19" t="s">
        <v>2036</v>
      </c>
      <c r="H35" s="19">
        <v>8.2100000000000009</v>
      </c>
      <c r="I35" s="19" t="s">
        <v>2037</v>
      </c>
      <c r="J35" s="19" t="s">
        <v>1165</v>
      </c>
      <c r="L35" s="19" t="s">
        <v>496</v>
      </c>
      <c r="M35" s="19" t="s">
        <v>496</v>
      </c>
    </row>
    <row r="36" spans="1:13" ht="20.100000000000001" customHeight="1" x14ac:dyDescent="0.2">
      <c r="A36" s="5" t="str">
        <f>HYPERLINK("#'15 Scope 3'!A1", "15 Scope 3")</f>
        <v>15 Scope 3</v>
      </c>
      <c r="D36" s="19" t="s">
        <v>1029</v>
      </c>
      <c r="E36" s="19" t="s">
        <v>943</v>
      </c>
      <c r="F36" s="19" t="s">
        <v>499</v>
      </c>
      <c r="G36" s="19" t="s">
        <v>2036</v>
      </c>
      <c r="H36" s="19">
        <v>12.2</v>
      </c>
      <c r="I36" s="19" t="s">
        <v>2037</v>
      </c>
      <c r="J36" s="19" t="s">
        <v>1165</v>
      </c>
      <c r="L36" s="19" t="s">
        <v>500</v>
      </c>
      <c r="M36" s="19" t="s">
        <v>500</v>
      </c>
    </row>
    <row r="37" spans="1:13" ht="20.100000000000001" customHeight="1" x14ac:dyDescent="0.2">
      <c r="A37" s="5" t="str">
        <f>HYPERLINK("#'Calcs - Manure sent off-site'!A1", "Calcs - Manure sent off-site")</f>
        <v>Calcs - Manure sent off-site</v>
      </c>
      <c r="D37" s="19" t="s">
        <v>1029</v>
      </c>
      <c r="E37" s="19" t="s">
        <v>943</v>
      </c>
      <c r="F37" s="19" t="s">
        <v>498</v>
      </c>
      <c r="G37" s="19" t="s">
        <v>2036</v>
      </c>
      <c r="H37" s="19">
        <v>10.9</v>
      </c>
      <c r="I37" s="19" t="s">
        <v>2037</v>
      </c>
      <c r="J37" s="19" t="s">
        <v>1165</v>
      </c>
      <c r="L37" s="19" t="s">
        <v>503</v>
      </c>
      <c r="M37" s="19" t="s">
        <v>503</v>
      </c>
    </row>
    <row r="38" spans="1:13" ht="20.100000000000001" customHeight="1" x14ac:dyDescent="0.2">
      <c r="A38" s="5" t="str">
        <f>HYPERLINK("#'5.1.1.1-2 Inorganic fert N2O'!A1", "5.1.1.1-2 Inorganic fert N2O")</f>
        <v>5.1.1.1-2 Inorganic fert N2O</v>
      </c>
      <c r="D38" s="19" t="s">
        <v>1029</v>
      </c>
      <c r="E38" s="19" t="s">
        <v>943</v>
      </c>
      <c r="F38" s="19" t="s">
        <v>500</v>
      </c>
      <c r="G38" s="19" t="s">
        <v>2036</v>
      </c>
      <c r="H38" s="19">
        <v>7.63</v>
      </c>
      <c r="I38" s="19" t="s">
        <v>2037</v>
      </c>
      <c r="J38" s="19" t="s">
        <v>1165</v>
      </c>
      <c r="L38" s="19" t="s">
        <v>501</v>
      </c>
      <c r="M38" s="19" t="s">
        <v>501</v>
      </c>
    </row>
    <row r="39" spans="1:13" ht="20.100000000000001" customHeight="1" x14ac:dyDescent="0.2">
      <c r="A39" s="5" t="str">
        <f>HYPERLINK("#'5.1.1.3-4 Inorganic fert CO2'!A1", "5.1.1.3-4 Inorganic fert CO2")</f>
        <v>5.1.1.3-4 Inorganic fert CO2</v>
      </c>
      <c r="D39" s="19" t="s">
        <v>1029</v>
      </c>
      <c r="E39" s="19" t="s">
        <v>943</v>
      </c>
      <c r="F39" s="19" t="s">
        <v>503</v>
      </c>
      <c r="G39" s="19" t="s">
        <v>2036</v>
      </c>
      <c r="H39" s="19">
        <v>8.75</v>
      </c>
      <c r="I39" s="19" t="s">
        <v>2037</v>
      </c>
      <c r="J39" s="19" t="s">
        <v>1165</v>
      </c>
      <c r="L39" s="19" t="s">
        <v>944</v>
      </c>
      <c r="M39" s="19" t="s">
        <v>502</v>
      </c>
    </row>
    <row r="40" spans="1:13" ht="20.100000000000001" customHeight="1" x14ac:dyDescent="0.2">
      <c r="A40" s="5" t="str">
        <f>HYPERLINK("#'5.2.1.1-2 Organic Fert N2O'!A1", "5.2.1.1-2 Organic Fert N2O")</f>
        <v>5.2.1.1-2 Organic Fert N2O</v>
      </c>
      <c r="D40" s="19" t="s">
        <v>1029</v>
      </c>
      <c r="E40" s="19" t="s">
        <v>943</v>
      </c>
      <c r="F40" s="19" t="s">
        <v>501</v>
      </c>
      <c r="G40" s="19" t="s">
        <v>2036</v>
      </c>
      <c r="H40" s="19">
        <v>8.17</v>
      </c>
      <c r="I40" s="19" t="s">
        <v>2037</v>
      </c>
      <c r="J40" s="19" t="s">
        <v>1165</v>
      </c>
      <c r="L40" s="19" t="s">
        <v>1166</v>
      </c>
      <c r="M40" s="19" t="s">
        <v>502</v>
      </c>
    </row>
    <row r="41" spans="1:13" ht="20.100000000000001" customHeight="1" x14ac:dyDescent="0.2">
      <c r="A41" s="5" t="str">
        <f>HYPERLINK("#'5.3.1.1-2 Lime CO2'!A1", "5.3.1.1-2 Lime CO2")</f>
        <v>5.3.1.1-2 Lime CO2</v>
      </c>
      <c r="D41" s="19" t="s">
        <v>1029</v>
      </c>
      <c r="E41" s="19" t="s">
        <v>943</v>
      </c>
      <c r="F41" s="19" t="s">
        <v>502</v>
      </c>
      <c r="G41" s="19" t="s">
        <v>2036</v>
      </c>
      <c r="H41" s="19">
        <v>13.1</v>
      </c>
      <c r="I41" s="19" t="s">
        <v>2037</v>
      </c>
      <c r="J41" s="19" t="s">
        <v>1165</v>
      </c>
      <c r="L41" s="19" t="s">
        <v>941</v>
      </c>
      <c r="M41" s="19" t="s">
        <v>502</v>
      </c>
    </row>
    <row r="42" spans="1:13" ht="20.100000000000001" customHeight="1" x14ac:dyDescent="0.2">
      <c r="A42" s="5" t="str">
        <f>HYPERLINK("#'5.4.1.1-4 Atmos deposition'!A1", "5.4.1.1-4 Atmos deposition")</f>
        <v>5.4.1.1-4 Atmos deposition</v>
      </c>
      <c r="D42" s="19" t="s">
        <v>1029</v>
      </c>
      <c r="E42" s="19" t="s">
        <v>940</v>
      </c>
      <c r="F42" s="19" t="s">
        <v>986</v>
      </c>
      <c r="G42" s="19" t="s">
        <v>2036</v>
      </c>
      <c r="H42" s="19">
        <v>14.5</v>
      </c>
      <c r="I42" s="19" t="s">
        <v>2037</v>
      </c>
      <c r="J42" s="19" t="s">
        <v>1165</v>
      </c>
      <c r="L42" s="19" t="s">
        <v>1167</v>
      </c>
      <c r="M42" s="19" t="s">
        <v>499</v>
      </c>
    </row>
    <row r="43" spans="1:13" ht="20.100000000000001" customHeight="1" x14ac:dyDescent="0.2">
      <c r="A43" s="5" t="str">
        <f>HYPERLINK("#'5.5.1.1-2 Leaching and runoff'!A1", "5.5.1.1-2 Leaching and runoff")</f>
        <v>5.5.1.1-2 Leaching and runoff</v>
      </c>
      <c r="D43" s="19" t="s">
        <v>1029</v>
      </c>
      <c r="E43" s="19" t="s">
        <v>940</v>
      </c>
      <c r="F43" s="19" t="s">
        <v>496</v>
      </c>
      <c r="G43" s="19" t="s">
        <v>2036</v>
      </c>
      <c r="H43" s="19">
        <v>11.3</v>
      </c>
      <c r="I43" s="19" t="s">
        <v>2037</v>
      </c>
      <c r="J43" s="19" t="s">
        <v>1165</v>
      </c>
      <c r="L43" s="19" t="s">
        <v>1168</v>
      </c>
      <c r="M43" s="19" t="s">
        <v>499</v>
      </c>
    </row>
    <row r="44" spans="1:13" ht="20.100000000000001" customHeight="1" x14ac:dyDescent="0.2">
      <c r="D44" s="19" t="s">
        <v>1029</v>
      </c>
      <c r="E44" s="19" t="s">
        <v>940</v>
      </c>
      <c r="F44" s="19" t="s">
        <v>499</v>
      </c>
      <c r="G44" s="19" t="s">
        <v>2036</v>
      </c>
      <c r="H44" s="19">
        <v>18.899999999999999</v>
      </c>
      <c r="I44" s="19" t="s">
        <v>2037</v>
      </c>
      <c r="J44" s="19" t="s">
        <v>1165</v>
      </c>
      <c r="L44" s="19" t="s">
        <v>1169</v>
      </c>
      <c r="M44" s="19" t="s">
        <v>499</v>
      </c>
    </row>
    <row r="45" spans="1:13" ht="20.100000000000001" customHeight="1" x14ac:dyDescent="0.2">
      <c r="D45" s="19" t="s">
        <v>1029</v>
      </c>
      <c r="E45" s="19" t="s">
        <v>940</v>
      </c>
      <c r="F45" s="19" t="s">
        <v>498</v>
      </c>
      <c r="G45" s="19" t="s">
        <v>2036</v>
      </c>
      <c r="H45" s="19">
        <v>13.9</v>
      </c>
      <c r="I45" s="19" t="s">
        <v>2037</v>
      </c>
      <c r="J45" s="19" t="s">
        <v>1165</v>
      </c>
      <c r="L45" s="19" t="s">
        <v>1170</v>
      </c>
      <c r="M45" s="19" t="s">
        <v>498</v>
      </c>
    </row>
    <row r="46" spans="1:13" ht="20.100000000000001" customHeight="1" x14ac:dyDescent="0.2">
      <c r="A46" s="80" t="s">
        <v>1</v>
      </c>
      <c r="D46" s="19" t="s">
        <v>1029</v>
      </c>
      <c r="E46" s="19" t="s">
        <v>940</v>
      </c>
      <c r="F46" s="19" t="s">
        <v>500</v>
      </c>
      <c r="G46" s="19" t="s">
        <v>2036</v>
      </c>
      <c r="H46" s="19">
        <v>12.3</v>
      </c>
      <c r="I46" s="19" t="s">
        <v>2037</v>
      </c>
      <c r="J46" s="19" t="s">
        <v>1165</v>
      </c>
      <c r="L46" s="19" t="s">
        <v>1171</v>
      </c>
      <c r="M46" s="19" t="s">
        <v>498</v>
      </c>
    </row>
    <row r="47" spans="1:13" ht="20.100000000000001" customHeight="1" x14ac:dyDescent="0.2">
      <c r="A47" s="5" t="str">
        <f>HYPERLINK("#'Constants - Feedlot'!A1", "Constants - Feedlot")</f>
        <v>Constants - Feedlot</v>
      </c>
      <c r="D47" s="19" t="s">
        <v>1029</v>
      </c>
      <c r="E47" s="19" t="s">
        <v>940</v>
      </c>
      <c r="F47" s="19" t="s">
        <v>503</v>
      </c>
      <c r="G47" s="19" t="s">
        <v>2036</v>
      </c>
      <c r="H47" s="19">
        <v>11.5</v>
      </c>
      <c r="I47" s="19" t="s">
        <v>2037</v>
      </c>
      <c r="J47" s="19" t="s">
        <v>1165</v>
      </c>
      <c r="L47" s="19" t="s">
        <v>1172</v>
      </c>
      <c r="M47" s="19" t="s">
        <v>498</v>
      </c>
    </row>
    <row r="48" spans="1:13" ht="20.100000000000001" customHeight="1" x14ac:dyDescent="0.2">
      <c r="A48" s="5" t="str">
        <f>HYPERLINK("#'Constants - Common livestock'!A1", "Constants - Common Livestock")</f>
        <v>Constants - Common Livestock</v>
      </c>
      <c r="D48" s="19" t="s">
        <v>1029</v>
      </c>
      <c r="E48" s="19" t="s">
        <v>940</v>
      </c>
      <c r="F48" s="19" t="s">
        <v>501</v>
      </c>
      <c r="G48" s="19" t="s">
        <v>2036</v>
      </c>
      <c r="H48" s="19">
        <v>11.5</v>
      </c>
      <c r="I48" s="19" t="s">
        <v>2037</v>
      </c>
      <c r="J48" s="19" t="s">
        <v>1165</v>
      </c>
      <c r="L48" s="19" t="s">
        <v>1173</v>
      </c>
      <c r="M48" s="19" t="s">
        <v>498</v>
      </c>
    </row>
    <row r="49" spans="1:13" ht="20.100000000000001" customHeight="1" x14ac:dyDescent="0.2">
      <c r="A49" s="5" t="str">
        <f>HYPERLINK("#'Constants - Electricity'!A1", "Constants - Electricity")</f>
        <v>Constants - Electricity</v>
      </c>
      <c r="D49" s="19" t="s">
        <v>1029</v>
      </c>
      <c r="E49" s="19" t="s">
        <v>940</v>
      </c>
      <c r="F49" s="19" t="s">
        <v>502</v>
      </c>
      <c r="G49" s="19" t="s">
        <v>2036</v>
      </c>
      <c r="H49" s="19">
        <v>20.8</v>
      </c>
      <c r="I49" s="19" t="s">
        <v>2037</v>
      </c>
      <c r="J49" s="19" t="s">
        <v>1165</v>
      </c>
      <c r="L49" s="1" t="s">
        <v>986</v>
      </c>
      <c r="M49" s="1" t="s">
        <v>986</v>
      </c>
    </row>
    <row r="50" spans="1:13" ht="20.100000000000001" customHeight="1" x14ac:dyDescent="0.2">
      <c r="A50" s="5" t="str">
        <f>HYPERLINK("#'Constants - Fertiliser'!A1", "Constants - Fertiliser")</f>
        <v>Constants - Fertiliser</v>
      </c>
      <c r="D50" s="19" t="s">
        <v>1029</v>
      </c>
      <c r="E50" s="19" t="s">
        <v>2038</v>
      </c>
      <c r="F50" s="19" t="s">
        <v>986</v>
      </c>
      <c r="G50" s="19" t="s">
        <v>2036</v>
      </c>
      <c r="H50" s="19">
        <v>15.5</v>
      </c>
      <c r="I50" s="19" t="s">
        <v>2037</v>
      </c>
      <c r="J50" s="19" t="s">
        <v>1165</v>
      </c>
    </row>
    <row r="51" spans="1:13" ht="20.100000000000001" customHeight="1" x14ac:dyDescent="0.2">
      <c r="A51" s="5" t="str">
        <f>HYPERLINK("#'Constants - Fuel'!A1", "Constants - Fuel")</f>
        <v>Constants - Fuel</v>
      </c>
      <c r="D51" s="19" t="s">
        <v>1029</v>
      </c>
      <c r="E51" s="19" t="s">
        <v>2038</v>
      </c>
      <c r="F51" s="19" t="s">
        <v>496</v>
      </c>
      <c r="G51" s="19" t="s">
        <v>2036</v>
      </c>
      <c r="H51" s="19">
        <v>12.7</v>
      </c>
      <c r="I51" s="19" t="s">
        <v>2037</v>
      </c>
      <c r="J51" s="19" t="s">
        <v>1165</v>
      </c>
    </row>
    <row r="52" spans="1:13" ht="20.100000000000001" customHeight="1" x14ac:dyDescent="0.2">
      <c r="A52" s="81" t="str">
        <f>HYPERLINK("#'Constants - Scope 3'!A1", "Constants - Scope 3")</f>
        <v>Constants - Scope 3</v>
      </c>
      <c r="D52" s="19" t="s">
        <v>1029</v>
      </c>
      <c r="E52" s="19" t="s">
        <v>2038</v>
      </c>
      <c r="F52" s="19" t="s">
        <v>499</v>
      </c>
      <c r="G52" s="19" t="s">
        <v>2036</v>
      </c>
      <c r="H52" s="19">
        <v>19.100000000000001</v>
      </c>
      <c r="I52" s="19" t="s">
        <v>2037</v>
      </c>
      <c r="J52" s="19" t="s">
        <v>1165</v>
      </c>
    </row>
    <row r="53" spans="1:13" ht="20.100000000000001" customHeight="1" x14ac:dyDescent="0.2">
      <c r="A53" s="5" t="str">
        <f>HYPERLINK("#'Constants - Solid Waste'!A1", "Constants - Solid Waste")</f>
        <v>Constants - Solid Waste</v>
      </c>
      <c r="D53" s="19" t="s">
        <v>1029</v>
      </c>
      <c r="E53" s="19" t="s">
        <v>2038</v>
      </c>
      <c r="F53" s="19" t="s">
        <v>498</v>
      </c>
      <c r="G53" s="19" t="s">
        <v>2036</v>
      </c>
      <c r="H53" s="19">
        <v>20.5</v>
      </c>
      <c r="I53" s="19" t="s">
        <v>2037</v>
      </c>
      <c r="J53" s="19" t="s">
        <v>1165</v>
      </c>
    </row>
    <row r="54" spans="1:13" ht="20.100000000000001" customHeight="1" x14ac:dyDescent="0.2">
      <c r="A54" s="5" t="str">
        <f>HYPERLINK("#'Constants - Common'!A1", "Constants - Common")</f>
        <v>Constants - Common</v>
      </c>
      <c r="D54" s="19" t="s">
        <v>1029</v>
      </c>
      <c r="E54" s="19" t="s">
        <v>2038</v>
      </c>
      <c r="F54" s="19" t="s">
        <v>500</v>
      </c>
      <c r="G54" s="19" t="s">
        <v>2036</v>
      </c>
      <c r="H54" s="19">
        <v>10.8</v>
      </c>
      <c r="I54" s="19" t="s">
        <v>2037</v>
      </c>
      <c r="J54" s="19" t="s">
        <v>1165</v>
      </c>
    </row>
    <row r="55" spans="1:13" ht="20.100000000000001" customHeight="1" x14ac:dyDescent="0.2">
      <c r="A55" s="5" t="str">
        <f>HYPERLINK("#'Acknowledgements'!A1", "Acknowledgements")</f>
        <v>Acknowledgements</v>
      </c>
      <c r="D55" s="19" t="s">
        <v>1029</v>
      </c>
      <c r="E55" s="19" t="s">
        <v>2038</v>
      </c>
      <c r="F55" s="19" t="s">
        <v>503</v>
      </c>
      <c r="G55" s="19" t="s">
        <v>2036</v>
      </c>
      <c r="H55" s="19">
        <v>13.4</v>
      </c>
      <c r="I55" s="19" t="s">
        <v>2037</v>
      </c>
      <c r="J55" s="19" t="s">
        <v>1165</v>
      </c>
    </row>
    <row r="56" spans="1:13" ht="20.100000000000001" customHeight="1" x14ac:dyDescent="0.2">
      <c r="D56" s="19" t="s">
        <v>1029</v>
      </c>
      <c r="E56" s="19" t="s">
        <v>2038</v>
      </c>
      <c r="F56" s="19" t="s">
        <v>501</v>
      </c>
      <c r="G56" s="19" t="s">
        <v>2036</v>
      </c>
      <c r="H56" s="19">
        <v>12</v>
      </c>
      <c r="I56" s="19" t="s">
        <v>2037</v>
      </c>
      <c r="J56" s="19" t="s">
        <v>1165</v>
      </c>
    </row>
    <row r="57" spans="1:13" ht="20.100000000000001" customHeight="1" x14ac:dyDescent="0.2">
      <c r="D57" s="19" t="s">
        <v>1029</v>
      </c>
      <c r="E57" s="19" t="s">
        <v>2038</v>
      </c>
      <c r="F57" s="19" t="s">
        <v>502</v>
      </c>
      <c r="G57" s="19" t="s">
        <v>2036</v>
      </c>
      <c r="H57" s="19">
        <v>12.4</v>
      </c>
      <c r="I57" s="19" t="s">
        <v>2037</v>
      </c>
      <c r="J57" s="19" t="s">
        <v>1165</v>
      </c>
    </row>
    <row r="58" spans="1:13" ht="20.100000000000001" customHeight="1" x14ac:dyDescent="0.2">
      <c r="D58" s="19" t="s">
        <v>2039</v>
      </c>
      <c r="E58" s="19" t="s">
        <v>2039</v>
      </c>
      <c r="F58" s="19" t="s">
        <v>986</v>
      </c>
      <c r="G58" s="19" t="s">
        <v>2036</v>
      </c>
      <c r="H58" s="19">
        <v>1.36</v>
      </c>
      <c r="I58" s="19" t="s">
        <v>2037</v>
      </c>
      <c r="J58" s="19" t="s">
        <v>1165</v>
      </c>
    </row>
    <row r="59" spans="1:13" ht="20.100000000000001" customHeight="1" x14ac:dyDescent="0.2">
      <c r="D59" s="19" t="s">
        <v>1048</v>
      </c>
      <c r="E59" s="19" t="s">
        <v>2040</v>
      </c>
      <c r="F59" s="19" t="s">
        <v>501</v>
      </c>
      <c r="G59" s="19" t="s">
        <v>2036</v>
      </c>
      <c r="H59" s="19">
        <v>4.41</v>
      </c>
      <c r="I59" s="19" t="s">
        <v>2037</v>
      </c>
      <c r="J59" s="19" t="s">
        <v>1165</v>
      </c>
    </row>
    <row r="60" spans="1:13" ht="20.100000000000001" customHeight="1" x14ac:dyDescent="0.2">
      <c r="D60" s="19" t="s">
        <v>1052</v>
      </c>
      <c r="E60" s="19" t="s">
        <v>1052</v>
      </c>
      <c r="F60" s="19" t="s">
        <v>986</v>
      </c>
      <c r="G60" s="19" t="s">
        <v>2036</v>
      </c>
      <c r="H60" s="19">
        <v>3.38</v>
      </c>
      <c r="I60" s="19" t="s">
        <v>2037</v>
      </c>
      <c r="J60" s="19" t="s">
        <v>1165</v>
      </c>
    </row>
    <row r="61" spans="1:13" ht="20.100000000000001" customHeight="1" x14ac:dyDescent="0.2">
      <c r="D61" s="19" t="s">
        <v>2041</v>
      </c>
      <c r="E61" s="19" t="s">
        <v>2042</v>
      </c>
      <c r="F61" s="19" t="s">
        <v>986</v>
      </c>
      <c r="G61" s="19" t="s">
        <v>2036</v>
      </c>
      <c r="H61" s="19">
        <v>6.81</v>
      </c>
      <c r="I61" s="19" t="s">
        <v>2037</v>
      </c>
      <c r="J61" s="19" t="s">
        <v>1165</v>
      </c>
    </row>
    <row r="62" spans="1:13" ht="20.100000000000001" customHeight="1" x14ac:dyDescent="0.2">
      <c r="D62" s="19" t="s">
        <v>2041</v>
      </c>
      <c r="E62" s="19" t="s">
        <v>2042</v>
      </c>
      <c r="F62" s="19" t="s">
        <v>496</v>
      </c>
      <c r="G62" s="19" t="s">
        <v>2036</v>
      </c>
      <c r="H62" s="19">
        <v>2.2599999999999998</v>
      </c>
      <c r="I62" s="19" t="s">
        <v>2037</v>
      </c>
      <c r="J62" s="19" t="s">
        <v>1165</v>
      </c>
    </row>
    <row r="63" spans="1:13" ht="20.100000000000001" customHeight="1" x14ac:dyDescent="0.2">
      <c r="D63" s="19" t="s">
        <v>2041</v>
      </c>
      <c r="E63" s="19" t="s">
        <v>2042</v>
      </c>
      <c r="F63" s="19" t="s">
        <v>498</v>
      </c>
      <c r="G63" s="19" t="s">
        <v>2036</v>
      </c>
      <c r="H63" s="19">
        <v>6.33</v>
      </c>
      <c r="I63" s="19" t="s">
        <v>2037</v>
      </c>
      <c r="J63" s="19" t="s">
        <v>1165</v>
      </c>
    </row>
    <row r="64" spans="1:13" ht="20.100000000000001" customHeight="1" x14ac:dyDescent="0.2">
      <c r="D64" s="19" t="s">
        <v>2041</v>
      </c>
      <c r="E64" s="19" t="s">
        <v>2042</v>
      </c>
      <c r="F64" s="19" t="s">
        <v>500</v>
      </c>
      <c r="G64" s="19" t="s">
        <v>2036</v>
      </c>
      <c r="H64" s="19">
        <v>6.18</v>
      </c>
      <c r="I64" s="19" t="s">
        <v>2037</v>
      </c>
      <c r="J64" s="19" t="s">
        <v>1165</v>
      </c>
    </row>
    <row r="65" spans="1:10" ht="20.100000000000001" customHeight="1" x14ac:dyDescent="0.2">
      <c r="D65" s="19" t="s">
        <v>2041</v>
      </c>
      <c r="E65" s="19" t="s">
        <v>2042</v>
      </c>
      <c r="F65" s="19" t="s">
        <v>503</v>
      </c>
      <c r="G65" s="19" t="s">
        <v>2036</v>
      </c>
      <c r="H65" s="19">
        <v>7.5</v>
      </c>
      <c r="I65" s="19" t="s">
        <v>2037</v>
      </c>
      <c r="J65" s="19" t="s">
        <v>1165</v>
      </c>
    </row>
    <row r="66" spans="1:10" ht="20.100000000000001" customHeight="1" x14ac:dyDescent="0.2">
      <c r="A66" s="79" t="str">
        <f>HYPERLINK("#A1", "▲ Back to top")</f>
        <v>▲ Back to top</v>
      </c>
      <c r="D66" s="19" t="s">
        <v>2041</v>
      </c>
      <c r="E66" s="19" t="s">
        <v>2042</v>
      </c>
      <c r="F66" s="19" t="s">
        <v>501</v>
      </c>
      <c r="G66" s="19" t="s">
        <v>2036</v>
      </c>
      <c r="H66" s="19">
        <v>8.08</v>
      </c>
      <c r="I66" s="19" t="s">
        <v>2037</v>
      </c>
      <c r="J66" s="19" t="s">
        <v>1165</v>
      </c>
    </row>
    <row r="67" spans="1:10" ht="20.100000000000001" customHeight="1" x14ac:dyDescent="0.2">
      <c r="D67" s="19" t="s">
        <v>2041</v>
      </c>
      <c r="E67" s="19" t="s">
        <v>2042</v>
      </c>
      <c r="F67" s="19" t="s">
        <v>502</v>
      </c>
      <c r="G67" s="19" t="s">
        <v>2036</v>
      </c>
      <c r="H67" s="19">
        <v>5.45</v>
      </c>
      <c r="I67" s="19" t="s">
        <v>2037</v>
      </c>
      <c r="J67" s="19" t="s">
        <v>1165</v>
      </c>
    </row>
    <row r="68" spans="1:10" ht="20.100000000000001" customHeight="1" x14ac:dyDescent="0.2">
      <c r="D68" s="19" t="s">
        <v>2041</v>
      </c>
      <c r="E68" s="19" t="s">
        <v>2043</v>
      </c>
      <c r="F68" s="19" t="s">
        <v>986</v>
      </c>
      <c r="G68" s="19" t="s">
        <v>2036</v>
      </c>
      <c r="H68" s="19">
        <v>7.15</v>
      </c>
      <c r="I68" s="19" t="s">
        <v>2037</v>
      </c>
      <c r="J68" s="19" t="s">
        <v>1165</v>
      </c>
    </row>
    <row r="69" spans="1:10" ht="20.100000000000001" customHeight="1" x14ac:dyDescent="0.2">
      <c r="D69" s="19" t="s">
        <v>2041</v>
      </c>
      <c r="E69" s="19" t="s">
        <v>2043</v>
      </c>
      <c r="F69" s="19" t="s">
        <v>496</v>
      </c>
      <c r="G69" s="19" t="s">
        <v>2036</v>
      </c>
      <c r="H69" s="19">
        <v>8.2899999999999991</v>
      </c>
      <c r="I69" s="19" t="s">
        <v>2037</v>
      </c>
      <c r="J69" s="19" t="s">
        <v>1165</v>
      </c>
    </row>
    <row r="70" spans="1:10" ht="20.100000000000001" customHeight="1" x14ac:dyDescent="0.2">
      <c r="D70" s="19" t="s">
        <v>2041</v>
      </c>
      <c r="E70" s="19" t="s">
        <v>2043</v>
      </c>
      <c r="F70" s="19" t="s">
        <v>498</v>
      </c>
      <c r="G70" s="19" t="s">
        <v>2036</v>
      </c>
      <c r="H70" s="19">
        <v>6.39</v>
      </c>
      <c r="I70" s="19" t="s">
        <v>2037</v>
      </c>
      <c r="J70" s="19" t="s">
        <v>1165</v>
      </c>
    </row>
    <row r="71" spans="1:10" ht="20.100000000000001" customHeight="1" x14ac:dyDescent="0.2">
      <c r="D71" s="19" t="s">
        <v>2041</v>
      </c>
      <c r="E71" s="19" t="s">
        <v>2043</v>
      </c>
      <c r="F71" s="19" t="s">
        <v>500</v>
      </c>
      <c r="G71" s="19" t="s">
        <v>2036</v>
      </c>
      <c r="H71" s="19">
        <v>6.87</v>
      </c>
      <c r="I71" s="19" t="s">
        <v>2037</v>
      </c>
      <c r="J71" s="19" t="s">
        <v>1165</v>
      </c>
    </row>
    <row r="72" spans="1:10" ht="20.100000000000001" customHeight="1" x14ac:dyDescent="0.2">
      <c r="D72" s="19" t="s">
        <v>2041</v>
      </c>
      <c r="E72" s="19" t="s">
        <v>2043</v>
      </c>
      <c r="F72" s="19" t="s">
        <v>503</v>
      </c>
      <c r="G72" s="19" t="s">
        <v>2036</v>
      </c>
      <c r="H72" s="19">
        <v>8.66</v>
      </c>
      <c r="I72" s="19" t="s">
        <v>2037</v>
      </c>
      <c r="J72" s="19" t="s">
        <v>1165</v>
      </c>
    </row>
    <row r="73" spans="1:10" ht="20.100000000000001" customHeight="1" x14ac:dyDescent="0.2">
      <c r="D73" s="19" t="s">
        <v>2041</v>
      </c>
      <c r="E73" s="19" t="s">
        <v>2043</v>
      </c>
      <c r="F73" s="19" t="s">
        <v>501</v>
      </c>
      <c r="G73" s="19" t="s">
        <v>2036</v>
      </c>
      <c r="H73" s="19">
        <v>10</v>
      </c>
      <c r="I73" s="19" t="s">
        <v>2037</v>
      </c>
      <c r="J73" s="19" t="s">
        <v>1165</v>
      </c>
    </row>
    <row r="74" spans="1:10" ht="20.100000000000001" customHeight="1" x14ac:dyDescent="0.2">
      <c r="D74" s="19" t="s">
        <v>2041</v>
      </c>
      <c r="E74" s="19" t="s">
        <v>2043</v>
      </c>
      <c r="F74" s="19" t="s">
        <v>502</v>
      </c>
      <c r="G74" s="19" t="s">
        <v>2036</v>
      </c>
      <c r="H74" s="19">
        <v>5.67</v>
      </c>
      <c r="I74" s="19" t="s">
        <v>2037</v>
      </c>
      <c r="J74" s="19" t="s">
        <v>1165</v>
      </c>
    </row>
    <row r="76" spans="1:10" ht="20.100000000000001" customHeight="1" x14ac:dyDescent="0.2">
      <c r="D76" s="2" t="s">
        <v>1174</v>
      </c>
    </row>
    <row r="77" spans="1:10" ht="20.100000000000001" customHeight="1" x14ac:dyDescent="0.2">
      <c r="D77" s="19" t="s">
        <v>1158</v>
      </c>
      <c r="E77" s="19" t="s">
        <v>132</v>
      </c>
      <c r="F77" s="19" t="s">
        <v>1159</v>
      </c>
      <c r="G77" s="19" t="s">
        <v>1160</v>
      </c>
      <c r="H77" s="19" t="s">
        <v>1161</v>
      </c>
      <c r="I77" s="19" t="s">
        <v>1162</v>
      </c>
      <c r="J77" s="19" t="s">
        <v>559</v>
      </c>
    </row>
    <row r="78" spans="1:10" ht="20.100000000000001" customHeight="1" x14ac:dyDescent="0.2">
      <c r="D78" s="19" t="s">
        <v>946</v>
      </c>
      <c r="E78" s="19" t="s">
        <v>953</v>
      </c>
      <c r="F78" s="19" t="s">
        <v>1765</v>
      </c>
      <c r="G78" s="19" t="s">
        <v>748</v>
      </c>
      <c r="H78" s="19">
        <v>0.72199999999999998</v>
      </c>
      <c r="I78" s="19" t="s">
        <v>2044</v>
      </c>
      <c r="J78" s="19" t="s">
        <v>1165</v>
      </c>
    </row>
    <row r="79" spans="1:10" ht="20.100000000000001" customHeight="1" x14ac:dyDescent="0.2">
      <c r="D79" s="19" t="s">
        <v>946</v>
      </c>
      <c r="E79" s="19" t="s">
        <v>955</v>
      </c>
      <c r="F79" s="19" t="s">
        <v>1765</v>
      </c>
      <c r="G79" s="19" t="s">
        <v>748</v>
      </c>
      <c r="H79" s="19">
        <v>0.80400000000000005</v>
      </c>
      <c r="I79" s="19" t="s">
        <v>2044</v>
      </c>
      <c r="J79" s="19" t="s">
        <v>1165</v>
      </c>
    </row>
    <row r="80" spans="1:10" ht="20.100000000000001" customHeight="1" x14ac:dyDescent="0.2">
      <c r="D80" s="19" t="s">
        <v>946</v>
      </c>
      <c r="E80" s="19" t="s">
        <v>951</v>
      </c>
      <c r="F80" s="19" t="s">
        <v>1765</v>
      </c>
      <c r="G80" s="19" t="s">
        <v>748</v>
      </c>
      <c r="H80" s="19">
        <v>0.90700000000000003</v>
      </c>
      <c r="I80" s="19" t="s">
        <v>2044</v>
      </c>
      <c r="J80" s="19" t="s">
        <v>1165</v>
      </c>
    </row>
    <row r="82" spans="1:17" ht="20.100000000000001" customHeight="1" x14ac:dyDescent="0.2">
      <c r="D82" s="19" t="s">
        <v>1158</v>
      </c>
      <c r="E82" s="19" t="s">
        <v>132</v>
      </c>
      <c r="F82" s="19" t="s">
        <v>1159</v>
      </c>
      <c r="G82" s="19" t="s">
        <v>1160</v>
      </c>
      <c r="H82" s="19" t="s">
        <v>1161</v>
      </c>
      <c r="I82" s="19" t="s">
        <v>1162</v>
      </c>
      <c r="J82" s="19" t="s">
        <v>559</v>
      </c>
    </row>
    <row r="83" spans="1:17" ht="20.100000000000001" customHeight="1" x14ac:dyDescent="0.2">
      <c r="D83" s="19" t="s">
        <v>2045</v>
      </c>
      <c r="E83" s="19" t="s">
        <v>997</v>
      </c>
      <c r="F83" s="19" t="s">
        <v>1765</v>
      </c>
      <c r="G83" s="19" t="s">
        <v>2046</v>
      </c>
      <c r="H83" s="19">
        <v>5.4699999999999999E-2</v>
      </c>
      <c r="I83" s="19" t="s">
        <v>2044</v>
      </c>
      <c r="J83" s="19" t="s">
        <v>1165</v>
      </c>
    </row>
    <row r="84" spans="1:17" ht="20.100000000000001" customHeight="1" x14ac:dyDescent="0.2">
      <c r="D84" s="19" t="s">
        <v>2045</v>
      </c>
      <c r="E84" s="19" t="s">
        <v>999</v>
      </c>
      <c r="F84" s="19" t="s">
        <v>1765</v>
      </c>
      <c r="G84" s="19" t="s">
        <v>2046</v>
      </c>
      <c r="H84" s="19">
        <v>1.4200000000000001E-2</v>
      </c>
      <c r="I84" s="19" t="s">
        <v>2044</v>
      </c>
      <c r="J84" s="19" t="s">
        <v>1165</v>
      </c>
    </row>
    <row r="85" spans="1:17" ht="20.100000000000001" customHeight="1" x14ac:dyDescent="0.2">
      <c r="D85" s="19" t="s">
        <v>2045</v>
      </c>
      <c r="E85" s="19" t="s">
        <v>1001</v>
      </c>
      <c r="F85" s="19" t="s">
        <v>1765</v>
      </c>
      <c r="G85" s="19" t="s">
        <v>2046</v>
      </c>
      <c r="H85" s="19">
        <v>1.43E-2</v>
      </c>
      <c r="I85" s="19" t="s">
        <v>2044</v>
      </c>
      <c r="J85" s="19" t="s">
        <v>1165</v>
      </c>
    </row>
    <row r="86" spans="1:17" ht="20.100000000000001" customHeight="1" x14ac:dyDescent="0.2">
      <c r="D86" s="19" t="s">
        <v>2045</v>
      </c>
      <c r="E86" s="19" t="s">
        <v>1003</v>
      </c>
      <c r="F86" s="19" t="s">
        <v>1765</v>
      </c>
      <c r="G86" s="19" t="s">
        <v>2046</v>
      </c>
      <c r="H86" s="19">
        <v>4.2599999999999999E-3</v>
      </c>
      <c r="I86" s="19" t="s">
        <v>2044</v>
      </c>
      <c r="J86" s="19" t="s">
        <v>1165</v>
      </c>
    </row>
    <row r="88" spans="1:17" ht="20.100000000000001" customHeight="1" x14ac:dyDescent="0.2">
      <c r="D88" s="2" t="s">
        <v>970</v>
      </c>
    </row>
    <row r="89" spans="1:17" ht="20.100000000000001" customHeight="1" x14ac:dyDescent="0.2">
      <c r="D89" s="19" t="s">
        <v>1158</v>
      </c>
      <c r="E89" s="19" t="s">
        <v>132</v>
      </c>
      <c r="F89" s="19" t="s">
        <v>1159</v>
      </c>
      <c r="G89" s="19" t="s">
        <v>1160</v>
      </c>
      <c r="H89" s="19" t="s">
        <v>1161</v>
      </c>
      <c r="I89" s="19" t="s">
        <v>1162</v>
      </c>
      <c r="J89" s="19" t="s">
        <v>559</v>
      </c>
      <c r="O89" s="19" t="s">
        <v>132</v>
      </c>
      <c r="P89" s="19" t="s">
        <v>1163</v>
      </c>
      <c r="Q89" s="1" t="str">
        <f>"Table_ProductRegions_" &amp; SUBSTITUTE(SUBSTITUTE(SUBSTITUTE(SUBSTITUTE(O90, " ", ""), ",", ""), "(", ""), ")", "")</f>
        <v>Table_ProductRegions_Barleygrain</v>
      </c>
    </row>
    <row r="90" spans="1:17" ht="20.100000000000001" customHeight="1" x14ac:dyDescent="0.2">
      <c r="D90" s="19" t="s">
        <v>2047</v>
      </c>
      <c r="E90" s="19" t="s">
        <v>2048</v>
      </c>
      <c r="F90" s="19" t="s">
        <v>986</v>
      </c>
      <c r="G90" s="19" t="s">
        <v>748</v>
      </c>
      <c r="H90" s="19">
        <v>0.23899999999999999</v>
      </c>
      <c r="I90" s="19" t="s">
        <v>2037</v>
      </c>
      <c r="J90" s="19" t="s">
        <v>1165</v>
      </c>
      <c r="O90" s="19" t="str">
        <f>Table_SourceData_Scope3_Feed[[#This Row],[Product]]</f>
        <v>Barley grain</v>
      </c>
      <c r="P90" s="19" t="str">
        <f>Table_SourceData_Scope3_Feed[[#This Row],[Region of origin]]</f>
        <v>Australia</v>
      </c>
    </row>
    <row r="91" spans="1:17" ht="20.100000000000001" customHeight="1" x14ac:dyDescent="0.2">
      <c r="D91" s="19" t="s">
        <v>2047</v>
      </c>
      <c r="E91" s="19" t="s">
        <v>2048</v>
      </c>
      <c r="F91" s="19" t="s">
        <v>496</v>
      </c>
      <c r="G91" s="19" t="s">
        <v>748</v>
      </c>
      <c r="H91" s="19">
        <v>0.25600000000000001</v>
      </c>
      <c r="I91" s="19" t="s">
        <v>2037</v>
      </c>
      <c r="J91" s="19" t="s">
        <v>1165</v>
      </c>
      <c r="O91" s="19" t="str">
        <f>Table_SourceData_Scope3_Feed[[#This Row],[Product]]</f>
        <v>Barley grain</v>
      </c>
      <c r="P91" s="19" t="str">
        <f>Table_SourceData_Scope3_Feed[[#This Row],[Region of origin]]</f>
        <v>NSW</v>
      </c>
    </row>
    <row r="92" spans="1:17" ht="20.100000000000001" customHeight="1" x14ac:dyDescent="0.2">
      <c r="D92" s="19" t="s">
        <v>2047</v>
      </c>
      <c r="E92" s="19" t="s">
        <v>2048</v>
      </c>
      <c r="F92" s="19" t="s">
        <v>499</v>
      </c>
      <c r="G92" s="19" t="s">
        <v>748</v>
      </c>
      <c r="H92" s="19">
        <v>0.33200000000000002</v>
      </c>
      <c r="I92" s="19" t="s">
        <v>2037</v>
      </c>
      <c r="J92" s="19" t="s">
        <v>1165</v>
      </c>
      <c r="O92" s="19" t="str">
        <f>Table_SourceData_Scope3_Feed[[#This Row],[Product]]</f>
        <v>Barley grain</v>
      </c>
      <c r="P92" s="19" t="str">
        <f>Table_SourceData_Scope3_Feed[[#This Row],[Region of origin]]</f>
        <v>NT</v>
      </c>
    </row>
    <row r="93" spans="1:17" ht="20.100000000000001" customHeight="1" x14ac:dyDescent="0.2">
      <c r="D93" s="19" t="s">
        <v>2047</v>
      </c>
      <c r="E93" s="19" t="s">
        <v>2048</v>
      </c>
      <c r="F93" s="19" t="s">
        <v>498</v>
      </c>
      <c r="G93" s="19" t="s">
        <v>748</v>
      </c>
      <c r="H93" s="19">
        <v>0.26900000000000002</v>
      </c>
      <c r="I93" s="19" t="s">
        <v>2037</v>
      </c>
      <c r="J93" s="19" t="s">
        <v>1165</v>
      </c>
      <c r="O93" s="19" t="str">
        <f>Table_SourceData_Scope3_Feed[[#This Row],[Product]]</f>
        <v>Barley grain</v>
      </c>
      <c r="P93" s="19" t="str">
        <f>Table_SourceData_Scope3_Feed[[#This Row],[Region of origin]]</f>
        <v>QLD</v>
      </c>
    </row>
    <row r="94" spans="1:17" ht="20.100000000000001" customHeight="1" x14ac:dyDescent="0.2">
      <c r="D94" s="19" t="s">
        <v>2047</v>
      </c>
      <c r="E94" s="19" t="s">
        <v>2048</v>
      </c>
      <c r="F94" s="19" t="s">
        <v>500</v>
      </c>
      <c r="G94" s="19" t="s">
        <v>748</v>
      </c>
      <c r="H94" s="19">
        <v>0.223</v>
      </c>
      <c r="I94" s="19" t="s">
        <v>2037</v>
      </c>
      <c r="J94" s="19" t="s">
        <v>1165</v>
      </c>
      <c r="O94" s="19" t="str">
        <f>Table_SourceData_Scope3_Feed[[#This Row],[Product]]</f>
        <v>Barley grain</v>
      </c>
      <c r="P94" s="19" t="str">
        <f>Table_SourceData_Scope3_Feed[[#This Row],[Region of origin]]</f>
        <v>SA</v>
      </c>
    </row>
    <row r="95" spans="1:17" ht="20.100000000000001" customHeight="1" x14ac:dyDescent="0.2">
      <c r="D95" s="19" t="s">
        <v>2047</v>
      </c>
      <c r="E95" s="19" t="s">
        <v>2048</v>
      </c>
      <c r="F95" s="19" t="s">
        <v>503</v>
      </c>
      <c r="G95" s="19" t="s">
        <v>748</v>
      </c>
      <c r="H95" s="19">
        <v>0.307</v>
      </c>
      <c r="I95" s="19" t="s">
        <v>2037</v>
      </c>
      <c r="J95" s="19" t="s">
        <v>1165</v>
      </c>
      <c r="O95" s="19" t="str">
        <f>Table_SourceData_Scope3_Feed[[#This Row],[Product]]</f>
        <v>Barley grain</v>
      </c>
      <c r="P95" s="19" t="str">
        <f>Table_SourceData_Scope3_Feed[[#This Row],[Region of origin]]</f>
        <v>TAS</v>
      </c>
    </row>
    <row r="96" spans="1:17" ht="20.100000000000001" customHeight="1" x14ac:dyDescent="0.2">
      <c r="A96" s="79" t="str">
        <f>HYPERLINK("#A1", "▲ Back to top")</f>
        <v>▲ Back to top</v>
      </c>
      <c r="D96" s="19" t="s">
        <v>2047</v>
      </c>
      <c r="E96" s="19" t="s">
        <v>2048</v>
      </c>
      <c r="F96" s="19" t="s">
        <v>501</v>
      </c>
      <c r="G96" s="19" t="s">
        <v>748</v>
      </c>
      <c r="H96" s="19">
        <v>0.24099999999999999</v>
      </c>
      <c r="I96" s="19" t="s">
        <v>2037</v>
      </c>
      <c r="J96" s="19" t="s">
        <v>1165</v>
      </c>
      <c r="O96" s="19" t="str">
        <f>Table_SourceData_Scope3_Feed[[#This Row],[Product]]</f>
        <v>Barley grain</v>
      </c>
      <c r="P96" s="19" t="str">
        <f>Table_SourceData_Scope3_Feed[[#This Row],[Region of origin]]</f>
        <v>VIC</v>
      </c>
    </row>
    <row r="97" spans="4:17" ht="20.100000000000001" customHeight="1" x14ac:dyDescent="0.2">
      <c r="D97" s="19" t="s">
        <v>2047</v>
      </c>
      <c r="E97" s="19" t="s">
        <v>2048</v>
      </c>
      <c r="F97" s="19" t="s">
        <v>502</v>
      </c>
      <c r="G97" s="19" t="s">
        <v>748</v>
      </c>
      <c r="H97" s="19">
        <v>0.23599999999999999</v>
      </c>
      <c r="I97" s="19" t="s">
        <v>2037</v>
      </c>
      <c r="J97" s="19" t="s">
        <v>1165</v>
      </c>
      <c r="L97" s="19" t="s">
        <v>132</v>
      </c>
      <c r="M97" s="19" t="s">
        <v>1163</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4:17" ht="20.100000000000001" customHeight="1" x14ac:dyDescent="0.2">
      <c r="D98" s="19" t="s">
        <v>2047</v>
      </c>
      <c r="E98" s="19" t="s">
        <v>2049</v>
      </c>
      <c r="F98" s="19" t="s">
        <v>986</v>
      </c>
      <c r="G98" s="19" t="s">
        <v>748</v>
      </c>
      <c r="H98" s="19">
        <v>0.18099999999999999</v>
      </c>
      <c r="I98" s="19" t="s">
        <v>2037</v>
      </c>
      <c r="J98" s="19" t="s">
        <v>1165</v>
      </c>
      <c r="L98" s="19" t="str">
        <f>Table_SourceData_Scope3_Feed[[#This Row],[Product]]</f>
        <v>Maize grain</v>
      </c>
      <c r="M98" s="19" t="str">
        <f>Table_SourceData_Scope3_Feed[[#This Row],[Region of origin]]</f>
        <v>Australia</v>
      </c>
    </row>
    <row r="99" spans="4:17" ht="20.100000000000001" customHeight="1" x14ac:dyDescent="0.2">
      <c r="D99" s="19" t="s">
        <v>2047</v>
      </c>
      <c r="E99" s="19" t="s">
        <v>2049</v>
      </c>
      <c r="F99" s="19" t="s">
        <v>496</v>
      </c>
      <c r="G99" s="19" t="s">
        <v>748</v>
      </c>
      <c r="H99" s="19">
        <v>0.16900000000000001</v>
      </c>
      <c r="I99" s="19" t="s">
        <v>2037</v>
      </c>
      <c r="J99" s="19" t="s">
        <v>1165</v>
      </c>
      <c r="L99" s="19" t="str">
        <f>Table_SourceData_Scope3_Feed[[#This Row],[Product]]</f>
        <v>Maize grain</v>
      </c>
      <c r="M99" s="19" t="str">
        <f>Table_SourceData_Scope3_Feed[[#This Row],[Region of origin]]</f>
        <v>NSW</v>
      </c>
    </row>
    <row r="100" spans="4:17" ht="20.100000000000001" customHeight="1" x14ac:dyDescent="0.2">
      <c r="D100" s="19" t="s">
        <v>2047</v>
      </c>
      <c r="E100" s="19" t="s">
        <v>2049</v>
      </c>
      <c r="F100" s="19" t="s">
        <v>499</v>
      </c>
      <c r="G100" s="19" t="s">
        <v>748</v>
      </c>
      <c r="H100" s="19">
        <v>0.25600000000000001</v>
      </c>
      <c r="I100" s="19" t="s">
        <v>2037</v>
      </c>
      <c r="J100" s="19" t="s">
        <v>1165</v>
      </c>
      <c r="L100" s="19" t="str">
        <f>Table_SourceData_Scope3_Feed[[#This Row],[Product]]</f>
        <v>Maize grain</v>
      </c>
      <c r="M100" s="19" t="str">
        <f>Table_SourceData_Scope3_Feed[[#This Row],[Region of origin]]</f>
        <v>NT</v>
      </c>
    </row>
    <row r="101" spans="4:17" ht="20.100000000000001" customHeight="1" x14ac:dyDescent="0.2">
      <c r="D101" s="19" t="s">
        <v>2047</v>
      </c>
      <c r="E101" s="19" t="s">
        <v>2049</v>
      </c>
      <c r="F101" s="19" t="s">
        <v>498</v>
      </c>
      <c r="G101" s="19" t="s">
        <v>748</v>
      </c>
      <c r="H101" s="19">
        <v>0.186</v>
      </c>
      <c r="I101" s="19" t="s">
        <v>2037</v>
      </c>
      <c r="J101" s="19" t="s">
        <v>1165</v>
      </c>
      <c r="L101" s="19" t="str">
        <f>Table_SourceData_Scope3_Feed[[#This Row],[Product]]</f>
        <v>Maize grain</v>
      </c>
      <c r="M101" s="19" t="str">
        <f>Table_SourceData_Scope3_Feed[[#This Row],[Region of origin]]</f>
        <v>QLD</v>
      </c>
    </row>
    <row r="102" spans="4:17" ht="20.100000000000001" customHeight="1" x14ac:dyDescent="0.2">
      <c r="D102" s="19" t="s">
        <v>2047</v>
      </c>
      <c r="E102" s="19" t="s">
        <v>2049</v>
      </c>
      <c r="F102" s="19" t="s">
        <v>500</v>
      </c>
      <c r="G102" s="19" t="s">
        <v>748</v>
      </c>
      <c r="H102" s="19">
        <v>0.17599999999999999</v>
      </c>
      <c r="I102" s="19" t="s">
        <v>2037</v>
      </c>
      <c r="J102" s="19" t="s">
        <v>1165</v>
      </c>
      <c r="L102" s="19" t="str">
        <f>Table_SourceData_Scope3_Feed[[#This Row],[Product]]</f>
        <v>Maize grain</v>
      </c>
      <c r="M102" s="19" t="str">
        <f>Table_SourceData_Scope3_Feed[[#This Row],[Region of origin]]</f>
        <v>SA</v>
      </c>
    </row>
    <row r="103" spans="4:17" ht="20.100000000000001" customHeight="1" x14ac:dyDescent="0.2">
      <c r="D103" s="19" t="s">
        <v>2047</v>
      </c>
      <c r="E103" s="19" t="s">
        <v>2049</v>
      </c>
      <c r="F103" s="19" t="s">
        <v>501</v>
      </c>
      <c r="G103" s="19" t="s">
        <v>748</v>
      </c>
      <c r="H103" s="19">
        <v>0.159</v>
      </c>
      <c r="I103" s="19" t="s">
        <v>2037</v>
      </c>
      <c r="J103" s="19" t="s">
        <v>1165</v>
      </c>
      <c r="L103" s="19" t="str">
        <f>Table_SourceData_Scope3_Feed[[#This Row],[Product]]</f>
        <v>Maize grain</v>
      </c>
      <c r="M103" s="19" t="str">
        <f>Table_SourceData_Scope3_Feed[[#This Row],[Region of origin]]</f>
        <v>VIC</v>
      </c>
    </row>
    <row r="104" spans="4:17" ht="20.100000000000001" customHeight="1" x14ac:dyDescent="0.2">
      <c r="D104" s="19" t="s">
        <v>2047</v>
      </c>
      <c r="E104" s="19" t="s">
        <v>2049</v>
      </c>
      <c r="F104" s="19" t="s">
        <v>502</v>
      </c>
      <c r="G104" s="19" t="s">
        <v>748</v>
      </c>
      <c r="H104" s="19">
        <v>0.28499999999999998</v>
      </c>
      <c r="I104" s="19" t="s">
        <v>2037</v>
      </c>
      <c r="J104" s="19" t="s">
        <v>1165</v>
      </c>
      <c r="L104" s="19" t="str">
        <f>Table_SourceData_Scope3_Feed[[#This Row],[Product]]</f>
        <v>Maize grain</v>
      </c>
      <c r="M104" s="19" t="str">
        <f>Table_SourceData_Scope3_Feed[[#This Row],[Region of origin]]</f>
        <v>WA</v>
      </c>
      <c r="O104" s="19" t="s">
        <v>132</v>
      </c>
      <c r="P104" s="19" t="s">
        <v>1163</v>
      </c>
      <c r="Q104" s="1" t="str">
        <f>"Table_ProductRegions_" &amp; SUBSTITUTE(SUBSTITUTE(SUBSTITUTE(SUBSTITUTE(O105, " ", ""), ",", ""), "(", ""), ")", "")</f>
        <v>Table_ProductRegions_Sorghumgrain</v>
      </c>
    </row>
    <row r="105" spans="4:17" ht="20.100000000000001" customHeight="1" x14ac:dyDescent="0.2">
      <c r="D105" s="19" t="s">
        <v>2047</v>
      </c>
      <c r="E105" s="19" t="s">
        <v>2050</v>
      </c>
      <c r="F105" s="19" t="s">
        <v>986</v>
      </c>
      <c r="G105" s="19" t="s">
        <v>748</v>
      </c>
      <c r="H105" s="19">
        <v>0.23200000000000001</v>
      </c>
      <c r="I105" s="19" t="s">
        <v>2037</v>
      </c>
      <c r="J105" s="19" t="s">
        <v>1165</v>
      </c>
      <c r="O105" s="19" t="str">
        <f>Table_SourceData_Scope3_Feed[[#This Row],[Product]]</f>
        <v>Sorghum grain</v>
      </c>
      <c r="P105" s="19" t="str">
        <f>Table_SourceData_Scope3_Feed[[#This Row],[Region of origin]]</f>
        <v>Australia</v>
      </c>
    </row>
    <row r="106" spans="4:17" ht="20.100000000000001" customHeight="1" x14ac:dyDescent="0.2">
      <c r="D106" s="19" t="s">
        <v>2047</v>
      </c>
      <c r="E106" s="19" t="s">
        <v>2050</v>
      </c>
      <c r="F106" s="19" t="s">
        <v>496</v>
      </c>
      <c r="G106" s="19" t="s">
        <v>748</v>
      </c>
      <c r="H106" s="19">
        <v>0.23200000000000001</v>
      </c>
      <c r="I106" s="19" t="s">
        <v>2037</v>
      </c>
      <c r="J106" s="19" t="s">
        <v>1165</v>
      </c>
      <c r="O106" s="19" t="str">
        <f>Table_SourceData_Scope3_Feed[[#This Row],[Product]]</f>
        <v>Sorghum grain</v>
      </c>
      <c r="P106" s="19" t="str">
        <f>Table_SourceData_Scope3_Feed[[#This Row],[Region of origin]]</f>
        <v>NSW</v>
      </c>
    </row>
    <row r="107" spans="4:17" ht="20.100000000000001" customHeight="1" x14ac:dyDescent="0.2">
      <c r="D107" s="19" t="s">
        <v>2047</v>
      </c>
      <c r="E107" s="19" t="s">
        <v>2050</v>
      </c>
      <c r="F107" s="19" t="s">
        <v>498</v>
      </c>
      <c r="G107" s="19" t="s">
        <v>748</v>
      </c>
      <c r="H107" s="19">
        <v>0.23100000000000001</v>
      </c>
      <c r="I107" s="19" t="s">
        <v>2037</v>
      </c>
      <c r="J107" s="19" t="s">
        <v>1165</v>
      </c>
      <c r="O107" s="19" t="str">
        <f>Table_SourceData_Scope3_Feed[[#This Row],[Product]]</f>
        <v>Sorghum grain</v>
      </c>
      <c r="P107" s="19" t="str">
        <f>Table_SourceData_Scope3_Feed[[#This Row],[Region of origin]]</f>
        <v>QLD</v>
      </c>
    </row>
    <row r="108" spans="4:17" ht="20.100000000000001" customHeight="1" x14ac:dyDescent="0.2">
      <c r="D108" s="19" t="s">
        <v>2047</v>
      </c>
      <c r="E108" s="19" t="s">
        <v>2050</v>
      </c>
      <c r="F108" s="19" t="s">
        <v>500</v>
      </c>
      <c r="G108" s="19" t="s">
        <v>748</v>
      </c>
      <c r="H108" s="19">
        <v>0.218</v>
      </c>
      <c r="I108" s="19" t="s">
        <v>2037</v>
      </c>
      <c r="J108" s="19" t="s">
        <v>1165</v>
      </c>
      <c r="O108" s="19" t="str">
        <f>Table_SourceData_Scope3_Feed[[#This Row],[Product]]</f>
        <v>Sorghum grain</v>
      </c>
      <c r="P108" s="19" t="str">
        <f>Table_SourceData_Scope3_Feed[[#This Row],[Region of origin]]</f>
        <v>SA</v>
      </c>
    </row>
    <row r="109" spans="4:17" ht="20.100000000000001" customHeight="1" x14ac:dyDescent="0.2">
      <c r="D109" s="19" t="s">
        <v>2047</v>
      </c>
      <c r="E109" s="19" t="s">
        <v>2050</v>
      </c>
      <c r="F109" s="19" t="s">
        <v>501</v>
      </c>
      <c r="G109" s="19" t="s">
        <v>748</v>
      </c>
      <c r="H109" s="19">
        <v>0.246</v>
      </c>
      <c r="I109" s="19" t="s">
        <v>2037</v>
      </c>
      <c r="J109" s="19" t="s">
        <v>1165</v>
      </c>
      <c r="L109" s="19" t="s">
        <v>132</v>
      </c>
      <c r="M109" s="19" t="s">
        <v>1163</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4:17" ht="20.100000000000001" customHeight="1" x14ac:dyDescent="0.2">
      <c r="D110" s="19" t="s">
        <v>2047</v>
      </c>
      <c r="E110" s="19" t="s">
        <v>990</v>
      </c>
      <c r="F110" s="19" t="s">
        <v>986</v>
      </c>
      <c r="G110" s="19" t="s">
        <v>748</v>
      </c>
      <c r="H110" s="19">
        <v>0.26800000000000002</v>
      </c>
      <c r="I110" s="19" t="s">
        <v>2037</v>
      </c>
      <c r="J110" s="19" t="s">
        <v>1165</v>
      </c>
      <c r="L110" s="19" t="str">
        <f>Table_SourceData_Scope3_Feed[[#This Row],[Product]]</f>
        <v>Wheat grain</v>
      </c>
      <c r="M110" s="19" t="str">
        <f>Table_SourceData_Scope3_Feed[[#This Row],[Region of origin]]</f>
        <v>Australia</v>
      </c>
    </row>
    <row r="111" spans="4:17" ht="20.100000000000001" customHeight="1" x14ac:dyDescent="0.2">
      <c r="D111" s="19" t="s">
        <v>2047</v>
      </c>
      <c r="E111" s="19" t="s">
        <v>990</v>
      </c>
      <c r="F111" s="19" t="s">
        <v>496</v>
      </c>
      <c r="G111" s="19" t="s">
        <v>748</v>
      </c>
      <c r="H111" s="19">
        <v>0.28199999999999997</v>
      </c>
      <c r="I111" s="19" t="s">
        <v>2037</v>
      </c>
      <c r="J111" s="19" t="s">
        <v>1165</v>
      </c>
      <c r="L111" s="19" t="str">
        <f>Table_SourceData_Scope3_Feed[[#This Row],[Product]]</f>
        <v>Wheat grain</v>
      </c>
      <c r="M111" s="19" t="str">
        <f>Table_SourceData_Scope3_Feed[[#This Row],[Region of origin]]</f>
        <v>NSW</v>
      </c>
    </row>
    <row r="112" spans="4:17" ht="20.100000000000001" customHeight="1" x14ac:dyDescent="0.2">
      <c r="D112" s="19" t="s">
        <v>2047</v>
      </c>
      <c r="E112" s="19" t="s">
        <v>990</v>
      </c>
      <c r="F112" s="19" t="s">
        <v>499</v>
      </c>
      <c r="G112" s="19" t="s">
        <v>748</v>
      </c>
      <c r="H112" s="19">
        <v>0.38500000000000001</v>
      </c>
      <c r="I112" s="19" t="s">
        <v>2037</v>
      </c>
      <c r="J112" s="19" t="s">
        <v>1165</v>
      </c>
      <c r="L112" s="19" t="str">
        <f>Table_SourceData_Scope3_Feed[[#This Row],[Product]]</f>
        <v>Wheat grain</v>
      </c>
      <c r="M112" s="19" t="str">
        <f>Table_SourceData_Scope3_Feed[[#This Row],[Region of origin]]</f>
        <v>NT</v>
      </c>
    </row>
    <row r="113" spans="1:17" ht="20.100000000000001" customHeight="1" x14ac:dyDescent="0.2">
      <c r="D113" s="19" t="s">
        <v>2047</v>
      </c>
      <c r="E113" s="19" t="s">
        <v>990</v>
      </c>
      <c r="F113" s="19" t="s">
        <v>498</v>
      </c>
      <c r="G113" s="19" t="s">
        <v>748</v>
      </c>
      <c r="H113" s="19">
        <v>0.29599999999999999</v>
      </c>
      <c r="I113" s="19" t="s">
        <v>2037</v>
      </c>
      <c r="J113" s="19" t="s">
        <v>1165</v>
      </c>
      <c r="L113" s="19" t="str">
        <f>Table_SourceData_Scope3_Feed[[#This Row],[Product]]</f>
        <v>Wheat grain</v>
      </c>
      <c r="M113" s="19" t="str">
        <f>Table_SourceData_Scope3_Feed[[#This Row],[Region of origin]]</f>
        <v>QLD</v>
      </c>
    </row>
    <row r="114" spans="1:17" ht="20.100000000000001" customHeight="1" x14ac:dyDescent="0.2">
      <c r="D114" s="19" t="s">
        <v>2047</v>
      </c>
      <c r="E114" s="19" t="s">
        <v>990</v>
      </c>
      <c r="F114" s="19" t="s">
        <v>500</v>
      </c>
      <c r="G114" s="19" t="s">
        <v>748</v>
      </c>
      <c r="H114" s="19">
        <v>0.24099999999999999</v>
      </c>
      <c r="I114" s="19" t="s">
        <v>2037</v>
      </c>
      <c r="J114" s="19" t="s">
        <v>1165</v>
      </c>
      <c r="L114" s="19" t="str">
        <f>Table_SourceData_Scope3_Feed[[#This Row],[Product]]</f>
        <v>Wheat grain</v>
      </c>
      <c r="M114" s="19" t="str">
        <f>Table_SourceData_Scope3_Feed[[#This Row],[Region of origin]]</f>
        <v>SA</v>
      </c>
    </row>
    <row r="115" spans="1:17" ht="20.100000000000001" customHeight="1" x14ac:dyDescent="0.2">
      <c r="D115" s="19" t="s">
        <v>2047</v>
      </c>
      <c r="E115" s="19" t="s">
        <v>990</v>
      </c>
      <c r="F115" s="19" t="s">
        <v>503</v>
      </c>
      <c r="G115" s="19" t="s">
        <v>748</v>
      </c>
      <c r="H115" s="19">
        <v>0.33800000000000002</v>
      </c>
      <c r="I115" s="19" t="s">
        <v>2037</v>
      </c>
      <c r="J115" s="19" t="s">
        <v>1165</v>
      </c>
      <c r="L115" s="19" t="str">
        <f>Table_SourceData_Scope3_Feed[[#This Row],[Product]]</f>
        <v>Wheat grain</v>
      </c>
      <c r="M115" s="19" t="str">
        <f>Table_SourceData_Scope3_Feed[[#This Row],[Region of origin]]</f>
        <v>TAS</v>
      </c>
    </row>
    <row r="116" spans="1:17" ht="20.100000000000001" customHeight="1" x14ac:dyDescent="0.2">
      <c r="D116" s="19" t="s">
        <v>2047</v>
      </c>
      <c r="E116" s="19" t="s">
        <v>990</v>
      </c>
      <c r="F116" s="19" t="s">
        <v>501</v>
      </c>
      <c r="G116" s="19" t="s">
        <v>748</v>
      </c>
      <c r="H116" s="19">
        <v>0.26600000000000001</v>
      </c>
      <c r="I116" s="19" t="s">
        <v>2037</v>
      </c>
      <c r="J116" s="19" t="s">
        <v>1165</v>
      </c>
      <c r="L116" s="19" t="str">
        <f>Table_SourceData_Scope3_Feed[[#This Row],[Product]]</f>
        <v>Wheat grain</v>
      </c>
      <c r="M116" s="19" t="str">
        <f>Table_SourceData_Scope3_Feed[[#This Row],[Region of origin]]</f>
        <v>VIC</v>
      </c>
    </row>
    <row r="117" spans="1:17" ht="20.100000000000001" customHeight="1" x14ac:dyDescent="0.2">
      <c r="D117" s="19" t="s">
        <v>2047</v>
      </c>
      <c r="E117" s="19" t="s">
        <v>990</v>
      </c>
      <c r="F117" s="19" t="s">
        <v>502</v>
      </c>
      <c r="G117" s="19" t="s">
        <v>748</v>
      </c>
      <c r="H117" s="19">
        <v>0.26100000000000001</v>
      </c>
      <c r="I117" s="19" t="s">
        <v>2037</v>
      </c>
      <c r="J117" s="19" t="s">
        <v>1165</v>
      </c>
      <c r="L117" s="19" t="str">
        <f>Table_SourceData_Scope3_Feed[[#This Row],[Product]]</f>
        <v>Wheat grain</v>
      </c>
      <c r="M117" s="19" t="str">
        <f>Table_SourceData_Scope3_Feed[[#This Row],[Region of origin]]</f>
        <v>WA</v>
      </c>
      <c r="O117" s="19" t="s">
        <v>132</v>
      </c>
      <c r="P117" s="19" t="s">
        <v>1163</v>
      </c>
      <c r="Q117" s="1" t="str">
        <f>"Table_ProductRegions_" &amp; SUBSTITUTE(SUBSTITUTE(SUBSTITUTE(SUBSTITUTE(O118, " ", ""), ",", ""), "(", ""), ")", "")</f>
        <v>Table_ProductRegions_Cerealhay</v>
      </c>
    </row>
    <row r="118" spans="1:17" ht="20.100000000000001" customHeight="1" x14ac:dyDescent="0.2">
      <c r="D118" s="19" t="s">
        <v>2051</v>
      </c>
      <c r="E118" s="19" t="s">
        <v>984</v>
      </c>
      <c r="F118" s="19" t="s">
        <v>986</v>
      </c>
      <c r="G118" s="19" t="s">
        <v>748</v>
      </c>
      <c r="H118" s="19">
        <v>0.11700000000000001</v>
      </c>
      <c r="I118" s="19" t="s">
        <v>2037</v>
      </c>
      <c r="J118" s="19" t="s">
        <v>1165</v>
      </c>
      <c r="O118" s="19" t="str">
        <f>Table_SourceData_Scope3_Feed[[#This Row],[Product]]</f>
        <v>Cereal hay</v>
      </c>
      <c r="P118" s="19" t="str">
        <f>Table_SourceData_Scope3_Feed[[#This Row],[Region of origin]]</f>
        <v>Australia</v>
      </c>
    </row>
    <row r="119" spans="1:17" ht="20.100000000000001" customHeight="1" x14ac:dyDescent="0.2">
      <c r="D119" s="19" t="s">
        <v>2051</v>
      </c>
      <c r="E119" s="19" t="s">
        <v>984</v>
      </c>
      <c r="F119" s="19" t="s">
        <v>496</v>
      </c>
      <c r="G119" s="19" t="s">
        <v>748</v>
      </c>
      <c r="H119" s="19">
        <v>0.11600000000000001</v>
      </c>
      <c r="I119" s="19" t="s">
        <v>2037</v>
      </c>
      <c r="J119" s="19" t="s">
        <v>1165</v>
      </c>
      <c r="O119" s="19" t="str">
        <f>Table_SourceData_Scope3_Feed[[#This Row],[Product]]</f>
        <v>Cereal hay</v>
      </c>
      <c r="P119" s="19" t="str">
        <f>Table_SourceData_Scope3_Feed[[#This Row],[Region of origin]]</f>
        <v>NSW</v>
      </c>
    </row>
    <row r="120" spans="1:17" ht="20.100000000000001" customHeight="1" x14ac:dyDescent="0.2">
      <c r="D120" s="19" t="s">
        <v>2051</v>
      </c>
      <c r="E120" s="19" t="s">
        <v>984</v>
      </c>
      <c r="F120" s="19" t="s">
        <v>498</v>
      </c>
      <c r="G120" s="19" t="s">
        <v>748</v>
      </c>
      <c r="H120" s="19">
        <v>0.11799999999999999</v>
      </c>
      <c r="I120" s="19" t="s">
        <v>2037</v>
      </c>
      <c r="J120" s="19" t="s">
        <v>1165</v>
      </c>
      <c r="O120" s="19" t="str">
        <f>Table_SourceData_Scope3_Feed[[#This Row],[Product]]</f>
        <v>Cereal hay</v>
      </c>
      <c r="P120" s="19" t="str">
        <f>Table_SourceData_Scope3_Feed[[#This Row],[Region of origin]]</f>
        <v>QLD</v>
      </c>
    </row>
    <row r="121" spans="1:17" ht="20.100000000000001" customHeight="1" x14ac:dyDescent="0.2">
      <c r="D121" s="19" t="s">
        <v>2051</v>
      </c>
      <c r="E121" s="19" t="s">
        <v>984</v>
      </c>
      <c r="F121" s="19" t="s">
        <v>500</v>
      </c>
      <c r="G121" s="19" t="s">
        <v>748</v>
      </c>
      <c r="H121" s="19">
        <v>0.111</v>
      </c>
      <c r="I121" s="19" t="s">
        <v>2037</v>
      </c>
      <c r="J121" s="19" t="s">
        <v>1165</v>
      </c>
      <c r="O121" s="19" t="str">
        <f>Table_SourceData_Scope3_Feed[[#This Row],[Product]]</f>
        <v>Cereal hay</v>
      </c>
      <c r="P121" s="19" t="str">
        <f>Table_SourceData_Scope3_Feed[[#This Row],[Region of origin]]</f>
        <v>SA</v>
      </c>
    </row>
    <row r="122" spans="1:17" ht="20.100000000000001" customHeight="1" x14ac:dyDescent="0.2">
      <c r="D122" s="19" t="s">
        <v>2051</v>
      </c>
      <c r="E122" s="19" t="s">
        <v>984</v>
      </c>
      <c r="F122" s="19" t="s">
        <v>503</v>
      </c>
      <c r="G122" s="19" t="s">
        <v>748</v>
      </c>
      <c r="H122" s="19">
        <v>0.13900000000000001</v>
      </c>
      <c r="I122" s="19" t="s">
        <v>2037</v>
      </c>
      <c r="J122" s="19" t="s">
        <v>1165</v>
      </c>
      <c r="O122" s="19" t="str">
        <f>Table_SourceData_Scope3_Feed[[#This Row],[Product]]</f>
        <v>Cereal hay</v>
      </c>
      <c r="P122" s="19" t="str">
        <f>Table_SourceData_Scope3_Feed[[#This Row],[Region of origin]]</f>
        <v>TAS</v>
      </c>
    </row>
    <row r="123" spans="1:17" ht="20.100000000000001" customHeight="1" x14ac:dyDescent="0.2">
      <c r="D123" s="19" t="s">
        <v>2051</v>
      </c>
      <c r="E123" s="19" t="s">
        <v>984</v>
      </c>
      <c r="F123" s="19" t="s">
        <v>501</v>
      </c>
      <c r="G123" s="19" t="s">
        <v>748</v>
      </c>
      <c r="H123" s="19">
        <v>0.11600000000000001</v>
      </c>
      <c r="I123" s="19" t="s">
        <v>2037</v>
      </c>
      <c r="J123" s="19" t="s">
        <v>1165</v>
      </c>
      <c r="O123" s="19" t="str">
        <f>Table_SourceData_Scope3_Feed[[#This Row],[Product]]</f>
        <v>Cereal hay</v>
      </c>
      <c r="P123" s="19" t="str">
        <f>Table_SourceData_Scope3_Feed[[#This Row],[Region of origin]]</f>
        <v>VIC</v>
      </c>
    </row>
    <row r="124" spans="1:17" ht="20.100000000000001" customHeight="1" x14ac:dyDescent="0.2">
      <c r="D124" s="19" t="s">
        <v>2051</v>
      </c>
      <c r="E124" s="19" t="s">
        <v>984</v>
      </c>
      <c r="F124" s="19" t="s">
        <v>502</v>
      </c>
      <c r="G124" s="19" t="s">
        <v>748</v>
      </c>
      <c r="H124" s="19">
        <v>0.122</v>
      </c>
      <c r="I124" s="19" t="s">
        <v>2037</v>
      </c>
      <c r="J124" s="19" t="s">
        <v>1165</v>
      </c>
      <c r="L124" s="19" t="s">
        <v>132</v>
      </c>
      <c r="M124" s="19" t="s">
        <v>1163</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
        <v>2051</v>
      </c>
      <c r="E125" s="19" t="s">
        <v>983</v>
      </c>
      <c r="F125" s="19" t="s">
        <v>986</v>
      </c>
      <c r="G125" s="19" t="s">
        <v>748</v>
      </c>
      <c r="H125" s="19">
        <v>7.4399999999999994E-2</v>
      </c>
      <c r="I125" s="19" t="s">
        <v>2037</v>
      </c>
      <c r="J125" s="19" t="s">
        <v>1165</v>
      </c>
      <c r="L125" s="19" t="str">
        <f>Table_SourceData_Scope3_Feed[[#This Row],[Product]]</f>
        <v>Cereal silage</v>
      </c>
      <c r="M125" s="19" t="str">
        <f>Table_SourceData_Scope3_Feed[[#This Row],[Region of origin]]</f>
        <v>Australia</v>
      </c>
    </row>
    <row r="126" spans="1:17" ht="20.100000000000001" customHeight="1" x14ac:dyDescent="0.2">
      <c r="A126" s="79" t="str">
        <f>HYPERLINK("#A1", "▲ Back to top")</f>
        <v>▲ Back to top</v>
      </c>
      <c r="D126" s="19" t="s">
        <v>2051</v>
      </c>
      <c r="E126" s="19" t="s">
        <v>983</v>
      </c>
      <c r="F126" s="19" t="s">
        <v>496</v>
      </c>
      <c r="G126" s="19" t="s">
        <v>748</v>
      </c>
      <c r="H126" s="19">
        <v>7.3899999999999993E-2</v>
      </c>
      <c r="I126" s="19" t="s">
        <v>2037</v>
      </c>
      <c r="J126" s="19" t="s">
        <v>1165</v>
      </c>
      <c r="L126" s="19" t="str">
        <f>Table_SourceData_Scope3_Feed[[#This Row],[Product]]</f>
        <v>Cereal silage</v>
      </c>
      <c r="M126" s="19" t="str">
        <f>Table_SourceData_Scope3_Feed[[#This Row],[Region of origin]]</f>
        <v>NSW</v>
      </c>
    </row>
    <row r="127" spans="1:17" ht="20.100000000000001" customHeight="1" x14ac:dyDescent="0.2">
      <c r="D127" s="19" t="s">
        <v>2051</v>
      </c>
      <c r="E127" s="19" t="s">
        <v>983</v>
      </c>
      <c r="F127" s="19" t="s">
        <v>498</v>
      </c>
      <c r="G127" s="19" t="s">
        <v>748</v>
      </c>
      <c r="H127" s="19">
        <v>7.9000000000000001E-2</v>
      </c>
      <c r="I127" s="19" t="s">
        <v>2037</v>
      </c>
      <c r="J127" s="19" t="s">
        <v>1165</v>
      </c>
      <c r="L127" s="19" t="str">
        <f>Table_SourceData_Scope3_Feed[[#This Row],[Product]]</f>
        <v>Cereal silage</v>
      </c>
      <c r="M127" s="19" t="str">
        <f>Table_SourceData_Scope3_Feed[[#This Row],[Region of origin]]</f>
        <v>QLD</v>
      </c>
    </row>
    <row r="128" spans="1:17" ht="20.100000000000001" customHeight="1" x14ac:dyDescent="0.2">
      <c r="D128" s="19" t="s">
        <v>2051</v>
      </c>
      <c r="E128" s="19" t="s">
        <v>983</v>
      </c>
      <c r="F128" s="19" t="s">
        <v>500</v>
      </c>
      <c r="G128" s="19" t="s">
        <v>748</v>
      </c>
      <c r="H128" s="19">
        <v>7.0599999999999996E-2</v>
      </c>
      <c r="I128" s="19" t="s">
        <v>2037</v>
      </c>
      <c r="J128" s="19" t="s">
        <v>1165</v>
      </c>
      <c r="L128" s="19" t="str">
        <f>Table_SourceData_Scope3_Feed[[#This Row],[Product]]</f>
        <v>Cereal silage</v>
      </c>
      <c r="M128" s="19" t="str">
        <f>Table_SourceData_Scope3_Feed[[#This Row],[Region of origin]]</f>
        <v>SA</v>
      </c>
    </row>
    <row r="129" spans="4:17" ht="20.100000000000001" customHeight="1" x14ac:dyDescent="0.2">
      <c r="D129" s="19" t="s">
        <v>2051</v>
      </c>
      <c r="E129" s="19" t="s">
        <v>983</v>
      </c>
      <c r="F129" s="19" t="s">
        <v>503</v>
      </c>
      <c r="G129" s="19" t="s">
        <v>748</v>
      </c>
      <c r="H129" s="19">
        <v>8.0799999999999997E-2</v>
      </c>
      <c r="I129" s="19" t="s">
        <v>2037</v>
      </c>
      <c r="J129" s="19" t="s">
        <v>1165</v>
      </c>
      <c r="L129" s="19" t="str">
        <f>Table_SourceData_Scope3_Feed[[#This Row],[Product]]</f>
        <v>Cereal silage</v>
      </c>
      <c r="M129" s="19" t="str">
        <f>Table_SourceData_Scope3_Feed[[#This Row],[Region of origin]]</f>
        <v>TAS</v>
      </c>
    </row>
    <row r="130" spans="4:17" ht="20.100000000000001" customHeight="1" x14ac:dyDescent="0.2">
      <c r="D130" s="19" t="s">
        <v>2051</v>
      </c>
      <c r="E130" s="19" t="s">
        <v>983</v>
      </c>
      <c r="F130" s="19" t="s">
        <v>501</v>
      </c>
      <c r="G130" s="19" t="s">
        <v>748</v>
      </c>
      <c r="H130" s="19">
        <v>7.3599999999999999E-2</v>
      </c>
      <c r="I130" s="19" t="s">
        <v>2037</v>
      </c>
      <c r="J130" s="19" t="s">
        <v>1165</v>
      </c>
      <c r="L130" s="19" t="str">
        <f>Table_SourceData_Scope3_Feed[[#This Row],[Product]]</f>
        <v>Cereal silage</v>
      </c>
      <c r="M130" s="19" t="str">
        <f>Table_SourceData_Scope3_Feed[[#This Row],[Region of origin]]</f>
        <v>VIC</v>
      </c>
      <c r="O130" s="19" t="s">
        <v>132</v>
      </c>
      <c r="P130" s="19" t="s">
        <v>1163</v>
      </c>
      <c r="Q130" s="1" t="str">
        <f>"Table_ProductRegions_" &amp; SUBSTITUTE(SUBSTITUTE(SUBSTITUTE(SUBSTITUTE(O131, " ", ""), ",", ""), "(", ""), ")", "")</f>
        <v>Table_ProductRegions_Lucernehay</v>
      </c>
    </row>
    <row r="131" spans="4:17" ht="20.100000000000001" customHeight="1" x14ac:dyDescent="0.2">
      <c r="D131" s="19" t="s">
        <v>2051</v>
      </c>
      <c r="E131" s="19" t="s">
        <v>988</v>
      </c>
      <c r="F131" s="19" t="s">
        <v>986</v>
      </c>
      <c r="G131" s="19" t="s">
        <v>748</v>
      </c>
      <c r="H131" s="19">
        <v>0.11700000000000001</v>
      </c>
      <c r="I131" s="19" t="s">
        <v>2037</v>
      </c>
      <c r="J131" s="19" t="s">
        <v>1165</v>
      </c>
      <c r="O131" s="19" t="str">
        <f>Table_SourceData_Scope3_Feed[[#This Row],[Product]]</f>
        <v>Lucerne hay</v>
      </c>
      <c r="P131" s="19" t="str">
        <f>Table_SourceData_Scope3_Feed[[#This Row],[Region of origin]]</f>
        <v>Australia</v>
      </c>
    </row>
    <row r="132" spans="4:17" ht="20.100000000000001" customHeight="1" x14ac:dyDescent="0.2">
      <c r="D132" s="19" t="s">
        <v>2051</v>
      </c>
      <c r="E132" s="19" t="s">
        <v>988</v>
      </c>
      <c r="F132" s="19" t="s">
        <v>496</v>
      </c>
      <c r="G132" s="19" t="s">
        <v>748</v>
      </c>
      <c r="H132" s="19">
        <v>0.113</v>
      </c>
      <c r="I132" s="19" t="s">
        <v>2037</v>
      </c>
      <c r="J132" s="19" t="s">
        <v>1165</v>
      </c>
      <c r="O132" s="19" t="str">
        <f>Table_SourceData_Scope3_Feed[[#This Row],[Product]]</f>
        <v>Lucerne hay</v>
      </c>
      <c r="P132" s="19" t="str">
        <f>Table_SourceData_Scope3_Feed[[#This Row],[Region of origin]]</f>
        <v>NSW</v>
      </c>
    </row>
    <row r="133" spans="4:17" ht="20.100000000000001" customHeight="1" x14ac:dyDescent="0.2">
      <c r="D133" s="19" t="s">
        <v>2051</v>
      </c>
      <c r="E133" s="19" t="s">
        <v>988</v>
      </c>
      <c r="F133" s="19" t="s">
        <v>498</v>
      </c>
      <c r="G133" s="19" t="s">
        <v>748</v>
      </c>
      <c r="H133" s="19">
        <v>0.14299999999999999</v>
      </c>
      <c r="I133" s="19" t="s">
        <v>2037</v>
      </c>
      <c r="J133" s="19" t="s">
        <v>1165</v>
      </c>
      <c r="O133" s="19" t="str">
        <f>Table_SourceData_Scope3_Feed[[#This Row],[Product]]</f>
        <v>Lucerne hay</v>
      </c>
      <c r="P133" s="19" t="str">
        <f>Table_SourceData_Scope3_Feed[[#This Row],[Region of origin]]</f>
        <v>QLD</v>
      </c>
    </row>
    <row r="134" spans="4:17" ht="20.100000000000001" customHeight="1" x14ac:dyDescent="0.2">
      <c r="D134" s="19" t="s">
        <v>2051</v>
      </c>
      <c r="E134" s="19" t="s">
        <v>988</v>
      </c>
      <c r="F134" s="19" t="s">
        <v>500</v>
      </c>
      <c r="G134" s="19" t="s">
        <v>748</v>
      </c>
      <c r="H134" s="19">
        <v>0.106</v>
      </c>
      <c r="I134" s="19" t="s">
        <v>2037</v>
      </c>
      <c r="J134" s="19" t="s">
        <v>1165</v>
      </c>
      <c r="O134" s="19" t="str">
        <f>Table_SourceData_Scope3_Feed[[#This Row],[Product]]</f>
        <v>Lucerne hay</v>
      </c>
      <c r="P134" s="19" t="str">
        <f>Table_SourceData_Scope3_Feed[[#This Row],[Region of origin]]</f>
        <v>SA</v>
      </c>
    </row>
    <row r="135" spans="4:17" ht="20.100000000000001" customHeight="1" x14ac:dyDescent="0.2">
      <c r="D135" s="19" t="s">
        <v>2051</v>
      </c>
      <c r="E135" s="19" t="s">
        <v>988</v>
      </c>
      <c r="F135" s="19" t="s">
        <v>503</v>
      </c>
      <c r="G135" s="19" t="s">
        <v>748</v>
      </c>
      <c r="H135" s="19">
        <v>0.113</v>
      </c>
      <c r="I135" s="19" t="s">
        <v>2037</v>
      </c>
      <c r="J135" s="19" t="s">
        <v>1165</v>
      </c>
      <c r="O135" s="19" t="str">
        <f>Table_SourceData_Scope3_Feed[[#This Row],[Product]]</f>
        <v>Lucerne hay</v>
      </c>
      <c r="P135" s="19" t="str">
        <f>Table_SourceData_Scope3_Feed[[#This Row],[Region of origin]]</f>
        <v>TAS</v>
      </c>
    </row>
    <row r="136" spans="4:17" ht="20.100000000000001" customHeight="1" x14ac:dyDescent="0.2">
      <c r="D136" s="19" t="s">
        <v>2051</v>
      </c>
      <c r="E136" s="19" t="s">
        <v>988</v>
      </c>
      <c r="F136" s="19" t="s">
        <v>501</v>
      </c>
      <c r="G136" s="19" t="s">
        <v>748</v>
      </c>
      <c r="H136" s="19">
        <v>0.106</v>
      </c>
      <c r="I136" s="19" t="s">
        <v>2037</v>
      </c>
      <c r="J136" s="19" t="s">
        <v>1165</v>
      </c>
      <c r="O136" s="19" t="str">
        <f>Table_SourceData_Scope3_Feed[[#This Row],[Product]]</f>
        <v>Lucerne hay</v>
      </c>
      <c r="P136" s="19" t="str">
        <f>Table_SourceData_Scope3_Feed[[#This Row],[Region of origin]]</f>
        <v>VIC</v>
      </c>
    </row>
    <row r="137" spans="4:17" ht="20.100000000000001" customHeight="1" x14ac:dyDescent="0.2">
      <c r="D137" s="19" t="s">
        <v>2051</v>
      </c>
      <c r="E137" s="19" t="s">
        <v>2052</v>
      </c>
      <c r="F137" s="19" t="s">
        <v>501</v>
      </c>
      <c r="G137" s="19" t="s">
        <v>748</v>
      </c>
      <c r="H137" s="19">
        <v>0.16300000000000001</v>
      </c>
      <c r="I137" s="19" t="s">
        <v>2037</v>
      </c>
      <c r="J137" s="19" t="s">
        <v>1165</v>
      </c>
      <c r="L137" s="19" t="s">
        <v>132</v>
      </c>
      <c r="M137" s="19" t="s">
        <v>1163</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
        <v>2051</v>
      </c>
      <c r="E138" s="19" t="s">
        <v>2053</v>
      </c>
      <c r="F138" s="19" t="s">
        <v>986</v>
      </c>
      <c r="G138" s="19" t="s">
        <v>748</v>
      </c>
      <c r="H138" s="19">
        <v>0.12</v>
      </c>
      <c r="I138" s="19" t="s">
        <v>2037</v>
      </c>
      <c r="J138" s="19" t="s">
        <v>1165</v>
      </c>
      <c r="L138" s="19" t="str">
        <f>Table_SourceData_Scope3_Feed[[#This Row],[Product]]</f>
        <v>Oaten hay</v>
      </c>
      <c r="M138" s="19" t="str">
        <f>Table_SourceData_Scope3_Feed[[#This Row],[Region of origin]]</f>
        <v>Australia</v>
      </c>
    </row>
    <row r="139" spans="4:17" ht="20.100000000000001" customHeight="1" x14ac:dyDescent="0.2">
      <c r="D139" s="19" t="s">
        <v>2051</v>
      </c>
      <c r="E139" s="19" t="s">
        <v>2053</v>
      </c>
      <c r="F139" s="19" t="s">
        <v>496</v>
      </c>
      <c r="G139" s="19" t="s">
        <v>748</v>
      </c>
      <c r="H139" s="19">
        <v>0.11899999999999999</v>
      </c>
      <c r="I139" s="19" t="s">
        <v>2037</v>
      </c>
      <c r="J139" s="19" t="s">
        <v>1165</v>
      </c>
      <c r="L139" s="19" t="str">
        <f>Table_SourceData_Scope3_Feed[[#This Row],[Product]]</f>
        <v>Oaten hay</v>
      </c>
      <c r="M139" s="19" t="str">
        <f>Table_SourceData_Scope3_Feed[[#This Row],[Region of origin]]</f>
        <v>NSW</v>
      </c>
    </row>
    <row r="140" spans="4:17" ht="20.100000000000001" customHeight="1" x14ac:dyDescent="0.2">
      <c r="D140" s="19" t="s">
        <v>2051</v>
      </c>
      <c r="E140" s="19" t="s">
        <v>2053</v>
      </c>
      <c r="F140" s="19" t="s">
        <v>498</v>
      </c>
      <c r="G140" s="19" t="s">
        <v>748</v>
      </c>
      <c r="H140" s="19">
        <v>0.11700000000000001</v>
      </c>
      <c r="I140" s="19" t="s">
        <v>2037</v>
      </c>
      <c r="J140" s="19" t="s">
        <v>1165</v>
      </c>
      <c r="L140" s="19" t="str">
        <f>Table_SourceData_Scope3_Feed[[#This Row],[Product]]</f>
        <v>Oaten hay</v>
      </c>
      <c r="M140" s="19" t="str">
        <f>Table_SourceData_Scope3_Feed[[#This Row],[Region of origin]]</f>
        <v>QLD</v>
      </c>
    </row>
    <row r="141" spans="4:17" ht="20.100000000000001" customHeight="1" x14ac:dyDescent="0.2">
      <c r="D141" s="19" t="s">
        <v>2051</v>
      </c>
      <c r="E141" s="19" t="s">
        <v>2053</v>
      </c>
      <c r="F141" s="19" t="s">
        <v>500</v>
      </c>
      <c r="G141" s="19" t="s">
        <v>748</v>
      </c>
      <c r="H141" s="19">
        <v>0.114</v>
      </c>
      <c r="I141" s="19" t="s">
        <v>2037</v>
      </c>
      <c r="J141" s="19" t="s">
        <v>1165</v>
      </c>
      <c r="L141" s="19" t="str">
        <f>Table_SourceData_Scope3_Feed[[#This Row],[Product]]</f>
        <v>Oaten hay</v>
      </c>
      <c r="M141" s="19" t="str">
        <f>Table_SourceData_Scope3_Feed[[#This Row],[Region of origin]]</f>
        <v>SA</v>
      </c>
    </row>
    <row r="142" spans="4:17" ht="20.100000000000001" customHeight="1" x14ac:dyDescent="0.2">
      <c r="D142" s="19" t="s">
        <v>2051</v>
      </c>
      <c r="E142" s="19" t="s">
        <v>2053</v>
      </c>
      <c r="F142" s="19" t="s">
        <v>501</v>
      </c>
      <c r="G142" s="19" t="s">
        <v>748</v>
      </c>
      <c r="H142" s="19">
        <v>0.11799999999999999</v>
      </c>
      <c r="I142" s="19" t="s">
        <v>2037</v>
      </c>
      <c r="J142" s="19" t="s">
        <v>1165</v>
      </c>
      <c r="L142" s="19" t="str">
        <f>Table_SourceData_Scope3_Feed[[#This Row],[Product]]</f>
        <v>Oaten hay</v>
      </c>
      <c r="M142" s="19" t="str">
        <f>Table_SourceData_Scope3_Feed[[#This Row],[Region of origin]]</f>
        <v>VIC</v>
      </c>
    </row>
    <row r="143" spans="4:17" ht="20.100000000000001" customHeight="1" x14ac:dyDescent="0.2">
      <c r="D143" s="19" t="s">
        <v>2051</v>
      </c>
      <c r="E143" s="19" t="s">
        <v>2053</v>
      </c>
      <c r="F143" s="19" t="s">
        <v>502</v>
      </c>
      <c r="G143" s="19" t="s">
        <v>748</v>
      </c>
      <c r="H143" s="19">
        <v>0.124</v>
      </c>
      <c r="I143" s="19" t="s">
        <v>2037</v>
      </c>
      <c r="J143" s="19" t="s">
        <v>1165</v>
      </c>
      <c r="L143" s="19" t="str">
        <f>Table_SourceData_Scope3_Feed[[#This Row],[Product]]</f>
        <v>Oaten hay</v>
      </c>
      <c r="M143" s="19" t="str">
        <f>Table_SourceData_Scope3_Feed[[#This Row],[Region of origin]]</f>
        <v>WA</v>
      </c>
      <c r="O143" s="19" t="s">
        <v>132</v>
      </c>
      <c r="P143" s="19" t="s">
        <v>1163</v>
      </c>
      <c r="Q143" s="1" t="str">
        <f>"Table_ProductRegions_" &amp; SUBSTITUTE(SUBSTITUTE(SUBSTITUTE(SUBSTITUTE(O144, " ", ""), ",", ""), "(", ""), ")", "")</f>
        <v>Table_ProductRegions_Pasturehay</v>
      </c>
    </row>
    <row r="144" spans="4:17" ht="20.100000000000001" customHeight="1" x14ac:dyDescent="0.2">
      <c r="D144" s="19" t="s">
        <v>2051</v>
      </c>
      <c r="E144" s="19" t="s">
        <v>993</v>
      </c>
      <c r="F144" s="19" t="s">
        <v>986</v>
      </c>
      <c r="G144" s="19" t="s">
        <v>748</v>
      </c>
      <c r="H144" s="19">
        <v>0.33900000000000002</v>
      </c>
      <c r="I144" s="19" t="s">
        <v>2037</v>
      </c>
      <c r="J144" s="19" t="s">
        <v>1165</v>
      </c>
      <c r="O144" s="19" t="str">
        <f>Table_SourceData_Scope3_Feed[[#This Row],[Product]]</f>
        <v>Pasture hay</v>
      </c>
      <c r="P144" s="19" t="str">
        <f>Table_SourceData_Scope3_Feed[[#This Row],[Region of origin]]</f>
        <v>Australia</v>
      </c>
    </row>
    <row r="145" spans="1:17" ht="20.100000000000001" customHeight="1" x14ac:dyDescent="0.2">
      <c r="D145" s="19" t="s">
        <v>2051</v>
      </c>
      <c r="E145" s="19" t="s">
        <v>993</v>
      </c>
      <c r="F145" s="19" t="s">
        <v>496</v>
      </c>
      <c r="G145" s="19" t="s">
        <v>748</v>
      </c>
      <c r="H145" s="19">
        <v>0.311</v>
      </c>
      <c r="I145" s="19" t="s">
        <v>2037</v>
      </c>
      <c r="J145" s="19" t="s">
        <v>1165</v>
      </c>
      <c r="O145" s="19" t="str">
        <f>Table_SourceData_Scope3_Feed[[#This Row],[Product]]</f>
        <v>Pasture hay</v>
      </c>
      <c r="P145" s="19" t="str">
        <f>Table_SourceData_Scope3_Feed[[#This Row],[Region of origin]]</f>
        <v>NSW</v>
      </c>
    </row>
    <row r="146" spans="1:17" ht="20.100000000000001" customHeight="1" x14ac:dyDescent="0.2">
      <c r="D146" s="19" t="s">
        <v>2051</v>
      </c>
      <c r="E146" s="19" t="s">
        <v>993</v>
      </c>
      <c r="F146" s="19" t="s">
        <v>498</v>
      </c>
      <c r="G146" s="19" t="s">
        <v>748</v>
      </c>
      <c r="H146" s="19">
        <v>0.254</v>
      </c>
      <c r="I146" s="19" t="s">
        <v>2037</v>
      </c>
      <c r="J146" s="19" t="s">
        <v>1165</v>
      </c>
      <c r="O146" s="19" t="str">
        <f>Table_SourceData_Scope3_Feed[[#This Row],[Product]]</f>
        <v>Pasture hay</v>
      </c>
      <c r="P146" s="19" t="str">
        <f>Table_SourceData_Scope3_Feed[[#This Row],[Region of origin]]</f>
        <v>QLD</v>
      </c>
    </row>
    <row r="147" spans="1:17" ht="20.100000000000001" customHeight="1" x14ac:dyDescent="0.2">
      <c r="D147" s="19" t="s">
        <v>2051</v>
      </c>
      <c r="E147" s="19" t="s">
        <v>993</v>
      </c>
      <c r="F147" s="19" t="s">
        <v>500</v>
      </c>
      <c r="G147" s="19" t="s">
        <v>748</v>
      </c>
      <c r="H147" s="19">
        <v>0.313</v>
      </c>
      <c r="I147" s="19" t="s">
        <v>2037</v>
      </c>
      <c r="J147" s="19" t="s">
        <v>1165</v>
      </c>
      <c r="O147" s="19" t="str">
        <f>Table_SourceData_Scope3_Feed[[#This Row],[Product]]</f>
        <v>Pasture hay</v>
      </c>
      <c r="P147" s="19" t="str">
        <f>Table_SourceData_Scope3_Feed[[#This Row],[Region of origin]]</f>
        <v>SA</v>
      </c>
    </row>
    <row r="148" spans="1:17" ht="20.100000000000001" customHeight="1" x14ac:dyDescent="0.2">
      <c r="D148" s="19" t="s">
        <v>2051</v>
      </c>
      <c r="E148" s="19" t="s">
        <v>993</v>
      </c>
      <c r="F148" s="19" t="s">
        <v>503</v>
      </c>
      <c r="G148" s="19" t="s">
        <v>748</v>
      </c>
      <c r="H148" s="19">
        <v>0.39800000000000002</v>
      </c>
      <c r="I148" s="19" t="s">
        <v>2037</v>
      </c>
      <c r="J148" s="19" t="s">
        <v>1165</v>
      </c>
      <c r="O148" s="19" t="str">
        <f>Table_SourceData_Scope3_Feed[[#This Row],[Product]]</f>
        <v>Pasture hay</v>
      </c>
      <c r="P148" s="19" t="str">
        <f>Table_SourceData_Scope3_Feed[[#This Row],[Region of origin]]</f>
        <v>TAS</v>
      </c>
    </row>
    <row r="149" spans="1:17" ht="20.100000000000001" customHeight="1" x14ac:dyDescent="0.2">
      <c r="D149" s="19" t="s">
        <v>2051</v>
      </c>
      <c r="E149" s="19" t="s">
        <v>993</v>
      </c>
      <c r="F149" s="19" t="s">
        <v>501</v>
      </c>
      <c r="G149" s="19" t="s">
        <v>748</v>
      </c>
      <c r="H149" s="19">
        <v>0.34499999999999997</v>
      </c>
      <c r="I149" s="19" t="s">
        <v>2037</v>
      </c>
      <c r="J149" s="19" t="s">
        <v>1165</v>
      </c>
      <c r="O149" s="19" t="str">
        <f>Table_SourceData_Scope3_Feed[[#This Row],[Product]]</f>
        <v>Pasture hay</v>
      </c>
      <c r="P149" s="19" t="str">
        <f>Table_SourceData_Scope3_Feed[[#This Row],[Region of origin]]</f>
        <v>VIC</v>
      </c>
    </row>
    <row r="150" spans="1:17" ht="20.100000000000001" customHeight="1" x14ac:dyDescent="0.2">
      <c r="D150" s="19" t="s">
        <v>2051</v>
      </c>
      <c r="E150" s="19" t="s">
        <v>993</v>
      </c>
      <c r="F150" s="19" t="s">
        <v>502</v>
      </c>
      <c r="G150" s="19" t="s">
        <v>748</v>
      </c>
      <c r="H150" s="19">
        <v>0.36799999999999999</v>
      </c>
      <c r="I150" s="19" t="s">
        <v>2037</v>
      </c>
      <c r="J150" s="19" t="s">
        <v>1165</v>
      </c>
      <c r="L150" s="135" t="s">
        <v>132</v>
      </c>
      <c r="M150" s="135" t="s">
        <v>1163</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
        <v>2054</v>
      </c>
      <c r="E151" s="19" t="s">
        <v>2055</v>
      </c>
      <c r="F151" s="19" t="s">
        <v>986</v>
      </c>
      <c r="G151" s="19" t="s">
        <v>748</v>
      </c>
      <c r="H151" s="19">
        <v>0.24399999999999999</v>
      </c>
      <c r="I151" s="19" t="s">
        <v>2037</v>
      </c>
      <c r="J151" s="19" t="s">
        <v>1165</v>
      </c>
      <c r="L151" s="1" t="str">
        <f>Table_SourceData_Scope3_Feed[[#This Row],[Product]]</f>
        <v>Canola meal</v>
      </c>
      <c r="M151" s="1" t="str">
        <f>Table_SourceData_Scope3_Feed[[#This Row],[Region of origin]]</f>
        <v>Australia</v>
      </c>
      <c r="O151" s="19" t="s">
        <v>132</v>
      </c>
      <c r="P151" s="19" t="s">
        <v>1163</v>
      </c>
      <c r="Q151" s="1" t="str">
        <f>"Table_ProductRegions_" &amp; SUBSTITUTE(SUBSTITUTE(SUBSTITUTE(SUBSTITUTE(O152, " ", ""), ",", ""), "(", ""), ")", "")</f>
        <v>Table_ProductRegions_Meatmeal</v>
      </c>
    </row>
    <row r="152" spans="1:17" ht="20.100000000000001" customHeight="1" x14ac:dyDescent="0.2">
      <c r="D152" s="19" t="s">
        <v>2054</v>
      </c>
      <c r="E152" s="19" t="s">
        <v>2056</v>
      </c>
      <c r="F152" s="19" t="s">
        <v>986</v>
      </c>
      <c r="G152" s="19" t="s">
        <v>748</v>
      </c>
      <c r="H152" s="19">
        <v>0.40799999999999997</v>
      </c>
      <c r="I152" s="19" t="s">
        <v>2037</v>
      </c>
      <c r="J152" s="19" t="s">
        <v>1165</v>
      </c>
      <c r="L152" s="19" t="s">
        <v>132</v>
      </c>
      <c r="M152" s="19" t="s">
        <v>1163</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
        <v>2054</v>
      </c>
      <c r="E153" s="19" t="s">
        <v>991</v>
      </c>
      <c r="F153" s="19" t="s">
        <v>992</v>
      </c>
      <c r="G153" s="19" t="s">
        <v>748</v>
      </c>
      <c r="H153" s="19">
        <v>0.42599999999999999</v>
      </c>
      <c r="I153" s="19" t="s">
        <v>2037</v>
      </c>
      <c r="J153" s="19" t="s">
        <v>1165</v>
      </c>
      <c r="L153" s="19" t="str">
        <f>Table_SourceData_Scope3_Feed[[#This Row],[Product]]</f>
        <v>Soybean meal</v>
      </c>
      <c r="M153" s="19" t="str">
        <f>Table_SourceData_Scope3_Feed[[#This Row],[Region of origin]]</f>
        <v>Brazil</v>
      </c>
      <c r="O153" s="19" t="s">
        <v>132</v>
      </c>
      <c r="P153" s="19" t="s">
        <v>1163</v>
      </c>
      <c r="Q153" s="1" t="str">
        <f>"Table_ProductRegions_" &amp; SUBSTITUTE(SUBSTITUTE(SUBSTITUTE(SUBSTITUTE(O154, " ", ""), ",", ""), "(", ""), ")", "")</f>
        <v>Table_ProductRegions_Wheatbran</v>
      </c>
    </row>
    <row r="154" spans="1:17" ht="20.100000000000001" customHeight="1" x14ac:dyDescent="0.2">
      <c r="D154" s="19" t="s">
        <v>2054</v>
      </c>
      <c r="E154" s="19" t="s">
        <v>2057</v>
      </c>
      <c r="F154" s="19" t="s">
        <v>986</v>
      </c>
      <c r="G154" s="19" t="s">
        <v>748</v>
      </c>
      <c r="H154" s="19">
        <v>0.19600000000000001</v>
      </c>
      <c r="I154" s="19" t="s">
        <v>2037</v>
      </c>
      <c r="J154" s="19" t="s">
        <v>1165</v>
      </c>
      <c r="L154" s="19" t="s">
        <v>132</v>
      </c>
      <c r="M154" s="19" t="s">
        <v>1163</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
        <v>2058</v>
      </c>
      <c r="E155" s="1" t="s">
        <v>2059</v>
      </c>
      <c r="F155" s="1" t="s">
        <v>986</v>
      </c>
      <c r="G155" s="1" t="s">
        <v>748</v>
      </c>
      <c r="H155" s="1">
        <v>6.5199999999999994E-2</v>
      </c>
      <c r="I155" s="1" t="s">
        <v>2037</v>
      </c>
      <c r="J155" s="19" t="s">
        <v>1165</v>
      </c>
      <c r="L155" s="19" t="str">
        <f>Table_SourceData_Scope3_Feed[[#This Row],[Product]]</f>
        <v>Bentonite</v>
      </c>
      <c r="M155" s="19" t="str">
        <f>Table_SourceData_Scope3_Feed[[#This Row],[Region of origin]]</f>
        <v>Australia</v>
      </c>
      <c r="O155" s="19" t="s">
        <v>132</v>
      </c>
      <c r="P155" s="19" t="s">
        <v>1163</v>
      </c>
      <c r="Q155" s="1" t="str">
        <f>"Table_ProductRegions_" &amp; SUBSTITUTE(SUBSTITUTE(SUBSTITUTE(SUBSTITUTE(O156, " ", ""), ",", ""), "(", ""), ")", "")</f>
        <v>Table_ProductRegions_Canolaoil</v>
      </c>
    </row>
    <row r="156" spans="1:17" ht="20.100000000000001" customHeight="1" x14ac:dyDescent="0.2">
      <c r="A156" s="79" t="str">
        <f>HYPERLINK("#A1", "▲ Back to top")</f>
        <v>▲ Back to top</v>
      </c>
      <c r="D156" s="1" t="s">
        <v>2058</v>
      </c>
      <c r="E156" s="1" t="s">
        <v>985</v>
      </c>
      <c r="F156" s="1" t="s">
        <v>986</v>
      </c>
      <c r="G156" s="1" t="s">
        <v>748</v>
      </c>
      <c r="H156" s="1">
        <v>0.87</v>
      </c>
      <c r="I156" s="1" t="s">
        <v>2037</v>
      </c>
      <c r="J156" s="19" t="s">
        <v>1165</v>
      </c>
      <c r="L156" s="19" t="s">
        <v>132</v>
      </c>
      <c r="M156" s="19" t="s">
        <v>1163</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D157" s="1" t="s">
        <v>2058</v>
      </c>
      <c r="E157" s="1" t="s">
        <v>2060</v>
      </c>
      <c r="F157" s="1" t="s">
        <v>986</v>
      </c>
      <c r="G157" s="1" t="s">
        <v>748</v>
      </c>
      <c r="H157" s="1">
        <v>0.19700000000000001</v>
      </c>
      <c r="I157" s="1" t="s">
        <v>2037</v>
      </c>
      <c r="J157" s="19" t="s">
        <v>1165</v>
      </c>
      <c r="L157" s="19" t="str">
        <f>Table_SourceData_Scope3_Feed[[#This Row],[Product]]</f>
        <v>Cotton seed</v>
      </c>
      <c r="M157" s="19" t="str">
        <f>Table_SourceData_Scope3_Feed[[#This Row],[Region of origin]]</f>
        <v>Australia</v>
      </c>
      <c r="O157" s="19" t="s">
        <v>132</v>
      </c>
      <c r="P157" s="19" t="s">
        <v>1163</v>
      </c>
      <c r="Q157" s="1" t="str">
        <f>"Table_ProductRegions_" &amp; SUBSTITUTE(SUBSTITUTE(SUBSTITUTE(SUBSTITUTE(O158, " ", ""), ",", ""), "(", ""), ")", "")</f>
        <v>Table_ProductRegions_Molasses</v>
      </c>
    </row>
    <row r="158" spans="1:17" ht="20.100000000000001" customHeight="1" x14ac:dyDescent="0.2">
      <c r="D158" s="19" t="s">
        <v>2058</v>
      </c>
      <c r="E158" s="19" t="s">
        <v>987</v>
      </c>
      <c r="F158" s="19" t="s">
        <v>498</v>
      </c>
      <c r="G158" s="19" t="s">
        <v>748</v>
      </c>
      <c r="H158" s="19">
        <v>0.184</v>
      </c>
      <c r="I158" s="19" t="s">
        <v>2037</v>
      </c>
      <c r="J158" s="19"/>
      <c r="O158" s="19" t="str">
        <f>Table_SourceData_Scope3_Feed[[#This Row],[Product]]</f>
        <v>Molasses</v>
      </c>
      <c r="P158" s="19" t="str">
        <f>Table_SourceData_Scope3_Feed[[#This Row],[Region of origin]]</f>
        <v>QLD</v>
      </c>
    </row>
    <row r="161" spans="4:14" ht="20.100000000000001" customHeight="1" x14ac:dyDescent="0.2">
      <c r="D161" s="19" t="s">
        <v>1158</v>
      </c>
      <c r="E161" s="19" t="s">
        <v>132</v>
      </c>
      <c r="F161" s="19" t="s">
        <v>1159</v>
      </c>
      <c r="G161" s="19" t="s">
        <v>1160</v>
      </c>
      <c r="H161" s="19" t="s">
        <v>1161</v>
      </c>
      <c r="I161" s="19" t="s">
        <v>1162</v>
      </c>
      <c r="J161" s="19" t="s">
        <v>559</v>
      </c>
    </row>
    <row r="162" spans="4:14" ht="20.100000000000001" customHeight="1" x14ac:dyDescent="0.2">
      <c r="D162" s="19" t="s">
        <v>2061</v>
      </c>
      <c r="E162" s="19" t="s">
        <v>2062</v>
      </c>
      <c r="F162" s="19" t="s">
        <v>986</v>
      </c>
      <c r="G162" s="19" t="s">
        <v>748</v>
      </c>
      <c r="H162" s="19">
        <v>0.59399999999999997</v>
      </c>
      <c r="I162" s="19" t="s">
        <v>2037</v>
      </c>
      <c r="J162" s="19" t="s">
        <v>1165</v>
      </c>
    </row>
    <row r="163" spans="4:14" ht="20.100000000000001" customHeight="1" x14ac:dyDescent="0.2">
      <c r="D163" s="19" t="s">
        <v>2061</v>
      </c>
      <c r="E163" s="19" t="s">
        <v>2063</v>
      </c>
      <c r="F163" s="19" t="s">
        <v>986</v>
      </c>
      <c r="G163" s="19" t="s">
        <v>748</v>
      </c>
      <c r="H163" s="19">
        <v>0.41899999999999998</v>
      </c>
      <c r="I163" s="19" t="s">
        <v>2037</v>
      </c>
      <c r="J163" s="19" t="s">
        <v>1165</v>
      </c>
    </row>
    <row r="164" spans="4:14" ht="20.100000000000001" customHeight="1" x14ac:dyDescent="0.2">
      <c r="D164" s="19" t="s">
        <v>2061</v>
      </c>
      <c r="E164" s="19" t="s">
        <v>2064</v>
      </c>
      <c r="F164" s="19" t="s">
        <v>986</v>
      </c>
      <c r="G164" s="19" t="s">
        <v>748</v>
      </c>
      <c r="H164" s="19">
        <v>0.33300000000000002</v>
      </c>
      <c r="I164" s="19" t="s">
        <v>2037</v>
      </c>
      <c r="J164" s="19" t="s">
        <v>1165</v>
      </c>
    </row>
    <row r="165" spans="4:14" ht="20.100000000000001" customHeight="1" x14ac:dyDescent="0.2">
      <c r="D165" s="19" t="s">
        <v>2061</v>
      </c>
      <c r="E165" s="19" t="s">
        <v>2065</v>
      </c>
      <c r="F165" s="19" t="s">
        <v>986</v>
      </c>
      <c r="G165" s="19" t="s">
        <v>748</v>
      </c>
      <c r="H165" s="19">
        <v>0.40300000000000002</v>
      </c>
      <c r="I165" s="19" t="s">
        <v>2037</v>
      </c>
      <c r="J165" s="19" t="s">
        <v>1165</v>
      </c>
    </row>
    <row r="167" spans="4:14" ht="20.100000000000001" customHeight="1" x14ac:dyDescent="0.2">
      <c r="D167" s="19" t="s">
        <v>1158</v>
      </c>
      <c r="E167" s="19" t="s">
        <v>132</v>
      </c>
      <c r="F167" s="19" t="s">
        <v>1159</v>
      </c>
      <c r="G167" s="19" t="s">
        <v>1160</v>
      </c>
      <c r="H167" s="19" t="s">
        <v>1161</v>
      </c>
      <c r="I167" s="19" t="s">
        <v>1162</v>
      </c>
      <c r="J167" s="19" t="s">
        <v>559</v>
      </c>
    </row>
    <row r="168" spans="4:14" ht="20.100000000000001" customHeight="1" x14ac:dyDescent="0.2">
      <c r="D168" s="19" t="s">
        <v>2058</v>
      </c>
      <c r="E168" s="19" t="s">
        <v>2066</v>
      </c>
      <c r="F168" s="19" t="s">
        <v>986</v>
      </c>
      <c r="G168" s="19" t="s">
        <v>748</v>
      </c>
      <c r="H168" s="19">
        <v>0.88100000000000001</v>
      </c>
      <c r="I168" s="19" t="s">
        <v>2037</v>
      </c>
      <c r="J168" s="19" t="s">
        <v>1165</v>
      </c>
    </row>
    <row r="169" spans="4:14" ht="20.100000000000001" customHeight="1" x14ac:dyDescent="0.2">
      <c r="D169" s="19" t="s">
        <v>2058</v>
      </c>
      <c r="E169" s="19" t="s">
        <v>2067</v>
      </c>
      <c r="F169" s="19" t="s">
        <v>986</v>
      </c>
      <c r="G169" s="19" t="s">
        <v>748</v>
      </c>
      <c r="H169" s="19">
        <v>0.67700000000000005</v>
      </c>
      <c r="I169" s="19" t="s">
        <v>2037</v>
      </c>
      <c r="J169" s="19" t="s">
        <v>1165</v>
      </c>
    </row>
    <row r="170" spans="4:14" ht="20.100000000000001" customHeight="1" x14ac:dyDescent="0.2">
      <c r="D170" s="19" t="s">
        <v>2058</v>
      </c>
      <c r="E170" s="19" t="s">
        <v>2068</v>
      </c>
      <c r="F170" s="19" t="s">
        <v>986</v>
      </c>
      <c r="G170" s="19" t="s">
        <v>748</v>
      </c>
      <c r="H170" s="19">
        <v>0.23100000000000001</v>
      </c>
      <c r="I170" s="19" t="s">
        <v>2037</v>
      </c>
      <c r="J170" s="19" t="s">
        <v>1165</v>
      </c>
    </row>
    <row r="172" spans="4:14" ht="20.100000000000001" customHeight="1" x14ac:dyDescent="0.2">
      <c r="D172" s="2" t="s">
        <v>1175</v>
      </c>
    </row>
    <row r="173" spans="4:14" ht="20.100000000000001" customHeight="1" x14ac:dyDescent="0.2">
      <c r="D173" s="19" t="s">
        <v>1158</v>
      </c>
      <c r="E173" s="19" t="s">
        <v>132</v>
      </c>
      <c r="F173" s="19" t="s">
        <v>1159</v>
      </c>
      <c r="G173" s="19" t="s">
        <v>809</v>
      </c>
      <c r="H173" s="19" t="s">
        <v>702</v>
      </c>
      <c r="I173" s="19" t="s">
        <v>703</v>
      </c>
      <c r="J173" s="19" t="s">
        <v>1176</v>
      </c>
      <c r="K173" s="19" t="s">
        <v>1160</v>
      </c>
      <c r="L173" s="19" t="s">
        <v>1161</v>
      </c>
      <c r="M173" s="19" t="s">
        <v>1162</v>
      </c>
      <c r="N173" s="19" t="s">
        <v>559</v>
      </c>
    </row>
    <row r="174" spans="4:14" ht="20.100000000000001" customHeight="1" x14ac:dyDescent="0.2">
      <c r="D174" s="19" t="s">
        <v>1175</v>
      </c>
      <c r="E174" s="19" t="s">
        <v>2069</v>
      </c>
      <c r="F174" s="19" t="s">
        <v>1765</v>
      </c>
      <c r="G174" s="19" t="str">
        <f>'Constants - Fertiliser'!$D$37</f>
        <v>Ammonia</v>
      </c>
      <c r="H174" s="19"/>
      <c r="I174" s="19" t="str">
        <f>'Constants - Fertiliser'!$V$20</f>
        <v>Global</v>
      </c>
      <c r="J174" s="19"/>
      <c r="K174" s="19" t="s">
        <v>748</v>
      </c>
      <c r="L174" s="19">
        <v>2.3199999999999998</v>
      </c>
      <c r="M174" s="19" t="s">
        <v>2037</v>
      </c>
      <c r="N174" s="19" t="s">
        <v>1165</v>
      </c>
    </row>
    <row r="175" spans="4:14" ht="20.100000000000001" customHeight="1" x14ac:dyDescent="0.2">
      <c r="D175" s="19" t="s">
        <v>1175</v>
      </c>
      <c r="E175" s="19" t="s">
        <v>2070</v>
      </c>
      <c r="F175" s="19" t="s">
        <v>1766</v>
      </c>
      <c r="G175" s="19" t="str">
        <f>'Constants - Fertiliser'!$D$37</f>
        <v>Ammonia</v>
      </c>
      <c r="H175" s="19"/>
      <c r="I175" s="19" t="str">
        <f>'Constants - Fertiliser'!$V$21</f>
        <v>Canada</v>
      </c>
      <c r="J175" s="19"/>
      <c r="K175" s="19" t="s">
        <v>748</v>
      </c>
      <c r="L175" s="19">
        <v>2.12</v>
      </c>
      <c r="M175" s="19" t="s">
        <v>2037</v>
      </c>
      <c r="N175" s="19" t="s">
        <v>1165</v>
      </c>
    </row>
    <row r="176" spans="4:14" ht="20.100000000000001" customHeight="1" x14ac:dyDescent="0.2">
      <c r="D176" s="19" t="s">
        <v>1175</v>
      </c>
      <c r="E176" s="19" t="s">
        <v>2071</v>
      </c>
      <c r="F176" s="19" t="s">
        <v>1767</v>
      </c>
      <c r="G176" s="19" t="str">
        <f>'Constants - Fertiliser'!$D$37</f>
        <v>Ammonia</v>
      </c>
      <c r="H176" s="19"/>
      <c r="I176" s="19" t="str">
        <f>'Constants - Fertiliser'!$V$22</f>
        <v>China</v>
      </c>
      <c r="J176" s="19"/>
      <c r="K176" s="19" t="s">
        <v>748</v>
      </c>
      <c r="L176" s="19">
        <v>4.17</v>
      </c>
      <c r="M176" s="19" t="s">
        <v>2037</v>
      </c>
      <c r="N176" s="19" t="s">
        <v>1165</v>
      </c>
    </row>
    <row r="177" spans="1:14" ht="20.100000000000001" customHeight="1" x14ac:dyDescent="0.2">
      <c r="D177" s="19" t="s">
        <v>1175</v>
      </c>
      <c r="E177" s="19" t="s">
        <v>2072</v>
      </c>
      <c r="F177" s="19" t="s">
        <v>1768</v>
      </c>
      <c r="G177" s="19" t="str">
        <f>'Constants - Fertiliser'!$D$37</f>
        <v>Ammonia</v>
      </c>
      <c r="H177" s="19"/>
      <c r="I177" s="19" t="str">
        <f>'Constants - Fertiliser'!$V$23</f>
        <v>Yemen</v>
      </c>
      <c r="J177" s="19"/>
      <c r="K177" s="19" t="s">
        <v>748</v>
      </c>
      <c r="L177" s="19">
        <v>2.2599999999999998</v>
      </c>
      <c r="M177" s="19" t="s">
        <v>2037</v>
      </c>
      <c r="N177" s="19" t="s">
        <v>1165</v>
      </c>
    </row>
    <row r="178" spans="1:14" ht="20.100000000000001" customHeight="1" x14ac:dyDescent="0.2">
      <c r="D178" s="19" t="s">
        <v>1175</v>
      </c>
      <c r="E178" s="19" t="s">
        <v>2073</v>
      </c>
      <c r="F178" s="19" t="s">
        <v>1765</v>
      </c>
      <c r="G178" s="19" t="str">
        <f>'Constants - Fertiliser'!$D$25</f>
        <v>Ammonium nitrate (AN)</v>
      </c>
      <c r="H178" s="19"/>
      <c r="I178" s="19"/>
      <c r="J178" s="19"/>
      <c r="K178" s="19" t="s">
        <v>748</v>
      </c>
      <c r="L178" s="19">
        <v>2.21</v>
      </c>
      <c r="M178" s="19" t="s">
        <v>2037</v>
      </c>
      <c r="N178" s="19" t="s">
        <v>1165</v>
      </c>
    </row>
    <row r="179" spans="1:14" ht="20.100000000000001" customHeight="1" x14ac:dyDescent="0.2">
      <c r="D179" s="19" t="s">
        <v>1175</v>
      </c>
      <c r="E179" s="19" t="s">
        <v>2074</v>
      </c>
      <c r="F179" s="19" t="s">
        <v>1765</v>
      </c>
      <c r="G179" s="19" t="str">
        <f>'Constants - Fertiliser'!$D$26</f>
        <v>Calcium ammonium nitrate (CAN)</v>
      </c>
      <c r="H179" s="19"/>
      <c r="I179" s="19"/>
      <c r="J179" s="19"/>
      <c r="K179" s="19" t="s">
        <v>748</v>
      </c>
      <c r="L179" s="19">
        <v>1.1499999999999999</v>
      </c>
      <c r="M179" s="19" t="s">
        <v>2037</v>
      </c>
      <c r="N179" s="19" t="s">
        <v>1165</v>
      </c>
    </row>
    <row r="180" spans="1:14" ht="20.100000000000001" customHeight="1" x14ac:dyDescent="0.2">
      <c r="D180" s="19" t="s">
        <v>1175</v>
      </c>
      <c r="E180" s="19" t="s">
        <v>714</v>
      </c>
      <c r="F180" s="19" t="s">
        <v>1765</v>
      </c>
      <c r="G180" s="19" t="str">
        <f>'Constants - Fertiliser'!$D$38</f>
        <v>Calcium nitrate</v>
      </c>
      <c r="H180" s="19"/>
      <c r="I180" s="19"/>
      <c r="J180" s="19"/>
      <c r="K180" s="19" t="s">
        <v>748</v>
      </c>
      <c r="L180" s="19">
        <v>0.75</v>
      </c>
      <c r="M180" s="19" t="s">
        <v>2037</v>
      </c>
      <c r="N180" s="19" t="s">
        <v>1165</v>
      </c>
    </row>
    <row r="181" spans="1:14" ht="20.100000000000001" customHeight="1" x14ac:dyDescent="0.2">
      <c r="D181" s="19" t="s">
        <v>1175</v>
      </c>
      <c r="E181" s="19" t="s">
        <v>2075</v>
      </c>
      <c r="F181" s="19" t="s">
        <v>1765</v>
      </c>
      <c r="G181" s="19" t="str">
        <f>'Constants - Fertiliser'!$D$21</f>
        <v>Diammonium phosphate (DAP)</v>
      </c>
      <c r="H181" s="19"/>
      <c r="I181" s="19"/>
      <c r="J181" s="19"/>
      <c r="K181" s="19" t="s">
        <v>748</v>
      </c>
      <c r="L181" s="19">
        <v>1.34</v>
      </c>
      <c r="M181" s="19" t="s">
        <v>2037</v>
      </c>
      <c r="N181" s="19" t="s">
        <v>1165</v>
      </c>
    </row>
    <row r="182" spans="1:14" ht="20.100000000000001" customHeight="1" x14ac:dyDescent="0.2">
      <c r="D182" s="19" t="s">
        <v>1175</v>
      </c>
      <c r="E182" s="19" t="s">
        <v>2076</v>
      </c>
      <c r="F182" s="19" t="s">
        <v>1765</v>
      </c>
      <c r="G182" s="19" t="str">
        <f>'Constants - Fertiliser'!$D$35</f>
        <v>Double superphosphate</v>
      </c>
      <c r="H182" s="19"/>
      <c r="I182" s="19"/>
      <c r="J182" s="19"/>
      <c r="K182" s="19" t="s">
        <v>748</v>
      </c>
      <c r="L182" s="19">
        <v>0.39200000000000002</v>
      </c>
      <c r="M182" s="19" t="s">
        <v>2037</v>
      </c>
      <c r="N182" s="19" t="s">
        <v>1165</v>
      </c>
    </row>
    <row r="183" spans="1:14" ht="20.100000000000001" customHeight="1" x14ac:dyDescent="0.2">
      <c r="D183" s="19" t="s">
        <v>1175</v>
      </c>
      <c r="E183" s="19" t="s">
        <v>2077</v>
      </c>
      <c r="F183" s="19" t="s">
        <v>1765</v>
      </c>
      <c r="G183" s="19" t="str">
        <f>'Constants - Fertiliser'!$D$20</f>
        <v>Monoammonium phosphate (MAP)</v>
      </c>
      <c r="H183" s="19"/>
      <c r="I183" s="19"/>
      <c r="J183" s="19"/>
      <c r="K183" s="19" t="s">
        <v>748</v>
      </c>
      <c r="L183" s="19">
        <v>0.82699999999999996</v>
      </c>
      <c r="M183" s="19" t="s">
        <v>2037</v>
      </c>
      <c r="N183" s="19" t="s">
        <v>1165</v>
      </c>
    </row>
    <row r="184" spans="1:14" ht="20.100000000000001" customHeight="1" x14ac:dyDescent="0.2">
      <c r="D184" s="19" t="s">
        <v>1175</v>
      </c>
      <c r="E184" s="19" t="s">
        <v>2078</v>
      </c>
      <c r="F184" s="19" t="s">
        <v>1765</v>
      </c>
      <c r="G184" s="19" t="str">
        <f>'Constants - Fertiliser'!$D$34</f>
        <v>Muriate of potash (MOP)</v>
      </c>
      <c r="H184" s="19"/>
      <c r="I184" s="19"/>
      <c r="J184" s="19"/>
      <c r="K184" s="19" t="s">
        <v>748</v>
      </c>
      <c r="L184" s="19">
        <v>0.54900000000000004</v>
      </c>
      <c r="M184" s="19" t="s">
        <v>2037</v>
      </c>
      <c r="N184" s="19" t="s">
        <v>1165</v>
      </c>
    </row>
    <row r="185" spans="1:14" ht="20.100000000000001" customHeight="1" x14ac:dyDescent="0.2">
      <c r="D185" s="19" t="s">
        <v>1175</v>
      </c>
      <c r="E185" s="19" t="s">
        <v>2079</v>
      </c>
      <c r="F185" s="19" t="s">
        <v>1765</v>
      </c>
      <c r="G185" s="19" t="str">
        <f>'Constants - Fertiliser'!$D$27</f>
        <v>Nitrogen - Ammoniacal</v>
      </c>
      <c r="H185" s="19"/>
      <c r="I185" s="19"/>
      <c r="J185" s="19"/>
      <c r="K185" s="19" t="s">
        <v>445</v>
      </c>
      <c r="L185" s="19">
        <v>2.83</v>
      </c>
      <c r="M185" s="19" t="s">
        <v>2037</v>
      </c>
      <c r="N185" s="19" t="s">
        <v>1165</v>
      </c>
    </row>
    <row r="186" spans="1:14" ht="20.100000000000001" customHeight="1" x14ac:dyDescent="0.2">
      <c r="A186" s="79" t="str">
        <f>HYPERLINK("#A1", "▲ Back to top")</f>
        <v>▲ Back to top</v>
      </c>
      <c r="D186" s="19" t="s">
        <v>1175</v>
      </c>
      <c r="E186" s="19" t="s">
        <v>2080</v>
      </c>
      <c r="F186" s="19" t="s">
        <v>1765</v>
      </c>
      <c r="G186" s="19" t="str">
        <f>'Constants - Fertiliser'!$D$29</f>
        <v>Nitrogen - Generic</v>
      </c>
      <c r="H186" s="19"/>
      <c r="I186" s="19"/>
      <c r="J186" s="19"/>
      <c r="K186" s="19" t="s">
        <v>445</v>
      </c>
      <c r="L186" s="19">
        <v>4.2</v>
      </c>
      <c r="M186" s="19" t="s">
        <v>2037</v>
      </c>
      <c r="N186" s="19" t="s">
        <v>1165</v>
      </c>
    </row>
    <row r="187" spans="1:14" ht="20.100000000000001" customHeight="1" x14ac:dyDescent="0.2">
      <c r="D187" s="19" t="s">
        <v>1175</v>
      </c>
      <c r="E187" s="19" t="s">
        <v>2081</v>
      </c>
      <c r="F187" s="19" t="s">
        <v>1765</v>
      </c>
      <c r="G187" s="19" t="str">
        <f>'Constants - Fertiliser'!$D$28</f>
        <v>Nitrogen - Nitrate</v>
      </c>
      <c r="H187" s="19"/>
      <c r="I187" s="19"/>
      <c r="J187" s="19"/>
      <c r="K187" s="19" t="s">
        <v>445</v>
      </c>
      <c r="L187" s="19">
        <v>5.47</v>
      </c>
      <c r="M187" s="19" t="s">
        <v>2037</v>
      </c>
      <c r="N187" s="19" t="s">
        <v>1165</v>
      </c>
    </row>
    <row r="188" spans="1:14" ht="20.100000000000001" customHeight="1" x14ac:dyDescent="0.2">
      <c r="D188" s="19" t="s">
        <v>1175</v>
      </c>
      <c r="E188" s="19" t="s">
        <v>2082</v>
      </c>
      <c r="F188" s="19" t="s">
        <v>1765</v>
      </c>
      <c r="G188" s="19" t="str">
        <f>'Constants - Fertiliser'!$D$30</f>
        <v>Phosphorus - Generic</v>
      </c>
      <c r="H188" s="19"/>
      <c r="I188" s="19"/>
      <c r="J188" s="19"/>
      <c r="K188" s="19" t="s">
        <v>2088</v>
      </c>
      <c r="L188" s="19">
        <v>3.96</v>
      </c>
      <c r="M188" s="19" t="s">
        <v>2037</v>
      </c>
      <c r="N188" s="19" t="s">
        <v>1165</v>
      </c>
    </row>
    <row r="189" spans="1:14" ht="20.100000000000001" customHeight="1" x14ac:dyDescent="0.2">
      <c r="D189" s="19" t="s">
        <v>1175</v>
      </c>
      <c r="E189" s="19" t="s">
        <v>2083</v>
      </c>
      <c r="F189" s="19" t="s">
        <v>1765</v>
      </c>
      <c r="G189" s="19" t="str">
        <f>'Constants - Fertiliser'!$D$31</f>
        <v>Potassium - Generic</v>
      </c>
      <c r="H189" s="19"/>
      <c r="I189" s="19"/>
      <c r="J189" s="19"/>
      <c r="K189" s="19" t="s">
        <v>2089</v>
      </c>
      <c r="L189" s="19">
        <v>0.90900000000000003</v>
      </c>
      <c r="M189" s="19" t="s">
        <v>2037</v>
      </c>
      <c r="N189" s="19" t="s">
        <v>1165</v>
      </c>
    </row>
    <row r="190" spans="1:14" ht="20.100000000000001" customHeight="1" x14ac:dyDescent="0.2">
      <c r="D190" s="19" t="s">
        <v>1175</v>
      </c>
      <c r="E190" s="19" t="s">
        <v>2084</v>
      </c>
      <c r="F190" s="19" t="s">
        <v>1765</v>
      </c>
      <c r="G190" s="19" t="str">
        <f>'Constants - Fertiliser'!$D$36</f>
        <v>Single superphosphate (SSP)</v>
      </c>
      <c r="H190" s="19"/>
      <c r="I190" s="19"/>
      <c r="J190" s="19"/>
      <c r="K190" s="19" t="s">
        <v>748</v>
      </c>
      <c r="L190" s="19">
        <v>0.22700000000000001</v>
      </c>
      <c r="M190" s="19" t="s">
        <v>2037</v>
      </c>
      <c r="N190" s="19" t="s">
        <v>1165</v>
      </c>
    </row>
    <row r="191" spans="1:14" ht="20.100000000000001" customHeight="1" x14ac:dyDescent="0.2">
      <c r="D191" s="19" t="s">
        <v>1175</v>
      </c>
      <c r="E191" s="19" t="s">
        <v>2085</v>
      </c>
      <c r="F191" s="19" t="s">
        <v>1765</v>
      </c>
      <c r="G191" s="19" t="str">
        <f>'Constants - Fertiliser'!$D$32</f>
        <v>Sulfur - Generic</v>
      </c>
      <c r="H191" s="19"/>
      <c r="I191" s="19"/>
      <c r="J191" s="19"/>
      <c r="K191" s="19" t="s">
        <v>2090</v>
      </c>
      <c r="L191" s="19">
        <v>2.5</v>
      </c>
      <c r="M191" s="19" t="s">
        <v>2037</v>
      </c>
      <c r="N191" s="19" t="s">
        <v>1165</v>
      </c>
    </row>
    <row r="192" spans="1:14" ht="20.100000000000001" customHeight="1" x14ac:dyDescent="0.2">
      <c r="D192" s="19" t="s">
        <v>1175</v>
      </c>
      <c r="E192" s="19" t="s">
        <v>2086</v>
      </c>
      <c r="F192" s="19" t="s">
        <v>1765</v>
      </c>
      <c r="G192" s="19" t="str">
        <f>'Constants - Fertiliser'!$D$23</f>
        <v>Sulphate of ammonia (SOA)</v>
      </c>
      <c r="H192" s="19"/>
      <c r="I192" s="19"/>
      <c r="J192" s="19"/>
      <c r="K192" s="19" t="s">
        <v>748</v>
      </c>
      <c r="L192" s="19">
        <v>0.86499999999999999</v>
      </c>
      <c r="M192" s="19" t="s">
        <v>2037</v>
      </c>
      <c r="N192" s="19" t="s">
        <v>1165</v>
      </c>
    </row>
    <row r="193" spans="4:14" ht="20.100000000000001" customHeight="1" x14ac:dyDescent="0.2">
      <c r="D193" s="19" t="s">
        <v>1175</v>
      </c>
      <c r="E193" s="19" t="s">
        <v>2087</v>
      </c>
      <c r="F193" s="19" t="s">
        <v>1765</v>
      </c>
      <c r="G193" s="19" t="str">
        <f>'Constants - Fertiliser'!$D$24</f>
        <v>Urea-ammonium nitrate (UAN)</v>
      </c>
      <c r="H193" s="19"/>
      <c r="I193" s="19"/>
      <c r="J193" s="19"/>
      <c r="K193" s="19" t="s">
        <v>748</v>
      </c>
      <c r="L193" s="19">
        <v>1.75</v>
      </c>
      <c r="M193" s="19" t="s">
        <v>2037</v>
      </c>
      <c r="N193" s="19" t="s">
        <v>1165</v>
      </c>
    </row>
    <row r="194" spans="4:14" ht="20.100000000000001" customHeight="1" x14ac:dyDescent="0.2">
      <c r="D194" s="19" t="s">
        <v>1175</v>
      </c>
      <c r="E194" s="19" t="s">
        <v>2092</v>
      </c>
      <c r="F194" s="19" t="s">
        <v>1765</v>
      </c>
      <c r="G194" s="19" t="str">
        <f>'Constants - Fertiliser'!$D$22</f>
        <v>Urea</v>
      </c>
      <c r="H194" s="19" t="str">
        <f>'Constants - Fertiliser'!$V$20</f>
        <v>Global</v>
      </c>
      <c r="I194" s="19"/>
      <c r="J194" s="19"/>
      <c r="K194" s="19" t="s">
        <v>748</v>
      </c>
      <c r="L194" s="19">
        <v>0.96799999999999997</v>
      </c>
      <c r="M194" s="19" t="s">
        <v>2037</v>
      </c>
      <c r="N194" s="19" t="s">
        <v>1165</v>
      </c>
    </row>
    <row r="195" spans="4:14" ht="20.100000000000001" customHeight="1" x14ac:dyDescent="0.2">
      <c r="D195" s="19" t="s">
        <v>1175</v>
      </c>
      <c r="E195" s="19" t="s">
        <v>2093</v>
      </c>
      <c r="F195" s="19" t="s">
        <v>1766</v>
      </c>
      <c r="G195" s="19" t="str">
        <f>'Constants - Fertiliser'!$D$22</f>
        <v>Urea</v>
      </c>
      <c r="H195" s="19" t="str">
        <f>'Constants - Fertiliser'!$V$21</f>
        <v>Canada</v>
      </c>
      <c r="I195" s="19"/>
      <c r="J195" s="19"/>
      <c r="K195" s="19" t="s">
        <v>748</v>
      </c>
      <c r="L195" s="19">
        <v>0.82299999999999995</v>
      </c>
      <c r="M195" s="19" t="s">
        <v>2037</v>
      </c>
      <c r="N195" s="19" t="s">
        <v>1165</v>
      </c>
    </row>
    <row r="196" spans="4:14" ht="20.100000000000001" customHeight="1" x14ac:dyDescent="0.2">
      <c r="D196" s="19" t="s">
        <v>1175</v>
      </c>
      <c r="E196" s="19" t="s">
        <v>2094</v>
      </c>
      <c r="F196" s="19" t="s">
        <v>1767</v>
      </c>
      <c r="G196" s="19" t="str">
        <f>'Constants - Fertiliser'!$D$22</f>
        <v>Urea</v>
      </c>
      <c r="H196" s="19" t="str">
        <f>'Constants - Fertiliser'!$V$22</f>
        <v>China</v>
      </c>
      <c r="I196" s="19"/>
      <c r="J196" s="19"/>
      <c r="K196" s="19" t="s">
        <v>748</v>
      </c>
      <c r="L196" s="19">
        <v>2.09</v>
      </c>
      <c r="M196" s="19" t="s">
        <v>2037</v>
      </c>
      <c r="N196" s="19" t="s">
        <v>1165</v>
      </c>
    </row>
    <row r="197" spans="4:14" ht="20.100000000000001" customHeight="1" x14ac:dyDescent="0.2">
      <c r="D197" s="19" t="s">
        <v>1175</v>
      </c>
      <c r="E197" s="19" t="s">
        <v>2095</v>
      </c>
      <c r="F197" s="19" t="s">
        <v>1768</v>
      </c>
      <c r="G197" s="19" t="str">
        <f>'Constants - Fertiliser'!$D$22</f>
        <v>Urea</v>
      </c>
      <c r="H197" s="19" t="str">
        <f>'Constants - Fertiliser'!$V$23</f>
        <v>Yemen</v>
      </c>
      <c r="I197" s="19"/>
      <c r="J197" s="19"/>
      <c r="K197" s="19" t="s">
        <v>748</v>
      </c>
      <c r="L197" s="19">
        <v>0.96299999999999997</v>
      </c>
      <c r="M197" s="19" t="s">
        <v>2037</v>
      </c>
      <c r="N197" s="19" t="s">
        <v>1165</v>
      </c>
    </row>
    <row r="198" spans="4:14" ht="20.100000000000001" customHeight="1" x14ac:dyDescent="0.2">
      <c r="D198" s="19" t="s">
        <v>1175</v>
      </c>
      <c r="E198" s="19" t="s">
        <v>2096</v>
      </c>
      <c r="F198" s="19" t="s">
        <v>1765</v>
      </c>
      <c r="G198" s="19" t="str">
        <f>'Constants - Fertiliser'!$D$33</f>
        <v>Zinc - Generic</v>
      </c>
      <c r="H198" s="19"/>
      <c r="I198" s="19"/>
      <c r="J198" s="19"/>
      <c r="K198" s="19" t="s">
        <v>2091</v>
      </c>
      <c r="L198" s="19">
        <v>4.82</v>
      </c>
      <c r="M198" s="19" t="s">
        <v>2037</v>
      </c>
      <c r="N198" s="19" t="s">
        <v>1165</v>
      </c>
    </row>
    <row r="200" spans="4:14" ht="20.100000000000001" customHeight="1" x14ac:dyDescent="0.2">
      <c r="D200" s="2" t="s">
        <v>1177</v>
      </c>
    </row>
    <row r="201" spans="4:14" ht="20.100000000000001" customHeight="1" x14ac:dyDescent="0.2">
      <c r="D201" s="19" t="s">
        <v>1158</v>
      </c>
      <c r="E201" s="19" t="s">
        <v>132</v>
      </c>
      <c r="F201" s="19" t="s">
        <v>1159</v>
      </c>
      <c r="G201" s="19" t="s">
        <v>1160</v>
      </c>
      <c r="H201" s="19" t="s">
        <v>1161</v>
      </c>
      <c r="I201" s="19" t="s">
        <v>1162</v>
      </c>
      <c r="J201" s="19" t="s">
        <v>559</v>
      </c>
    </row>
    <row r="202" spans="4:14" ht="20.100000000000001" customHeight="1" x14ac:dyDescent="0.2">
      <c r="D202" s="19" t="s">
        <v>2058</v>
      </c>
      <c r="E202" s="19" t="s">
        <v>2097</v>
      </c>
      <c r="F202" s="19" t="s">
        <v>986</v>
      </c>
      <c r="G202" s="19" t="s">
        <v>1518</v>
      </c>
      <c r="H202" s="19">
        <v>4.24E-2</v>
      </c>
      <c r="I202" s="19" t="s">
        <v>2037</v>
      </c>
      <c r="J202" s="19" t="s">
        <v>1165</v>
      </c>
    </row>
    <row r="203" spans="4:14" ht="20.100000000000001" customHeight="1" x14ac:dyDescent="0.2">
      <c r="D203" s="19" t="s">
        <v>2058</v>
      </c>
      <c r="E203" s="19" t="s">
        <v>2098</v>
      </c>
      <c r="F203" s="19" t="s">
        <v>986</v>
      </c>
      <c r="G203" s="19" t="s">
        <v>1518</v>
      </c>
      <c r="H203" s="19">
        <v>2.93E-2</v>
      </c>
      <c r="I203" s="19" t="s">
        <v>2037</v>
      </c>
      <c r="J203" s="19" t="s">
        <v>1165</v>
      </c>
    </row>
    <row r="204" spans="4:14" ht="20.100000000000001" customHeight="1" x14ac:dyDescent="0.2">
      <c r="D204" s="19" t="s">
        <v>2058</v>
      </c>
      <c r="E204" s="19" t="s">
        <v>2099</v>
      </c>
      <c r="F204" s="19" t="s">
        <v>986</v>
      </c>
      <c r="G204" s="19" t="s">
        <v>748</v>
      </c>
      <c r="H204" s="19">
        <v>0.23899999999999999</v>
      </c>
      <c r="I204" s="19" t="s">
        <v>2037</v>
      </c>
      <c r="J204" s="19" t="s">
        <v>1165</v>
      </c>
    </row>
    <row r="205" spans="4:14" ht="20.100000000000001" customHeight="1" x14ac:dyDescent="0.2">
      <c r="D205" s="19" t="s">
        <v>2058</v>
      </c>
      <c r="E205" s="19" t="s">
        <v>2100</v>
      </c>
      <c r="F205" s="19" t="s">
        <v>986</v>
      </c>
      <c r="G205" s="19" t="s">
        <v>748</v>
      </c>
      <c r="H205" s="19">
        <v>0.18099999999999999</v>
      </c>
      <c r="I205" s="19" t="s">
        <v>2037</v>
      </c>
      <c r="J205" s="19" t="s">
        <v>1165</v>
      </c>
    </row>
    <row r="206" spans="4:14" ht="20.100000000000001" customHeight="1" x14ac:dyDescent="0.2">
      <c r="D206" s="19" t="s">
        <v>2058</v>
      </c>
      <c r="E206" s="19" t="s">
        <v>2101</v>
      </c>
      <c r="F206" s="19" t="s">
        <v>1765</v>
      </c>
      <c r="G206" s="19" t="s">
        <v>748</v>
      </c>
      <c r="H206" s="19">
        <v>9.81</v>
      </c>
      <c r="I206" s="19" t="s">
        <v>2037</v>
      </c>
      <c r="J206" s="19" t="s">
        <v>1165</v>
      </c>
    </row>
    <row r="207" spans="4:14" ht="20.100000000000001" customHeight="1" x14ac:dyDescent="0.2">
      <c r="D207" s="19" t="s">
        <v>2058</v>
      </c>
      <c r="E207" s="19" t="s">
        <v>2102</v>
      </c>
      <c r="F207" s="19" t="s">
        <v>986</v>
      </c>
      <c r="G207" s="19" t="s">
        <v>748</v>
      </c>
      <c r="H207" s="19">
        <v>0.27</v>
      </c>
      <c r="I207" s="19" t="s">
        <v>2037</v>
      </c>
      <c r="J207" s="19" t="s">
        <v>1165</v>
      </c>
    </row>
    <row r="208" spans="4:14" ht="20.100000000000001" customHeight="1" x14ac:dyDescent="0.2">
      <c r="D208" s="19" t="s">
        <v>2058</v>
      </c>
      <c r="E208" s="19" t="s">
        <v>2103</v>
      </c>
      <c r="F208" s="19" t="s">
        <v>986</v>
      </c>
      <c r="G208" s="19" t="s">
        <v>748</v>
      </c>
      <c r="H208" s="19">
        <v>0.23200000000000001</v>
      </c>
      <c r="I208" s="19" t="s">
        <v>2037</v>
      </c>
      <c r="J208" s="19" t="s">
        <v>1165</v>
      </c>
    </row>
    <row r="209" spans="1:10" ht="20.100000000000001" customHeight="1" x14ac:dyDescent="0.2">
      <c r="D209" s="19" t="s">
        <v>2058</v>
      </c>
      <c r="E209" s="19" t="s">
        <v>2104</v>
      </c>
      <c r="F209" s="19" t="s">
        <v>986</v>
      </c>
      <c r="G209" s="19" t="s">
        <v>748</v>
      </c>
      <c r="H209" s="19">
        <v>0.26800000000000002</v>
      </c>
      <c r="I209" s="19" t="s">
        <v>2037</v>
      </c>
      <c r="J209" s="19" t="s">
        <v>1165</v>
      </c>
    </row>
    <row r="211" spans="1:10" ht="20.100000000000001" customHeight="1" x14ac:dyDescent="0.2">
      <c r="D211" s="2" t="s">
        <v>1178</v>
      </c>
    </row>
    <row r="212" spans="1:10" ht="20.100000000000001" customHeight="1" x14ac:dyDescent="0.2">
      <c r="D212" s="19" t="s">
        <v>1158</v>
      </c>
      <c r="E212" s="19" t="s">
        <v>132</v>
      </c>
      <c r="F212" s="19" t="s">
        <v>1159</v>
      </c>
      <c r="G212" s="19" t="s">
        <v>1160</v>
      </c>
      <c r="H212" s="19" t="s">
        <v>1161</v>
      </c>
      <c r="I212" s="19" t="s">
        <v>1162</v>
      </c>
      <c r="J212" s="19" t="s">
        <v>559</v>
      </c>
    </row>
    <row r="213" spans="1:10" ht="20.100000000000001" customHeight="1" x14ac:dyDescent="0.2">
      <c r="D213" s="19" t="s">
        <v>1178</v>
      </c>
      <c r="E213" s="19" t="s">
        <v>2105</v>
      </c>
      <c r="F213" s="19" t="s">
        <v>1765</v>
      </c>
      <c r="G213" s="19" t="s">
        <v>748</v>
      </c>
      <c r="H213" s="19">
        <v>1.05</v>
      </c>
      <c r="I213" s="19" t="s">
        <v>2044</v>
      </c>
      <c r="J213" s="19" t="s">
        <v>1165</v>
      </c>
    </row>
    <row r="214" spans="1:10" ht="20.100000000000001" customHeight="1" x14ac:dyDescent="0.2">
      <c r="D214" s="19" t="s">
        <v>1178</v>
      </c>
      <c r="E214" s="19" t="s">
        <v>2106</v>
      </c>
      <c r="F214" s="19" t="s">
        <v>1765</v>
      </c>
      <c r="G214" s="19" t="s">
        <v>1518</v>
      </c>
      <c r="H214" s="19">
        <v>3.99</v>
      </c>
      <c r="I214" s="19" t="s">
        <v>2044</v>
      </c>
      <c r="J214" s="19" t="s">
        <v>1165</v>
      </c>
    </row>
    <row r="215" spans="1:10" ht="20.100000000000001" customHeight="1" x14ac:dyDescent="0.2">
      <c r="D215" s="19" t="s">
        <v>1178</v>
      </c>
      <c r="E215" s="19" t="s">
        <v>2107</v>
      </c>
      <c r="F215" s="19" t="s">
        <v>1765</v>
      </c>
      <c r="G215" s="19" t="s">
        <v>748</v>
      </c>
      <c r="H215" s="19">
        <v>3.44</v>
      </c>
      <c r="I215" s="19" t="s">
        <v>2044</v>
      </c>
      <c r="J215" s="19" t="s">
        <v>1165</v>
      </c>
    </row>
    <row r="216" spans="1:10" ht="20.100000000000001" customHeight="1" x14ac:dyDescent="0.2">
      <c r="A216" s="79" t="str">
        <f>HYPERLINK("#A1", "▲ Back to top")</f>
        <v>▲ Back to top</v>
      </c>
      <c r="D216" s="19" t="s">
        <v>1178</v>
      </c>
      <c r="E216" s="19" t="s">
        <v>2108</v>
      </c>
      <c r="F216" s="19" t="s">
        <v>1765</v>
      </c>
      <c r="G216" s="19" t="s">
        <v>748</v>
      </c>
      <c r="H216" s="19">
        <v>3.72</v>
      </c>
      <c r="I216" s="19" t="s">
        <v>2044</v>
      </c>
      <c r="J216" s="19" t="s">
        <v>1165</v>
      </c>
    </row>
    <row r="218" spans="1:10" ht="20.100000000000001" customHeight="1" x14ac:dyDescent="0.2">
      <c r="D218" s="2" t="s">
        <v>1179</v>
      </c>
    </row>
    <row r="219" spans="1:10" ht="20.100000000000001" customHeight="1" x14ac:dyDescent="0.2">
      <c r="D219" s="19" t="s">
        <v>1158</v>
      </c>
      <c r="E219" s="19" t="s">
        <v>132</v>
      </c>
      <c r="F219" s="19" t="s">
        <v>1159</v>
      </c>
      <c r="G219" s="19" t="s">
        <v>1160</v>
      </c>
      <c r="H219" s="19" t="s">
        <v>1161</v>
      </c>
      <c r="I219" s="19" t="s">
        <v>1162</v>
      </c>
      <c r="J219" s="19" t="s">
        <v>559</v>
      </c>
    </row>
    <row r="220" spans="1:10" ht="20.100000000000001" customHeight="1" x14ac:dyDescent="0.2">
      <c r="D220" s="19" t="s">
        <v>1179</v>
      </c>
      <c r="E220" s="19" t="s">
        <v>2109</v>
      </c>
      <c r="F220" s="19" t="s">
        <v>1765</v>
      </c>
      <c r="G220" s="19" t="s">
        <v>2110</v>
      </c>
      <c r="H220" s="19">
        <v>5.2</v>
      </c>
      <c r="I220" s="19" t="s">
        <v>2037</v>
      </c>
      <c r="J220" s="19" t="s">
        <v>1165</v>
      </c>
    </row>
    <row r="221" spans="1:10" ht="20.100000000000001" customHeight="1" x14ac:dyDescent="0.2">
      <c r="D221" s="19" t="s">
        <v>1179</v>
      </c>
      <c r="E221" s="19" t="s">
        <v>2111</v>
      </c>
      <c r="F221" s="19" t="s">
        <v>1765</v>
      </c>
      <c r="G221" s="19" t="s">
        <v>2110</v>
      </c>
      <c r="H221" s="19">
        <v>8.3800000000000008</v>
      </c>
      <c r="I221" s="19" t="s">
        <v>2037</v>
      </c>
      <c r="J221" s="19" t="s">
        <v>1165</v>
      </c>
    </row>
    <row r="222" spans="1:10" ht="20.100000000000001" customHeight="1" x14ac:dyDescent="0.2">
      <c r="D222" s="19" t="s">
        <v>1179</v>
      </c>
      <c r="E222" s="19" t="s">
        <v>2112</v>
      </c>
      <c r="F222" s="19" t="s">
        <v>1765</v>
      </c>
      <c r="G222" s="19" t="s">
        <v>2110</v>
      </c>
      <c r="H222" s="19">
        <v>8.8000000000000007</v>
      </c>
      <c r="I222" s="19" t="s">
        <v>2037</v>
      </c>
      <c r="J222" s="19" t="s">
        <v>1165</v>
      </c>
    </row>
    <row r="223" spans="1:10" ht="20.100000000000001" customHeight="1" x14ac:dyDescent="0.2">
      <c r="D223" s="19" t="s">
        <v>1179</v>
      </c>
      <c r="E223" s="19" t="s">
        <v>2113</v>
      </c>
      <c r="F223" s="19" t="s">
        <v>1765</v>
      </c>
      <c r="G223" s="19" t="s">
        <v>2110</v>
      </c>
      <c r="H223" s="19">
        <v>10.3</v>
      </c>
      <c r="I223" s="19" t="s">
        <v>2037</v>
      </c>
      <c r="J223" s="19" t="s">
        <v>1165</v>
      </c>
    </row>
    <row r="224" spans="1:10" ht="20.100000000000001" customHeight="1" x14ac:dyDescent="0.2">
      <c r="D224" s="19" t="s">
        <v>1179</v>
      </c>
      <c r="E224" s="19" t="s">
        <v>2114</v>
      </c>
      <c r="F224" s="19" t="s">
        <v>1765</v>
      </c>
      <c r="G224" s="19" t="s">
        <v>2110</v>
      </c>
      <c r="H224" s="19">
        <v>4.55</v>
      </c>
      <c r="I224" s="19" t="s">
        <v>2037</v>
      </c>
      <c r="J224" s="19" t="s">
        <v>1165</v>
      </c>
    </row>
    <row r="225" spans="4:10" ht="20.100000000000001" customHeight="1" x14ac:dyDescent="0.2">
      <c r="D225" s="19" t="s">
        <v>1179</v>
      </c>
      <c r="E225" s="19" t="s">
        <v>2115</v>
      </c>
      <c r="F225" s="19" t="s">
        <v>1765</v>
      </c>
      <c r="G225" s="19" t="s">
        <v>2110</v>
      </c>
      <c r="H225" s="19">
        <v>5.6</v>
      </c>
      <c r="I225" s="19" t="s">
        <v>2037</v>
      </c>
      <c r="J225" s="19" t="s">
        <v>1165</v>
      </c>
    </row>
    <row r="226" spans="4:10" ht="20.100000000000001" customHeight="1" x14ac:dyDescent="0.2">
      <c r="D226" s="19" t="s">
        <v>1179</v>
      </c>
      <c r="E226" s="19" t="s">
        <v>2116</v>
      </c>
      <c r="F226" s="19" t="s">
        <v>1765</v>
      </c>
      <c r="G226" s="19" t="s">
        <v>2110</v>
      </c>
      <c r="H226" s="19">
        <v>8.06</v>
      </c>
      <c r="I226" s="19" t="s">
        <v>2037</v>
      </c>
      <c r="J226" s="19" t="s">
        <v>1165</v>
      </c>
    </row>
    <row r="227" spans="4:10" ht="20.100000000000001" customHeight="1" x14ac:dyDescent="0.2">
      <c r="D227" s="19" t="s">
        <v>1179</v>
      </c>
      <c r="E227" s="19" t="s">
        <v>2117</v>
      </c>
      <c r="F227" s="19" t="s">
        <v>1765</v>
      </c>
      <c r="G227" s="19" t="s">
        <v>2110</v>
      </c>
      <c r="H227" s="19">
        <v>8.8000000000000007</v>
      </c>
      <c r="I227" s="19" t="s">
        <v>2037</v>
      </c>
      <c r="J227" s="19" t="s">
        <v>1165</v>
      </c>
    </row>
    <row r="228" spans="4:10" ht="20.100000000000001" customHeight="1" x14ac:dyDescent="0.2">
      <c r="D228" s="19" t="s">
        <v>1179</v>
      </c>
      <c r="E228" s="19" t="s">
        <v>2118</v>
      </c>
      <c r="F228" s="19" t="s">
        <v>1765</v>
      </c>
      <c r="G228" s="19" t="s">
        <v>2110</v>
      </c>
      <c r="H228" s="19">
        <v>9.16</v>
      </c>
      <c r="I228" s="19" t="s">
        <v>2037</v>
      </c>
      <c r="J228" s="19" t="s">
        <v>1165</v>
      </c>
    </row>
    <row r="229" spans="4:10" ht="20.100000000000001" customHeight="1" x14ac:dyDescent="0.2">
      <c r="D229" s="19" t="s">
        <v>1179</v>
      </c>
      <c r="E229" s="19" t="s">
        <v>2119</v>
      </c>
      <c r="F229" s="19" t="s">
        <v>1765</v>
      </c>
      <c r="G229" s="19" t="s">
        <v>2110</v>
      </c>
      <c r="H229" s="19">
        <v>8.57</v>
      </c>
      <c r="I229" s="19" t="s">
        <v>2037</v>
      </c>
      <c r="J229" s="19" t="s">
        <v>1165</v>
      </c>
    </row>
    <row r="230" spans="4:10" ht="20.100000000000001" customHeight="1" x14ac:dyDescent="0.2">
      <c r="D230" s="19" t="s">
        <v>1179</v>
      </c>
      <c r="E230" s="19" t="s">
        <v>2120</v>
      </c>
      <c r="F230" s="19" t="s">
        <v>1765</v>
      </c>
      <c r="G230" s="19" t="s">
        <v>2110</v>
      </c>
      <c r="H230" s="19">
        <v>8.8000000000000007</v>
      </c>
      <c r="I230" s="19" t="s">
        <v>2037</v>
      </c>
      <c r="J230" s="19" t="s">
        <v>1165</v>
      </c>
    </row>
    <row r="231" spans="4:10" ht="20.100000000000001" customHeight="1" x14ac:dyDescent="0.2">
      <c r="D231" s="19" t="s">
        <v>1179</v>
      </c>
      <c r="E231" s="19" t="s">
        <v>2121</v>
      </c>
      <c r="F231" s="19" t="s">
        <v>1765</v>
      </c>
      <c r="G231" s="19" t="s">
        <v>2110</v>
      </c>
      <c r="H231" s="19">
        <v>6.16</v>
      </c>
      <c r="I231" s="19" t="s">
        <v>2037</v>
      </c>
      <c r="J231" s="19" t="s">
        <v>1165</v>
      </c>
    </row>
    <row r="233" spans="4:10" ht="20.100000000000001" customHeight="1" x14ac:dyDescent="0.2">
      <c r="D233" s="2" t="s">
        <v>1180</v>
      </c>
    </row>
    <row r="234" spans="4:10" ht="20.100000000000001" customHeight="1" x14ac:dyDescent="0.2">
      <c r="D234" s="19" t="s">
        <v>1158</v>
      </c>
      <c r="E234" s="19" t="s">
        <v>132</v>
      </c>
      <c r="F234" s="19" t="s">
        <v>1159</v>
      </c>
      <c r="G234" s="19" t="s">
        <v>1160</v>
      </c>
      <c r="H234" s="19" t="s">
        <v>1161</v>
      </c>
      <c r="I234" s="19" t="s">
        <v>1162</v>
      </c>
      <c r="J234" s="19" t="s">
        <v>559</v>
      </c>
    </row>
    <row r="235" spans="4:10" ht="20.100000000000001" customHeight="1" x14ac:dyDescent="0.2">
      <c r="D235" s="19" t="s">
        <v>1180</v>
      </c>
      <c r="E235" s="19" t="s">
        <v>2122</v>
      </c>
      <c r="F235" s="19" t="s">
        <v>986</v>
      </c>
      <c r="G235" s="19" t="s">
        <v>748</v>
      </c>
      <c r="H235" s="19">
        <v>6.5199999999999994E-2</v>
      </c>
      <c r="I235" s="19" t="s">
        <v>2037</v>
      </c>
      <c r="J235" s="19" t="s">
        <v>1165</v>
      </c>
    </row>
    <row r="236" spans="4:10" ht="20.100000000000001" customHeight="1" x14ac:dyDescent="0.2">
      <c r="D236" s="19" t="s">
        <v>1180</v>
      </c>
      <c r="E236" s="19" t="s">
        <v>1779</v>
      </c>
      <c r="F236" s="19" t="s">
        <v>986</v>
      </c>
      <c r="G236" s="19" t="s">
        <v>748</v>
      </c>
      <c r="H236" s="19">
        <v>6.5199999999999994E-2</v>
      </c>
      <c r="I236" s="19" t="s">
        <v>2037</v>
      </c>
      <c r="J236" s="19" t="s">
        <v>1165</v>
      </c>
    </row>
    <row r="237" spans="4:10" ht="20.100000000000001" customHeight="1" x14ac:dyDescent="0.2">
      <c r="D237" s="19" t="s">
        <v>1180</v>
      </c>
      <c r="E237" s="19" t="s">
        <v>2123</v>
      </c>
      <c r="F237" s="19" t="s">
        <v>986</v>
      </c>
      <c r="G237" s="19" t="s">
        <v>748</v>
      </c>
      <c r="H237" s="19">
        <v>4.8500000000000001E-2</v>
      </c>
      <c r="I237" s="19" t="s">
        <v>2037</v>
      </c>
      <c r="J237" s="19" t="s">
        <v>1165</v>
      </c>
    </row>
    <row r="240" spans="4:10" ht="20.100000000000001" customHeight="1" x14ac:dyDescent="0.2">
      <c r="D240" s="2" t="s">
        <v>1181</v>
      </c>
    </row>
    <row r="241" spans="1:18" ht="20.100000000000001" customHeight="1" x14ac:dyDescent="0.2">
      <c r="D241" s="19" t="s">
        <v>1158</v>
      </c>
      <c r="E241" s="19" t="s">
        <v>132</v>
      </c>
      <c r="F241" s="19" t="s">
        <v>1159</v>
      </c>
      <c r="G241" s="19" t="s">
        <v>1160</v>
      </c>
      <c r="H241" s="19" t="s">
        <v>1161</v>
      </c>
      <c r="I241" s="19" t="s">
        <v>1162</v>
      </c>
      <c r="J241" s="19" t="s">
        <v>559</v>
      </c>
      <c r="L241" s="19" t="s">
        <v>132</v>
      </c>
      <c r="M241" s="19" t="s">
        <v>1163</v>
      </c>
      <c r="N241" s="1" t="str">
        <f>"Table_ProductRegions_" &amp; SUBSTITUTE(SUBSTITUTE(SUBSTITUTE(SUBSTITUTE(L242, " ", ""), ",", ""), "(", ""), ")", "")</f>
        <v>Table_ProductRegions_Sardineswhole</v>
      </c>
      <c r="R241" s="1"/>
    </row>
    <row r="242" spans="1:18" ht="20.100000000000001" customHeight="1" x14ac:dyDescent="0.2">
      <c r="D242" s="19" t="s">
        <v>2124</v>
      </c>
      <c r="E242" s="19" t="s">
        <v>2125</v>
      </c>
      <c r="F242" s="19" t="s">
        <v>500</v>
      </c>
      <c r="G242" s="19" t="s">
        <v>748</v>
      </c>
      <c r="H242" s="19">
        <v>0.376</v>
      </c>
      <c r="I242" s="19" t="s">
        <v>2037</v>
      </c>
      <c r="J242" s="19" t="s">
        <v>1165</v>
      </c>
      <c r="L242" s="19" t="str">
        <f>Table_SourceData_Scope3_FishFeedAndBait[[#This Row],[Product]]</f>
        <v>Sardines (whole)</v>
      </c>
      <c r="M242" s="19" t="str">
        <f>Table_SourceData_Scope3_FishFeedAndBait[[#This Row],[Region of origin]]</f>
        <v>SA</v>
      </c>
      <c r="R242" s="1"/>
    </row>
    <row r="243" spans="1:18" ht="20.100000000000001" customHeight="1" x14ac:dyDescent="0.2">
      <c r="D243" s="19" t="s">
        <v>1181</v>
      </c>
      <c r="E243" s="19" t="s">
        <v>2125</v>
      </c>
      <c r="F243" s="19" t="s">
        <v>986</v>
      </c>
      <c r="G243" s="19" t="s">
        <v>748</v>
      </c>
      <c r="H243" s="19">
        <v>0.3</v>
      </c>
      <c r="I243" s="19" t="s">
        <v>2126</v>
      </c>
      <c r="J243" s="19" t="s">
        <v>1182</v>
      </c>
      <c r="L243" s="1" t="str">
        <f>Table_SourceData_Scope3_FishFeedAndBait[[#This Row],[Product]]</f>
        <v>Sardines (whole)</v>
      </c>
      <c r="M243" s="1" t="str">
        <f>Table_SourceData_Scope3_FishFeedAndBait[[#This Row],[Region of origin]]</f>
        <v>Australia</v>
      </c>
      <c r="R243" s="1"/>
    </row>
    <row r="244" spans="1:18" ht="20.100000000000001" customHeight="1" x14ac:dyDescent="0.2">
      <c r="D244" s="19" t="s">
        <v>1181</v>
      </c>
      <c r="E244" s="19" t="s">
        <v>2127</v>
      </c>
      <c r="F244" s="19" t="s">
        <v>986</v>
      </c>
      <c r="G244" s="19" t="s">
        <v>748</v>
      </c>
      <c r="H244" s="19">
        <v>2.2000000000000002</v>
      </c>
      <c r="I244" s="19" t="s">
        <v>2126</v>
      </c>
      <c r="J244" s="19" t="s">
        <v>1182</v>
      </c>
      <c r="R244" s="1"/>
    </row>
    <row r="245" spans="1:18" ht="20.100000000000001" customHeight="1" x14ac:dyDescent="0.2">
      <c r="D245" s="19" t="s">
        <v>1181</v>
      </c>
      <c r="E245" s="19" t="s">
        <v>2128</v>
      </c>
      <c r="F245" s="19" t="s">
        <v>986</v>
      </c>
      <c r="G245" s="19" t="s">
        <v>748</v>
      </c>
      <c r="H245" s="19">
        <v>0.3</v>
      </c>
      <c r="I245" s="19" t="s">
        <v>2126</v>
      </c>
      <c r="J245" s="19" t="s">
        <v>1182</v>
      </c>
      <c r="R245" s="1"/>
    </row>
    <row r="246" spans="1:18" ht="20.100000000000001" customHeight="1" x14ac:dyDescent="0.2">
      <c r="A246" s="79" t="str">
        <f>HYPERLINK("#A1", "▲ Back to top")</f>
        <v>▲ Back to top</v>
      </c>
      <c r="D246" s="19" t="s">
        <v>1181</v>
      </c>
      <c r="E246" s="19" t="s">
        <v>2129</v>
      </c>
      <c r="F246" s="19" t="s">
        <v>986</v>
      </c>
      <c r="G246" s="19" t="s">
        <v>748</v>
      </c>
      <c r="H246" s="19">
        <v>0.3</v>
      </c>
      <c r="I246" s="19" t="s">
        <v>2126</v>
      </c>
      <c r="J246" s="19" t="s">
        <v>1182</v>
      </c>
      <c r="R246" s="1"/>
    </row>
    <row r="247" spans="1:18" ht="20.100000000000001" customHeight="1" x14ac:dyDescent="0.2">
      <c r="D247" s="19" t="s">
        <v>1181</v>
      </c>
      <c r="E247" s="19" t="s">
        <v>2130</v>
      </c>
      <c r="F247" s="19" t="s">
        <v>986</v>
      </c>
      <c r="G247" s="19" t="s">
        <v>748</v>
      </c>
      <c r="H247" s="19">
        <v>0.08</v>
      </c>
      <c r="I247" s="19" t="s">
        <v>2126</v>
      </c>
      <c r="J247" s="19" t="s">
        <v>1182</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7C3FA-8A2D-44F0-9A38-AA2DD059F6E7}">
  <sheetPr>
    <tabColor theme="2" tint="-0.499984740745262"/>
  </sheetPr>
  <dimension ref="A1:AI6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920</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2131</v>
      </c>
    </row>
    <row r="6" spans="1:35" ht="20.100000000000001" customHeight="1" x14ac:dyDescent="0.2">
      <c r="D6" s="17" t="s">
        <v>2132</v>
      </c>
    </row>
    <row r="7" spans="1:35" ht="20.100000000000001" customHeight="1" x14ac:dyDescent="0.2">
      <c r="D7" s="25" t="s">
        <v>1648</v>
      </c>
    </row>
    <row r="8" spans="1:35" ht="20.100000000000001" customHeight="1" x14ac:dyDescent="0.2">
      <c r="A8" s="7" t="s">
        <v>0</v>
      </c>
      <c r="D8" s="25" t="s">
        <v>2133</v>
      </c>
    </row>
    <row r="9" spans="1:35" ht="20.100000000000001" customHeight="1" x14ac:dyDescent="0.2">
      <c r="A9" s="5" t="str">
        <f>HYPERLINK("#'Input - Enterprise'!A1", "Enterprise")</f>
        <v>Enterprise</v>
      </c>
      <c r="D9" s="25" t="s">
        <v>2134</v>
      </c>
    </row>
    <row r="10" spans="1:35" ht="20.100000000000001" customHeight="1" x14ac:dyDescent="0.2">
      <c r="A10" s="5" t="str">
        <f>HYPERLINK("#'Input - Site'!A1", "Site")</f>
        <v>Site</v>
      </c>
      <c r="D10" s="25" t="s">
        <v>2135</v>
      </c>
    </row>
    <row r="11" spans="1:35" ht="20.100000000000001" customHeight="1" x14ac:dyDescent="0.2">
      <c r="A11" s="5" t="str">
        <f>HYPERLINK("#'Input - Feedlot'!A1", "Feedlot")</f>
        <v>Feedlot</v>
      </c>
      <c r="D11" s="25" t="s">
        <v>2136</v>
      </c>
    </row>
    <row r="12" spans="1:35" ht="20.100000000000001" customHeight="1" x14ac:dyDescent="0.2">
      <c r="A12" s="5" t="str">
        <f>HYPERLINK("#'Input - Livestock sales'!A1", "Livestock sales")</f>
        <v>Livestock sales</v>
      </c>
      <c r="D12" s="25" t="s">
        <v>2137</v>
      </c>
    </row>
    <row r="13" spans="1:35" ht="20.100000000000001" customHeight="1" x14ac:dyDescent="0.2">
      <c r="A13" s="5" t="str">
        <f>HYPERLINK("#'Input - Beef cattle purchases'!A1", "Beef cattle purchases")</f>
        <v>Beef cattle purchases</v>
      </c>
      <c r="D13" s="25" t="s">
        <v>2138</v>
      </c>
    </row>
    <row r="14" spans="1:35" ht="20.100000000000001" customHeight="1" x14ac:dyDescent="0.2">
      <c r="A14" s="5" t="str">
        <f>HYPERLINK("#'Input - Fuel'!A1", "Fuel")</f>
        <v>Fuel</v>
      </c>
      <c r="D14" s="1" t="s">
        <v>927</v>
      </c>
    </row>
    <row r="15" spans="1:35" ht="20.100000000000001" customHeight="1" x14ac:dyDescent="0.2">
      <c r="A15" s="5" t="str">
        <f>HYPERLINK("#'Input - Electricity'!A1", "Electricity")</f>
        <v>Electricity</v>
      </c>
      <c r="D15" s="9" t="s">
        <v>2139</v>
      </c>
      <c r="I15" s="1" t="s">
        <v>921</v>
      </c>
      <c r="K15" s="1" t="s">
        <v>922</v>
      </c>
      <c r="M15" s="1" t="s">
        <v>923</v>
      </c>
      <c r="O15" s="1" t="s">
        <v>924</v>
      </c>
    </row>
    <row r="16" spans="1:35" ht="20.100000000000001" customHeight="1" x14ac:dyDescent="0.2">
      <c r="A16" s="5" t="str">
        <f>HYPERLINK("#'Input - Common farm inputs'!A1", "Common farm inputs")</f>
        <v>Common farm inputs</v>
      </c>
      <c r="D16" s="19" t="s">
        <v>925</v>
      </c>
      <c r="E16" s="19" t="s">
        <v>926</v>
      </c>
      <c r="F16" s="19" t="s">
        <v>927</v>
      </c>
      <c r="G16" s="19" t="s">
        <v>928</v>
      </c>
      <c r="I16" s="19" t="s">
        <v>926</v>
      </c>
      <c r="K16" s="135" t="s">
        <v>926</v>
      </c>
      <c r="M16" s="135" t="s">
        <v>926</v>
      </c>
      <c r="O16" s="135" t="s">
        <v>926</v>
      </c>
    </row>
    <row r="17" spans="1:15" ht="20.100000000000001" customHeight="1" x14ac:dyDescent="0.2">
      <c r="A17" s="5" t="str">
        <f>HYPERLINK("#'Input - Livestock farm Inputs'!A1", "Livestock farm Inputs")</f>
        <v>Livestock farm Inputs</v>
      </c>
      <c r="D17" s="19" t="s">
        <v>881</v>
      </c>
      <c r="E17" s="19" t="s">
        <v>878</v>
      </c>
      <c r="F17" s="19">
        <v>2.1</v>
      </c>
      <c r="G17" s="19" t="s">
        <v>2140</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
        <v>881</v>
      </c>
      <c r="E18" s="19" t="s">
        <v>872</v>
      </c>
      <c r="F18" s="19">
        <v>3.3</v>
      </c>
      <c r="G18" s="19" t="s">
        <v>2140</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
        <v>881</v>
      </c>
      <c r="E19" s="19" t="s">
        <v>890</v>
      </c>
      <c r="F19" s="19">
        <v>1.6</v>
      </c>
      <c r="G19" s="19" t="s">
        <v>2140</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
        <v>881</v>
      </c>
      <c r="E20" s="19" t="s">
        <v>2141</v>
      </c>
      <c r="F20" s="19">
        <v>0.7</v>
      </c>
      <c r="G20" s="19" t="s">
        <v>2140</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
        <v>881</v>
      </c>
      <c r="E21" s="19" t="s">
        <v>2142</v>
      </c>
      <c r="F21" s="19">
        <v>2</v>
      </c>
      <c r="G21" s="19" t="s">
        <v>2140</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
        <v>881</v>
      </c>
      <c r="E22" s="19" t="s">
        <v>2143</v>
      </c>
      <c r="F22" s="19">
        <v>0.4</v>
      </c>
      <c r="G22" s="19" t="s">
        <v>2140</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
        <v>881</v>
      </c>
      <c r="E23" s="19" t="s">
        <v>2144</v>
      </c>
      <c r="F23" s="19">
        <v>3.3</v>
      </c>
      <c r="G23" s="19" t="s">
        <v>2140</v>
      </c>
      <c r="I23" s="19" t="str">
        <f>Table_SourceData_WasteSolid_WasteTreatmentEFs[[#This Row],[Waste type w]]</f>
        <v>Rubber and leather</v>
      </c>
      <c r="K23" s="1" t="str">
        <f t="shared" si="0"/>
        <v>Rubber and leather</v>
      </c>
    </row>
    <row r="24" spans="1:15" ht="20.100000000000001" customHeight="1" x14ac:dyDescent="0.2">
      <c r="D24" s="1" t="s">
        <v>881</v>
      </c>
      <c r="E24" s="19" t="s">
        <v>2145</v>
      </c>
      <c r="F24" s="19">
        <v>0</v>
      </c>
      <c r="G24" s="19" t="s">
        <v>2140</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
        <v>881</v>
      </c>
      <c r="E25" s="19" t="s">
        <v>2146</v>
      </c>
      <c r="F25" s="19">
        <v>1.6</v>
      </c>
      <c r="G25" s="19" t="s">
        <v>2140</v>
      </c>
      <c r="I25" s="19" t="str">
        <f>Table_SourceData_WasteSolid_WasteTreatmentEFs[[#This Row],[Waste type w]]</f>
        <v>Municipal solid waste</v>
      </c>
      <c r="K25" s="1" t="str">
        <f t="shared" si="0"/>
        <v>Municipal solid waste</v>
      </c>
    </row>
    <row r="26" spans="1:15" ht="20.100000000000001" customHeight="1" x14ac:dyDescent="0.2">
      <c r="A26" s="6" t="s">
        <v>2</v>
      </c>
      <c r="D26" s="1" t="s">
        <v>881</v>
      </c>
      <c r="E26" s="19" t="s">
        <v>2147</v>
      </c>
      <c r="F26" s="19">
        <v>1.3</v>
      </c>
      <c r="G26" s="19" t="s">
        <v>2140</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HYPERLINK("#'3.1.1.1-2 Enteric Methane'!A1", "3.1.1.1-2 Enteric Methane")</f>
        <v>3.1.1.1-2 Enteric Methane</v>
      </c>
      <c r="D27" s="1" t="s">
        <v>881</v>
      </c>
      <c r="E27" s="19" t="s">
        <v>2148</v>
      </c>
      <c r="F27" s="19">
        <v>0.2</v>
      </c>
      <c r="G27" s="19" t="s">
        <v>2140</v>
      </c>
      <c r="I27" s="19" t="str">
        <f>Table_SourceData_WasteSolid_WasteTreatmentEFs[[#This Row],[Waste type w]]</f>
        <v>Construction and demolition waste</v>
      </c>
    </row>
    <row r="28" spans="1:15" ht="20.100000000000001" customHeight="1" x14ac:dyDescent="0.2">
      <c r="A28" s="5" t="str">
        <f>HYPERLINK("#'4.1.1.1-2 Methane'!A1", "4.1.1.1-2 Manure Methane")</f>
        <v>4.1.1.1-2 Manure Methane</v>
      </c>
      <c r="D28" s="1" t="s">
        <v>895</v>
      </c>
      <c r="E28" s="19" t="s">
        <v>2149</v>
      </c>
      <c r="F28" s="19">
        <v>0</v>
      </c>
      <c r="G28" s="19"/>
    </row>
    <row r="29" spans="1:15" ht="20.100000000000001" customHeight="1" x14ac:dyDescent="0.2">
      <c r="A29" s="5" t="str">
        <f>HYPERLINK("#'4.1.1.3-4 Direct N20'!A1", "4.1.1.3-4 Manure Direct N2O")</f>
        <v>4.1.1.3-4 Manure Direct N2O</v>
      </c>
      <c r="D29" s="1" t="s">
        <v>895</v>
      </c>
      <c r="E29" s="19" t="s">
        <v>878</v>
      </c>
      <c r="F29" s="19">
        <v>0</v>
      </c>
      <c r="G29" s="19"/>
    </row>
    <row r="30" spans="1:15" ht="20.100000000000001" customHeight="1" x14ac:dyDescent="0.2">
      <c r="A30" s="5" t="str">
        <f>HYPERLINK("#'4.1.1.5-6 Atmos Deposition'!A1", "4.1.1.5-6 Manure Atmos Dep")</f>
        <v>4.1.1.5-6 Manure Atmos Dep</v>
      </c>
      <c r="D30" s="1" t="s">
        <v>895</v>
      </c>
      <c r="E30" s="19" t="s">
        <v>890</v>
      </c>
      <c r="F30" s="19">
        <v>0</v>
      </c>
      <c r="G30" s="19"/>
    </row>
    <row r="31" spans="1:15" ht="20.100000000000001" customHeight="1" x14ac:dyDescent="0.2">
      <c r="A31" s="5" t="str">
        <f>HYPERLINK("#'4.1.1.9 Manure applied to soils'!A1", "4.1.1.9 Manure applied to soils")</f>
        <v>4.1.1.9 Manure applied to soils</v>
      </c>
      <c r="D31" s="1" t="s">
        <v>895</v>
      </c>
      <c r="E31" s="19" t="s">
        <v>2141</v>
      </c>
      <c r="F31" s="19">
        <v>0</v>
      </c>
      <c r="G31" s="19"/>
    </row>
    <row r="32" spans="1:15" ht="20.100000000000001" customHeight="1" x14ac:dyDescent="0.2">
      <c r="A32" s="5" t="str">
        <f>HYPERLINK("#'8.1.1.1-2 Transport fuel'!A1", "8.1.1.1-2 Transport fuel")</f>
        <v>8.1.1.1-2 Transport fuel</v>
      </c>
      <c r="D32" s="1" t="s">
        <v>895</v>
      </c>
      <c r="E32" s="19" t="s">
        <v>2143</v>
      </c>
      <c r="F32" s="19">
        <v>0</v>
      </c>
      <c r="G32" s="19"/>
    </row>
    <row r="33" spans="1:7" ht="20.100000000000001" customHeight="1" x14ac:dyDescent="0.2">
      <c r="A33" s="5" t="str">
        <f>HYPERLINK("#'8.2.1.1-2 Stationary fuel'!A1", "8.2.1.1-2 Stationary fuel")</f>
        <v>8.2.1.1-2 Stationary fuel</v>
      </c>
      <c r="D33" s="1" t="s">
        <v>895</v>
      </c>
      <c r="E33" s="19" t="s">
        <v>872</v>
      </c>
      <c r="F33" s="19">
        <v>1.6899999999999998E-2</v>
      </c>
      <c r="G33" s="19"/>
    </row>
    <row r="34" spans="1:7" ht="20.100000000000001" customHeight="1" x14ac:dyDescent="0.2">
      <c r="A34" s="5" t="str">
        <f>HYPERLINK("#'10.1.1-2 Solid waste treatment'!A1", "10.1.1.1-2 Solid waste")</f>
        <v>10.1.1.1-2 Solid waste</v>
      </c>
      <c r="D34" s="1" t="s">
        <v>895</v>
      </c>
      <c r="E34" s="19" t="s">
        <v>2142</v>
      </c>
      <c r="F34" s="19">
        <v>0.36670000000000003</v>
      </c>
      <c r="G34" s="19"/>
    </row>
    <row r="35" spans="1:7" ht="20.100000000000001" customHeight="1" x14ac:dyDescent="0.2">
      <c r="A35" s="5" t="str">
        <f>HYPERLINK("#'14.1.1-2 Purchased electricity'!A1", "14.1.1-2 Purchased electricity")</f>
        <v>14.1.1-2 Purchased electricity</v>
      </c>
      <c r="D35" s="1" t="s">
        <v>895</v>
      </c>
      <c r="E35" s="19" t="s">
        <v>2144</v>
      </c>
      <c r="F35" s="19">
        <v>0.4919</v>
      </c>
      <c r="G35" s="19"/>
    </row>
    <row r="36" spans="1:7" ht="20.100000000000001" customHeight="1" x14ac:dyDescent="0.2">
      <c r="A36" s="5" t="str">
        <f>HYPERLINK("#'15 Scope 3'!A1", "15 Scope 3")</f>
        <v>15 Scope 3</v>
      </c>
      <c r="D36" s="1" t="s">
        <v>895</v>
      </c>
      <c r="E36" s="19" t="s">
        <v>2145</v>
      </c>
      <c r="F36" s="19">
        <v>0.11</v>
      </c>
      <c r="G36" s="19"/>
    </row>
    <row r="37" spans="1:7" ht="20.100000000000001" customHeight="1" x14ac:dyDescent="0.2">
      <c r="A37" s="5" t="str">
        <f>HYPERLINK("#'Calcs - Manure sent off-site'!A1", "Calcs - Manure sent off-site")</f>
        <v>Calcs - Manure sent off-site</v>
      </c>
      <c r="D37" s="1" t="s">
        <v>895</v>
      </c>
      <c r="E37" s="19" t="s">
        <v>2146</v>
      </c>
      <c r="F37" s="19">
        <v>5.3699999999999998E-2</v>
      </c>
      <c r="G37" s="235" t="s">
        <v>2150</v>
      </c>
    </row>
    <row r="38" spans="1:7" ht="20.100000000000001" customHeight="1" x14ac:dyDescent="0.2">
      <c r="A38" s="5" t="str">
        <f>HYPERLINK("#'5.1.1.1-2 Inorganic fert N2O'!A1", "5.1.1.1-2 Inorganic fert N2O")</f>
        <v>5.1.1.1-2 Inorganic fert N2O</v>
      </c>
      <c r="D38" s="1" t="s">
        <v>895</v>
      </c>
      <c r="E38" s="19" t="s">
        <v>2147</v>
      </c>
      <c r="F38" s="19">
        <v>1.649</v>
      </c>
      <c r="G38" s="235" t="s">
        <v>2150</v>
      </c>
    </row>
    <row r="39" spans="1:7" ht="20.100000000000001" customHeight="1" x14ac:dyDescent="0.2">
      <c r="A39" s="5" t="str">
        <f>HYPERLINK("#'5.1.1.3-4 Inorganic fert CO2'!A1", "5.1.1.3-4 Inorganic fert CO2")</f>
        <v>5.1.1.3-4 Inorganic fert CO2</v>
      </c>
      <c r="D39" s="1" t="s">
        <v>871</v>
      </c>
      <c r="E39" s="19" t="s">
        <v>2151</v>
      </c>
      <c r="F39" s="19">
        <v>4.5999999999999999E-2</v>
      </c>
      <c r="G39" s="235" t="s">
        <v>2152</v>
      </c>
    </row>
    <row r="40" spans="1:7" ht="20.100000000000001" customHeight="1" x14ac:dyDescent="0.2">
      <c r="A40" s="5" t="str">
        <f>HYPERLINK("#'5.2.1.1-2 Organic Fert N2O'!A1", "5.2.1.1-2 Organic Fert N2O")</f>
        <v>5.2.1.1-2 Organic Fert N2O</v>
      </c>
      <c r="D40" s="1" t="s">
        <v>871</v>
      </c>
      <c r="E40" s="19" t="s">
        <v>878</v>
      </c>
      <c r="F40" s="19">
        <v>4.5999999999999999E-2</v>
      </c>
      <c r="G40" s="235"/>
    </row>
    <row r="41" spans="1:7" ht="20.100000000000001" customHeight="1" x14ac:dyDescent="0.2">
      <c r="A41" s="5" t="str">
        <f>HYPERLINK("#'5.3.1.1-2 Lime CO2'!A1", "5.3.1.1-2 Lime CO2")</f>
        <v>5.3.1.1-2 Lime CO2</v>
      </c>
      <c r="D41" s="1" t="s">
        <v>871</v>
      </c>
      <c r="E41" s="19" t="s">
        <v>890</v>
      </c>
      <c r="F41" s="19">
        <v>4.5999999999999999E-2</v>
      </c>
      <c r="G41" s="235"/>
    </row>
    <row r="42" spans="1:7" ht="20.100000000000001" customHeight="1" x14ac:dyDescent="0.2">
      <c r="A42" s="5" t="str">
        <f>HYPERLINK("#'5.4.1.1-4 Atmos deposition'!A1", "5.4.1.1-4 Atmos deposition")</f>
        <v>5.4.1.1-4 Atmos deposition</v>
      </c>
      <c r="D42" s="1" t="s">
        <v>871</v>
      </c>
      <c r="E42" s="19" t="s">
        <v>2141</v>
      </c>
      <c r="F42" s="19">
        <v>4.5999999999999999E-2</v>
      </c>
      <c r="G42" s="235"/>
    </row>
    <row r="43" spans="1:7" ht="20.100000000000001" customHeight="1" x14ac:dyDescent="0.2">
      <c r="A43" s="5" t="str">
        <f>HYPERLINK("#'5.5.1.1-2 Leaching and runoff'!A1", "5.5.1.1-2 Leaching and runoff")</f>
        <v>5.5.1.1-2 Leaching and runoff</v>
      </c>
      <c r="D43" s="1" t="s">
        <v>871</v>
      </c>
      <c r="E43" s="19" t="s">
        <v>2143</v>
      </c>
      <c r="F43" s="19">
        <v>4.5999999999999999E-2</v>
      </c>
      <c r="G43" s="235"/>
    </row>
    <row r="44" spans="1:7" ht="20.100000000000001" customHeight="1" x14ac:dyDescent="0.2">
      <c r="D44" s="1" t="s">
        <v>871</v>
      </c>
      <c r="E44" s="19" t="s">
        <v>872</v>
      </c>
      <c r="F44" s="19">
        <v>4.5999999999999999E-2</v>
      </c>
      <c r="G44" s="235"/>
    </row>
    <row r="45" spans="1:7" ht="20.100000000000001" customHeight="1" x14ac:dyDescent="0.2">
      <c r="D45" s="1" t="s">
        <v>2153</v>
      </c>
      <c r="E45" s="19" t="s">
        <v>2151</v>
      </c>
      <c r="F45" s="19">
        <v>2.8000000000000001E-2</v>
      </c>
      <c r="G45" s="235" t="s">
        <v>2152</v>
      </c>
    </row>
    <row r="46" spans="1:7" ht="20.100000000000001" customHeight="1" x14ac:dyDescent="0.2">
      <c r="A46" s="80" t="s">
        <v>1</v>
      </c>
      <c r="D46" s="1" t="s">
        <v>2153</v>
      </c>
      <c r="E46" s="19" t="s">
        <v>878</v>
      </c>
      <c r="F46" s="19">
        <v>2.8000000000000001E-2</v>
      </c>
      <c r="G46" s="235"/>
    </row>
    <row r="47" spans="1:7" ht="20.100000000000001" customHeight="1" x14ac:dyDescent="0.2">
      <c r="A47" s="5" t="str">
        <f>HYPERLINK("#'Constants - Feedlot'!A1", "Constants - Feedlot")</f>
        <v>Constants - Feedlot</v>
      </c>
      <c r="D47" s="1" t="s">
        <v>2153</v>
      </c>
      <c r="E47" s="19" t="s">
        <v>890</v>
      </c>
      <c r="F47" s="19">
        <v>2.8000000000000001E-2</v>
      </c>
      <c r="G47" s="235"/>
    </row>
    <row r="48" spans="1:7" ht="20.100000000000001" customHeight="1" x14ac:dyDescent="0.2">
      <c r="A48" s="5" t="str">
        <f>HYPERLINK("#'Constants - Common livestock'!A1", "Constants - Common Livestock")</f>
        <v>Constants - Common Livestock</v>
      </c>
      <c r="D48" s="1" t="s">
        <v>2153</v>
      </c>
      <c r="E48" s="19" t="s">
        <v>2141</v>
      </c>
      <c r="F48" s="19">
        <v>2.8000000000000001E-2</v>
      </c>
      <c r="G48" s="235"/>
    </row>
    <row r="49" spans="1:7" ht="20.100000000000001" customHeight="1" x14ac:dyDescent="0.2">
      <c r="A49" s="5" t="str">
        <f>HYPERLINK("#'Constants - Electricity'!A1", "Constants - Electricity")</f>
        <v>Constants - Electricity</v>
      </c>
      <c r="D49" s="1" t="s">
        <v>2153</v>
      </c>
      <c r="E49" s="19" t="s">
        <v>2143</v>
      </c>
      <c r="F49" s="19">
        <v>2.8000000000000001E-2</v>
      </c>
      <c r="G49" s="235"/>
    </row>
    <row r="50" spans="1:7" ht="20.100000000000001" customHeight="1" x14ac:dyDescent="0.2">
      <c r="A50" s="5" t="str">
        <f>HYPERLINK("#'Constants - Fertiliser'!A1", "Constants - Fertiliser")</f>
        <v>Constants - Fertiliser</v>
      </c>
      <c r="D50" s="1" t="s">
        <v>2153</v>
      </c>
      <c r="E50" s="19" t="s">
        <v>872</v>
      </c>
      <c r="F50" s="19">
        <v>2.8000000000000001E-2</v>
      </c>
      <c r="G50" s="235"/>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2" t="s">
        <v>2154</v>
      </c>
    </row>
    <row r="53" spans="1:7" ht="20.100000000000001" customHeight="1" x14ac:dyDescent="0.2">
      <c r="A53" s="81" t="str">
        <f>HYPERLINK("#'Constants - Solid Waste'!A1", "Constants - Solid Waste")</f>
        <v>Constants - Solid Waste</v>
      </c>
      <c r="D53" s="17" t="s">
        <v>2155</v>
      </c>
    </row>
    <row r="54" spans="1:7" ht="20.100000000000001" customHeight="1" x14ac:dyDescent="0.2">
      <c r="A54" s="5" t="str">
        <f>HYPERLINK("#'Constants - Common'!A1", "Constants - Common")</f>
        <v>Constants - Common</v>
      </c>
      <c r="D54" s="25" t="s">
        <v>2156</v>
      </c>
    </row>
    <row r="55" spans="1:7" ht="20.100000000000001" customHeight="1" x14ac:dyDescent="0.2">
      <c r="A55" s="5" t="str">
        <f>HYPERLINK("#'Acknowledgements'!A1", "Acknowledgements")</f>
        <v>Acknowledgements</v>
      </c>
      <c r="D55" s="1" t="s">
        <v>929</v>
      </c>
    </row>
    <row r="56" spans="1:7" ht="20.100000000000001" customHeight="1" x14ac:dyDescent="0.2">
      <c r="D56" s="9" t="s">
        <v>1407</v>
      </c>
    </row>
    <row r="57" spans="1:7" ht="20.100000000000001" customHeight="1" x14ac:dyDescent="0.2">
      <c r="D57" s="19" t="s">
        <v>926</v>
      </c>
      <c r="E57" s="19" t="s">
        <v>929</v>
      </c>
    </row>
    <row r="58" spans="1:7" ht="20.100000000000001" customHeight="1" x14ac:dyDescent="0.2">
      <c r="D58" s="19" t="s">
        <v>878</v>
      </c>
      <c r="E58" s="19">
        <v>0.5</v>
      </c>
    </row>
    <row r="59" spans="1:7" ht="20.100000000000001" customHeight="1" x14ac:dyDescent="0.2">
      <c r="D59" s="1" t="s">
        <v>872</v>
      </c>
      <c r="E59" s="19">
        <v>0.09</v>
      </c>
    </row>
    <row r="60" spans="1:7" ht="20.100000000000001" customHeight="1" x14ac:dyDescent="0.2">
      <c r="D60" s="1" t="s">
        <v>890</v>
      </c>
      <c r="E60" s="19">
        <v>0.24</v>
      </c>
    </row>
    <row r="61" spans="1:7" ht="20.100000000000001" customHeight="1" x14ac:dyDescent="0.2">
      <c r="D61" s="1" t="s">
        <v>2141</v>
      </c>
      <c r="E61" s="19">
        <v>0.15</v>
      </c>
    </row>
    <row r="62" spans="1:7" ht="20.100000000000001" customHeight="1" x14ac:dyDescent="0.2">
      <c r="D62" s="1" t="s">
        <v>2142</v>
      </c>
      <c r="E62" s="19">
        <v>0.14000000000000001</v>
      </c>
    </row>
    <row r="63" spans="1:7" ht="20.100000000000001" customHeight="1" x14ac:dyDescent="0.2">
      <c r="D63" s="1" t="s">
        <v>2143</v>
      </c>
      <c r="E63" s="19">
        <v>0.72</v>
      </c>
    </row>
    <row r="64" spans="1:7" ht="20.100000000000001" customHeight="1" x14ac:dyDescent="0.2">
      <c r="D64" s="1" t="s">
        <v>2144</v>
      </c>
      <c r="E64" s="19">
        <v>0.14000000000000001</v>
      </c>
    </row>
    <row r="65" spans="1:5" ht="20.100000000000001" customHeight="1" x14ac:dyDescent="0.2">
      <c r="D65" s="1" t="s">
        <v>2145</v>
      </c>
      <c r="E65" s="19">
        <v>0.42</v>
      </c>
    </row>
    <row r="66" spans="1:5" ht="20.100000000000001" customHeight="1" x14ac:dyDescent="0.2">
      <c r="A66" s="79" t="str">
        <f>HYPERLINK("#A1", "▲ Back to top")</f>
        <v>▲ Back to top</v>
      </c>
      <c r="D66" s="1" t="s">
        <v>2146</v>
      </c>
      <c r="E66" s="19">
        <v>0.36</v>
      </c>
    </row>
    <row r="67" spans="1:5" ht="20.100000000000001" customHeight="1" x14ac:dyDescent="0.2">
      <c r="D67" s="1" t="s">
        <v>2147</v>
      </c>
      <c r="E67" s="19">
        <v>0.33</v>
      </c>
    </row>
    <row r="68" spans="1:5" ht="20.100000000000001" customHeight="1" x14ac:dyDescent="0.2">
      <c r="D68" s="1" t="s">
        <v>2148</v>
      </c>
      <c r="E68" s="19">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54" sqref="A54"/>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
        <v>2157</v>
      </c>
      <c r="BM5" s="24"/>
    </row>
    <row r="6" spans="1:65" ht="20.100000000000001" customHeight="1" x14ac:dyDescent="0.2">
      <c r="A6"/>
      <c r="D6" s="19" t="s">
        <v>21</v>
      </c>
      <c r="E6" s="19" t="s">
        <v>22</v>
      </c>
      <c r="F6" s="19" t="s">
        <v>23</v>
      </c>
    </row>
    <row r="7" spans="1:65" ht="20.100000000000001" customHeight="1" x14ac:dyDescent="0.2">
      <c r="A7"/>
      <c r="D7" s="19" t="s">
        <v>1708</v>
      </c>
      <c r="E7" s="19" t="s">
        <v>1708</v>
      </c>
      <c r="F7" s="19" t="s">
        <v>496</v>
      </c>
    </row>
    <row r="8" spans="1:65" ht="20.100000000000001" customHeight="1" x14ac:dyDescent="0.2">
      <c r="A8" s="7" t="s">
        <v>0</v>
      </c>
      <c r="D8" s="19" t="s">
        <v>2158</v>
      </c>
      <c r="E8" s="19" t="s">
        <v>497</v>
      </c>
      <c r="F8" s="19" t="s">
        <v>497</v>
      </c>
    </row>
    <row r="9" spans="1:65" ht="20.100000000000001" customHeight="1" x14ac:dyDescent="0.2">
      <c r="A9" s="5" t="str">
        <f>HYPERLINK("#'Input - Enterprise'!A1", "Enterprise")</f>
        <v>Enterprise</v>
      </c>
      <c r="D9" s="19" t="s">
        <v>1709</v>
      </c>
      <c r="E9" s="19" t="s">
        <v>1709</v>
      </c>
      <c r="F9" s="19" t="s">
        <v>501</v>
      </c>
    </row>
    <row r="10" spans="1:65" ht="20.100000000000001" customHeight="1" x14ac:dyDescent="0.2">
      <c r="A10" s="5" t="str">
        <f>HYPERLINK("#'Input - Site'!A1", "Site")</f>
        <v>Site</v>
      </c>
      <c r="D10" s="19" t="s">
        <v>1710</v>
      </c>
      <c r="E10" s="19" t="s">
        <v>1710</v>
      </c>
      <c r="F10" s="19" t="s">
        <v>498</v>
      </c>
    </row>
    <row r="11" spans="1:65" ht="20.100000000000001" customHeight="1" x14ac:dyDescent="0.2">
      <c r="A11" s="5" t="str">
        <f>HYPERLINK("#'Input - Feedlot'!A1", "Feedlot")</f>
        <v>Feedlot</v>
      </c>
      <c r="D11" s="19" t="s">
        <v>1711</v>
      </c>
      <c r="E11" s="19" t="s">
        <v>1711</v>
      </c>
      <c r="F11" s="19" t="s">
        <v>500</v>
      </c>
      <c r="BM11" s="24"/>
    </row>
    <row r="12" spans="1:65" ht="20.100000000000001" customHeight="1" x14ac:dyDescent="0.2">
      <c r="A12" s="5" t="str">
        <f>HYPERLINK("#'Input - Livestock sales'!A1", "Livestock sales")</f>
        <v>Livestock sales</v>
      </c>
      <c r="D12" s="19" t="s">
        <v>99</v>
      </c>
      <c r="E12" s="19" t="s">
        <v>99</v>
      </c>
      <c r="F12" s="19" t="s">
        <v>502</v>
      </c>
      <c r="BM12" s="24"/>
    </row>
    <row r="13" spans="1:65" ht="20.100000000000001" customHeight="1" x14ac:dyDescent="0.2">
      <c r="A13" s="5" t="str">
        <f>HYPERLINK("#'Input - Beef cattle purchases'!A1", "Beef cattle purchases")</f>
        <v>Beef cattle purchases</v>
      </c>
      <c r="D13" s="19" t="s">
        <v>1713</v>
      </c>
      <c r="E13" s="19" t="s">
        <v>1713</v>
      </c>
      <c r="F13" s="19" t="s">
        <v>503</v>
      </c>
    </row>
    <row r="14" spans="1:65" ht="20.100000000000001" customHeight="1" x14ac:dyDescent="0.2">
      <c r="A14" s="5" t="str">
        <f>HYPERLINK("#'Input - Fuel'!A1", "Fuel")</f>
        <v>Fuel</v>
      </c>
      <c r="D14" s="19" t="s">
        <v>2035</v>
      </c>
      <c r="E14" s="19" t="s">
        <v>2035</v>
      </c>
      <c r="F14" s="19" t="s">
        <v>499</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
        <v>2159</v>
      </c>
    </row>
    <row r="19" spans="1:4" ht="20.100000000000001" customHeight="1" x14ac:dyDescent="0.2">
      <c r="A19" s="5" t="str">
        <f>HYPERLINK("#'Input - Solid waste'!A1", "Solid waste")</f>
        <v>Solid waste</v>
      </c>
      <c r="D19" s="17" t="s">
        <v>2160</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
        <v>2161</v>
      </c>
    </row>
    <row r="22" spans="1:4" ht="20.100000000000001" customHeight="1" x14ac:dyDescent="0.2">
      <c r="A22" s="5" t="str">
        <f>HYPERLINK("#'Input - Fert Prod System'!A1", "Fert Prod System")</f>
        <v>Fert Prod System</v>
      </c>
      <c r="D22" s="19" t="s">
        <v>2162</v>
      </c>
    </row>
    <row r="23" spans="1:4" ht="20.100000000000001" customHeight="1" x14ac:dyDescent="0.2">
      <c r="A23" s="5" t="str">
        <f>HYPERLINK("#'Input - Fertiliser'!A1", "Fertiliser")</f>
        <v>Fertiliser</v>
      </c>
      <c r="D23" s="19" t="s">
        <v>2163</v>
      </c>
    </row>
    <row r="24" spans="1:4" ht="20.100000000000001" customHeight="1" x14ac:dyDescent="0.2">
      <c r="A24"/>
      <c r="D24" s="19" t="s">
        <v>2164</v>
      </c>
    </row>
    <row r="25" spans="1:4" ht="20.100000000000001" customHeight="1" x14ac:dyDescent="0.2">
      <c r="A25"/>
      <c r="D25" s="19" t="s">
        <v>2165</v>
      </c>
    </row>
    <row r="26" spans="1:4" ht="20.100000000000001" customHeight="1" x14ac:dyDescent="0.2">
      <c r="A26" s="6" t="s">
        <v>2</v>
      </c>
      <c r="D26" s="19" t="s">
        <v>2166</v>
      </c>
    </row>
    <row r="27" spans="1:4" ht="20.100000000000001" customHeight="1" x14ac:dyDescent="0.2">
      <c r="A27" s="5" t="str">
        <f>HYPERLINK("#'3.1.1.1-2 Enteric Methane'!A1", "3.1.1.1-2 Enteric Methane")</f>
        <v>3.1.1.1-2 Enteric Methane</v>
      </c>
      <c r="D27" s="19" t="s">
        <v>2167</v>
      </c>
    </row>
    <row r="28" spans="1:4" ht="20.100000000000001" customHeight="1" x14ac:dyDescent="0.2">
      <c r="A28" s="5" t="str">
        <f>HYPERLINK("#'4.1.1.1-2 Methane'!A1", "4.1.1.1-2 Manure Methane")</f>
        <v>4.1.1.1-2 Manure Methane</v>
      </c>
      <c r="D28" s="19" t="s">
        <v>2168</v>
      </c>
    </row>
    <row r="29" spans="1:4" ht="20.100000000000001" customHeight="1" x14ac:dyDescent="0.2">
      <c r="A29" s="5" t="str">
        <f>HYPERLINK("#'4.1.1.3-4 Direct N20'!A1", "4.1.1.3-4 Manure Direct N2O")</f>
        <v>4.1.1.3-4 Manure Direct N2O</v>
      </c>
      <c r="D29" s="19" t="s">
        <v>2169</v>
      </c>
    </row>
    <row r="30" spans="1:4" ht="20.100000000000001" customHeight="1" x14ac:dyDescent="0.2">
      <c r="A30" s="5" t="str">
        <f>HYPERLINK("#'4.1.1.5-6 Atmos Deposition'!A1", "4.1.1.5-6 Manure Atmos Dep")</f>
        <v>4.1.1.5-6 Manure Atmos Dep</v>
      </c>
      <c r="D30" s="19" t="s">
        <v>102</v>
      </c>
    </row>
    <row r="31" spans="1:4" ht="20.100000000000001" customHeight="1" x14ac:dyDescent="0.2">
      <c r="A31" s="5" t="str">
        <f>HYPERLINK("#'4.1.1.9 Manure applied to soils'!A1", "4.1.1.9 Manure applied to soils")</f>
        <v>4.1.1.9 Manure applied to soils</v>
      </c>
    </row>
    <row r="32" spans="1:4" ht="20.100000000000001" customHeight="1" x14ac:dyDescent="0.2">
      <c r="A32" s="5" t="str">
        <f>HYPERLINK("#'8.1.1.1-2 Transport fuel'!A1", "8.1.1.1-2 Transport fuel")</f>
        <v>8.1.1.1-2 Transport fuel</v>
      </c>
    </row>
    <row r="33" spans="1:8" ht="20.100000000000001" customHeight="1" x14ac:dyDescent="0.2">
      <c r="A33" s="5" t="str">
        <f>HYPERLINK("#'8.2.1.1-2 Stationary fuel'!A1", "8.2.1.1-2 Stationary fuel")</f>
        <v>8.2.1.1-2 Stationary fuel</v>
      </c>
    </row>
    <row r="34" spans="1:8" ht="20.100000000000001" customHeight="1" x14ac:dyDescent="0.2">
      <c r="A34" s="5" t="str">
        <f>HYPERLINK("#'10.1.1-2 Solid waste treatment'!A1", "10.1.1.1-2 Solid waste")</f>
        <v>10.1.1.1-2 Solid waste</v>
      </c>
      <c r="D34" s="2" t="s">
        <v>2170</v>
      </c>
    </row>
    <row r="35" spans="1:8" ht="20.100000000000001" customHeight="1" x14ac:dyDescent="0.2">
      <c r="A35" s="5" t="str">
        <f>HYPERLINK("#'14.1.1-2 Purchased electricity'!A1", "14.1.1-2 Purchased electricity")</f>
        <v>14.1.1-2 Purchased electricity</v>
      </c>
      <c r="D35" s="17" t="s">
        <v>2171</v>
      </c>
    </row>
    <row r="36" spans="1:8" ht="20.100000000000001" customHeight="1" x14ac:dyDescent="0.2">
      <c r="A36" s="5" t="str">
        <f>HYPERLINK("#'15 Scope 3'!A1", "15 Scope 3")</f>
        <v>15 Scope 3</v>
      </c>
      <c r="D36" s="19" t="s">
        <v>25</v>
      </c>
      <c r="E36" s="19" t="s">
        <v>26</v>
      </c>
    </row>
    <row r="37" spans="1:8" ht="20.100000000000001" customHeight="1" x14ac:dyDescent="0.2">
      <c r="A37" s="5" t="str">
        <f>HYPERLINK("#'Calcs - Manure sent off-site'!A1", "Calcs - Manure sent off-site")</f>
        <v>Calcs - Manure sent off-site</v>
      </c>
      <c r="D37" s="19" t="s">
        <v>613</v>
      </c>
      <c r="E37" s="19">
        <v>1</v>
      </c>
    </row>
    <row r="38" spans="1:8" ht="20.100000000000001" customHeight="1" x14ac:dyDescent="0.2">
      <c r="A38" s="5" t="str">
        <f>HYPERLINK("#'5.1.1.1-2 Inorganic fert N2O'!A1", "5.1.1.1-2 Inorganic fert N2O")</f>
        <v>5.1.1.1-2 Inorganic fert N2O</v>
      </c>
      <c r="D38" s="19" t="s">
        <v>614</v>
      </c>
      <c r="E38" s="19">
        <v>28</v>
      </c>
    </row>
    <row r="39" spans="1:8" ht="20.100000000000001" customHeight="1" x14ac:dyDescent="0.2">
      <c r="A39" s="5" t="str">
        <f>HYPERLINK("#'5.1.1.3-4 Inorganic fert CO2'!A1", "5.1.1.3-4 Inorganic fert CO2")</f>
        <v>5.1.1.3-4 Inorganic fert CO2</v>
      </c>
      <c r="D39" s="19" t="s">
        <v>615</v>
      </c>
      <c r="E39" s="19">
        <v>265</v>
      </c>
    </row>
    <row r="40" spans="1:8" ht="20.100000000000001" customHeight="1" x14ac:dyDescent="0.2">
      <c r="A40" s="5" t="str">
        <f>HYPERLINK("#'5.2.1.1-2 Organic Fert N2O'!A1", "5.2.1.1-2 Organic Fert N2O")</f>
        <v>5.2.1.1-2 Organic Fert N2O</v>
      </c>
      <c r="D40" s="19" t="s">
        <v>2172</v>
      </c>
      <c r="E40" s="19">
        <v>6630</v>
      </c>
    </row>
    <row r="41" spans="1:8" ht="20.100000000000001" customHeight="1" x14ac:dyDescent="0.2">
      <c r="A41" s="5" t="str">
        <f>HYPERLINK("#'5.3.1.1-2 Lime CO2'!A1", "5.3.1.1-2 Lime CO2")</f>
        <v>5.3.1.1-2 Lime CO2</v>
      </c>
      <c r="D41" s="19" t="s">
        <v>2173</v>
      </c>
      <c r="E41" s="19">
        <v>12200</v>
      </c>
    </row>
    <row r="42" spans="1:8" ht="20.100000000000001" customHeight="1" x14ac:dyDescent="0.2">
      <c r="A42" s="5" t="str">
        <f>HYPERLINK("#'5.4.1.1-4 Atmos deposition'!A1", "5.4.1.1-4 Atmos deposition")</f>
        <v>5.4.1.1-4 Atmos deposition</v>
      </c>
      <c r="D42" s="19" t="s">
        <v>2174</v>
      </c>
      <c r="E42" s="19">
        <v>22800</v>
      </c>
    </row>
    <row r="43" spans="1:8" ht="20.100000000000001" customHeight="1" x14ac:dyDescent="0.2">
      <c r="A43" s="5" t="str">
        <f>HYPERLINK("#'5.5.1.1-2 Leaching and runoff'!A1", "5.5.1.1-2 Leaching and runoff")</f>
        <v>5.5.1.1-2 Leaching and runoff</v>
      </c>
      <c r="D43" s="19" t="s">
        <v>2175</v>
      </c>
      <c r="E43" s="19">
        <v>17200</v>
      </c>
    </row>
    <row r="44" spans="1:8" ht="20.100000000000001" customHeight="1" x14ac:dyDescent="0.2">
      <c r="A44"/>
    </row>
    <row r="45" spans="1:8" ht="20.100000000000001" customHeight="1" x14ac:dyDescent="0.2">
      <c r="A45"/>
      <c r="D45" s="2" t="s">
        <v>2176</v>
      </c>
    </row>
    <row r="46" spans="1:8" ht="20.100000000000001" customHeight="1" x14ac:dyDescent="0.2">
      <c r="A46" s="80" t="s">
        <v>1</v>
      </c>
      <c r="D46" s="17" t="s">
        <v>2171</v>
      </c>
    </row>
    <row r="47" spans="1:8" ht="20.100000000000001" customHeight="1" x14ac:dyDescent="0.2">
      <c r="A47" s="5" t="str">
        <f>HYPERLINK("#'Constants - Feedlot'!A1", "Constants - Feedlot")</f>
        <v>Constants - Feedlot</v>
      </c>
      <c r="D47" s="19" t="s">
        <v>25</v>
      </c>
      <c r="E47" s="19" t="s">
        <v>27</v>
      </c>
      <c r="F47" s="19" t="s">
        <v>28</v>
      </c>
      <c r="G47" s="19" t="s">
        <v>29</v>
      </c>
      <c r="H47" s="19" t="s">
        <v>30</v>
      </c>
    </row>
    <row r="48" spans="1:8" ht="20.100000000000001" customHeight="1" x14ac:dyDescent="0.2">
      <c r="A48" s="5" t="str">
        <f>HYPERLINK("#'Constants - Common livestock'!A1", "Constants - Common Livestock")</f>
        <v>Constants - Common Livestock</v>
      </c>
      <c r="D48" s="19" t="s">
        <v>613</v>
      </c>
      <c r="E48" s="19" t="s">
        <v>2177</v>
      </c>
      <c r="F48" s="19">
        <v>44</v>
      </c>
      <c r="G48" s="19">
        <v>12</v>
      </c>
      <c r="H48" s="19">
        <f>Table_GasToMolecularConversionFactor[[#This Row],[Conversion factor 1]]/Table_GasToMolecularConversionFactor[[#This Row],[Conversion factor 2]]</f>
        <v>3.6666666666666665</v>
      </c>
    </row>
    <row r="49" spans="1:8" ht="20.100000000000001" customHeight="1" x14ac:dyDescent="0.2">
      <c r="A49" s="5" t="str">
        <f>HYPERLINK("#'Constants - Electricity'!A1", "Constants - Electricity")</f>
        <v>Constants - Electricity</v>
      </c>
      <c r="D49" s="19" t="s">
        <v>614</v>
      </c>
      <c r="E49" s="19" t="s">
        <v>2178</v>
      </c>
      <c r="F49" s="19">
        <v>16</v>
      </c>
      <c r="G49" s="19">
        <v>12</v>
      </c>
      <c r="H49" s="19">
        <f>Table_GasToMolecularConversionFactor[[#This Row],[Conversion factor 1]]/Table_GasToMolecularConversionFactor[[#This Row],[Conversion factor 2]]</f>
        <v>1.3333333333333333</v>
      </c>
    </row>
    <row r="50" spans="1:8" ht="20.100000000000001" customHeight="1" x14ac:dyDescent="0.2">
      <c r="A50" s="5" t="str">
        <f>HYPERLINK("#'Constants - Fertiliser'!A1", "Constants - Fertiliser")</f>
        <v>Constants - Fertiliser</v>
      </c>
      <c r="D50" s="19" t="s">
        <v>615</v>
      </c>
      <c r="E50" s="19" t="s">
        <v>2179</v>
      </c>
      <c r="F50" s="19">
        <v>44</v>
      </c>
      <c r="G50" s="19">
        <v>28</v>
      </c>
      <c r="H50" s="19">
        <f>Table_GasToMolecularConversionFactor[[#This Row],[Conversion factor 1]]/Table_GasToMolecularConversionFactor[[#This Row],[Conversion factor 2]]</f>
        <v>1.5714285714285714</v>
      </c>
    </row>
    <row r="51" spans="1:8" ht="20.100000000000001" customHeight="1" x14ac:dyDescent="0.2">
      <c r="A51" s="5" t="str">
        <f>HYPERLINK("#'Constants - Fuel'!A1", "Constants - Fuel")</f>
        <v>Constants - Fuel</v>
      </c>
      <c r="D51" s="19" t="s">
        <v>2180</v>
      </c>
      <c r="E51" s="19" t="s">
        <v>2181</v>
      </c>
      <c r="F51" s="19">
        <v>46</v>
      </c>
      <c r="G51" s="19">
        <v>14</v>
      </c>
      <c r="H51" s="19">
        <f>Table_GasToMolecularConversionFactor[[#This Row],[Conversion factor 1]]/Table_GasToMolecularConversionFactor[[#This Row],[Conversion factor 2]]</f>
        <v>3.2857142857142856</v>
      </c>
    </row>
    <row r="52" spans="1:8" ht="20.100000000000001" customHeight="1" x14ac:dyDescent="0.2">
      <c r="A52" s="5" t="str">
        <f>HYPERLINK("#'Constants - Scope 3'!A1", "Constants - Scope 3")</f>
        <v>Constants - Scope 3</v>
      </c>
      <c r="D52" s="19" t="s">
        <v>2182</v>
      </c>
      <c r="E52" s="19" t="s">
        <v>2183</v>
      </c>
      <c r="F52" s="19">
        <v>28</v>
      </c>
      <c r="G52" s="19">
        <v>12</v>
      </c>
      <c r="H52" s="19">
        <f>Table_GasToMolecularConversionFactor[[#This Row],[Conversion factor 1]]/Table_GasToMolecularConversionFactor[[#This Row],[Conversion factor 2]]</f>
        <v>2.3333333333333335</v>
      </c>
    </row>
    <row r="53" spans="1:8" ht="20.100000000000001" customHeight="1" x14ac:dyDescent="0.2">
      <c r="A53" s="5" t="str">
        <f>HYPERLINK("#'Constants - Solid Waste'!A1", "Constants - Solid Waste")</f>
        <v>Constants - Solid Waste</v>
      </c>
      <c r="D53" s="19" t="s">
        <v>2184</v>
      </c>
      <c r="E53" s="19" t="s">
        <v>2177</v>
      </c>
      <c r="F53" s="19">
        <v>44</v>
      </c>
      <c r="G53" s="19">
        <v>12</v>
      </c>
      <c r="H53" s="19">
        <f>Table_GasToMolecularConversionFactor[[#This Row],[Conversion factor 1]]/Table_GasToMolecularConversionFactor[[#This Row],[Conversion factor 2]]</f>
        <v>3.6666666666666665</v>
      </c>
    </row>
    <row r="54" spans="1:8" ht="20.100000000000001" customHeight="1" x14ac:dyDescent="0.2">
      <c r="A54" s="81" t="str">
        <f>HYPERLINK("#'Constants - Common'!A1", "Constants - Common")</f>
        <v>Constants - Common</v>
      </c>
      <c r="D54" s="19" t="s">
        <v>2185</v>
      </c>
      <c r="E54" s="19" t="s">
        <v>2186</v>
      </c>
      <c r="F54" s="19">
        <v>14</v>
      </c>
      <c r="G54" s="19">
        <v>12</v>
      </c>
      <c r="H54" s="19">
        <f>Table_GasToMolecularConversionFactor[[#This Row],[Conversion factor 1]]/Table_GasToMolecularConversionFactor[[#This Row],[Conversion factor 2]]</f>
        <v>1.1666666666666667</v>
      </c>
    </row>
    <row r="55" spans="1:8" ht="20.100000000000001" customHeight="1" x14ac:dyDescent="0.2">
      <c r="A55" s="5" t="str">
        <f>HYPERLINK("#'Acknowledgements'!A1", "Acknowledgements")</f>
        <v>Acknowledgements</v>
      </c>
    </row>
    <row r="56" spans="1:8" ht="20.100000000000001" customHeight="1" x14ac:dyDescent="0.2">
      <c r="A56"/>
    </row>
    <row r="57" spans="1:8" ht="20.100000000000001" customHeight="1" x14ac:dyDescent="0.2">
      <c r="A57"/>
      <c r="D57" s="2" t="s">
        <v>2187</v>
      </c>
    </row>
    <row r="58" spans="1:8" ht="20.100000000000001" customHeight="1" x14ac:dyDescent="0.2">
      <c r="A58"/>
      <c r="D58" s="17" t="s">
        <v>2188</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
        <v>2189</v>
      </c>
      <c r="E64" s="19" t="s">
        <v>2190</v>
      </c>
    </row>
    <row r="65" spans="1:5" ht="20.100000000000001" customHeight="1" x14ac:dyDescent="0.2">
      <c r="A65"/>
      <c r="D65" s="19" t="s">
        <v>2191</v>
      </c>
      <c r="E65" s="19" t="s">
        <v>2190</v>
      </c>
    </row>
    <row r="66" spans="1:5" ht="20.100000000000001" customHeight="1" x14ac:dyDescent="0.2">
      <c r="A66" s="79" t="str">
        <f>HYPERLINK("#A1", "▲ Back to top")</f>
        <v>▲ Back to top</v>
      </c>
      <c r="D66" s="19" t="s">
        <v>2192</v>
      </c>
      <c r="E66" s="19" t="s">
        <v>2190</v>
      </c>
    </row>
    <row r="67" spans="1:5" ht="20.100000000000001" customHeight="1" x14ac:dyDescent="0.2">
      <c r="A67"/>
      <c r="D67" s="19" t="s">
        <v>2193</v>
      </c>
      <c r="E67" s="19" t="s">
        <v>2194</v>
      </c>
    </row>
    <row r="68" spans="1:5" ht="20.100000000000001" customHeight="1" x14ac:dyDescent="0.2">
      <c r="A68"/>
      <c r="D68" s="19" t="s">
        <v>2195</v>
      </c>
      <c r="E68" s="19" t="s">
        <v>2190</v>
      </c>
    </row>
    <row r="69" spans="1:5" ht="20.100000000000001" customHeight="1" x14ac:dyDescent="0.2">
      <c r="A69"/>
      <c r="D69" s="19" t="s">
        <v>2196</v>
      </c>
      <c r="E69" s="19" t="s">
        <v>2194</v>
      </c>
    </row>
    <row r="70" spans="1:5" ht="20.100000000000001" customHeight="1" x14ac:dyDescent="0.2">
      <c r="A70"/>
      <c r="D70" s="19" t="s">
        <v>2197</v>
      </c>
      <c r="E70" s="19" t="s">
        <v>2190</v>
      </c>
    </row>
    <row r="71" spans="1:5" ht="20.100000000000001" customHeight="1" x14ac:dyDescent="0.2">
      <c r="A71"/>
      <c r="D71" s="19" t="s">
        <v>2198</v>
      </c>
      <c r="E71" s="19" t="s">
        <v>2194</v>
      </c>
    </row>
    <row r="72" spans="1:5" ht="20.100000000000001" customHeight="1" x14ac:dyDescent="0.2">
      <c r="A72"/>
      <c r="D72" s="19" t="s">
        <v>2199</v>
      </c>
      <c r="E72" s="19" t="s">
        <v>2190</v>
      </c>
    </row>
    <row r="73" spans="1:5" ht="20.100000000000001" customHeight="1" x14ac:dyDescent="0.2">
      <c r="A73"/>
      <c r="D73" s="19" t="s">
        <v>2200</v>
      </c>
      <c r="E73" s="19" t="s">
        <v>2194</v>
      </c>
    </row>
    <row r="74" spans="1:5" ht="20.100000000000001" customHeight="1" x14ac:dyDescent="0.2">
      <c r="A74"/>
      <c r="D74" s="19" t="s">
        <v>2201</v>
      </c>
      <c r="E74" s="19" t="s">
        <v>2190</v>
      </c>
    </row>
    <row r="75" spans="1:5" ht="20.100000000000001" customHeight="1" x14ac:dyDescent="0.2">
      <c r="A75"/>
      <c r="D75" s="19" t="s">
        <v>2202</v>
      </c>
      <c r="E75" s="19" t="s">
        <v>2194</v>
      </c>
    </row>
    <row r="76" spans="1:5" ht="20.100000000000001" customHeight="1" x14ac:dyDescent="0.2">
      <c r="A76"/>
      <c r="D76" s="19" t="s">
        <v>2203</v>
      </c>
      <c r="E76" s="19" t="s">
        <v>2190</v>
      </c>
    </row>
    <row r="77" spans="1:5" ht="20.100000000000001" customHeight="1" x14ac:dyDescent="0.2">
      <c r="A77"/>
      <c r="D77" s="19" t="s">
        <v>2204</v>
      </c>
      <c r="E77" s="19" t="s">
        <v>2194</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2205</v>
      </c>
    </row>
    <row r="82" spans="1:20" ht="20.100000000000001" customHeight="1" x14ac:dyDescent="0.2">
      <c r="A82"/>
      <c r="D82" s="17" t="s">
        <v>2206</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
        <v>2189</v>
      </c>
      <c r="E90" s="19" t="s">
        <v>2207</v>
      </c>
      <c r="F90" s="19" t="s">
        <v>2208</v>
      </c>
      <c r="G90" s="19" t="s">
        <v>2209</v>
      </c>
      <c r="H90" s="19" t="s">
        <v>2210</v>
      </c>
      <c r="I90" s="19" t="s">
        <v>2208</v>
      </c>
      <c r="J90" s="19">
        <v>18.001000000000001</v>
      </c>
      <c r="K90" s="19">
        <v>999999</v>
      </c>
      <c r="L90" s="19">
        <v>-999999</v>
      </c>
      <c r="M90" s="19">
        <v>999999</v>
      </c>
      <c r="N90" s="19">
        <v>-999999</v>
      </c>
      <c r="O90" s="19">
        <v>7</v>
      </c>
      <c r="P90" s="19">
        <v>1000</v>
      </c>
      <c r="Q90" s="19">
        <v>999999</v>
      </c>
      <c r="R90" s="19">
        <v>-999999</v>
      </c>
      <c r="S90" s="19">
        <v>999999</v>
      </c>
      <c r="T90" s="19"/>
    </row>
    <row r="91" spans="1:20" ht="20.100000000000001" customHeight="1" x14ac:dyDescent="0.2">
      <c r="A91"/>
      <c r="D91" s="19" t="s">
        <v>2191</v>
      </c>
      <c r="E91" s="19" t="s">
        <v>2207</v>
      </c>
      <c r="F91" s="19" t="s">
        <v>2211</v>
      </c>
      <c r="G91" s="19" t="s">
        <v>2209</v>
      </c>
      <c r="H91" s="19" t="s">
        <v>2212</v>
      </c>
      <c r="I91" s="19" t="s">
        <v>2208</v>
      </c>
      <c r="J91" s="19">
        <v>18.001000000000001</v>
      </c>
      <c r="K91" s="19">
        <v>999999</v>
      </c>
      <c r="L91" s="19">
        <v>2000.001</v>
      </c>
      <c r="M91" s="19">
        <v>999999</v>
      </c>
      <c r="N91" s="19">
        <v>-999999</v>
      </c>
      <c r="O91" s="19">
        <v>7</v>
      </c>
      <c r="P91" s="19">
        <v>-999999</v>
      </c>
      <c r="Q91" s="19">
        <v>999.99900000000002</v>
      </c>
      <c r="R91" s="19">
        <v>-999999</v>
      </c>
      <c r="S91" s="19">
        <v>999999</v>
      </c>
      <c r="T91" s="19"/>
    </row>
    <row r="92" spans="1:20" ht="20.100000000000001" customHeight="1" x14ac:dyDescent="0.2">
      <c r="A92"/>
      <c r="D92" s="19" t="s">
        <v>2192</v>
      </c>
      <c r="E92" s="19" t="s">
        <v>2207</v>
      </c>
      <c r="F92" s="19" t="s">
        <v>2213</v>
      </c>
      <c r="G92" s="19" t="s">
        <v>2209</v>
      </c>
      <c r="H92" s="19" t="s">
        <v>2212</v>
      </c>
      <c r="I92" s="19" t="s">
        <v>2208</v>
      </c>
      <c r="J92" s="19">
        <v>18.001000000000001</v>
      </c>
      <c r="K92" s="19">
        <v>999999</v>
      </c>
      <c r="L92" s="19">
        <v>1000.001</v>
      </c>
      <c r="M92" s="19">
        <v>2000</v>
      </c>
      <c r="N92" s="19">
        <v>-999999</v>
      </c>
      <c r="O92" s="19">
        <v>7</v>
      </c>
      <c r="P92" s="19">
        <v>-999999</v>
      </c>
      <c r="Q92" s="19">
        <v>999.99900000000002</v>
      </c>
      <c r="R92" s="19">
        <v>-999999</v>
      </c>
      <c r="S92" s="19">
        <v>999999</v>
      </c>
      <c r="T92" s="19"/>
    </row>
    <row r="93" spans="1:20" ht="20.100000000000001" customHeight="1" x14ac:dyDescent="0.2">
      <c r="A93"/>
      <c r="D93" s="19" t="s">
        <v>2193</v>
      </c>
      <c r="E93" s="19" t="s">
        <v>2207</v>
      </c>
      <c r="F93" s="19" t="s">
        <v>2214</v>
      </c>
      <c r="G93" s="19" t="s">
        <v>2209</v>
      </c>
      <c r="H93" s="19" t="s">
        <v>2212</v>
      </c>
      <c r="I93" s="19" t="s">
        <v>2208</v>
      </c>
      <c r="J93" s="19">
        <v>18.001000000000001</v>
      </c>
      <c r="K93" s="19">
        <v>999999</v>
      </c>
      <c r="L93" s="19">
        <v>-999999</v>
      </c>
      <c r="M93" s="19">
        <v>1000</v>
      </c>
      <c r="N93" s="19">
        <v>-999999</v>
      </c>
      <c r="O93" s="19">
        <v>7</v>
      </c>
      <c r="P93" s="19">
        <v>-999999</v>
      </c>
      <c r="Q93" s="19">
        <v>999.99900000000002</v>
      </c>
      <c r="R93" s="19">
        <v>-999999</v>
      </c>
      <c r="S93" s="19">
        <v>999999</v>
      </c>
      <c r="T93" s="19"/>
    </row>
    <row r="94" spans="1:20" ht="20.100000000000001" customHeight="1" x14ac:dyDescent="0.2">
      <c r="A94"/>
      <c r="D94" s="19" t="s">
        <v>2195</v>
      </c>
      <c r="E94" s="19" t="s">
        <v>2215</v>
      </c>
      <c r="F94" s="19" t="s">
        <v>2208</v>
      </c>
      <c r="G94" s="19" t="s">
        <v>2208</v>
      </c>
      <c r="H94" s="19" t="s">
        <v>2208</v>
      </c>
      <c r="I94" s="19" t="s">
        <v>2216</v>
      </c>
      <c r="J94" s="19">
        <v>10.000999999999999</v>
      </c>
      <c r="K94" s="19">
        <v>999999</v>
      </c>
      <c r="L94" s="19">
        <v>-999999</v>
      </c>
      <c r="M94" s="19">
        <v>999999</v>
      </c>
      <c r="N94" s="19">
        <v>-999999</v>
      </c>
      <c r="O94" s="19">
        <v>999999</v>
      </c>
      <c r="P94" s="19">
        <v>-999999</v>
      </c>
      <c r="Q94" s="19">
        <v>999999</v>
      </c>
      <c r="R94" s="19">
        <v>1.0009999999999999</v>
      </c>
      <c r="S94" s="19">
        <v>999999</v>
      </c>
      <c r="T94" s="19"/>
    </row>
    <row r="95" spans="1:20" ht="20.100000000000001" customHeight="1" x14ac:dyDescent="0.2">
      <c r="A95"/>
      <c r="D95" s="19" t="s">
        <v>2196</v>
      </c>
      <c r="E95" s="19" t="s">
        <v>2215</v>
      </c>
      <c r="F95" s="19" t="s">
        <v>2208</v>
      </c>
      <c r="G95" s="19" t="s">
        <v>2208</v>
      </c>
      <c r="H95" s="19" t="s">
        <v>2208</v>
      </c>
      <c r="I95" s="19" t="s">
        <v>2217</v>
      </c>
      <c r="J95" s="19">
        <v>10.000999999999999</v>
      </c>
      <c r="K95" s="19">
        <v>999999</v>
      </c>
      <c r="L95" s="19">
        <v>-999999</v>
      </c>
      <c r="M95" s="19">
        <v>999999</v>
      </c>
      <c r="N95" s="19">
        <v>-999999</v>
      </c>
      <c r="O95" s="19">
        <v>999999</v>
      </c>
      <c r="P95" s="19">
        <v>-999999</v>
      </c>
      <c r="Q95" s="19">
        <v>999999</v>
      </c>
      <c r="R95" s="19">
        <v>-999999</v>
      </c>
      <c r="S95" s="19">
        <v>1</v>
      </c>
      <c r="T95" s="19"/>
    </row>
    <row r="96" spans="1:20" ht="20.100000000000001" customHeight="1" x14ac:dyDescent="0.2">
      <c r="A96" s="79" t="str">
        <f>HYPERLINK("#A1", "▲ Back to top")</f>
        <v>▲ Back to top</v>
      </c>
      <c r="D96" s="19" t="s">
        <v>2197</v>
      </c>
      <c r="E96" s="19" t="s">
        <v>2218</v>
      </c>
      <c r="F96" s="19" t="s">
        <v>2208</v>
      </c>
      <c r="G96" s="19" t="s">
        <v>2208</v>
      </c>
      <c r="H96" s="19" t="s">
        <v>2208</v>
      </c>
      <c r="I96" s="19" t="s">
        <v>2216</v>
      </c>
      <c r="J96" s="19">
        <v>-999999</v>
      </c>
      <c r="K96" s="19">
        <v>10</v>
      </c>
      <c r="L96" s="19">
        <v>-999999</v>
      </c>
      <c r="M96" s="19">
        <v>999999</v>
      </c>
      <c r="N96" s="19">
        <v>-999999</v>
      </c>
      <c r="O96" s="19">
        <v>999999</v>
      </c>
      <c r="P96" s="19">
        <v>-999999</v>
      </c>
      <c r="Q96" s="19">
        <v>999999</v>
      </c>
      <c r="R96" s="19">
        <v>1.0009999999999999</v>
      </c>
      <c r="S96" s="19">
        <v>999999</v>
      </c>
      <c r="T96" s="19"/>
    </row>
    <row r="97" spans="1:20" ht="20.100000000000001" customHeight="1" x14ac:dyDescent="0.2">
      <c r="A97"/>
      <c r="D97" s="19" t="s">
        <v>2198</v>
      </c>
      <c r="E97" s="19" t="s">
        <v>2218</v>
      </c>
      <c r="F97" s="19" t="s">
        <v>2208</v>
      </c>
      <c r="G97" s="19" t="s">
        <v>2208</v>
      </c>
      <c r="H97" s="19" t="s">
        <v>2208</v>
      </c>
      <c r="I97" s="19" t="s">
        <v>2217</v>
      </c>
      <c r="J97" s="19">
        <v>-999999</v>
      </c>
      <c r="K97" s="19">
        <v>10</v>
      </c>
      <c r="L97" s="19">
        <v>-999999</v>
      </c>
      <c r="M97" s="19">
        <v>999999</v>
      </c>
      <c r="N97" s="19">
        <v>-999999</v>
      </c>
      <c r="O97" s="19">
        <v>999999</v>
      </c>
      <c r="P97" s="19">
        <v>-999999</v>
      </c>
      <c r="Q97" s="19">
        <v>999999</v>
      </c>
      <c r="R97" s="19">
        <v>-999999</v>
      </c>
      <c r="S97" s="19">
        <v>1</v>
      </c>
      <c r="T97" s="19"/>
    </row>
    <row r="98" spans="1:20" ht="20.100000000000001" customHeight="1" x14ac:dyDescent="0.2">
      <c r="A98"/>
    </row>
    <row r="99" spans="1:20" ht="20.100000000000001" customHeight="1" x14ac:dyDescent="0.2">
      <c r="A99"/>
      <c r="D99" s="9" t="s">
        <v>2219</v>
      </c>
    </row>
    <row r="100" spans="1:20" ht="20.100000000000001" customHeight="1" x14ac:dyDescent="0.2">
      <c r="A100"/>
      <c r="D100" s="9" t="s">
        <v>2220</v>
      </c>
    </row>
    <row r="101" spans="1:20" ht="20.100000000000001" customHeight="1" x14ac:dyDescent="0.2">
      <c r="A101"/>
      <c r="D101" s="9" t="s">
        <v>2221</v>
      </c>
    </row>
    <row r="102" spans="1:20" ht="20.100000000000001" customHeight="1" x14ac:dyDescent="0.2">
      <c r="A102"/>
      <c r="D102" s="9" t="s">
        <v>2222</v>
      </c>
    </row>
    <row r="103" spans="1:20" ht="20.100000000000001" customHeight="1" x14ac:dyDescent="0.2">
      <c r="A103"/>
      <c r="D103" s="9"/>
    </row>
    <row r="104" spans="1:20" ht="20.100000000000001" customHeight="1" x14ac:dyDescent="0.2">
      <c r="A104"/>
    </row>
    <row r="105" spans="1:20" ht="20.100000000000001" customHeight="1" x14ac:dyDescent="0.2">
      <c r="A105"/>
      <c r="D105" s="2" t="s">
        <v>2223</v>
      </c>
    </row>
    <row r="106" spans="1:20" ht="20.100000000000001" customHeight="1" x14ac:dyDescent="0.2">
      <c r="A106"/>
      <c r="D106" s="17" t="s">
        <v>2206</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
        <v>2224</v>
      </c>
      <c r="E110" s="19" t="s">
        <v>2225</v>
      </c>
      <c r="F110" s="19">
        <v>26</v>
      </c>
      <c r="G110" s="19">
        <v>999999</v>
      </c>
    </row>
    <row r="111" spans="1:20" ht="20.100000000000001" customHeight="1" x14ac:dyDescent="0.2">
      <c r="A111"/>
      <c r="D111" s="19" t="s">
        <v>2226</v>
      </c>
      <c r="E111" s="19" t="s">
        <v>2227</v>
      </c>
      <c r="F111" s="19">
        <v>15</v>
      </c>
      <c r="G111" s="19">
        <v>25.998999999999999</v>
      </c>
    </row>
    <row r="112" spans="1:20" ht="20.100000000000001" customHeight="1" x14ac:dyDescent="0.2">
      <c r="A112"/>
      <c r="D112" s="19" t="s">
        <v>2228</v>
      </c>
      <c r="E112" s="19" t="s">
        <v>2229</v>
      </c>
      <c r="F112" s="19">
        <v>-999999</v>
      </c>
      <c r="G112" s="19">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2230</v>
      </c>
      <c r="BN115" s="21"/>
    </row>
    <row r="116" spans="1:66" ht="20.100000000000001" customHeight="1" x14ac:dyDescent="0.2">
      <c r="A116"/>
      <c r="D116" s="17" t="s">
        <v>2206</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
        <v>2231</v>
      </c>
      <c r="E120" s="19" t="s">
        <v>2232</v>
      </c>
      <c r="F120" s="19">
        <v>600.00099999999998</v>
      </c>
      <c r="G120" s="19">
        <v>999999</v>
      </c>
      <c r="BN120" s="21"/>
    </row>
    <row r="121" spans="1:66" ht="20.100000000000001" customHeight="1" x14ac:dyDescent="0.2">
      <c r="A121"/>
      <c r="D121" s="19" t="s">
        <v>2233</v>
      </c>
      <c r="E121" s="19" t="s">
        <v>2234</v>
      </c>
      <c r="F121" s="19">
        <v>-999999</v>
      </c>
      <c r="G121" s="19">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
        <v>2235</v>
      </c>
    </row>
    <row r="125" spans="1:66" ht="20.100000000000001" customHeight="1" x14ac:dyDescent="0.2">
      <c r="A125"/>
      <c r="D125" s="17" t="s">
        <v>2206</v>
      </c>
    </row>
    <row r="126" spans="1:66" ht="20.100000000000001" customHeight="1" x14ac:dyDescent="0.2">
      <c r="A126" s="79" t="str">
        <f>HYPERLINK("#A1", "▲ Back to top")</f>
        <v>▲ Back to top</v>
      </c>
    </row>
    <row r="127" spans="1:66" ht="20.100000000000001" customHeight="1" x14ac:dyDescent="0.2">
      <c r="A127"/>
      <c r="D127" s="19" t="s">
        <v>53</v>
      </c>
      <c r="E127" s="19" t="s">
        <v>54</v>
      </c>
    </row>
    <row r="128" spans="1:66" ht="20.100000000000001" customHeight="1" x14ac:dyDescent="0.2">
      <c r="A128"/>
      <c r="D128" s="19" t="s">
        <v>2236</v>
      </c>
      <c r="E128" s="19" t="s">
        <v>2237</v>
      </c>
    </row>
    <row r="129" spans="1:77" ht="20.100000000000001" customHeight="1" x14ac:dyDescent="0.2">
      <c r="A129"/>
      <c r="D129" s="19" t="s">
        <v>2238</v>
      </c>
      <c r="E129" s="19" t="s">
        <v>2239</v>
      </c>
    </row>
    <row r="130" spans="1:77" ht="20.100000000000001" customHeight="1" x14ac:dyDescent="0.2">
      <c r="A130"/>
    </row>
    <row r="131" spans="1:77" ht="20.100000000000001" customHeight="1" x14ac:dyDescent="0.2">
      <c r="A131"/>
    </row>
    <row r="132" spans="1:77" ht="20.100000000000001" customHeight="1" x14ac:dyDescent="0.2">
      <c r="A132"/>
      <c r="D132" s="2" t="s">
        <v>2240</v>
      </c>
      <c r="E132" s="8"/>
    </row>
    <row r="133" spans="1:77" ht="20.100000000000001" customHeight="1" x14ac:dyDescent="0.2">
      <c r="A133"/>
      <c r="D133" s="17" t="s">
        <v>2241</v>
      </c>
      <c r="E133" s="8"/>
    </row>
    <row r="134" spans="1:77" ht="20.100000000000001" customHeight="1" x14ac:dyDescent="0.2">
      <c r="A134"/>
      <c r="D134" t="s">
        <v>55</v>
      </c>
      <c r="E134" t="s">
        <v>56</v>
      </c>
    </row>
    <row r="135" spans="1:77" ht="20.100000000000001" customHeight="1" x14ac:dyDescent="0.2">
      <c r="A135"/>
      <c r="D135" t="s">
        <v>2242</v>
      </c>
      <c r="E135">
        <v>1</v>
      </c>
    </row>
    <row r="136" spans="1:77" ht="20.100000000000001" customHeight="1" x14ac:dyDescent="0.2">
      <c r="A136"/>
      <c r="D136" s="1" t="s">
        <v>2243</v>
      </c>
      <c r="E136" s="19">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
        <v>2244</v>
      </c>
      <c r="BN139" s="21"/>
      <c r="BO139" s="21"/>
      <c r="BP139" s="21"/>
      <c r="BQ139" s="21"/>
      <c r="BR139" s="21"/>
      <c r="BS139" s="21"/>
      <c r="BT139" s="21"/>
      <c r="BU139" s="21"/>
      <c r="BV139" s="21"/>
      <c r="BW139" s="21"/>
      <c r="BX139" s="21"/>
      <c r="BY139" s="21"/>
    </row>
    <row r="140" spans="1:77" ht="20.100000000000001" customHeight="1" x14ac:dyDescent="0.2">
      <c r="A140"/>
      <c r="D140" s="17" t="s">
        <v>2245</v>
      </c>
      <c r="BN140" s="21"/>
      <c r="BO140" s="21"/>
      <c r="BP140" s="21"/>
      <c r="BQ140" s="21"/>
      <c r="BR140" s="21"/>
      <c r="BS140" s="21"/>
      <c r="BT140" s="21"/>
      <c r="BU140" s="21"/>
      <c r="BV140" s="21"/>
      <c r="BW140" s="21"/>
      <c r="BX140" s="21"/>
      <c r="BY140" s="21"/>
    </row>
    <row r="141" spans="1:77" ht="20.100000000000001" customHeight="1" x14ac:dyDescent="0.2">
      <c r="A141"/>
      <c r="D141" s="25" t="s">
        <v>2246</v>
      </c>
      <c r="BN141" s="21"/>
    </row>
    <row r="142" spans="1:77" ht="20.100000000000001" customHeight="1" x14ac:dyDescent="0.2">
      <c r="A142"/>
      <c r="D142" s="19" t="s">
        <v>57</v>
      </c>
      <c r="E142" s="19" t="s">
        <v>56</v>
      </c>
      <c r="BN142" s="21"/>
    </row>
    <row r="143" spans="1:77" ht="20.100000000000001" customHeight="1" x14ac:dyDescent="0.2">
      <c r="A143"/>
      <c r="D143" s="19" t="s">
        <v>320</v>
      </c>
      <c r="E143" s="19">
        <v>0</v>
      </c>
      <c r="BN143" s="21"/>
    </row>
    <row r="144" spans="1:77" ht="20.100000000000001" customHeight="1" x14ac:dyDescent="0.2">
      <c r="A144"/>
      <c r="D144" s="1" t="s">
        <v>481</v>
      </c>
      <c r="E144" s="19">
        <v>0</v>
      </c>
      <c r="BN144" s="21"/>
    </row>
    <row r="145" spans="1:66" ht="20.100000000000001" customHeight="1" x14ac:dyDescent="0.2">
      <c r="A145"/>
      <c r="D145" s="1" t="s">
        <v>482</v>
      </c>
      <c r="E145" s="19">
        <v>1</v>
      </c>
      <c r="BN145" s="21"/>
    </row>
    <row r="146" spans="1:66" ht="20.100000000000001" customHeight="1" x14ac:dyDescent="0.2">
      <c r="A146"/>
      <c r="D146" s="1" t="s">
        <v>483</v>
      </c>
      <c r="E146" s="19">
        <v>1</v>
      </c>
      <c r="BN146" s="21"/>
    </row>
    <row r="147" spans="1:66" ht="20.100000000000001" customHeight="1" x14ac:dyDescent="0.2">
      <c r="A147"/>
      <c r="D147" s="1" t="s">
        <v>484</v>
      </c>
      <c r="E147" s="19">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
        <v>2247</v>
      </c>
      <c r="BN150" s="21"/>
    </row>
    <row r="151" spans="1:66" ht="20.100000000000001" customHeight="1" x14ac:dyDescent="0.2">
      <c r="A151"/>
      <c r="D151" s="17" t="s">
        <v>2248</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
        <v>2249</v>
      </c>
      <c r="E154" s="19">
        <v>1</v>
      </c>
      <c r="BC154" s="24"/>
      <c r="BD154" s="24"/>
      <c r="BE154" s="24"/>
      <c r="BF154" s="24"/>
      <c r="BG154" s="24"/>
      <c r="BH154" s="24"/>
      <c r="BI154" s="24"/>
      <c r="BJ154" s="24"/>
      <c r="BK154" s="24"/>
      <c r="BL154" s="24"/>
      <c r="BM154" s="24"/>
    </row>
    <row r="155" spans="1:66" ht="20.100000000000001" customHeight="1" x14ac:dyDescent="0.2">
      <c r="A155"/>
      <c r="D155" s="19" t="s">
        <v>2250</v>
      </c>
      <c r="E155" s="19">
        <v>2</v>
      </c>
      <c r="BC155" s="24"/>
      <c r="BD155" s="24"/>
      <c r="BE155" s="24"/>
      <c r="BF155" s="24"/>
      <c r="BG155" s="24"/>
      <c r="BH155" s="24"/>
      <c r="BI155" s="24"/>
      <c r="BJ155" s="24"/>
      <c r="BK155" s="24"/>
      <c r="BL155" s="24"/>
      <c r="BM155" s="24"/>
    </row>
    <row r="156" spans="1:66" ht="20.100000000000001" customHeight="1" x14ac:dyDescent="0.2">
      <c r="A156" s="79" t="str">
        <f>HYPERLINK("#A1", "▲ Back to top")</f>
        <v>▲ Back to top</v>
      </c>
      <c r="D156" s="19" t="s">
        <v>2251</v>
      </c>
      <c r="E156" s="19">
        <v>3</v>
      </c>
    </row>
    <row r="157" spans="1:66" ht="20.100000000000001" customHeight="1" x14ac:dyDescent="0.2">
      <c r="A157"/>
      <c r="D157" s="19" t="s">
        <v>2252</v>
      </c>
      <c r="E157" s="19">
        <v>4</v>
      </c>
    </row>
    <row r="158" spans="1:66" ht="20.100000000000001" customHeight="1" x14ac:dyDescent="0.2">
      <c r="A158"/>
      <c r="D158" s="19" t="s">
        <v>1044</v>
      </c>
      <c r="E158" s="19">
        <v>5</v>
      </c>
    </row>
    <row r="159" spans="1:66" ht="20.100000000000001" customHeight="1" x14ac:dyDescent="0.2">
      <c r="A159"/>
    </row>
    <row r="160" spans="1:66" ht="20.100000000000001" customHeight="1" x14ac:dyDescent="0.2">
      <c r="A160"/>
    </row>
    <row r="161" spans="1:68" ht="20.100000000000001" customHeight="1" x14ac:dyDescent="0.2">
      <c r="A161"/>
      <c r="D161" s="2" t="s">
        <v>2240</v>
      </c>
      <c r="E161" s="8"/>
    </row>
    <row r="162" spans="1:68" ht="20.100000000000001" customHeight="1" x14ac:dyDescent="0.2">
      <c r="A162"/>
      <c r="D162" s="17" t="s">
        <v>2241</v>
      </c>
      <c r="E162" s="8"/>
    </row>
    <row r="163" spans="1:68" ht="20.100000000000001" customHeight="1" x14ac:dyDescent="0.2">
      <c r="A163"/>
      <c r="D163" s="17" t="s">
        <v>2253</v>
      </c>
      <c r="E163" s="8"/>
    </row>
    <row r="164" spans="1:68" ht="20.100000000000001" customHeight="1" x14ac:dyDescent="0.2">
      <c r="A164"/>
      <c r="D164" s="8" t="s">
        <v>1617</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
        <v>1785</v>
      </c>
      <c r="BN167" s="21"/>
      <c r="BO167" s="21"/>
      <c r="BP167" s="21"/>
    </row>
    <row r="168" spans="1:68" ht="20.100000000000001" customHeight="1" x14ac:dyDescent="0.2">
      <c r="A168"/>
      <c r="D168" s="17" t="s">
        <v>2241</v>
      </c>
      <c r="BN168" s="21"/>
      <c r="BO168" s="21"/>
      <c r="BP168" s="21"/>
    </row>
    <row r="169" spans="1:68" ht="20.100000000000001" customHeight="1" x14ac:dyDescent="0.2">
      <c r="A169"/>
      <c r="D169" s="17" t="s">
        <v>2254</v>
      </c>
      <c r="BN169" s="21"/>
      <c r="BO169" s="21"/>
      <c r="BP169" s="21"/>
    </row>
    <row r="170" spans="1:68" ht="20.100000000000001" customHeight="1" x14ac:dyDescent="0.2">
      <c r="A170"/>
      <c r="D170" s="1" t="s">
        <v>2255</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
        <v>2256</v>
      </c>
      <c r="BN173" s="21"/>
      <c r="BO173" s="21"/>
      <c r="BP173" s="21"/>
    </row>
    <row r="174" spans="1:68" ht="20.100000000000001" customHeight="1" x14ac:dyDescent="0.2">
      <c r="A174"/>
      <c r="D174" s="17" t="s">
        <v>2257</v>
      </c>
      <c r="BN174" s="21"/>
      <c r="BO174" s="21"/>
      <c r="BP174" s="21"/>
    </row>
    <row r="175" spans="1:68" ht="20.100000000000001" customHeight="1" x14ac:dyDescent="0.2">
      <c r="A175"/>
      <c r="D175" s="1">
        <v>0.6784</v>
      </c>
      <c r="E175" s="9" t="s">
        <v>1228</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
        <v>2258</v>
      </c>
      <c r="BN178" s="21"/>
      <c r="BO178" s="21"/>
      <c r="BP178" s="21"/>
    </row>
    <row r="179" spans="1:68" ht="20.100000000000001" customHeight="1" x14ac:dyDescent="0.2">
      <c r="A179"/>
      <c r="D179" s="17" t="s">
        <v>2259</v>
      </c>
      <c r="BN179" s="21"/>
      <c r="BO179" s="21"/>
      <c r="BP179" s="21"/>
    </row>
    <row r="180" spans="1:68" ht="20.100000000000001" customHeight="1" x14ac:dyDescent="0.2">
      <c r="A180"/>
      <c r="D180" s="9" t="s">
        <v>2260</v>
      </c>
    </row>
    <row r="181" spans="1:68" ht="20.100000000000001" customHeight="1" x14ac:dyDescent="0.2">
      <c r="A181"/>
      <c r="D181" s="25" t="s">
        <v>2261</v>
      </c>
    </row>
    <row r="182" spans="1:68" ht="20.100000000000001" customHeight="1" x14ac:dyDescent="0.2">
      <c r="A182"/>
      <c r="D182" s="25" t="s">
        <v>2262</v>
      </c>
    </row>
    <row r="183" spans="1:68" ht="20.100000000000001" customHeight="1" x14ac:dyDescent="0.2">
      <c r="A183"/>
      <c r="D183" s="25" t="s">
        <v>2263</v>
      </c>
    </row>
    <row r="184" spans="1:68" ht="20.100000000000001" customHeight="1" x14ac:dyDescent="0.2">
      <c r="A184"/>
      <c r="D184" s="25" t="s">
        <v>2264</v>
      </c>
    </row>
    <row r="185" spans="1:68" ht="20.100000000000001" customHeight="1" x14ac:dyDescent="0.2">
      <c r="A185"/>
      <c r="D185" s="25" t="s">
        <v>2265</v>
      </c>
    </row>
    <row r="186" spans="1:68" ht="20.100000000000001" customHeight="1" x14ac:dyDescent="0.2">
      <c r="A186" s="79" t="str">
        <f>HYPERLINK("#A1", "▲ Back to top")</f>
        <v>▲ Back to top</v>
      </c>
      <c r="D186" s="19" t="s">
        <v>60</v>
      </c>
      <c r="E186" s="19" t="s">
        <v>61</v>
      </c>
      <c r="F186" s="19" t="s">
        <v>62</v>
      </c>
      <c r="G186" s="19" t="s">
        <v>63</v>
      </c>
      <c r="H186" s="19" t="s">
        <v>64</v>
      </c>
    </row>
    <row r="187" spans="1:68" ht="20.100000000000001" customHeight="1" x14ac:dyDescent="0.2">
      <c r="A187"/>
      <c r="D187" s="19" t="s">
        <v>2266</v>
      </c>
      <c r="E187" s="19">
        <v>5.8999999999999999E-3</v>
      </c>
      <c r="F187" s="19" t="s">
        <v>319</v>
      </c>
      <c r="G187" s="19" t="s">
        <v>2208</v>
      </c>
      <c r="H187" s="19" t="s">
        <v>2208</v>
      </c>
    </row>
    <row r="188" spans="1:68" ht="20.100000000000001" customHeight="1" x14ac:dyDescent="0.2">
      <c r="A188"/>
      <c r="D188" s="19" t="s">
        <v>2267</v>
      </c>
      <c r="E188" s="19">
        <v>7.0000000000000001E-3</v>
      </c>
      <c r="F188" s="19" t="s">
        <v>671</v>
      </c>
      <c r="G188" s="19" t="s">
        <v>2208</v>
      </c>
      <c r="H188" s="19" t="s">
        <v>2208</v>
      </c>
    </row>
    <row r="189" spans="1:68" ht="20.100000000000001" customHeight="1" x14ac:dyDescent="0.2">
      <c r="A189"/>
      <c r="D189" s="19" t="s">
        <v>2268</v>
      </c>
      <c r="E189" s="19">
        <v>1.8E-3</v>
      </c>
      <c r="F189" s="19" t="s">
        <v>319</v>
      </c>
      <c r="G189" s="19" t="s">
        <v>320</v>
      </c>
      <c r="H189" s="19" t="s">
        <v>2233</v>
      </c>
    </row>
    <row r="190" spans="1:68" ht="20.100000000000001" customHeight="1" x14ac:dyDescent="0.2">
      <c r="A190"/>
      <c r="D190" s="19" t="s">
        <v>2268</v>
      </c>
      <c r="E190" s="19">
        <v>1.8E-3</v>
      </c>
      <c r="F190" s="19" t="s">
        <v>319</v>
      </c>
      <c r="G190" s="19" t="s">
        <v>320</v>
      </c>
      <c r="H190" s="19" t="s">
        <v>2231</v>
      </c>
    </row>
    <row r="191" spans="1:68" ht="20.100000000000001" customHeight="1" x14ac:dyDescent="0.2">
      <c r="A191"/>
      <c r="D191" s="19" t="s">
        <v>2269</v>
      </c>
      <c r="E191" s="19">
        <v>2.8999999999999998E-3</v>
      </c>
      <c r="F191" s="19" t="s">
        <v>671</v>
      </c>
      <c r="G191" s="19" t="s">
        <v>320</v>
      </c>
      <c r="H191" s="19" t="s">
        <v>2233</v>
      </c>
    </row>
    <row r="192" spans="1:68" ht="20.100000000000001" customHeight="1" x14ac:dyDescent="0.2">
      <c r="A192"/>
      <c r="D192" s="19" t="s">
        <v>2270</v>
      </c>
      <c r="E192" s="19">
        <v>8.0000000000000002E-3</v>
      </c>
      <c r="F192" s="19" t="s">
        <v>671</v>
      </c>
      <c r="G192" s="19" t="s">
        <v>320</v>
      </c>
      <c r="H192" s="19" t="s">
        <v>2231</v>
      </c>
    </row>
    <row r="193" spans="1:8" ht="20.100000000000001" customHeight="1" x14ac:dyDescent="0.2">
      <c r="A193"/>
      <c r="D193" s="19" t="s">
        <v>2271</v>
      </c>
      <c r="E193" s="19">
        <v>1.9900000000000001E-2</v>
      </c>
      <c r="F193" s="19" t="s">
        <v>2271</v>
      </c>
      <c r="G193" s="19" t="s">
        <v>2208</v>
      </c>
      <c r="H193" s="19" t="s">
        <v>2208</v>
      </c>
    </row>
    <row r="194" spans="1:8" ht="20.100000000000001" customHeight="1" x14ac:dyDescent="0.2">
      <c r="A194"/>
      <c r="D194" s="19" t="s">
        <v>779</v>
      </c>
      <c r="E194" s="19">
        <v>5.3E-3</v>
      </c>
      <c r="F194" s="19" t="s">
        <v>779</v>
      </c>
      <c r="G194" s="19" t="s">
        <v>2208</v>
      </c>
      <c r="H194" s="19" t="s">
        <v>2208</v>
      </c>
    </row>
    <row r="195" spans="1:8" ht="20.100000000000001" customHeight="1" x14ac:dyDescent="0.2">
      <c r="A195"/>
      <c r="D195" s="19" t="s">
        <v>2272</v>
      </c>
      <c r="E195" s="19">
        <v>6.4000000000000003E-3</v>
      </c>
      <c r="F195" s="19" t="s">
        <v>2272</v>
      </c>
      <c r="G195" s="19" t="s">
        <v>2208</v>
      </c>
      <c r="H195" s="19" t="s">
        <v>2208</v>
      </c>
    </row>
    <row r="196" spans="1:8" ht="20.100000000000001" customHeight="1" x14ac:dyDescent="0.2">
      <c r="A196"/>
      <c r="D196" s="19" t="s">
        <v>2273</v>
      </c>
      <c r="E196" s="19">
        <v>3.0000000000000001E-3</v>
      </c>
      <c r="F196" s="19" t="s">
        <v>2274</v>
      </c>
      <c r="G196" s="19" t="s">
        <v>2275</v>
      </c>
      <c r="H196" s="19" t="s">
        <v>2208</v>
      </c>
    </row>
    <row r="197" spans="1:8" ht="20.100000000000001" customHeight="1" x14ac:dyDescent="0.2">
      <c r="A197"/>
      <c r="D197" s="19" t="s">
        <v>2276</v>
      </c>
      <c r="E197" s="19">
        <v>5.0000000000000001E-3</v>
      </c>
      <c r="F197" s="19" t="s">
        <v>2274</v>
      </c>
      <c r="G197" s="19" t="s">
        <v>2277</v>
      </c>
      <c r="H197" s="19" t="s">
        <v>2208</v>
      </c>
    </row>
    <row r="198" spans="1:8" ht="20.100000000000001" customHeight="1" x14ac:dyDescent="0.2">
      <c r="A198"/>
      <c r="D198" s="19" t="s">
        <v>2278</v>
      </c>
      <c r="E198" s="19">
        <v>2.5999999999999999E-3</v>
      </c>
      <c r="F198" s="19" t="s">
        <v>2278</v>
      </c>
      <c r="G198" s="19" t="s">
        <v>2208</v>
      </c>
      <c r="H198" s="19" t="s">
        <v>2208</v>
      </c>
    </row>
    <row r="199" spans="1:8" ht="20.100000000000001" customHeight="1" x14ac:dyDescent="0.2">
      <c r="A199"/>
      <c r="D199" s="19" t="s">
        <v>2279</v>
      </c>
      <c r="E199" s="19">
        <v>1.8E-3</v>
      </c>
      <c r="F199" s="19" t="s">
        <v>2279</v>
      </c>
      <c r="G199" s="19" t="s">
        <v>2208</v>
      </c>
      <c r="H199" s="19" t="s">
        <v>2208</v>
      </c>
    </row>
    <row r="200" spans="1:8" ht="20.100000000000001" customHeight="1" x14ac:dyDescent="0.2">
      <c r="A200"/>
    </row>
    <row r="201" spans="1:8" ht="20.100000000000001" customHeight="1" x14ac:dyDescent="0.2">
      <c r="A201"/>
    </row>
    <row r="202" spans="1:8" ht="20.100000000000001" customHeight="1" x14ac:dyDescent="0.2">
      <c r="A202"/>
      <c r="D202" s="2" t="s">
        <v>2280</v>
      </c>
    </row>
    <row r="203" spans="1:8" ht="20.100000000000001" customHeight="1" x14ac:dyDescent="0.2">
      <c r="A203"/>
      <c r="D203" s="17" t="s">
        <v>2281</v>
      </c>
    </row>
    <row r="204" spans="1:8" ht="20.100000000000001" customHeight="1" x14ac:dyDescent="0.2">
      <c r="A204"/>
      <c r="D204" s="25" t="s">
        <v>2282</v>
      </c>
    </row>
    <row r="205" spans="1:8" ht="20.100000000000001" customHeight="1" x14ac:dyDescent="0.2">
      <c r="A205"/>
      <c r="D205" s="9" t="s">
        <v>2283</v>
      </c>
    </row>
    <row r="206" spans="1:8" ht="20.100000000000001" customHeight="1" x14ac:dyDescent="0.2">
      <c r="A206"/>
      <c r="D206" s="19" t="s">
        <v>31</v>
      </c>
      <c r="E206" s="19" t="s">
        <v>65</v>
      </c>
    </row>
    <row r="207" spans="1:8" ht="20.100000000000001" customHeight="1" x14ac:dyDescent="0.2">
      <c r="A207"/>
      <c r="D207" s="19" t="s">
        <v>2190</v>
      </c>
      <c r="E207" s="19">
        <v>6.0000000000000001E-3</v>
      </c>
    </row>
    <row r="208" spans="1:8" ht="20.100000000000001" customHeight="1" x14ac:dyDescent="0.2">
      <c r="A208"/>
      <c r="D208" s="1" t="s">
        <v>2194</v>
      </c>
      <c r="E208" s="19">
        <v>2E-3</v>
      </c>
    </row>
    <row r="209" spans="1:5" ht="20.100000000000001" customHeight="1" x14ac:dyDescent="0.2">
      <c r="A209"/>
    </row>
    <row r="210" spans="1:5" ht="20.100000000000001" customHeight="1" x14ac:dyDescent="0.2">
      <c r="A210"/>
    </row>
    <row r="211" spans="1:5" ht="20.100000000000001" customHeight="1" x14ac:dyDescent="0.2">
      <c r="A211"/>
      <c r="D211" s="1" t="s">
        <v>2284</v>
      </c>
    </row>
    <row r="212" spans="1:5" ht="20.100000000000001" customHeight="1" x14ac:dyDescent="0.2">
      <c r="A212"/>
      <c r="D212" s="19" t="s">
        <v>66</v>
      </c>
      <c r="E212" s="19" t="s">
        <v>67</v>
      </c>
    </row>
    <row r="213" spans="1:5" ht="20.100000000000001" customHeight="1" x14ac:dyDescent="0.2">
      <c r="A213"/>
      <c r="D213" s="19" t="s">
        <v>2285</v>
      </c>
      <c r="E213" s="19" t="s">
        <v>2286</v>
      </c>
    </row>
    <row r="214" spans="1:5" ht="20.100000000000001" customHeight="1" x14ac:dyDescent="0.2">
      <c r="A214"/>
      <c r="D214" s="1" t="s">
        <v>2287</v>
      </c>
      <c r="E214" s="19" t="s">
        <v>2286</v>
      </c>
    </row>
    <row r="215" spans="1:5" ht="20.100000000000001" customHeight="1" x14ac:dyDescent="0.2">
      <c r="A215"/>
      <c r="D215" s="1" t="s">
        <v>2288</v>
      </c>
      <c r="E215" s="19" t="s">
        <v>2289</v>
      </c>
    </row>
    <row r="216" spans="1:5" ht="20.100000000000001" customHeight="1" x14ac:dyDescent="0.2">
      <c r="A216" s="79" t="str">
        <f>HYPERLINK("#A1", "▲ Back to top")</f>
        <v>▲ Back to top</v>
      </c>
      <c r="D216" s="1" t="s">
        <v>2290</v>
      </c>
      <c r="E216" s="19" t="s">
        <v>2289</v>
      </c>
    </row>
    <row r="217" spans="1:5" ht="20.100000000000001" customHeight="1" x14ac:dyDescent="0.2">
      <c r="A217"/>
      <c r="D217" s="1" t="s">
        <v>2291</v>
      </c>
      <c r="E217" s="19" t="s">
        <v>2289</v>
      </c>
    </row>
    <row r="218" spans="1:5" ht="20.100000000000001" customHeight="1" x14ac:dyDescent="0.2">
      <c r="A218"/>
      <c r="D218" s="1" t="s">
        <v>2292</v>
      </c>
      <c r="E218" s="19" t="s">
        <v>2293</v>
      </c>
    </row>
    <row r="219" spans="1:5" ht="20.100000000000001" customHeight="1" x14ac:dyDescent="0.2">
      <c r="A219"/>
      <c r="D219" s="1" t="s">
        <v>2294</v>
      </c>
      <c r="E219" s="19" t="s">
        <v>2293</v>
      </c>
    </row>
    <row r="220" spans="1:5" ht="20.100000000000001" customHeight="1" x14ac:dyDescent="0.2">
      <c r="A220"/>
      <c r="D220" s="1" t="s">
        <v>2295</v>
      </c>
      <c r="E220" s="19" t="s">
        <v>2293</v>
      </c>
    </row>
    <row r="221" spans="1:5" ht="20.100000000000001" customHeight="1" x14ac:dyDescent="0.2">
      <c r="A221"/>
      <c r="D221" s="1" t="s">
        <v>2296</v>
      </c>
      <c r="E221" s="19" t="s">
        <v>2297</v>
      </c>
    </row>
    <row r="222" spans="1:5" ht="20.100000000000001" customHeight="1" x14ac:dyDescent="0.2">
      <c r="A222"/>
      <c r="D222" s="1" t="s">
        <v>2298</v>
      </c>
      <c r="E222" s="19" t="s">
        <v>2297</v>
      </c>
    </row>
    <row r="223" spans="1:5" ht="20.100000000000001" customHeight="1" x14ac:dyDescent="0.2">
      <c r="A223"/>
      <c r="D223" s="1" t="s">
        <v>2299</v>
      </c>
      <c r="E223" s="19" t="s">
        <v>2297</v>
      </c>
    </row>
    <row r="224" spans="1:5" ht="20.100000000000001" customHeight="1" x14ac:dyDescent="0.2">
      <c r="A224"/>
      <c r="D224" s="1" t="s">
        <v>2300</v>
      </c>
      <c r="E224" s="19" t="s">
        <v>2286</v>
      </c>
    </row>
    <row r="225" spans="1:19" ht="20.100000000000001" customHeight="1" x14ac:dyDescent="0.2">
      <c r="A225"/>
    </row>
    <row r="226" spans="1:19" ht="20.100000000000001" customHeight="1" x14ac:dyDescent="0.2">
      <c r="A226"/>
    </row>
    <row r="227" spans="1:19" ht="20.100000000000001" customHeight="1" x14ac:dyDescent="0.2">
      <c r="A227"/>
      <c r="D227" s="2" t="s">
        <v>2301</v>
      </c>
    </row>
    <row r="228" spans="1:19" ht="20.100000000000001" customHeight="1" x14ac:dyDescent="0.2">
      <c r="A228"/>
      <c r="D228" s="17" t="s">
        <v>2302</v>
      </c>
    </row>
    <row r="229" spans="1:19" ht="20.100000000000001" customHeight="1" x14ac:dyDescent="0.2">
      <c r="A229"/>
      <c r="D229" s="25" t="s">
        <v>2303</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
        <v>2228</v>
      </c>
      <c r="E232" s="19" t="s">
        <v>2304</v>
      </c>
      <c r="F232" s="19">
        <v>0.66</v>
      </c>
      <c r="G232" s="19">
        <v>0.1</v>
      </c>
      <c r="H232" s="19">
        <v>0.1</v>
      </c>
      <c r="I232" s="19">
        <v>1E-3</v>
      </c>
      <c r="J232" s="19">
        <v>5.0000000000000001E-3</v>
      </c>
      <c r="K232" s="19">
        <v>0.02</v>
      </c>
      <c r="L232" s="19">
        <v>0.03</v>
      </c>
      <c r="M232" s="19">
        <v>0.04</v>
      </c>
      <c r="N232" s="19">
        <v>1.4999999999999999E-2</v>
      </c>
      <c r="O232" s="19">
        <v>1.4999999999999999E-2</v>
      </c>
      <c r="P232" s="19">
        <v>0</v>
      </c>
      <c r="Q232" s="19">
        <v>0</v>
      </c>
      <c r="R232" s="19">
        <v>4.7000000000000002E-3</v>
      </c>
      <c r="S232" s="19">
        <v>10</v>
      </c>
    </row>
    <row r="233" spans="1:19" ht="20.100000000000001" customHeight="1" x14ac:dyDescent="0.2">
      <c r="A233"/>
      <c r="D233" s="1" t="s">
        <v>2228</v>
      </c>
      <c r="E233" s="19">
        <v>11</v>
      </c>
      <c r="F233" s="19">
        <v>0.68</v>
      </c>
      <c r="G233" s="19">
        <v>0.1</v>
      </c>
      <c r="H233" s="19">
        <v>0.11</v>
      </c>
      <c r="I233" s="19">
        <v>1E-3</v>
      </c>
      <c r="J233" s="19">
        <v>5.0000000000000001E-3</v>
      </c>
      <c r="K233" s="19">
        <v>0.02</v>
      </c>
      <c r="L233" s="19">
        <v>0.03</v>
      </c>
      <c r="M233" s="19">
        <v>0.04</v>
      </c>
      <c r="N233" s="19">
        <v>1.4999999999999999E-2</v>
      </c>
      <c r="O233" s="19">
        <v>1.4999999999999999E-2</v>
      </c>
      <c r="P233" s="19">
        <v>0</v>
      </c>
      <c r="Q233" s="19">
        <v>0</v>
      </c>
      <c r="R233" s="19">
        <v>4.7000000000000002E-3</v>
      </c>
      <c r="S233" s="19">
        <v>11</v>
      </c>
    </row>
    <row r="234" spans="1:19" ht="20.100000000000001" customHeight="1" x14ac:dyDescent="0.2">
      <c r="A234"/>
      <c r="D234" s="1" t="s">
        <v>2228</v>
      </c>
      <c r="E234" s="19">
        <v>12</v>
      </c>
      <c r="F234" s="19">
        <v>0.7</v>
      </c>
      <c r="G234" s="19">
        <v>0.1</v>
      </c>
      <c r="H234" s="19">
        <v>0.13</v>
      </c>
      <c r="I234" s="19">
        <v>1E-3</v>
      </c>
      <c r="J234" s="19">
        <v>5.0000000000000001E-3</v>
      </c>
      <c r="K234" s="19">
        <v>0.02</v>
      </c>
      <c r="L234" s="19">
        <v>0.03</v>
      </c>
      <c r="M234" s="19">
        <v>0.04</v>
      </c>
      <c r="N234" s="19">
        <v>1.4999999999999999E-2</v>
      </c>
      <c r="O234" s="19">
        <v>1.4999999999999999E-2</v>
      </c>
      <c r="P234" s="19">
        <v>0</v>
      </c>
      <c r="Q234" s="19">
        <v>0</v>
      </c>
      <c r="R234" s="19">
        <v>4.7000000000000002E-3</v>
      </c>
      <c r="S234" s="19">
        <v>12</v>
      </c>
    </row>
    <row r="235" spans="1:19" ht="20.100000000000001" customHeight="1" x14ac:dyDescent="0.2">
      <c r="A235"/>
      <c r="D235" s="1" t="s">
        <v>2228</v>
      </c>
      <c r="E235" s="19">
        <v>13</v>
      </c>
      <c r="F235" s="19">
        <v>0.71</v>
      </c>
      <c r="G235" s="19">
        <v>0.1</v>
      </c>
      <c r="H235" s="19">
        <v>0.14000000000000001</v>
      </c>
      <c r="I235" s="19">
        <v>1E-3</v>
      </c>
      <c r="J235" s="19">
        <v>5.0000000000000001E-3</v>
      </c>
      <c r="K235" s="19">
        <v>0.02</v>
      </c>
      <c r="L235" s="19">
        <v>0.03</v>
      </c>
      <c r="M235" s="19">
        <v>0.04</v>
      </c>
      <c r="N235" s="19">
        <v>1.4999999999999999E-2</v>
      </c>
      <c r="O235" s="19">
        <v>1.4999999999999999E-2</v>
      </c>
      <c r="P235" s="19">
        <v>0</v>
      </c>
      <c r="Q235" s="19">
        <v>0</v>
      </c>
      <c r="R235" s="19">
        <v>4.7000000000000002E-3</v>
      </c>
      <c r="S235" s="19">
        <v>13</v>
      </c>
    </row>
    <row r="236" spans="1:19" ht="20.100000000000001" customHeight="1" x14ac:dyDescent="0.2">
      <c r="A236"/>
      <c r="D236" s="1" t="s">
        <v>2228</v>
      </c>
      <c r="E236" s="19">
        <v>14</v>
      </c>
      <c r="F236" s="19">
        <v>0.73</v>
      </c>
      <c r="G236" s="19">
        <v>0.1</v>
      </c>
      <c r="H236" s="19">
        <v>0.15</v>
      </c>
      <c r="I236" s="19">
        <v>1E-3</v>
      </c>
      <c r="J236" s="19">
        <v>5.0000000000000001E-3</v>
      </c>
      <c r="K236" s="19">
        <v>0.02</v>
      </c>
      <c r="L236" s="19">
        <v>0.03</v>
      </c>
      <c r="M236" s="19">
        <v>0.04</v>
      </c>
      <c r="N236" s="19">
        <v>1.4999999999999999E-2</v>
      </c>
      <c r="O236" s="19">
        <v>1.4999999999999999E-2</v>
      </c>
      <c r="P236" s="19">
        <v>0</v>
      </c>
      <c r="Q236" s="19">
        <v>0</v>
      </c>
      <c r="R236" s="19">
        <v>4.7000000000000002E-3</v>
      </c>
      <c r="S236" s="19">
        <v>14</v>
      </c>
    </row>
    <row r="237" spans="1:19" ht="20.100000000000001" customHeight="1" x14ac:dyDescent="0.2">
      <c r="A237"/>
      <c r="D237" s="1" t="s">
        <v>2226</v>
      </c>
      <c r="E237" s="19">
        <v>15</v>
      </c>
      <c r="F237" s="19">
        <v>0.74</v>
      </c>
      <c r="G237" s="19">
        <v>0.1</v>
      </c>
      <c r="H237" s="19">
        <v>0.17</v>
      </c>
      <c r="I237" s="19">
        <v>5.0000000000000001E-3</v>
      </c>
      <c r="J237" s="19">
        <v>0.01</v>
      </c>
      <c r="K237" s="19">
        <v>0.02</v>
      </c>
      <c r="L237" s="19">
        <v>0.03</v>
      </c>
      <c r="M237" s="19">
        <v>0.04</v>
      </c>
      <c r="N237" s="19">
        <v>1.4999999999999999E-2</v>
      </c>
      <c r="O237" s="19">
        <v>1.4999999999999999E-2</v>
      </c>
      <c r="P237" s="19">
        <v>0</v>
      </c>
      <c r="Q237" s="19">
        <v>0</v>
      </c>
      <c r="R237" s="19">
        <v>4.7000000000000002E-3</v>
      </c>
      <c r="S237" s="19">
        <v>15</v>
      </c>
    </row>
    <row r="238" spans="1:19" ht="20.100000000000001" customHeight="1" x14ac:dyDescent="0.2">
      <c r="A238"/>
      <c r="D238" s="1" t="s">
        <v>2226</v>
      </c>
      <c r="E238" s="19">
        <v>16</v>
      </c>
      <c r="F238" s="19">
        <v>0.75</v>
      </c>
      <c r="G238" s="19">
        <v>0.1</v>
      </c>
      <c r="H238" s="19">
        <v>0.18</v>
      </c>
      <c r="I238" s="19">
        <v>5.0000000000000001E-3</v>
      </c>
      <c r="J238" s="19">
        <v>0.01</v>
      </c>
      <c r="K238" s="19">
        <v>0.02</v>
      </c>
      <c r="L238" s="19">
        <v>0.03</v>
      </c>
      <c r="M238" s="19">
        <v>0.04</v>
      </c>
      <c r="N238" s="19">
        <v>1.4999999999999999E-2</v>
      </c>
      <c r="O238" s="19">
        <v>1.4999999999999999E-2</v>
      </c>
      <c r="P238" s="19">
        <v>0</v>
      </c>
      <c r="Q238" s="19">
        <v>0</v>
      </c>
      <c r="R238" s="19">
        <v>4.7000000000000002E-3</v>
      </c>
      <c r="S238" s="19">
        <v>16</v>
      </c>
    </row>
    <row r="239" spans="1:19" ht="20.100000000000001" customHeight="1" x14ac:dyDescent="0.2">
      <c r="A239"/>
      <c r="D239" s="1" t="s">
        <v>2226</v>
      </c>
      <c r="E239" s="19">
        <v>17</v>
      </c>
      <c r="F239" s="19">
        <v>0.76</v>
      </c>
      <c r="G239" s="19">
        <v>0.1</v>
      </c>
      <c r="H239" s="19">
        <v>0.2</v>
      </c>
      <c r="I239" s="19">
        <v>5.0000000000000001E-3</v>
      </c>
      <c r="J239" s="19">
        <v>0.01</v>
      </c>
      <c r="K239" s="19">
        <v>0.02</v>
      </c>
      <c r="L239" s="19">
        <v>0.03</v>
      </c>
      <c r="M239" s="19">
        <v>0.04</v>
      </c>
      <c r="N239" s="19">
        <v>1.4999999999999999E-2</v>
      </c>
      <c r="O239" s="19">
        <v>1.4999999999999999E-2</v>
      </c>
      <c r="P239" s="19">
        <v>0</v>
      </c>
      <c r="Q239" s="19">
        <v>0</v>
      </c>
      <c r="R239" s="19">
        <v>4.7000000000000002E-3</v>
      </c>
      <c r="S239" s="19">
        <v>17</v>
      </c>
    </row>
    <row r="240" spans="1:19" ht="20.100000000000001" customHeight="1" x14ac:dyDescent="0.2">
      <c r="A240"/>
      <c r="D240" s="1" t="s">
        <v>2226</v>
      </c>
      <c r="E240" s="19">
        <v>18</v>
      </c>
      <c r="F240" s="19">
        <v>0.77</v>
      </c>
      <c r="G240" s="19">
        <v>0.1</v>
      </c>
      <c r="H240" s="19">
        <v>0.22</v>
      </c>
      <c r="I240" s="19">
        <v>5.0000000000000001E-3</v>
      </c>
      <c r="J240" s="19">
        <v>0.01</v>
      </c>
      <c r="K240" s="19">
        <v>0.02</v>
      </c>
      <c r="L240" s="19">
        <v>0.03</v>
      </c>
      <c r="M240" s="19">
        <v>0.04</v>
      </c>
      <c r="N240" s="19">
        <v>1.4999999999999999E-2</v>
      </c>
      <c r="O240" s="19">
        <v>1.4999999999999999E-2</v>
      </c>
      <c r="P240" s="19">
        <v>0</v>
      </c>
      <c r="Q240" s="19">
        <v>0</v>
      </c>
      <c r="R240" s="19">
        <v>4.7000000000000002E-3</v>
      </c>
      <c r="S240" s="19">
        <v>18</v>
      </c>
    </row>
    <row r="241" spans="1:19" ht="20.100000000000001" customHeight="1" x14ac:dyDescent="0.2">
      <c r="A241"/>
      <c r="D241" s="1" t="s">
        <v>2226</v>
      </c>
      <c r="E241" s="19">
        <v>19</v>
      </c>
      <c r="F241" s="19">
        <v>0.77</v>
      </c>
      <c r="G241" s="19">
        <v>0.1</v>
      </c>
      <c r="H241" s="19">
        <v>0.24</v>
      </c>
      <c r="I241" s="19">
        <v>5.0000000000000001E-3</v>
      </c>
      <c r="J241" s="19">
        <v>0.01</v>
      </c>
      <c r="K241" s="19">
        <v>0.02</v>
      </c>
      <c r="L241" s="19">
        <v>0.03</v>
      </c>
      <c r="M241" s="19">
        <v>0.04</v>
      </c>
      <c r="N241" s="19">
        <v>1.4999999999999999E-2</v>
      </c>
      <c r="O241" s="19">
        <v>1.4999999999999999E-2</v>
      </c>
      <c r="P241" s="19">
        <v>0</v>
      </c>
      <c r="Q241" s="19">
        <v>0</v>
      </c>
      <c r="R241" s="19">
        <v>4.7000000000000002E-3</v>
      </c>
      <c r="S241" s="19">
        <v>19</v>
      </c>
    </row>
    <row r="242" spans="1:19" ht="20.100000000000001" customHeight="1" x14ac:dyDescent="0.2">
      <c r="A242"/>
      <c r="D242" s="1" t="s">
        <v>2226</v>
      </c>
      <c r="E242" s="19">
        <v>20</v>
      </c>
      <c r="F242" s="19">
        <v>0.78</v>
      </c>
      <c r="G242" s="19">
        <v>0.1</v>
      </c>
      <c r="H242" s="19">
        <v>0.26</v>
      </c>
      <c r="I242" s="19">
        <v>5.0000000000000001E-3</v>
      </c>
      <c r="J242" s="19">
        <v>0.01</v>
      </c>
      <c r="K242" s="19">
        <v>0.02</v>
      </c>
      <c r="L242" s="19">
        <v>0.03</v>
      </c>
      <c r="M242" s="19">
        <v>0.04</v>
      </c>
      <c r="N242" s="19">
        <v>1.4999999999999999E-2</v>
      </c>
      <c r="O242" s="19">
        <v>1.4999999999999999E-2</v>
      </c>
      <c r="P242" s="19">
        <v>0</v>
      </c>
      <c r="Q242" s="19">
        <v>0</v>
      </c>
      <c r="R242" s="19">
        <v>4.7000000000000002E-3</v>
      </c>
      <c r="S242" s="19">
        <v>20</v>
      </c>
    </row>
    <row r="243" spans="1:19" ht="20.100000000000001" customHeight="1" x14ac:dyDescent="0.2">
      <c r="A243"/>
      <c r="D243" s="1" t="s">
        <v>2226</v>
      </c>
      <c r="E243" s="19">
        <v>21</v>
      </c>
      <c r="F243" s="19">
        <v>0.78</v>
      </c>
      <c r="G243" s="19">
        <v>0.1</v>
      </c>
      <c r="H243" s="19">
        <v>0.28999999999999998</v>
      </c>
      <c r="I243" s="19">
        <v>5.0000000000000001E-3</v>
      </c>
      <c r="J243" s="19">
        <v>0.01</v>
      </c>
      <c r="K243" s="19">
        <v>0.02</v>
      </c>
      <c r="L243" s="19">
        <v>0.03</v>
      </c>
      <c r="M243" s="19">
        <v>0.04</v>
      </c>
      <c r="N243" s="19">
        <v>1.4999999999999999E-2</v>
      </c>
      <c r="O243" s="19">
        <v>1.4999999999999999E-2</v>
      </c>
      <c r="P243" s="19">
        <v>0</v>
      </c>
      <c r="Q243" s="19">
        <v>0</v>
      </c>
      <c r="R243" s="19">
        <v>4.7000000000000002E-3</v>
      </c>
      <c r="S243" s="19">
        <v>21</v>
      </c>
    </row>
    <row r="244" spans="1:19" ht="20.100000000000001" customHeight="1" x14ac:dyDescent="0.2">
      <c r="A244"/>
      <c r="D244" s="1" t="s">
        <v>2226</v>
      </c>
      <c r="E244" s="19">
        <v>22</v>
      </c>
      <c r="F244" s="19">
        <v>0.78</v>
      </c>
      <c r="G244" s="19">
        <v>0.1</v>
      </c>
      <c r="H244" s="19">
        <v>0.31</v>
      </c>
      <c r="I244" s="19">
        <v>5.0000000000000001E-3</v>
      </c>
      <c r="J244" s="19">
        <v>0.01</v>
      </c>
      <c r="K244" s="19">
        <v>0.02</v>
      </c>
      <c r="L244" s="19">
        <v>0.03</v>
      </c>
      <c r="M244" s="19">
        <v>0.04</v>
      </c>
      <c r="N244" s="19">
        <v>1.4999999999999999E-2</v>
      </c>
      <c r="O244" s="19">
        <v>1.4999999999999999E-2</v>
      </c>
      <c r="P244" s="19">
        <v>0</v>
      </c>
      <c r="Q244" s="19">
        <v>0</v>
      </c>
      <c r="R244" s="19">
        <v>4.7000000000000002E-3</v>
      </c>
      <c r="S244" s="19">
        <v>22</v>
      </c>
    </row>
    <row r="245" spans="1:19" ht="20.100000000000001" customHeight="1" x14ac:dyDescent="0.2">
      <c r="A245"/>
      <c r="D245" s="1" t="s">
        <v>2226</v>
      </c>
      <c r="E245" s="19">
        <v>23</v>
      </c>
      <c r="F245" s="19">
        <v>0.79</v>
      </c>
      <c r="G245" s="19">
        <v>0.1</v>
      </c>
      <c r="H245" s="19">
        <v>0.34</v>
      </c>
      <c r="I245" s="19">
        <v>5.0000000000000001E-3</v>
      </c>
      <c r="J245" s="19">
        <v>0.01</v>
      </c>
      <c r="K245" s="19">
        <v>0.02</v>
      </c>
      <c r="L245" s="19">
        <v>0.03</v>
      </c>
      <c r="M245" s="19">
        <v>0.04</v>
      </c>
      <c r="N245" s="19">
        <v>1.4999999999999999E-2</v>
      </c>
      <c r="O245" s="19">
        <v>1.4999999999999999E-2</v>
      </c>
      <c r="P245" s="19">
        <v>0</v>
      </c>
      <c r="Q245" s="19">
        <v>0</v>
      </c>
      <c r="R245" s="19">
        <v>4.7000000000000002E-3</v>
      </c>
      <c r="S245" s="19">
        <v>23</v>
      </c>
    </row>
    <row r="246" spans="1:19" ht="20.100000000000001" customHeight="1" x14ac:dyDescent="0.2">
      <c r="A246" s="79" t="str">
        <f>HYPERLINK("#A1", "▲ Back to top")</f>
        <v>▲ Back to top</v>
      </c>
      <c r="D246" s="1" t="s">
        <v>2226</v>
      </c>
      <c r="E246" s="19">
        <v>24</v>
      </c>
      <c r="F246" s="19">
        <v>0.79</v>
      </c>
      <c r="G246" s="19">
        <v>0.1</v>
      </c>
      <c r="H246" s="19">
        <v>0.37</v>
      </c>
      <c r="I246" s="19">
        <v>5.0000000000000001E-3</v>
      </c>
      <c r="J246" s="19">
        <v>0.01</v>
      </c>
      <c r="K246" s="19">
        <v>0.02</v>
      </c>
      <c r="L246" s="19">
        <v>0.03</v>
      </c>
      <c r="M246" s="19">
        <v>0.04</v>
      </c>
      <c r="N246" s="19">
        <v>1.4999999999999999E-2</v>
      </c>
      <c r="O246" s="19">
        <v>1.4999999999999999E-2</v>
      </c>
      <c r="P246" s="19">
        <v>0</v>
      </c>
      <c r="Q246" s="19">
        <v>0</v>
      </c>
      <c r="R246" s="19">
        <v>4.7000000000000002E-3</v>
      </c>
      <c r="S246" s="19">
        <v>24</v>
      </c>
    </row>
    <row r="247" spans="1:19" ht="20.100000000000001" customHeight="1" x14ac:dyDescent="0.2">
      <c r="A247"/>
      <c r="D247" s="1" t="s">
        <v>2226</v>
      </c>
      <c r="E247" s="19">
        <v>25</v>
      </c>
      <c r="F247" s="19">
        <v>0.79</v>
      </c>
      <c r="G247" s="19">
        <v>0.1</v>
      </c>
      <c r="H247" s="19">
        <v>0.41</v>
      </c>
      <c r="I247" s="19">
        <v>5.0000000000000001E-3</v>
      </c>
      <c r="J247" s="19">
        <v>0.01</v>
      </c>
      <c r="K247" s="19">
        <v>0.02</v>
      </c>
      <c r="L247" s="19">
        <v>0.03</v>
      </c>
      <c r="M247" s="19">
        <v>0.04</v>
      </c>
      <c r="N247" s="19">
        <v>1.4999999999999999E-2</v>
      </c>
      <c r="O247" s="19">
        <v>1.4999999999999999E-2</v>
      </c>
      <c r="P247" s="19">
        <v>0</v>
      </c>
      <c r="Q247" s="19">
        <v>0</v>
      </c>
      <c r="R247" s="19">
        <v>4.7000000000000002E-3</v>
      </c>
      <c r="S247" s="19">
        <v>25</v>
      </c>
    </row>
    <row r="248" spans="1:19" ht="20.100000000000001" customHeight="1" x14ac:dyDescent="0.2">
      <c r="A248"/>
      <c r="D248" s="1" t="s">
        <v>2224</v>
      </c>
      <c r="E248" s="19">
        <v>26</v>
      </c>
      <c r="F248" s="19">
        <v>0.79</v>
      </c>
      <c r="G248" s="19">
        <v>0.1</v>
      </c>
      <c r="H248" s="19">
        <v>0.44</v>
      </c>
      <c r="I248" s="19">
        <v>0.01</v>
      </c>
      <c r="J248" s="19">
        <v>1.4999999999999999E-2</v>
      </c>
      <c r="K248" s="19">
        <v>0.02</v>
      </c>
      <c r="L248" s="19">
        <v>0.03</v>
      </c>
      <c r="M248" s="19">
        <v>0.04</v>
      </c>
      <c r="N248" s="19">
        <v>1.4999999999999999E-2</v>
      </c>
      <c r="O248" s="19">
        <v>1.4999999999999999E-2</v>
      </c>
      <c r="P248" s="19">
        <v>0</v>
      </c>
      <c r="Q248" s="19">
        <v>0</v>
      </c>
      <c r="R248" s="19">
        <v>4.7000000000000002E-3</v>
      </c>
      <c r="S248" s="19">
        <v>26</v>
      </c>
    </row>
    <row r="249" spans="1:19" ht="20.100000000000001" customHeight="1" x14ac:dyDescent="0.2">
      <c r="A249"/>
      <c r="D249" s="1" t="s">
        <v>2224</v>
      </c>
      <c r="E249" s="19">
        <v>27</v>
      </c>
      <c r="F249" s="19">
        <v>0.8</v>
      </c>
      <c r="G249" s="19">
        <v>0.1</v>
      </c>
      <c r="H249" s="19">
        <v>0.48</v>
      </c>
      <c r="I249" s="19">
        <v>0.01</v>
      </c>
      <c r="J249" s="19">
        <v>1.4999999999999999E-2</v>
      </c>
      <c r="K249" s="19">
        <v>0.02</v>
      </c>
      <c r="L249" s="19">
        <v>0.03</v>
      </c>
      <c r="M249" s="19">
        <v>0.04</v>
      </c>
      <c r="N249" s="19">
        <v>1.4999999999999999E-2</v>
      </c>
      <c r="O249" s="19">
        <v>1.4999999999999999E-2</v>
      </c>
      <c r="P249" s="19">
        <v>0</v>
      </c>
      <c r="Q249" s="19">
        <v>0</v>
      </c>
      <c r="R249" s="19">
        <v>4.7000000000000002E-3</v>
      </c>
      <c r="S249" s="19">
        <v>27</v>
      </c>
    </row>
    <row r="250" spans="1:19" ht="20.100000000000001" customHeight="1" x14ac:dyDescent="0.2">
      <c r="A250"/>
      <c r="D250" s="1" t="s">
        <v>2224</v>
      </c>
      <c r="E250" s="19" t="s">
        <v>2305</v>
      </c>
      <c r="F250" s="19">
        <v>0.8</v>
      </c>
      <c r="G250" s="19">
        <v>0.1</v>
      </c>
      <c r="H250" s="19">
        <v>0.5</v>
      </c>
      <c r="I250" s="19">
        <v>0.01</v>
      </c>
      <c r="J250" s="19">
        <v>1.4999999999999999E-2</v>
      </c>
      <c r="K250" s="19">
        <v>0.02</v>
      </c>
      <c r="L250" s="19">
        <v>0.03</v>
      </c>
      <c r="M250" s="19">
        <v>0.04</v>
      </c>
      <c r="N250" s="19">
        <v>1.4999999999999999E-2</v>
      </c>
      <c r="O250" s="19">
        <v>1.4999999999999999E-2</v>
      </c>
      <c r="P250" s="19">
        <v>0</v>
      </c>
      <c r="Q250" s="19">
        <v>0</v>
      </c>
      <c r="R250" s="19">
        <v>4.7000000000000002E-3</v>
      </c>
      <c r="S250" s="19">
        <v>28</v>
      </c>
    </row>
    <row r="251" spans="1:19" ht="20.100000000000001" customHeight="1" x14ac:dyDescent="0.2">
      <c r="A251"/>
    </row>
    <row r="252" spans="1:19" ht="20.100000000000001" customHeight="1" x14ac:dyDescent="0.2">
      <c r="A252"/>
    </row>
    <row r="253" spans="1:19" ht="20.100000000000001" customHeight="1" x14ac:dyDescent="0.2">
      <c r="A253"/>
      <c r="D253" s="2" t="s">
        <v>2306</v>
      </c>
    </row>
    <row r="254" spans="1:19" ht="20.100000000000001" customHeight="1" x14ac:dyDescent="0.2">
      <c r="A254"/>
      <c r="D254" s="17" t="s">
        <v>2307</v>
      </c>
    </row>
    <row r="255" spans="1:19" ht="20.100000000000001" customHeight="1" x14ac:dyDescent="0.2">
      <c r="A255"/>
      <c r="D255" s="1" t="s">
        <v>85</v>
      </c>
    </row>
    <row r="256" spans="1:19" ht="20.100000000000001" customHeight="1" x14ac:dyDescent="0.2">
      <c r="A256"/>
      <c r="D256" s="9" t="s">
        <v>2283</v>
      </c>
    </row>
    <row r="257" spans="1:66" ht="20.100000000000001" customHeight="1" x14ac:dyDescent="0.2">
      <c r="A257"/>
      <c r="D257" s="19" t="s">
        <v>84</v>
      </c>
      <c r="E257" s="19" t="s">
        <v>85</v>
      </c>
    </row>
    <row r="258" spans="1:66" ht="20.100000000000001" customHeight="1" x14ac:dyDescent="0.2">
      <c r="A258"/>
      <c r="D258" s="19" t="s">
        <v>2190</v>
      </c>
      <c r="E258" s="19">
        <v>6.0000000000000001E-3</v>
      </c>
    </row>
    <row r="259" spans="1:66" ht="20.100000000000001" customHeight="1" x14ac:dyDescent="0.2">
      <c r="A259"/>
      <c r="D259" s="1" t="s">
        <v>2194</v>
      </c>
      <c r="E259" s="19">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s="79" t="str">
        <f>HYPERLINK("#A1", "▲ Back to top")</f>
        <v>▲ Back to top</v>
      </c>
      <c r="D276" s="19" t="s">
        <v>205</v>
      </c>
      <c r="E276" s="19" t="s">
        <v>169</v>
      </c>
      <c r="F276" s="19" t="s">
        <v>170</v>
      </c>
      <c r="G276" s="19">
        <v>4</v>
      </c>
      <c r="V276" s="1"/>
      <c r="BN276" s="21"/>
    </row>
    <row r="277" spans="1:66" ht="20.100000000000001" customHeight="1" x14ac:dyDescent="0.2">
      <c r="A277"/>
      <c r="D277" s="19" t="s">
        <v>206</v>
      </c>
      <c r="E277" s="19" t="s">
        <v>171</v>
      </c>
      <c r="F277" s="19" t="s">
        <v>172</v>
      </c>
      <c r="G277" s="19">
        <v>3</v>
      </c>
      <c r="V277" s="1"/>
      <c r="BN277" s="21"/>
    </row>
    <row r="278" spans="1:66" ht="20.100000000000001" customHeight="1" x14ac:dyDescent="0.2">
      <c r="A278"/>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3FE4-7BB1-4422-B5D3-E5B2FE7A0771}">
  <sheetPr>
    <tabColor theme="5" tint="-0.249977111117893"/>
  </sheetPr>
  <dimension ref="A1:K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670</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479</v>
      </c>
      <c r="E5" s="13" t="s">
        <v>671</v>
      </c>
      <c r="F5" s="16" t="s">
        <v>100</v>
      </c>
    </row>
    <row r="6" spans="1:11" ht="20.100000000000001" customHeight="1" x14ac:dyDescent="0.2">
      <c r="D6" s="1" t="s">
        <v>672</v>
      </c>
      <c r="E6" s="13" t="s">
        <v>673</v>
      </c>
      <c r="F6" s="16" t="s">
        <v>100</v>
      </c>
    </row>
    <row r="7" spans="1:11" ht="20.100000000000001" customHeight="1" x14ac:dyDescent="0.2">
      <c r="D7" s="1" t="s">
        <v>63</v>
      </c>
      <c r="E7" s="13" t="s">
        <v>481</v>
      </c>
      <c r="F7" s="16" t="s">
        <v>100</v>
      </c>
    </row>
    <row r="8" spans="1:11" ht="20.100000000000001" customHeight="1" x14ac:dyDescent="0.2">
      <c r="A8" s="7" t="s">
        <v>0</v>
      </c>
      <c r="D8" s="1" t="s">
        <v>674</v>
      </c>
      <c r="E8" s="74">
        <v>100</v>
      </c>
      <c r="F8" s="16" t="s">
        <v>675</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Feedlot'!A1", "Feedlot")</f>
        <v>Feedlot</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101"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3">
    <dataValidation type="list" allowBlank="1" showInputMessage="1" showErrorMessage="1" sqref="E5" xr:uid="{EA48C140-C73C-4FDA-8966-2D5EBE1207D0}">
      <formula1>INDIRECT("Table_SourceData_Fertiliser_CropProdSystems[Production system]")</formula1>
    </dataValidation>
    <dataValidation type="list" allowBlank="1" showInputMessage="1" showErrorMessage="1" sqref="E7" xr:uid="{51ECCE51-8EB5-4959-AC28-CB21F7E434E7}">
      <formula1>INDIRECT("Table_SourceData_Fertiliser_IrrigationMethods[Irrigation method]")</formula1>
    </dataValidation>
    <dataValidation type="list" allowBlank="1" showInputMessage="1" showErrorMessage="1" sqref="E6" xr:uid="{63CEEB5C-676A-4037-AD80-5D390E0612DC}">
      <formula1>INDIRECT("Table_SourceData_Fertiliser_CropTypes[Production system]")</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EA5D0-7E2D-49A8-B155-4BA9A5D7ACB8}">
  <sheetPr>
    <tabColor theme="5" tint="-0.249977111117893"/>
  </sheetPr>
  <dimension ref="A1:AA37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676</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677</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29" t="s">
        <v>678</v>
      </c>
      <c r="E7" s="43"/>
      <c r="F7" s="43"/>
      <c r="G7" s="43"/>
      <c r="H7" s="44"/>
      <c r="I7" s="191"/>
      <c r="J7" s="192"/>
      <c r="K7" s="192"/>
      <c r="L7" s="192"/>
      <c r="M7" s="192"/>
    </row>
    <row r="8" spans="1:27" ht="20.100000000000001" customHeight="1" x14ac:dyDescent="0.2">
      <c r="A8" s="7" t="s">
        <v>0</v>
      </c>
      <c r="D8" s="45" t="s">
        <v>679</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680</v>
      </c>
      <c r="E10" s="8"/>
      <c r="F10" s="8"/>
      <c r="G10" s="8"/>
      <c r="H10" s="8"/>
      <c r="I10" s="8"/>
      <c r="J10" s="8"/>
      <c r="K10" s="8"/>
      <c r="L10" s="8"/>
      <c r="M10" s="8"/>
    </row>
    <row r="11" spans="1:27" ht="20.100000000000001" customHeight="1" x14ac:dyDescent="0.2">
      <c r="A11" s="5" t="str">
        <f>HYPERLINK("#'Input - Feedlot'!A1", "Feedlot")</f>
        <v>Feedlot</v>
      </c>
      <c r="D11" s="193" t="s">
        <v>681</v>
      </c>
      <c r="E11" s="194" t="s">
        <v>682</v>
      </c>
      <c r="F11" s="195" t="s">
        <v>683</v>
      </c>
      <c r="G11" s="194" t="s">
        <v>684</v>
      </c>
      <c r="H11" s="195" t="s">
        <v>685</v>
      </c>
      <c r="I11" s="194" t="s">
        <v>686</v>
      </c>
      <c r="J11" s="193" t="s">
        <v>687</v>
      </c>
      <c r="K11" s="193" t="s">
        <v>688</v>
      </c>
      <c r="L11" s="193" t="s">
        <v>689</v>
      </c>
      <c r="M11" s="193" t="s">
        <v>690</v>
      </c>
      <c r="N11" s="193" t="s">
        <v>691</v>
      </c>
      <c r="O11" s="193" t="s">
        <v>692</v>
      </c>
      <c r="P11" s="193" t="s">
        <v>693</v>
      </c>
      <c r="Q11" s="193" t="s">
        <v>694</v>
      </c>
      <c r="R11" s="193" t="s">
        <v>695</v>
      </c>
      <c r="S11" s="193" t="s">
        <v>696</v>
      </c>
      <c r="T11" s="193" t="s">
        <v>697</v>
      </c>
      <c r="U11" s="193" t="s">
        <v>698</v>
      </c>
      <c r="V11" s="193" t="s">
        <v>699</v>
      </c>
      <c r="W11" s="193" t="s">
        <v>700</v>
      </c>
      <c r="X11" s="193" t="s">
        <v>701</v>
      </c>
      <c r="Y11" s="193" t="s">
        <v>702</v>
      </c>
      <c r="Z11" s="193" t="s">
        <v>703</v>
      </c>
    </row>
    <row r="12" spans="1:27" ht="20.100000000000001" customHeight="1" x14ac:dyDescent="0.2">
      <c r="A12" s="5" t="str">
        <f>HYPERLINK("#'Input - Livestock sales'!A1", "Livestock sales")</f>
        <v>Livestock sales</v>
      </c>
      <c r="D12" s="196" t="s">
        <v>704</v>
      </c>
      <c r="E12" s="197">
        <v>100</v>
      </c>
      <c r="F12" s="15" t="str">
        <f>IFERROR(_xlfn.XLOOKUP(Table_Input_InorganicFertiliser_Brands[[#This Row],[Product (select)]],FertiliserProducts[Product],FertiliserProducts[Unit]), "kg")</f>
        <v>kg</v>
      </c>
      <c r="G12" s="197">
        <f t="shared" ref="G12" si="0">X_Cell_Fertiliser_AreaUnderCropping</f>
        <v>100</v>
      </c>
      <c r="H12" s="198">
        <f>IFERROR(_xlfn.XLOOKUP(Table_Input_InorganicFertiliser_Brands[[#This Row],[Product (select)]],FertiliserProducts[Product],FertiliserProducts[Density]), 1)</f>
        <v>1</v>
      </c>
      <c r="I12" s="199">
        <f>(Table_Input_InorganicFertiliser_Brands[[#This Row],[Amount applied per hectare]]*Table_Input_InorganicFertiliser_Brands[[#This Row],[Density]])*Table_Input_InorganicFertiliser_Brands[[#This Row],[Application area (ha)]]</f>
        <v>10000</v>
      </c>
      <c r="J12" s="19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9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99"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199"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199"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199"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199"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199"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199"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199"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199"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199"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99" cm="1">
        <f t="array" ref="W12">IFERROR(Fertiliser_InputFunctions.Fertiliser_FertiliserProductLookup(Table_Input_InorganicFertiliser_Brands[[#This Row],[Product (select)]], "N declared", FertiliserProducts[#Data], FertiliserProducts[Product], FertiliserProducts[#Headers])*0.01, 0)</f>
        <v>0.46</v>
      </c>
      <c r="X12"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99">
        <f>IFERROR(_xlfn.XLOOKUP(Table_Input_InorganicFertiliser_Brands[[#This Row],[Product (select)]],FertiliserProducts[Product],FertiliserProducts[Urea source]), "")</f>
        <v>0</v>
      </c>
      <c r="Z12" s="199">
        <f>IFERROR(_xlfn.XLOOKUP(Table_Input_InorganicFertiliser_Brands[[#This Row],[Product (select)]],FertiliserProducts[Product],FertiliserProducts[Ammonia source]), "")</f>
        <v>0</v>
      </c>
    </row>
    <row r="13" spans="1:27" ht="20.100000000000001" customHeight="1" x14ac:dyDescent="0.2">
      <c r="A13" s="5" t="str">
        <f>HYPERLINK("#'Input - Beef cattle purchases'!A1", "Beef cattle purchases")</f>
        <v>Beef cattle purchases</v>
      </c>
      <c r="D13" s="196" t="s">
        <v>705</v>
      </c>
      <c r="E13" s="197">
        <v>100</v>
      </c>
      <c r="F13" s="15" t="str">
        <f>IFERROR(_xlfn.XLOOKUP(Table_Input_InorganicFertiliser_Brands[[#This Row],[Product (select)]],FertiliserProducts[Product],FertiliserProducts[Unit]), "kg")</f>
        <v>kg</v>
      </c>
      <c r="G13" s="197">
        <f t="shared" ref="G13" si="1">X_Cell_Fertiliser_AreaUnderCropping</f>
        <v>100</v>
      </c>
      <c r="H13" s="198">
        <f>IFERROR(_xlfn.XLOOKUP(Table_Input_InorganicFertiliser_Brands[[#This Row],[Product (select)]],FertiliserProducts[Product],FertiliserProducts[Density]), 1)</f>
        <v>1</v>
      </c>
      <c r="I13" s="199">
        <f>(Table_Input_InorganicFertiliser_Brands[[#This Row],[Amount applied per hectare]]*Table_Input_InorganicFertiliser_Brands[[#This Row],[Density]])*Table_Input_InorganicFertiliser_Brands[[#This Row],[Application area (ha)]]</f>
        <v>10000</v>
      </c>
      <c r="J13" s="19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9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9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9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9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9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9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9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9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9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9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9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0" cm="1">
        <f t="array" ref="W13">IFERROR(Fertiliser_InputFunctions.Fertiliser_FertiliserProductLookup(Table_Input_InorganicFertiliser_Brands[[#This Row],[Product (select)]], "N declared", FertiliserProducts[#Data], FertiliserProducts[Product], FertiliserProducts[#Headers])*0.01, 0)</f>
        <v>0.24</v>
      </c>
      <c r="X13"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99">
        <f>IFERROR(_xlfn.XLOOKUP(Table_Input_InorganicFertiliser_Brands[[#This Row],[Product (select)]],FertiliserProducts[Product],FertiliserProducts[Urea source]), "")</f>
        <v>0</v>
      </c>
      <c r="Z13" s="199">
        <f>IFERROR(_xlfn.XLOOKUP(Table_Input_InorganicFertiliser_Brands[[#This Row],[Product (select)]],FertiliserProducts[Product],FertiliserProducts[Ammonia source]), "")</f>
        <v>0</v>
      </c>
    </row>
    <row r="14" spans="1:27" ht="20.100000000000001" customHeight="1" x14ac:dyDescent="0.2">
      <c r="A14" s="5" t="str">
        <f>HYPERLINK("#'Input - Fuel'!A1", "Fuel")</f>
        <v>Fuel</v>
      </c>
      <c r="D14" s="196" t="s">
        <v>706</v>
      </c>
      <c r="E14" s="197">
        <v>100</v>
      </c>
      <c r="F14" s="15" t="str">
        <f>IFERROR(_xlfn.XLOOKUP(Table_Input_InorganicFertiliser_Brands[[#This Row],[Product (select)]],FertiliserProducts[Product],FertiliserProducts[Unit]), "kg")</f>
        <v>kg</v>
      </c>
      <c r="G14" s="197">
        <f t="shared" ref="G14" si="2">X_Cell_Fertiliser_AreaUnderCropping</f>
        <v>100</v>
      </c>
      <c r="H14" s="198">
        <f>IFERROR(_xlfn.XLOOKUP(Table_Input_InorganicFertiliser_Brands[[#This Row],[Product (select)]],FertiliserProducts[Product],FertiliserProducts[Density]), 1)</f>
        <v>1</v>
      </c>
      <c r="I14" s="199">
        <f>(Table_Input_InorganicFertiliser_Brands[[#This Row],[Amount applied per hectare]]*Table_Input_InorganicFertiliser_Brands[[#This Row],[Density]])*Table_Input_InorganicFertiliser_Brands[[#This Row],[Application area (ha)]]</f>
        <v>10000</v>
      </c>
      <c r="J14" s="19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9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9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9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9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9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9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9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9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9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99"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199"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0" cm="1">
        <f t="array" ref="W14">IFERROR(Fertiliser_InputFunctions.Fertiliser_FertiliserProductLookup(Table_Input_InorganicFertiliser_Brands[[#This Row],[Product (select)]], "N declared", FertiliserProducts[#Data], FertiliserProducts[Product], FertiliserProducts[#Headers])*0.01, 0)</f>
        <v>0.17899999999999999</v>
      </c>
      <c r="X14"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99">
        <f>IFERROR(_xlfn.XLOOKUP(Table_Input_InorganicFertiliser_Brands[[#This Row],[Product (select)]],FertiliserProducts[Product],FertiliserProducts[Urea source]), "")</f>
        <v>0</v>
      </c>
      <c r="Z14" s="199">
        <f>IFERROR(_xlfn.XLOOKUP(Table_Input_InorganicFertiliser_Brands[[#This Row],[Product (select)]],FertiliserProducts[Product],FertiliserProducts[Ammonia source]), "")</f>
        <v>0</v>
      </c>
    </row>
    <row r="15" spans="1:27" ht="20.100000000000001" customHeight="1" x14ac:dyDescent="0.2">
      <c r="A15" s="5" t="str">
        <f>HYPERLINK("#'Input - Electricity'!A1", "Electricity")</f>
        <v>Electricity</v>
      </c>
      <c r="D15" s="196"/>
      <c r="E15" s="197"/>
      <c r="F15" s="15" t="str">
        <f>IFERROR(_xlfn.XLOOKUP(Table_Input_InorganicFertiliser_Brands[[#This Row],[Product (select)]],FertiliserProducts[Product],FertiliserProducts[Unit]), "kg")</f>
        <v>kg</v>
      </c>
      <c r="G15" s="197">
        <f t="shared" ref="G15" si="3">X_Cell_Fertiliser_AreaUnderCropping</f>
        <v>100</v>
      </c>
      <c r="H15" s="198">
        <f>IFERROR(_xlfn.XLOOKUP(Table_Input_InorganicFertiliser_Brands[[#This Row],[Product (select)]],FertiliserProducts[Product],FertiliserProducts[Density]), 1)</f>
        <v>1</v>
      </c>
      <c r="I15" s="199">
        <f>(Table_Input_InorganicFertiliser_Brands[[#This Row],[Amount applied per hectare]]*Table_Input_InorganicFertiliser_Brands[[#This Row],[Density]])*Table_Input_InorganicFertiliser_Brands[[#This Row],[Application area (ha)]]</f>
        <v>0</v>
      </c>
      <c r="J15" s="19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9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9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9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9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9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9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9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9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9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9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9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0" cm="1">
        <f t="array" ref="W15">IFERROR(Fertiliser_InputFunctions.Fertiliser_FertiliserProductLookup(Table_Input_InorganicFertiliser_Brands[[#This Row],[Product (select)]], "N declared", FertiliserProducts[#Data], FertiliserProducts[Product], FertiliserProducts[#Headers])*0.01, 0)</f>
        <v>0</v>
      </c>
      <c r="X15"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99" t="str">
        <f>IFERROR(_xlfn.XLOOKUP(Table_Input_InorganicFertiliser_Brands[[#This Row],[Product (select)]],FertiliserProducts[Product],FertiliserProducts[Urea source]), "")</f>
        <v/>
      </c>
      <c r="Z15" s="199"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96"/>
      <c r="E16" s="197"/>
      <c r="F16" s="15" t="str">
        <f>IFERROR(_xlfn.XLOOKUP(Table_Input_InorganicFertiliser_Brands[[#This Row],[Product (select)]],FertiliserProducts[Product],FertiliserProducts[Unit]), "kg")</f>
        <v>kg</v>
      </c>
      <c r="G16" s="197">
        <f t="shared" ref="G16" si="4">X_Cell_Fertiliser_AreaUnderCropping</f>
        <v>100</v>
      </c>
      <c r="H16" s="198">
        <f>IFERROR(_xlfn.XLOOKUP(Table_Input_InorganicFertiliser_Brands[[#This Row],[Product (select)]],FertiliserProducts[Product],FertiliserProducts[Density]), 1)</f>
        <v>1</v>
      </c>
      <c r="I16" s="199">
        <f>(Table_Input_InorganicFertiliser_Brands[[#This Row],[Amount applied per hectare]]*Table_Input_InorganicFertiliser_Brands[[#This Row],[Density]])*Table_Input_InorganicFertiliser_Brands[[#This Row],[Application area (ha)]]</f>
        <v>0</v>
      </c>
      <c r="J16" s="19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9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9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9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9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9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9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9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9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9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9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9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0" cm="1">
        <f t="array" ref="W16">IFERROR(Fertiliser_InputFunctions.Fertiliser_FertiliserProductLookup(Table_Input_InorganicFertiliser_Brands[[#This Row],[Product (select)]], "N declared", FertiliserProducts[#Data], FertiliserProducts[Product], FertiliserProducts[#Headers])*0.01, 0)</f>
        <v>0</v>
      </c>
      <c r="X16"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99" t="str">
        <f>IFERROR(_xlfn.XLOOKUP(Table_Input_InorganicFertiliser_Brands[[#This Row],[Product (select)]],FertiliserProducts[Product],FertiliserProducts[Urea source]), "")</f>
        <v/>
      </c>
      <c r="Z16" s="199"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196"/>
      <c r="E17" s="197"/>
      <c r="F17" s="15" t="str">
        <f>IFERROR(_xlfn.XLOOKUP(Table_Input_InorganicFertiliser_Brands[[#This Row],[Product (select)]],FertiliserProducts[Product],FertiliserProducts[Unit]), "kg")</f>
        <v>kg</v>
      </c>
      <c r="G17" s="197">
        <f t="shared" ref="G17" si="5">X_Cell_Fertiliser_AreaUnderCropping</f>
        <v>100</v>
      </c>
      <c r="H17" s="198">
        <f>IFERROR(_xlfn.XLOOKUP(Table_Input_InorganicFertiliser_Brands[[#This Row],[Product (select)]],FertiliserProducts[Product],FertiliserProducts[Density]), 1)</f>
        <v>1</v>
      </c>
      <c r="I17" s="199">
        <f>(Table_Input_InorganicFertiliser_Brands[[#This Row],[Amount applied per hectare]]*Table_Input_InorganicFertiliser_Brands[[#This Row],[Density]])*Table_Input_InorganicFertiliser_Brands[[#This Row],[Application area (ha)]]</f>
        <v>0</v>
      </c>
      <c r="J17" s="19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9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9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9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9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9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9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9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9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9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9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9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0" cm="1">
        <f t="array" ref="W17">IFERROR(Fertiliser_InputFunctions.Fertiliser_FertiliserProductLookup(Table_Input_InorganicFertiliser_Brands[[#This Row],[Product (select)]], "N declared", FertiliserProducts[#Data], FertiliserProducts[Product], FertiliserProducts[#Headers])*0.01, 0)</f>
        <v>0</v>
      </c>
      <c r="X17"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99" t="str">
        <f>IFERROR(_xlfn.XLOOKUP(Table_Input_InorganicFertiliser_Brands[[#This Row],[Product (select)]],FertiliserProducts[Product],FertiliserProducts[Urea source]), "")</f>
        <v/>
      </c>
      <c r="Z17" s="199"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96"/>
      <c r="E18" s="197"/>
      <c r="F18" s="15" t="str">
        <f>IFERROR(_xlfn.XLOOKUP(Table_Input_InorganicFertiliser_Brands[[#This Row],[Product (select)]],FertiliserProducts[Product],FertiliserProducts[Unit]), "kg")</f>
        <v>kg</v>
      </c>
      <c r="G18" s="197">
        <f t="shared" ref="G18" si="6">X_Cell_Fertiliser_AreaUnderCropping</f>
        <v>100</v>
      </c>
      <c r="H18" s="198">
        <f>IFERROR(_xlfn.XLOOKUP(Table_Input_InorganicFertiliser_Brands[[#This Row],[Product (select)]],FertiliserProducts[Product],FertiliserProducts[Density]), 1)</f>
        <v>1</v>
      </c>
      <c r="I18" s="199">
        <f>(Table_Input_InorganicFertiliser_Brands[[#This Row],[Amount applied per hectare]]*Table_Input_InorganicFertiliser_Brands[[#This Row],[Density]])*Table_Input_InorganicFertiliser_Brands[[#This Row],[Application area (ha)]]</f>
        <v>0</v>
      </c>
      <c r="J18" s="19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9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9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9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9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9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9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9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9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9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9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9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0" cm="1">
        <f t="array" ref="W18">IFERROR(Fertiliser_InputFunctions.Fertiliser_FertiliserProductLookup(Table_Input_InorganicFertiliser_Brands[[#This Row],[Product (select)]], "N declared", FertiliserProducts[#Data], FertiliserProducts[Product], FertiliserProducts[#Headers])*0.01, 0)</f>
        <v>0</v>
      </c>
      <c r="X18"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99" t="str">
        <f>IFERROR(_xlfn.XLOOKUP(Table_Input_InorganicFertiliser_Brands[[#This Row],[Product (select)]],FertiliserProducts[Product],FertiliserProducts[Urea source]), "")</f>
        <v/>
      </c>
      <c r="Z18" s="199"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96"/>
      <c r="E19" s="197"/>
      <c r="F19" s="15" t="str">
        <f>IFERROR(_xlfn.XLOOKUP(Table_Input_InorganicFertiliser_Brands[[#This Row],[Product (select)]],FertiliserProducts[Product],FertiliserProducts[Unit]), "kg")</f>
        <v>kg</v>
      </c>
      <c r="G19" s="197">
        <f t="shared" ref="G19" si="7">X_Cell_Fertiliser_AreaUnderCropping</f>
        <v>100</v>
      </c>
      <c r="H19" s="198">
        <f>IFERROR(_xlfn.XLOOKUP(Table_Input_InorganicFertiliser_Brands[[#This Row],[Product (select)]],FertiliserProducts[Product],FertiliserProducts[Density]), 1)</f>
        <v>1</v>
      </c>
      <c r="I19" s="199">
        <f>(Table_Input_InorganicFertiliser_Brands[[#This Row],[Amount applied per hectare]]*Table_Input_InorganicFertiliser_Brands[[#This Row],[Density]])*Table_Input_InorganicFertiliser_Brands[[#This Row],[Application area (ha)]]</f>
        <v>0</v>
      </c>
      <c r="J19" s="19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9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9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9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9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9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9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9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9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9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9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9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0" cm="1">
        <f t="array" ref="W19">IFERROR(Fertiliser_InputFunctions.Fertiliser_FertiliserProductLookup(Table_Input_InorganicFertiliser_Brands[[#This Row],[Product (select)]], "N declared", FertiliserProducts[#Data], FertiliserProducts[Product], FertiliserProducts[#Headers])*0.01, 0)</f>
        <v>0</v>
      </c>
      <c r="X19"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99" t="str">
        <f>IFERROR(_xlfn.XLOOKUP(Table_Input_InorganicFertiliser_Brands[[#This Row],[Product (select)]],FertiliserProducts[Product],FertiliserProducts[Urea source]), "")</f>
        <v/>
      </c>
      <c r="Z19" s="199"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196"/>
      <c r="E20" s="197"/>
      <c r="F20" s="15" t="str">
        <f>IFERROR(_xlfn.XLOOKUP(Table_Input_InorganicFertiliser_Brands[[#This Row],[Product (select)]],FertiliserProducts[Product],FertiliserProducts[Unit]), "kg")</f>
        <v>kg</v>
      </c>
      <c r="G20" s="197">
        <f t="shared" ref="G20" si="8">X_Cell_Fertiliser_AreaUnderCropping</f>
        <v>100</v>
      </c>
      <c r="H20" s="198">
        <f>IFERROR(_xlfn.XLOOKUP(Table_Input_InorganicFertiliser_Brands[[#This Row],[Product (select)]],FertiliserProducts[Product],FertiliserProducts[Density]), 1)</f>
        <v>1</v>
      </c>
      <c r="I20" s="199">
        <f>(Table_Input_InorganicFertiliser_Brands[[#This Row],[Amount applied per hectare]]*Table_Input_InorganicFertiliser_Brands[[#This Row],[Density]])*Table_Input_InorganicFertiliser_Brands[[#This Row],[Application area (ha)]]</f>
        <v>0</v>
      </c>
      <c r="J20" s="19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9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9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9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9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9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9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9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9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9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9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9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0" cm="1">
        <f t="array" ref="W20">IFERROR(Fertiliser_InputFunctions.Fertiliser_FertiliserProductLookup(Table_Input_InorganicFertiliser_Brands[[#This Row],[Product (select)]], "N declared", FertiliserProducts[#Data], FertiliserProducts[Product], FertiliserProducts[#Headers])*0.01, 0)</f>
        <v>0</v>
      </c>
      <c r="X20"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99" t="str">
        <f>IFERROR(_xlfn.XLOOKUP(Table_Input_InorganicFertiliser_Brands[[#This Row],[Product (select)]],FertiliserProducts[Product],FertiliserProducts[Urea source]), "")</f>
        <v/>
      </c>
      <c r="Z20" s="199"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196"/>
      <c r="E21" s="197"/>
      <c r="F21" s="15" t="str">
        <f>IFERROR(_xlfn.XLOOKUP(Table_Input_InorganicFertiliser_Brands[[#This Row],[Product (select)]],FertiliserProducts[Product],FertiliserProducts[Unit]), "kg")</f>
        <v>kg</v>
      </c>
      <c r="G21" s="197">
        <f t="shared" ref="G21" si="9">X_Cell_Fertiliser_AreaUnderCropping</f>
        <v>100</v>
      </c>
      <c r="H21" s="198">
        <f>IFERROR(_xlfn.XLOOKUP(Table_Input_InorganicFertiliser_Brands[[#This Row],[Product (select)]],FertiliserProducts[Product],FertiliserProducts[Density]), 1)</f>
        <v>1</v>
      </c>
      <c r="I21" s="199">
        <f>(Table_Input_InorganicFertiliser_Brands[[#This Row],[Amount applied per hectare]]*Table_Input_InorganicFertiliser_Brands[[#This Row],[Density]])*Table_Input_InorganicFertiliser_Brands[[#This Row],[Application area (ha)]]</f>
        <v>0</v>
      </c>
      <c r="J21" s="19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9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9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9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9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9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9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9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9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9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9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9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0" cm="1">
        <f t="array" ref="W21">IFERROR(Fertiliser_InputFunctions.Fertiliser_FertiliserProductLookup(Table_Input_InorganicFertiliser_Brands[[#This Row],[Product (select)]], "N declared", FertiliserProducts[#Data], FertiliserProducts[Product], FertiliserProducts[#Headers])*0.01, 0)</f>
        <v>0</v>
      </c>
      <c r="X21"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99" t="str">
        <f>IFERROR(_xlfn.XLOOKUP(Table_Input_InorganicFertiliser_Brands[[#This Row],[Product (select)]],FertiliserProducts[Product],FertiliserProducts[Urea source]), "")</f>
        <v/>
      </c>
      <c r="Z21" s="199"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1"/>
      <c r="E22" s="202"/>
      <c r="F22" s="203"/>
      <c r="G22" s="203"/>
      <c r="H22" s="203"/>
      <c r="I22" s="203"/>
      <c r="J22" s="204"/>
      <c r="K22" s="204"/>
      <c r="L22" s="205"/>
      <c r="M22" s="205"/>
      <c r="N22" s="140"/>
      <c r="O22" s="140"/>
      <c r="P22" s="140"/>
      <c r="Q22" s="140"/>
      <c r="R22" s="140"/>
      <c r="S22" s="140"/>
      <c r="T22" s="140"/>
      <c r="U22" s="140"/>
      <c r="V22" s="140"/>
      <c r="W22" s="140"/>
      <c r="X22" s="140"/>
    </row>
    <row r="23" spans="1:26" ht="20.100000000000001" customHeight="1" x14ac:dyDescent="0.2">
      <c r="A23" s="101" t="str">
        <f>HYPERLINK("#'Input - Fertiliser'!A1", "Fertiliser")</f>
        <v>Fertiliser</v>
      </c>
      <c r="D23" s="206" t="s">
        <v>707</v>
      </c>
      <c r="E23" s="207"/>
      <c r="F23" s="207"/>
      <c r="G23" s="207"/>
      <c r="H23" s="207"/>
      <c r="I23" s="207"/>
      <c r="J23" s="207"/>
      <c r="K23" s="207"/>
      <c r="L23" s="207"/>
      <c r="M23" s="207"/>
      <c r="N23" s="140"/>
      <c r="O23" s="140"/>
      <c r="P23" s="140"/>
      <c r="Q23" s="140"/>
      <c r="R23" s="140"/>
      <c r="S23" s="140"/>
      <c r="T23" s="140"/>
      <c r="V23" s="140"/>
      <c r="W23" s="140"/>
      <c r="X23" s="140"/>
    </row>
    <row r="24" spans="1:26" ht="20.100000000000001" customHeight="1" x14ac:dyDescent="0.2">
      <c r="D24" s="194" t="s">
        <v>708</v>
      </c>
      <c r="E24" s="194" t="s">
        <v>709</v>
      </c>
      <c r="F24" s="194" t="s">
        <v>684</v>
      </c>
      <c r="G24" s="194" t="s">
        <v>686</v>
      </c>
      <c r="H24" s="194" t="s">
        <v>710</v>
      </c>
      <c r="I24" s="194" t="s">
        <v>688</v>
      </c>
      <c r="J24" s="194" t="s">
        <v>689</v>
      </c>
      <c r="K24" s="194" t="s">
        <v>690</v>
      </c>
      <c r="L24" s="194" t="s">
        <v>691</v>
      </c>
      <c r="M24" s="194" t="s">
        <v>692</v>
      </c>
      <c r="N24" s="194" t="s">
        <v>693</v>
      </c>
      <c r="O24" s="194" t="s">
        <v>694</v>
      </c>
      <c r="P24" s="194" t="s">
        <v>701</v>
      </c>
      <c r="Q24" s="208" t="s">
        <v>711</v>
      </c>
      <c r="R24" s="208" t="s">
        <v>712</v>
      </c>
      <c r="S24" s="140"/>
      <c r="T24" s="140"/>
      <c r="V24" s="140"/>
      <c r="W24" s="140"/>
      <c r="X24" s="140"/>
    </row>
    <row r="25" spans="1:26" ht="20.100000000000001" customHeight="1" x14ac:dyDescent="0.2">
      <c r="D25" s="33" t="s">
        <v>713</v>
      </c>
      <c r="E25" s="194">
        <v>100</v>
      </c>
      <c r="F25" s="197">
        <f t="shared" ref="F25:F34" si="10">X_Cell_Fertiliser_AreaUnderCropping</f>
        <v>100</v>
      </c>
      <c r="G25" s="199">
        <f>Table_Input_InorganicFertiliser_Custom[[#This Row],[Amount applied (kg / ha)]]*Table_Input_InorganicFertiliser_Custom[[#This Row],[Application area (ha)]]</f>
        <v>10000</v>
      </c>
      <c r="H25" s="209" t="s">
        <v>714</v>
      </c>
      <c r="I25" s="210">
        <v>0.5</v>
      </c>
      <c r="J25" s="209" t="s">
        <v>715</v>
      </c>
      <c r="K25" s="210">
        <v>0.2</v>
      </c>
      <c r="L25" s="209" t="s">
        <v>716</v>
      </c>
      <c r="M25" s="210">
        <v>0.2</v>
      </c>
      <c r="N25" s="211" t="s">
        <v>717</v>
      </c>
      <c r="O25" s="18">
        <v>0.1</v>
      </c>
      <c r="P25"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0"/>
    </row>
    <row r="26" spans="1:26" ht="20.100000000000001" customHeight="1" x14ac:dyDescent="0.2">
      <c r="A26" s="6" t="s">
        <v>2</v>
      </c>
      <c r="D26" s="33" t="s">
        <v>718</v>
      </c>
      <c r="E26" s="194">
        <v>100</v>
      </c>
      <c r="F26" s="197">
        <f t="shared" si="10"/>
        <v>100</v>
      </c>
      <c r="G26" s="199">
        <f>Table_Input_InorganicFertiliser_Custom[[#This Row],[Amount applied (kg / ha)]]*Table_Input_InorganicFertiliser_Custom[[#This Row],[Application area (ha)]]</f>
        <v>10000</v>
      </c>
      <c r="H26" s="209" t="s">
        <v>704</v>
      </c>
      <c r="I26" s="212">
        <v>1</v>
      </c>
      <c r="J26" s="209"/>
      <c r="K26" s="212"/>
      <c r="L26" s="209"/>
      <c r="M26" s="212"/>
      <c r="N26" s="211"/>
      <c r="O26" s="18"/>
      <c r="P26"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0"/>
      <c r="W26" s="75"/>
    </row>
    <row r="27" spans="1:26" ht="20.100000000000001" customHeight="1" x14ac:dyDescent="0.2">
      <c r="A27" s="5" t="str">
        <f>HYPERLINK("#'3.1.1.1-2 Enteric Methane'!A1", "3.1.1.1-2 Enteric Methane")</f>
        <v>3.1.1.1-2 Enteric Methane</v>
      </c>
      <c r="D27" s="33" t="s">
        <v>719</v>
      </c>
      <c r="E27" s="194">
        <v>100</v>
      </c>
      <c r="F27" s="197">
        <f t="shared" si="10"/>
        <v>100</v>
      </c>
      <c r="G27" s="199">
        <f>Table_Input_InorganicFertiliser_Custom[[#This Row],[Amount applied (kg / ha)]]*Table_Input_InorganicFertiliser_Custom[[#This Row],[Application area (ha)]]</f>
        <v>10000</v>
      </c>
      <c r="H27" s="209" t="s">
        <v>720</v>
      </c>
      <c r="I27" s="212">
        <v>0.5</v>
      </c>
      <c r="J27" s="209"/>
      <c r="K27" s="212"/>
      <c r="L27" s="209"/>
      <c r="M27" s="212"/>
      <c r="N27" s="211"/>
      <c r="O27" s="18"/>
      <c r="P27"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0"/>
    </row>
    <row r="28" spans="1:26" ht="20.100000000000001" customHeight="1" x14ac:dyDescent="0.2">
      <c r="A28" s="5" t="str">
        <f>HYPERLINK("#'4.1.1.1-2 Methane'!A1", "4.1.1.1-2 Manure Methane")</f>
        <v>4.1.1.1-2 Manure Methane</v>
      </c>
      <c r="D28" s="33"/>
      <c r="E28" s="194"/>
      <c r="F28" s="213">
        <f t="shared" si="10"/>
        <v>100</v>
      </c>
      <c r="G28" s="199">
        <f>Table_Input_InorganicFertiliser_Custom[[#This Row],[Amount applied (kg / ha)]]*Table_Input_InorganicFertiliser_Custom[[#This Row],[Application area (ha)]]</f>
        <v>0</v>
      </c>
      <c r="H28" s="209"/>
      <c r="I28" s="212"/>
      <c r="J28" s="209"/>
      <c r="K28" s="212"/>
      <c r="L28" s="209"/>
      <c r="M28" s="212"/>
      <c r="N28" s="211"/>
      <c r="O28" s="18"/>
      <c r="P28"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HYPERLINK("#'4.1.1.3-4 Direct N20'!A1", "4.1.1.3-4 Manure Direct N2O")</f>
        <v>4.1.1.3-4 Manure Direct N2O</v>
      </c>
      <c r="D29" s="33"/>
      <c r="E29" s="194"/>
      <c r="F29" s="213">
        <f t="shared" si="10"/>
        <v>100</v>
      </c>
      <c r="G29" s="199">
        <f>Table_Input_InorganicFertiliser_Custom[[#This Row],[Amount applied (kg / ha)]]*Table_Input_InorganicFertiliser_Custom[[#This Row],[Application area (ha)]]</f>
        <v>0</v>
      </c>
      <c r="H29" s="209"/>
      <c r="I29" s="212"/>
      <c r="J29" s="209"/>
      <c r="K29" s="212"/>
      <c r="L29" s="209"/>
      <c r="M29" s="212"/>
      <c r="N29" s="211"/>
      <c r="O29" s="18"/>
      <c r="P29"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HYPERLINK("#'4.1.1.5-6 Atmos Deposition'!A1", "4.1.1.5-6 Manure Atmos Dep")</f>
        <v>4.1.1.5-6 Manure Atmos Dep</v>
      </c>
      <c r="D30" s="33"/>
      <c r="E30" s="194"/>
      <c r="F30" s="213">
        <f t="shared" si="10"/>
        <v>100</v>
      </c>
      <c r="G30" s="199">
        <f>Table_Input_InorganicFertiliser_Custom[[#This Row],[Amount applied (kg / ha)]]*Table_Input_InorganicFertiliser_Custom[[#This Row],[Application area (ha)]]</f>
        <v>0</v>
      </c>
      <c r="H30" s="209"/>
      <c r="I30" s="212"/>
      <c r="J30" s="209"/>
      <c r="K30" s="212"/>
      <c r="L30" s="209"/>
      <c r="M30" s="212"/>
      <c r="N30" s="211"/>
      <c r="O30" s="18"/>
      <c r="P30"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HYPERLINK("#'4.1.1.9 Manure applied to soils'!A1", "4.1.1.9 Manure applied to soils")</f>
        <v>4.1.1.9 Manure applied to soils</v>
      </c>
      <c r="D31" s="33"/>
      <c r="E31" s="194"/>
      <c r="F31" s="213">
        <f t="shared" si="10"/>
        <v>100</v>
      </c>
      <c r="G31" s="199">
        <f>Table_Input_InorganicFertiliser_Custom[[#This Row],[Amount applied (kg / ha)]]*Table_Input_InorganicFertiliser_Custom[[#This Row],[Application area (ha)]]</f>
        <v>0</v>
      </c>
      <c r="H31" s="209"/>
      <c r="I31" s="212"/>
      <c r="J31" s="209"/>
      <c r="K31" s="212"/>
      <c r="L31" s="209"/>
      <c r="M31" s="212"/>
      <c r="N31" s="211"/>
      <c r="O31" s="18"/>
      <c r="P31"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HYPERLINK("#'8.1.1.1-2 Transport fuel'!A1", "8.1.1.1-2 Transport fuel")</f>
        <v>8.1.1.1-2 Transport fuel</v>
      </c>
      <c r="D32" s="33"/>
      <c r="E32" s="194"/>
      <c r="F32" s="213">
        <f t="shared" si="10"/>
        <v>100</v>
      </c>
      <c r="G32" s="199">
        <f>Table_Input_InorganicFertiliser_Custom[[#This Row],[Amount applied (kg / ha)]]*Table_Input_InorganicFertiliser_Custom[[#This Row],[Application area (ha)]]</f>
        <v>0</v>
      </c>
      <c r="H32" s="209"/>
      <c r="I32" s="212"/>
      <c r="J32" s="209"/>
      <c r="K32" s="212"/>
      <c r="L32" s="209"/>
      <c r="M32" s="212"/>
      <c r="N32" s="211"/>
      <c r="O32" s="18"/>
      <c r="P32"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HYPERLINK("#'8.2.1.1-2 Stationary fuel'!A1", "8.2.1.1-2 Stationary fuel")</f>
        <v>8.2.1.1-2 Stationary fuel</v>
      </c>
      <c r="D33" s="33"/>
      <c r="E33" s="194"/>
      <c r="F33" s="213">
        <f t="shared" si="10"/>
        <v>100</v>
      </c>
      <c r="G33" s="199">
        <f>Table_Input_InorganicFertiliser_Custom[[#This Row],[Amount applied (kg / ha)]]*Table_Input_InorganicFertiliser_Custom[[#This Row],[Application area (ha)]]</f>
        <v>0</v>
      </c>
      <c r="H33" s="209"/>
      <c r="I33" s="212"/>
      <c r="J33" s="209"/>
      <c r="K33" s="212"/>
      <c r="L33" s="209"/>
      <c r="M33" s="212"/>
      <c r="N33" s="211"/>
      <c r="O33" s="18"/>
      <c r="P33"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HYPERLINK("#'10.1.1-2 Solid waste treatment'!A1", "10.1.1.1-2 Solid waste")</f>
        <v>10.1.1.1-2 Solid waste</v>
      </c>
      <c r="D34" s="33"/>
      <c r="E34" s="194"/>
      <c r="F34" s="213">
        <f t="shared" si="10"/>
        <v>100</v>
      </c>
      <c r="G34" s="199">
        <f>Table_Input_InorganicFertiliser_Custom[[#This Row],[Amount applied (kg / ha)]]*Table_Input_InorganicFertiliser_Custom[[#This Row],[Application area (ha)]]</f>
        <v>0</v>
      </c>
      <c r="H34" s="209"/>
      <c r="I34" s="212"/>
      <c r="J34" s="209"/>
      <c r="K34" s="212"/>
      <c r="L34" s="209"/>
      <c r="M34" s="212"/>
      <c r="N34" s="211"/>
      <c r="O34" s="18"/>
      <c r="P34"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HYPERLINK("#'14.1.1-2 Purchased electricity'!A1", "14.1.1-2 Purchased electricity")</f>
        <v>14.1.1-2 Purchased electricity</v>
      </c>
    </row>
    <row r="36" spans="1:27" ht="20.100000000000001" customHeight="1" x14ac:dyDescent="0.2">
      <c r="A36" s="5" t="str">
        <f>HYPERLINK("#'15 Scope 3'!A1", "15 Scope 3")</f>
        <v>15 Scope 3</v>
      </c>
      <c r="D36" s="2" t="s">
        <v>721</v>
      </c>
      <c r="E36" s="24"/>
      <c r="F36" s="24"/>
      <c r="G36" s="24"/>
      <c r="H36" s="24"/>
      <c r="I36" s="24"/>
      <c r="J36" s="24"/>
      <c r="K36" s="8"/>
      <c r="L36" s="8"/>
      <c r="M36" s="8"/>
    </row>
    <row r="37" spans="1:27" ht="20.100000000000001" customHeight="1" x14ac:dyDescent="0.2">
      <c r="A37" s="5" t="str">
        <f>HYPERLINK("#'Calcs - Manure sent off-site'!A1", "Calcs - Manure sent off-site")</f>
        <v>Calcs - Manure sent off-site</v>
      </c>
      <c r="D37" s="129" t="s">
        <v>722</v>
      </c>
      <c r="E37" s="43"/>
      <c r="F37" s="44"/>
      <c r="G37" s="129"/>
      <c r="H37" s="44"/>
      <c r="I37" s="24"/>
      <c r="J37" s="24"/>
      <c r="K37" s="8"/>
      <c r="L37" s="8"/>
      <c r="M37" s="24"/>
    </row>
    <row r="38" spans="1:27" ht="20.100000000000001" customHeight="1" x14ac:dyDescent="0.2">
      <c r="A38" s="5" t="str">
        <f>HYPERLINK("#'5.1.1.1-2 Inorganic fert N2O'!A1", "5.1.1.1-2 Inorganic fert N2O")</f>
        <v>5.1.1.1-2 Inorganic fert N2O</v>
      </c>
      <c r="C38" s="140"/>
      <c r="D38" s="214" t="s">
        <v>723</v>
      </c>
      <c r="E38" s="215"/>
      <c r="F38" s="216"/>
      <c r="G38" s="214"/>
      <c r="H38" s="216"/>
      <c r="I38" s="8"/>
      <c r="J38" s="8"/>
      <c r="K38" s="8"/>
      <c r="L38" s="8"/>
      <c r="M38" s="8"/>
    </row>
    <row r="39" spans="1:27" ht="20.100000000000001" customHeight="1" x14ac:dyDescent="0.2">
      <c r="A39" s="5" t="str">
        <f>HYPERLINK("#'5.1.1.3-4 Inorganic fert CO2'!A1", "5.1.1.3-4 Inorganic fert CO2")</f>
        <v>5.1.1.3-4 Inorganic fert CO2</v>
      </c>
      <c r="C39" s="140"/>
      <c r="D39" s="45" t="s">
        <v>679</v>
      </c>
      <c r="E39" s="46"/>
      <c r="F39" s="46"/>
      <c r="G39" s="46"/>
      <c r="H39" s="47"/>
      <c r="I39" s="8"/>
      <c r="J39" s="8"/>
      <c r="K39" s="8"/>
      <c r="L39" s="8"/>
      <c r="M39" s="24"/>
    </row>
    <row r="40" spans="1:27" s="138" customFormat="1" ht="20.100000000000001" customHeight="1" x14ac:dyDescent="0.2">
      <c r="A40" s="5" t="str">
        <f>HYPERLINK("#'5.2.1.1-2 Organic Fert N2O'!A1", "5.2.1.1-2 Organic Fert N2O")</f>
        <v>5.2.1.1-2 Organic Fert N2O</v>
      </c>
      <c r="C40" s="1"/>
      <c r="D40" s="87"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38" customFormat="1" ht="20.100000000000001" customHeight="1" x14ac:dyDescent="0.2">
      <c r="A41" s="5" t="str">
        <f>HYPERLINK("#'5.3.1.1-2 Lime CO2'!A1", "5.3.1.1-2 Lime CO2")</f>
        <v>5.3.1.1-2 Lime CO2</v>
      </c>
      <c r="C41" s="1"/>
      <c r="D41" s="217" t="s">
        <v>132</v>
      </c>
      <c r="E41" s="217" t="s">
        <v>724</v>
      </c>
      <c r="F41" s="217" t="s">
        <v>684</v>
      </c>
      <c r="G41" s="217" t="s">
        <v>725</v>
      </c>
      <c r="H41" s="217" t="s">
        <v>726</v>
      </c>
      <c r="I41" s="217" t="s">
        <v>727</v>
      </c>
      <c r="J41" s="217" t="s">
        <v>728</v>
      </c>
      <c r="K41" s="217" t="s">
        <v>4</v>
      </c>
      <c r="L41" s="1"/>
      <c r="M41" s="1"/>
      <c r="N41" s="1"/>
      <c r="O41" s="1"/>
      <c r="P41" s="1"/>
      <c r="Q41" s="1"/>
      <c r="R41" s="1"/>
      <c r="S41" s="140"/>
      <c r="T41" s="1"/>
      <c r="U41" s="1"/>
      <c r="V41" s="1"/>
      <c r="W41" s="1"/>
      <c r="X41" s="1"/>
      <c r="Y41" s="1"/>
      <c r="Z41" s="1"/>
      <c r="AA41" s="1"/>
    </row>
    <row r="42" spans="1:27" ht="20.100000000000001" customHeight="1" x14ac:dyDescent="0.2">
      <c r="A42" s="5" t="str">
        <f>HYPERLINK("#'5.4.1.1-4 Atmos deposition'!A1", "5.4.1.1-4 Atmos deposition")</f>
        <v>5.4.1.1-4 Atmos deposition</v>
      </c>
      <c r="D42" s="218" t="s">
        <v>729</v>
      </c>
      <c r="E42" s="197">
        <v>1</v>
      </c>
      <c r="F42" s="197">
        <f>X_Cell_Fertiliser_AreaUnderCropping</f>
        <v>100</v>
      </c>
      <c r="G42" s="199">
        <f>IFERROR(Table_Input_Lime[[#This Row],[Amount applied (t/hectare)]]*Table_Input_Lime[[#This Row],[Application area (ha)]], 0)</f>
        <v>100</v>
      </c>
      <c r="H42" s="219">
        <v>0.8</v>
      </c>
      <c r="I42" s="219">
        <v>0.1</v>
      </c>
      <c r="J42" s="219">
        <v>0.1</v>
      </c>
      <c r="K42" s="220">
        <f>SUM(Table_Input_Lime[[#This Row],[Percent Lime CaCO3]:[Percent Gypsum]])</f>
        <v>1</v>
      </c>
      <c r="S42" s="140"/>
    </row>
    <row r="43" spans="1:27" ht="20.100000000000001" customHeight="1" x14ac:dyDescent="0.2">
      <c r="A43" s="5" t="str">
        <f>HYPERLINK("#'5.5.1.1-2 Leaching and runoff'!A1", "5.5.1.1-2 Leaching and runoff")</f>
        <v>5.5.1.1-2 Leaching and runoff</v>
      </c>
      <c r="D43" s="218" t="s">
        <v>730</v>
      </c>
      <c r="E43" s="197">
        <v>1</v>
      </c>
      <c r="F43" s="197">
        <f>X_Cell_Fertiliser_AreaUnderCropping</f>
        <v>100</v>
      </c>
      <c r="G43" s="199">
        <f>IFERROR(Table_Input_Lime[[#This Row],[Amount applied (t/hectare)]]*Table_Input_Lime[[#This Row],[Application area (ha)]], 0)</f>
        <v>100</v>
      </c>
      <c r="H43" s="219">
        <v>1</v>
      </c>
      <c r="I43" s="219"/>
      <c r="J43" s="219"/>
      <c r="K43" s="220">
        <f>SUM(Table_Input_Lime[[#This Row],[Percent Lime CaCO3]:[Percent Gypsum]])</f>
        <v>1</v>
      </c>
    </row>
    <row r="44" spans="1:27" ht="20.100000000000001" customHeight="1" x14ac:dyDescent="0.2">
      <c r="D44" s="218" t="s">
        <v>731</v>
      </c>
      <c r="E44" s="197">
        <v>1</v>
      </c>
      <c r="F44" s="197">
        <f>X_Cell_Fertiliser_AreaUnderCropping</f>
        <v>100</v>
      </c>
      <c r="G44" s="199">
        <f>IFERROR(Table_Input_Lime[[#This Row],[Amount applied (t/hectare)]]*Table_Input_Lime[[#This Row],[Application area (ha)]], 0)</f>
        <v>100</v>
      </c>
      <c r="H44" s="219">
        <v>0</v>
      </c>
      <c r="I44" s="219"/>
      <c r="J44" s="219">
        <v>1</v>
      </c>
      <c r="K44" s="220">
        <f>SUM(Table_Input_Lime[[#This Row],[Percent Lime CaCO3]:[Percent Gypsum]])</f>
        <v>1</v>
      </c>
      <c r="L44" s="24"/>
    </row>
    <row r="45" spans="1:27" ht="20.100000000000001" customHeight="1" x14ac:dyDescent="0.2">
      <c r="L45" s="24"/>
      <c r="M45" s="24"/>
    </row>
    <row r="46" spans="1:27" ht="20.100000000000001" customHeight="1" x14ac:dyDescent="0.2">
      <c r="A46" s="80" t="s">
        <v>1</v>
      </c>
      <c r="D46" s="8"/>
      <c r="E46" s="8"/>
      <c r="F46" s="8"/>
      <c r="G46" s="8"/>
      <c r="H46" s="8"/>
      <c r="I46" s="8"/>
      <c r="J46" s="8"/>
      <c r="L46" s="8"/>
      <c r="M46" s="24"/>
    </row>
    <row r="47" spans="1:27" ht="20.100000000000001" customHeight="1" x14ac:dyDescent="0.2">
      <c r="A47" s="5" t="str">
        <f>HYPERLINK("#'Constants - Feedlot'!A1", "Constants - Feedlot")</f>
        <v>Constants - Feedlot</v>
      </c>
      <c r="D47" s="8"/>
      <c r="E47" s="8"/>
      <c r="F47" s="8"/>
      <c r="G47" s="8"/>
      <c r="H47" s="8"/>
      <c r="I47" s="8"/>
      <c r="J47" s="221"/>
      <c r="K47" s="24"/>
      <c r="L47" s="8"/>
      <c r="M47" s="8"/>
    </row>
    <row r="48" spans="1:27" ht="20.100000000000001" customHeight="1" x14ac:dyDescent="0.2">
      <c r="A48" s="5" t="str">
        <f>HYPERLINK("#'Constants - Common livestock'!A1", "Constants - Common Livestock")</f>
        <v>Constants - Common Livestock</v>
      </c>
      <c r="D48" s="2" t="s">
        <v>732</v>
      </c>
      <c r="E48" s="24"/>
      <c r="F48" s="24"/>
      <c r="G48" s="24"/>
      <c r="H48" s="8"/>
      <c r="I48" s="8"/>
      <c r="J48" s="8"/>
      <c r="K48" s="8"/>
      <c r="L48" s="8"/>
      <c r="M48" s="8"/>
    </row>
    <row r="49" spans="1:18" ht="20.100000000000001" customHeight="1" x14ac:dyDescent="0.2">
      <c r="A49" s="5" t="str">
        <f>HYPERLINK("#'Constants - Electricity'!A1", "Constants - Electricity")</f>
        <v>Constants - Electricity</v>
      </c>
      <c r="D49" s="8"/>
      <c r="E49" s="8"/>
      <c r="F49" s="8"/>
      <c r="G49" s="8"/>
      <c r="H49" s="8"/>
      <c r="I49" s="8"/>
      <c r="J49" s="8"/>
      <c r="K49" s="8"/>
      <c r="L49" s="8"/>
      <c r="M49" s="8"/>
      <c r="Q49" s="140"/>
      <c r="R49" s="140"/>
    </row>
    <row r="50" spans="1:18" ht="20.100000000000001" customHeight="1" x14ac:dyDescent="0.2">
      <c r="A50" s="5" t="str">
        <f>HYPERLINK("#'Constants - Fertiliser'!A1", "Constants - Fertiliser")</f>
        <v>Constants - Fertiliser</v>
      </c>
      <c r="D50" s="129" t="s">
        <v>722</v>
      </c>
      <c r="E50" s="43"/>
      <c r="F50" s="43"/>
      <c r="G50" s="43"/>
      <c r="H50" s="44"/>
      <c r="I50" s="8"/>
      <c r="J50" s="8"/>
      <c r="K50" s="8"/>
      <c r="L50" s="8"/>
      <c r="M50" s="8"/>
      <c r="O50" s="140"/>
      <c r="P50" s="140"/>
      <c r="Q50" s="140"/>
      <c r="R50" s="140"/>
    </row>
    <row r="51" spans="1:18" ht="20.100000000000001" customHeight="1" x14ac:dyDescent="0.2">
      <c r="A51" s="5" t="str">
        <f>HYPERLINK("#'Constants - Fuel'!A1", "Constants - Fuel")</f>
        <v>Constants - Fuel</v>
      </c>
      <c r="D51" s="45" t="s">
        <v>679</v>
      </c>
      <c r="E51" s="46"/>
      <c r="F51" s="46"/>
      <c r="G51" s="46"/>
      <c r="H51" s="47"/>
      <c r="I51" s="8"/>
      <c r="J51" s="8"/>
      <c r="K51" s="8"/>
      <c r="L51" s="207"/>
      <c r="M51" s="140"/>
      <c r="N51" s="140"/>
      <c r="O51" s="140"/>
      <c r="P51" s="140"/>
    </row>
    <row r="52" spans="1:18" ht="20.100000000000001" customHeight="1" x14ac:dyDescent="0.2">
      <c r="A52" s="5" t="str">
        <f>HYPERLINK("#'Constants - Scope 3'!A1", "Constants - Scope 3")</f>
        <v>Constants - Scope 3</v>
      </c>
      <c r="D52" s="8"/>
      <c r="E52" s="8"/>
      <c r="F52" s="8"/>
      <c r="G52" s="8"/>
      <c r="H52" s="8"/>
      <c r="I52" s="8"/>
      <c r="J52" s="8"/>
      <c r="K52" s="8"/>
      <c r="L52" s="207"/>
      <c r="M52" s="140"/>
      <c r="N52" s="140"/>
    </row>
    <row r="53" spans="1:18" ht="20.100000000000001" customHeight="1" x14ac:dyDescent="0.2">
      <c r="A53" s="5" t="str">
        <f>HYPERLINK("#'Constants - Solid Waste'!A1", "Constants - Solid Waste")</f>
        <v>Constants - Solid Waste</v>
      </c>
      <c r="D53" s="217" t="s">
        <v>733</v>
      </c>
      <c r="E53" s="217" t="s">
        <v>734</v>
      </c>
      <c r="F53" s="217" t="s">
        <v>735</v>
      </c>
      <c r="G53" s="217" t="s">
        <v>736</v>
      </c>
      <c r="H53" s="217" t="s">
        <v>684</v>
      </c>
      <c r="I53" s="217" t="s">
        <v>737</v>
      </c>
      <c r="J53" s="217" t="s">
        <v>738</v>
      </c>
      <c r="K53" s="207"/>
    </row>
    <row r="54" spans="1:18" ht="20.100000000000001" customHeight="1" x14ac:dyDescent="0.2">
      <c r="A54" s="5" t="str">
        <f>HYPERLINK("#'Constants - Common'!A1", "Constants - Common")</f>
        <v>Constants - Common</v>
      </c>
      <c r="D54" s="196" t="s">
        <v>739</v>
      </c>
      <c r="E54" s="219">
        <v>0.3</v>
      </c>
      <c r="F54" s="197">
        <v>10</v>
      </c>
      <c r="G54" s="199">
        <f>Table_Input_OrganicFertiliser[[#This Row],[Amount applied (kg/hectare)]]*Table_Input_OrganicFertiliser[[#This Row],[Percentage of N in fertiliser]]</f>
        <v>3</v>
      </c>
      <c r="H54" s="197">
        <f>X_Cell_Fertiliser_AreaUnderCropping</f>
        <v>100</v>
      </c>
      <c r="I54" s="199">
        <f>Table_Input_OrganicFertiliser[[#This Row],[Amount applied (kg/hectare)]]*Table_Input_OrganicFertiliser[[#This Row],[Application area (ha)]]</f>
        <v>1000</v>
      </c>
      <c r="J54" s="199">
        <f>IFERROR(Table_Input_OrganicFertiliser[[#This Row],[Amount N applied (kg/hectare)]]*Table_Input_OrganicFertiliser[[#This Row],[Application area (ha)]], 0)</f>
        <v>300</v>
      </c>
      <c r="K54" s="207"/>
    </row>
    <row r="55" spans="1:18" ht="20.100000000000001" customHeight="1" x14ac:dyDescent="0.2">
      <c r="A55" s="5" t="str">
        <f>HYPERLINK("#'Acknowledgements'!A1", "Acknowledgements")</f>
        <v>Acknowledgements</v>
      </c>
      <c r="D55" s="196" t="s">
        <v>740</v>
      </c>
      <c r="E55" s="219">
        <v>0.25</v>
      </c>
      <c r="F55" s="197">
        <v>10</v>
      </c>
      <c r="G55" s="199">
        <f>Table_Input_OrganicFertiliser[[#This Row],[Amount applied (kg/hectare)]]*Table_Input_OrganicFertiliser[[#This Row],[Percentage of N in fertiliser]]</f>
        <v>2.5</v>
      </c>
      <c r="H55" s="197">
        <f>X_Cell_Fertiliser_AreaUnderCropping</f>
        <v>100</v>
      </c>
      <c r="I55" s="199">
        <f>Table_Input_OrganicFertiliser[[#This Row],[Amount applied (kg/hectare)]]*Table_Input_OrganicFertiliser[[#This Row],[Application area (ha)]]</f>
        <v>1000</v>
      </c>
      <c r="J55" s="199">
        <f>IFERROR(Table_Input_OrganicFertiliser[[#This Row],[Amount N applied (kg/hectare)]]*Table_Input_OrganicFertiliser[[#This Row],[Application area (ha)]], 0)</f>
        <v>250</v>
      </c>
    </row>
    <row r="56" spans="1:18" ht="20.100000000000001" customHeight="1" x14ac:dyDescent="0.2">
      <c r="D56" s="196" t="s">
        <v>741</v>
      </c>
      <c r="E56" s="219">
        <v>0.16</v>
      </c>
      <c r="F56" s="197">
        <v>10</v>
      </c>
      <c r="G56" s="199">
        <f>Table_Input_OrganicFertiliser[[#This Row],[Amount applied (kg/hectare)]]*Table_Input_OrganicFertiliser[[#This Row],[Percentage of N in fertiliser]]</f>
        <v>1.6</v>
      </c>
      <c r="H56" s="197">
        <f>X_Cell_Fertiliser_AreaUnderCropping</f>
        <v>100</v>
      </c>
      <c r="I56" s="199">
        <f>Table_Input_OrganicFertiliser[[#This Row],[Amount applied (kg/hectare)]]*Table_Input_OrganicFertiliser[[#This Row],[Application area (ha)]]</f>
        <v>1000</v>
      </c>
      <c r="J56" s="199">
        <f>IFERROR(Table_Input_OrganicFertiliser[[#This Row],[Amount N applied (kg/hectare)]]*Table_Input_OrganicFertiliser[[#This Row],[Application area (ha)]], 0)</f>
        <v>160</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7"/>
    </row>
  </sheetData>
  <conditionalFormatting sqref="F155:F156">
    <cfRule type="cellIs" dxfId="28" priority="15" operator="lessThan">
      <formula>0</formula>
    </cfRule>
  </conditionalFormatting>
  <conditionalFormatting sqref="F167:F168">
    <cfRule type="cellIs" dxfId="27" priority="14" operator="lessThan">
      <formula>0</formula>
    </cfRule>
  </conditionalFormatting>
  <conditionalFormatting sqref="F179:F180">
    <cfRule type="cellIs" dxfId="26" priority="13" operator="lessThan">
      <formula>0</formula>
    </cfRule>
  </conditionalFormatting>
  <conditionalFormatting sqref="F267:F268">
    <cfRule type="cellIs" dxfId="25" priority="26" operator="lessThan">
      <formula>0</formula>
    </cfRule>
  </conditionalFormatting>
  <conditionalFormatting sqref="F272:F273">
    <cfRule type="cellIs" dxfId="24" priority="25" operator="lessThan">
      <formula>0</formula>
    </cfRule>
  </conditionalFormatting>
  <conditionalFormatting sqref="F277:F278">
    <cfRule type="cellIs" dxfId="23" priority="24" operator="lessThan">
      <formula>0</formula>
    </cfRule>
  </conditionalFormatting>
  <conditionalFormatting sqref="F301:F302">
    <cfRule type="cellIs" dxfId="22" priority="23" operator="lessThan">
      <formula>0</formula>
    </cfRule>
  </conditionalFormatting>
  <conditionalFormatting sqref="F306:F307">
    <cfRule type="cellIs" dxfId="21" priority="22" operator="lessThan">
      <formula>0</formula>
    </cfRule>
  </conditionalFormatting>
  <conditionalFormatting sqref="F311:F312">
    <cfRule type="cellIs" dxfId="20" priority="21" operator="lessThan">
      <formula>0</formula>
    </cfRule>
  </conditionalFormatting>
  <conditionalFormatting sqref="H53 F143:F144">
    <cfRule type="cellIs" dxfId="19"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8" priority="20" operator="lessThan">
      <formula>0</formula>
    </cfRule>
  </conditionalFormatting>
  <conditionalFormatting sqref="I41:I44 I46:I47 F58 I75:I78 L198 K200 L202:L203 K204:K205 L206:L207 K208:K209 L212:L213 K214:K215 L216:L217 K218:K219 L223:L228 K225">
    <cfRule type="cellIs" dxfId="17" priority="18" operator="lessThan">
      <formula>0</formula>
    </cfRule>
  </conditionalFormatting>
  <conditionalFormatting sqref="I82 M119 I141:J141">
    <cfRule type="cellIs" dxfId="16" priority="19" operator="lessThan">
      <formula>0</formula>
    </cfRule>
  </conditionalFormatting>
  <conditionalFormatting sqref="I93:I95">
    <cfRule type="cellIs" dxfId="15" priority="3" operator="lessThan">
      <formula>0</formula>
    </cfRule>
  </conditionalFormatting>
  <conditionalFormatting sqref="I99:I102">
    <cfRule type="cellIs" dxfId="14" priority="2" operator="lessThan">
      <formula>0</formula>
    </cfRule>
  </conditionalFormatting>
  <conditionalFormatting sqref="I106:I110">
    <cfRule type="cellIs" dxfId="13" priority="1" operator="lessThan">
      <formula>0</formula>
    </cfRule>
  </conditionalFormatting>
  <conditionalFormatting sqref="J169">
    <cfRule type="cellIs" dxfId="12" priority="17" operator="lessThan">
      <formula>0</formula>
    </cfRule>
  </conditionalFormatting>
  <conditionalFormatting sqref="L131:L134">
    <cfRule type="cellIs" dxfId="11" priority="7" operator="lessThan">
      <formula>0</formula>
    </cfRule>
  </conditionalFormatting>
  <conditionalFormatting sqref="L137">
    <cfRule type="cellIs" dxfId="10" priority="12" operator="lessThan">
      <formula>0</formula>
    </cfRule>
  </conditionalFormatting>
  <conditionalFormatting sqref="L143:L146">
    <cfRule type="cellIs" dxfId="9" priority="6" operator="lessThan">
      <formula>0</formula>
    </cfRule>
  </conditionalFormatting>
  <conditionalFormatting sqref="L149">
    <cfRule type="cellIs" dxfId="8" priority="11" operator="lessThan">
      <formula>0</formula>
    </cfRule>
  </conditionalFormatting>
  <conditionalFormatting sqref="L155:L158">
    <cfRule type="cellIs" dxfId="7" priority="5" operator="lessThan">
      <formula>0</formula>
    </cfRule>
  </conditionalFormatting>
  <conditionalFormatting sqref="L161">
    <cfRule type="cellIs" dxfId="6" priority="10" operator="lessThan">
      <formula>0</formula>
    </cfRule>
  </conditionalFormatting>
  <conditionalFormatting sqref="L167:L170">
    <cfRule type="cellIs" dxfId="5" priority="4" operator="lessThan">
      <formula>0</formula>
    </cfRule>
  </conditionalFormatting>
  <conditionalFormatting sqref="L173">
    <cfRule type="cellIs" dxfId="4" priority="9" operator="lessThan">
      <formula>0</formula>
    </cfRule>
  </conditionalFormatting>
  <conditionalFormatting sqref="L177:L178">
    <cfRule type="cellIs" dxfId="3" priority="8" operator="lessThan">
      <formula>0</formula>
    </cfRule>
  </conditionalFormatting>
  <conditionalFormatting sqref="L230 L232:L235 L237 J245:J247 J250:J252">
    <cfRule type="cellIs" dxfId="2" priority="27" operator="lessThan">
      <formula>0</formula>
    </cfRule>
  </conditionalFormatting>
  <dataValidations count="9">
    <dataValidation type="list" allowBlank="1" showInputMessage="1" showErrorMessage="1" sqref="D12:D21" xr:uid="{B8006DF3-4189-43DE-820A-E5BFEDD36BFE}">
      <formula1>INDIRECT("FertiliserProducts[Product]")</formula1>
    </dataValidation>
    <dataValidation type="list" allowBlank="1" showInputMessage="1" showErrorMessage="1" sqref="Q25:R34" xr:uid="{B3BF0835-A552-4DD6-A516-BDB1B4A2F037}">
      <formula1>INDIRECT("Table_SourceData_Fertiliser_UreaAmmoniaSources[Source]")</formula1>
    </dataValidation>
    <dataValidation type="list" allowBlank="1" showInputMessage="1" showErrorMessage="1" sqref="D54:D56" xr:uid="{56067A97-8C02-4842-8DB7-D5424F23FBDD}">
      <formula1>INDIRECT("Table_SourceData_OrganicFertiliserTypes[Organic fertiliser type]")</formula1>
    </dataValidation>
    <dataValidation type="list" allowBlank="1" showInputMessage="1" showErrorMessage="1" sqref="H25:H34 J25:J34 L25:L34 N25:N34" xr:uid="{0807969C-7233-4061-AD22-E91190F9ED74}">
      <formula1>INDIRECT("Table_Fertiliser_ChemicalCompounds[Fertiliser type f]")</formula1>
    </dataValidation>
    <dataValidation type="list" allowBlank="1" showInputMessage="1" showErrorMessage="1" sqref="E81" xr:uid="{01C5A01A-1851-45D3-82EB-415EC9220017}">
      <formula1>INDIRECT("Table_SourceData_Swine_CropProdSystems[Production system]")</formula1>
    </dataValidation>
    <dataValidation type="list" allowBlank="1" showInputMessage="1" showErrorMessage="1" sqref="E82" xr:uid="{BBD5C439-294B-4CA3-A99E-23FF806F05DF}">
      <formula1>INDIRECT("Table_SourceData_Swine_IrrigationMethods[Irrigation method]")</formula1>
    </dataValidation>
    <dataValidation type="list" allowBlank="1" showInputMessage="1" showErrorMessage="1" sqref="E266 E271 E276 E310 E305 E300 E178 E166 E142 E154" xr:uid="{8F5C4E2C-8072-4769-94D5-55A27B423B8A}">
      <formula1>"Yes, No"</formula1>
    </dataValidation>
    <dataValidation type="list" allowBlank="1" showInputMessage="1" showErrorMessage="1" sqref="E242" xr:uid="{495775F6-15DB-46BF-8B2E-17DE9C3C6819}">
      <formula1>INDIRECT("Table_SourceData_Dairy_ProductionSystemTemplates[Area]")</formula1>
    </dataValidation>
    <dataValidation type="list" allowBlank="1" showInputMessage="1" showErrorMessage="1" sqref="D294" xr:uid="{0309F66A-0133-4270-A491-9473C26B953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533D-EC29-41E1-9C52-7B94439F9666}">
  <sheetPr>
    <tabColor rgb="FF008000"/>
  </sheetPr>
  <dimension ref="A1:X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742</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2308</v>
      </c>
      <c r="M5" s="87" t="s">
        <v>743</v>
      </c>
    </row>
    <row r="6" spans="1:24" ht="20.100000000000001" customHeight="1" x14ac:dyDescent="0.2">
      <c r="D6" s="17" t="s">
        <v>2309</v>
      </c>
      <c r="M6" s="222" t="s">
        <v>744</v>
      </c>
      <c r="N6" s="222"/>
      <c r="O6" s="222"/>
      <c r="P6" s="222"/>
      <c r="Q6" s="222"/>
      <c r="R6" s="222"/>
      <c r="S6" s="222"/>
    </row>
    <row r="7" spans="1:24" ht="20.100000000000001" customHeight="1" x14ac:dyDescent="0.2">
      <c r="D7" s="112"/>
      <c r="E7" s="112"/>
      <c r="M7" s="118" t="s">
        <v>745</v>
      </c>
    </row>
    <row r="8" spans="1:24" ht="20.100000000000001" customHeight="1" x14ac:dyDescent="0.2">
      <c r="A8" s="7" t="s">
        <v>0</v>
      </c>
      <c r="M8" s="119" t="s">
        <v>746</v>
      </c>
    </row>
    <row r="9" spans="1:24" ht="20.100000000000001" customHeight="1" x14ac:dyDescent="0.2">
      <c r="A9" s="5" t="str">
        <f>HYPERLINK("#'Input - Enterprise'!A1", "Enterprise")</f>
        <v>Enterprise</v>
      </c>
      <c r="O9" s="223" t="s">
        <v>747</v>
      </c>
      <c r="P9" s="223" t="s">
        <v>675</v>
      </c>
      <c r="Q9" s="223" t="s">
        <v>748</v>
      </c>
    </row>
    <row r="10" spans="1:24" ht="20.100000000000001" customHeight="1" x14ac:dyDescent="0.2">
      <c r="A10" s="5" t="str">
        <f>HYPERLINK("#'Input - Site'!A1", "Site")</f>
        <v>Site</v>
      </c>
      <c r="D10" s="75" t="s">
        <v>321</v>
      </c>
      <c r="E10" s="1" t="s">
        <v>2310</v>
      </c>
      <c r="M10" s="120" t="s">
        <v>749</v>
      </c>
      <c r="N10" s="78" t="s">
        <v>749</v>
      </c>
      <c r="O10" s="78" t="s">
        <v>750</v>
      </c>
      <c r="P10" s="78" t="s">
        <v>751</v>
      </c>
      <c r="Q10" s="120" t="s">
        <v>752</v>
      </c>
    </row>
    <row r="11" spans="1:24" ht="20.100000000000001" customHeight="1" x14ac:dyDescent="0.2">
      <c r="A11" s="5" t="str">
        <f>HYPERLINK("#'Input - Feedlot'!A1", "Feedlot")</f>
        <v>Feedlot</v>
      </c>
      <c r="D11" s="75" t="s">
        <v>118</v>
      </c>
      <c r="E11" s="9" t="s">
        <v>445</v>
      </c>
      <c r="M11" s="15" t="s">
        <v>753</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753</v>
      </c>
      <c r="N12" s="15" t="str">
        <v>Boost-It</v>
      </c>
      <c r="O12" s="15">
        <v>24</v>
      </c>
      <c r="P12" s="15">
        <v>100</v>
      </c>
      <c r="Q12" s="15">
        <f>O12*P12</f>
        <v>2400</v>
      </c>
    </row>
    <row r="13" spans="1:24" ht="20.100000000000001" customHeight="1" x14ac:dyDescent="0.2">
      <c r="A13" s="5" t="str">
        <f>HYPERLINK("#'Input - Beef cattle purchases'!A1", "Beef cattle purchases")</f>
        <v>Beef cattle purchases</v>
      </c>
      <c r="D13" s="124" t="s">
        <v>1490</v>
      </c>
      <c r="E13" s="124" t="s">
        <v>2311</v>
      </c>
      <c r="F13" s="124"/>
      <c r="G13" s="124" t="s">
        <v>748</v>
      </c>
      <c r="H13" s="114" t="s">
        <v>1196</v>
      </c>
      <c r="I13" s="116" t="str" cm="1">
        <f t="array" aca="1" ref="I13" ca="1">HYPERLINK(Common_InputFunctions.Utility_SourceHyperlink($D$16), $D$16)</f>
        <v>Table_MN_j_f</v>
      </c>
      <c r="M13" s="15" t="s">
        <v>753</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24" t="s">
        <v>2312</v>
      </c>
      <c r="E14" s="126" t="s">
        <v>2313</v>
      </c>
      <c r="F14" s="224"/>
      <c r="G14" s="124" t="s">
        <v>2314</v>
      </c>
      <c r="H14" s="115" t="s">
        <v>1227</v>
      </c>
      <c r="I14" s="116" t="str" cm="1">
        <f t="array" aca="1" ref="I14" ca="1">HYPERLINK(Common_InputFunctions.Utility_SourceHyperlink($D$16), $D$16)</f>
        <v>Table_MN_j_f</v>
      </c>
      <c r="M14" s="15" t="s">
        <v>753</v>
      </c>
      <c r="N14" s="15">
        <v>0</v>
      </c>
      <c r="O14" s="15">
        <v>0</v>
      </c>
      <c r="P14" s="15">
        <v>0</v>
      </c>
      <c r="Q14" s="15">
        <f t="shared" si="0"/>
        <v>0</v>
      </c>
    </row>
    <row r="15" spans="1:24" ht="20.100000000000001" customHeight="1" x14ac:dyDescent="0.2">
      <c r="A15" s="5" t="str">
        <f>HYPERLINK("#'Input - Electricity'!A1", "Electricity")</f>
        <v>Electricity</v>
      </c>
      <c r="M15" s="15" t="s">
        <v>753</v>
      </c>
      <c r="N15" s="15">
        <v>0</v>
      </c>
      <c r="O15" s="15">
        <v>0</v>
      </c>
      <c r="P15" s="15">
        <v>0</v>
      </c>
      <c r="Q15" s="15">
        <f t="shared" si="0"/>
        <v>0</v>
      </c>
    </row>
    <row r="16" spans="1:24" ht="20.100000000000001" customHeight="1" x14ac:dyDescent="0.2">
      <c r="A16" s="5" t="str">
        <f>HYPERLINK("#'Input - Common farm inputs'!A1", "Common farm inputs")</f>
        <v>Common farm inputs</v>
      </c>
      <c r="D16" s="118" t="s">
        <v>754</v>
      </c>
      <c r="M16" s="15" t="s">
        <v>753</v>
      </c>
      <c r="N16" s="15">
        <v>0</v>
      </c>
      <c r="O16" s="15">
        <v>0</v>
      </c>
      <c r="P16" s="15">
        <v>0</v>
      </c>
      <c r="Q16" s="15">
        <f t="shared" si="0"/>
        <v>0</v>
      </c>
    </row>
    <row r="17" spans="1:17" ht="20.100000000000001" customHeight="1" x14ac:dyDescent="0.2">
      <c r="A17" s="5" t="str">
        <f>HYPERLINK("#'Input - Livestock farm Inputs'!A1", "Livestock farm Inputs")</f>
        <v>Livestock farm Inputs</v>
      </c>
      <c r="D17" s="119" t="s">
        <v>755</v>
      </c>
      <c r="M17" s="15" t="s">
        <v>753</v>
      </c>
      <c r="N17" s="15">
        <v>0</v>
      </c>
      <c r="O17" s="15">
        <v>0</v>
      </c>
      <c r="P17" s="15">
        <v>0</v>
      </c>
      <c r="Q17" s="15">
        <f t="shared" si="0"/>
        <v>0</v>
      </c>
    </row>
    <row r="18" spans="1:17" ht="20.100000000000001" customHeight="1" x14ac:dyDescent="0.2">
      <c r="A18" s="5" t="str">
        <f>HYPERLINK("#'Input - Freight'!A1", "Freight")</f>
        <v>Freight</v>
      </c>
      <c r="D18" s="120" t="s">
        <v>756</v>
      </c>
      <c r="E18" s="78" t="s">
        <v>757</v>
      </c>
      <c r="F18" s="120" t="s">
        <v>758</v>
      </c>
      <c r="G18" s="120" t="s">
        <v>759</v>
      </c>
      <c r="M18" s="15" t="s">
        <v>753</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753</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753</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760</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760</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760</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760</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760</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f>(E26 * F26)</f>
        <v>1240</v>
      </c>
      <c r="M26" s="15" t="s">
        <v>760</v>
      </c>
      <c r="N26" s="15">
        <v>0</v>
      </c>
      <c r="O26" s="15">
        <v>0</v>
      </c>
      <c r="P26" s="15">
        <v>0</v>
      </c>
      <c r="Q26" s="15">
        <f t="shared" ref="Q26:Q30" si="1">O26*P26</f>
        <v>0</v>
      </c>
    </row>
    <row r="27" spans="1:17" ht="20.100000000000001" customHeight="1" x14ac:dyDescent="0.2">
      <c r="A27" s="5" t="str">
        <f>HYPERLINK("#'3.1.1.1-2 Enteric Methane'!A1", "3.1.1.1-2 Enteric Methane")</f>
        <v>3.1.1.1-2 Enteric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f>(E27 * F27)</f>
        <v>550</v>
      </c>
      <c r="M27" s="15" t="s">
        <v>760</v>
      </c>
      <c r="N27" s="15">
        <v>0</v>
      </c>
      <c r="O27" s="15">
        <v>0</v>
      </c>
      <c r="P27" s="15">
        <v>0</v>
      </c>
      <c r="Q27" s="15">
        <f t="shared" si="1"/>
        <v>0</v>
      </c>
    </row>
    <row r="28" spans="1:17" ht="20.100000000000001" customHeight="1" x14ac:dyDescent="0.2">
      <c r="A28" s="5" t="str">
        <f>HYPERLINK("#'4.1.1.1-2 Methane'!A1", "4.1.1.1-2 Manure Methane")</f>
        <v>4.1.1.1-2 Manure Methane</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760</v>
      </c>
      <c r="N28" s="15">
        <v>0</v>
      </c>
      <c r="O28" s="15">
        <v>0</v>
      </c>
      <c r="P28" s="15">
        <v>0</v>
      </c>
      <c r="Q28" s="15">
        <f t="shared" si="1"/>
        <v>0</v>
      </c>
    </row>
    <row r="29" spans="1:17" ht="20.100000000000001" customHeight="1" x14ac:dyDescent="0.2">
      <c r="A29" s="5" t="str">
        <f>HYPERLINK("#'4.1.1.3-4 Direct N20'!A1", "4.1.1.3-4 Manure Direct N2O")</f>
        <v>4.1.1.3-4 Manure Direct N2O</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f>(E29 * F29)</f>
        <v>0</v>
      </c>
      <c r="M29" s="15" t="s">
        <v>760</v>
      </c>
      <c r="N29" s="15">
        <v>0</v>
      </c>
      <c r="O29" s="15">
        <v>0</v>
      </c>
      <c r="P29" s="15">
        <v>0</v>
      </c>
      <c r="Q29" s="15">
        <f t="shared" si="1"/>
        <v>0</v>
      </c>
    </row>
    <row r="30" spans="1:17" ht="20.100000000000001" customHeight="1" x14ac:dyDescent="0.2">
      <c r="A30" s="5" t="str">
        <f>HYPERLINK("#'4.1.1.5-6 Atmos Deposition'!A1", "4.1.1.5-6 Manure Atmos Dep")</f>
        <v>4.1.1.5-6 Manure Atmos Dep</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f>(E30 * F30)</f>
        <v>0</v>
      </c>
      <c r="M30" s="15" t="s">
        <v>760</v>
      </c>
      <c r="N30" s="15">
        <v>0</v>
      </c>
      <c r="O30" s="15">
        <v>0</v>
      </c>
      <c r="P30" s="15">
        <v>0</v>
      </c>
      <c r="Q30" s="15">
        <f t="shared" si="1"/>
        <v>0</v>
      </c>
    </row>
    <row r="31" spans="1:17" ht="20.100000000000001" customHeight="1" x14ac:dyDescent="0.2">
      <c r="A31" s="5" t="str">
        <f>HYPERLINK("#'4.1.1.9 Manure applied to soils'!A1", "4.1.1.9 Manure applied to soils")</f>
        <v>4.1.1.9 Manure applied to soils</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88" t="s">
        <v>761</v>
      </c>
      <c r="N33" s="83">
        <f>SUM(Q11:Q30)</f>
        <v>18282.5</v>
      </c>
    </row>
    <row r="34" spans="1:24"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5" t="s">
        <v>762</v>
      </c>
      <c r="N34" s="1">
        <f>MAX(P11:P30)</f>
        <v>100</v>
      </c>
    </row>
    <row r="35" spans="1:24"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5" t="s">
        <v>763</v>
      </c>
      <c r="N35" s="1">
        <f>N33/N34</f>
        <v>182.82499999999999</v>
      </c>
    </row>
    <row r="36" spans="1:24"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HYPERLINK("#'Calcs - Manure sent off-site'!A1", "Calcs - Manure sent off-site")</f>
        <v>Calcs - Manure sent off-site</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f>(E37 * F37)</f>
        <v>775</v>
      </c>
      <c r="L37" s="83"/>
      <c r="M37" s="83"/>
      <c r="N37" s="83"/>
      <c r="O37" s="83"/>
      <c r="P37" s="83"/>
      <c r="Q37" s="83"/>
      <c r="R37" s="83"/>
      <c r="S37" s="83"/>
      <c r="T37" s="83"/>
      <c r="U37" s="83"/>
      <c r="V37" s="83"/>
      <c r="W37" s="83"/>
      <c r="X37" s="83"/>
    </row>
    <row r="38" spans="1:24" ht="20.100000000000001" customHeight="1" x14ac:dyDescent="0.2">
      <c r="A38" s="117" t="str">
        <f>HYPERLINK("#'5.1.1.1-2 Inorganic fert N2O'!A1", "5.1.1.1-2 Inorganic fert N2O")</f>
        <v>5.1.1.1-2 Inorganic fert N2O</v>
      </c>
    </row>
    <row r="39" spans="1:24" ht="20.100000000000001" customHeight="1" x14ac:dyDescent="0.2">
      <c r="A39" s="5" t="str">
        <f>HYPERLINK("#'5.1.1.3-4 Inorganic fert CO2'!A1", "5.1.1.3-4 Inorganic fert CO2")</f>
        <v>5.1.1.3-4 Inorganic fert CO2</v>
      </c>
      <c r="C39" s="83"/>
      <c r="D39" s="83"/>
      <c r="E39" s="83"/>
      <c r="F39" s="83"/>
      <c r="G39" s="83"/>
      <c r="H39" s="83"/>
      <c r="I39" s="83"/>
      <c r="J39" s="83"/>
      <c r="M39" s="2" t="s">
        <v>2315</v>
      </c>
    </row>
    <row r="40" spans="1:24" ht="20.100000000000001" customHeight="1" x14ac:dyDescent="0.2">
      <c r="A40" s="5" t="str">
        <f>HYPERLINK("#'5.2.1.1-2 Organic Fert N2O'!A1", "5.2.1.1-2 Organic Fert N2O")</f>
        <v>5.2.1.1-2 Organic Fert N2O</v>
      </c>
      <c r="D40" s="2" t="s">
        <v>2317</v>
      </c>
      <c r="M40" s="17" t="s">
        <v>2316</v>
      </c>
    </row>
    <row r="41" spans="1:24" ht="20.100000000000001" customHeight="1" x14ac:dyDescent="0.2">
      <c r="A41" s="5" t="str">
        <f>HYPERLINK("#'5.3.1.1-2 Lime CO2'!A1", "5.3.1.1-2 Lime CO2")</f>
        <v>5.3.1.1-2 Lime CO2</v>
      </c>
      <c r="D41" s="17" t="s">
        <v>2318</v>
      </c>
    </row>
    <row r="42" spans="1:24" ht="20.100000000000001" customHeight="1" x14ac:dyDescent="0.2">
      <c r="A42" s="5" t="str">
        <f>HYPERLINK("#'5.4.1.1-4 Atmos deposition'!A1", "5.4.1.1-4 Atmos deposition")</f>
        <v>5.4.1.1-4 Atmos deposition</v>
      </c>
      <c r="D42" s="112"/>
      <c r="E42" s="112"/>
      <c r="F42" s="16"/>
    </row>
    <row r="43" spans="1:24" ht="20.100000000000001" customHeight="1" x14ac:dyDescent="0.2">
      <c r="A43" s="5" t="str">
        <f>HYPERLINK("#'5.5.1.1-2 Leaching and runoff'!A1", "5.5.1.1-2 Leaching and runoff")</f>
        <v>5.5.1.1-2 Leaching and runoff</v>
      </c>
      <c r="F43" s="16"/>
      <c r="M43" s="75" t="s">
        <v>321</v>
      </c>
      <c r="N43" s="1" t="s">
        <v>2319</v>
      </c>
    </row>
    <row r="44" spans="1:24" ht="20.100000000000001" customHeight="1" x14ac:dyDescent="0.2">
      <c r="F44" s="16"/>
      <c r="M44" s="75" t="s">
        <v>118</v>
      </c>
      <c r="N44" s="9" t="s">
        <v>2320</v>
      </c>
    </row>
    <row r="45" spans="1:24" ht="20.100000000000001" customHeight="1" x14ac:dyDescent="0.2">
      <c r="F45" s="16"/>
    </row>
    <row r="46" spans="1:24" ht="20.100000000000001" customHeight="1" x14ac:dyDescent="0.2">
      <c r="A46" s="80" t="s">
        <v>1</v>
      </c>
      <c r="D46" s="75" t="s">
        <v>321</v>
      </c>
      <c r="E46" s="1" t="s">
        <v>1570</v>
      </c>
      <c r="F46" s="16"/>
      <c r="M46" s="124" t="s">
        <v>2321</v>
      </c>
      <c r="N46" s="126" t="s">
        <v>2322</v>
      </c>
      <c r="O46" s="225"/>
      <c r="P46" s="124" t="s">
        <v>2324</v>
      </c>
      <c r="Q46" s="114" t="s">
        <v>1196</v>
      </c>
      <c r="R46" s="121">
        <f>$N$35</f>
        <v>182.82499999999999</v>
      </c>
      <c r="S46" s="226"/>
    </row>
    <row r="47" spans="1:24" ht="20.100000000000001" customHeight="1" x14ac:dyDescent="0.2">
      <c r="A47" s="5" t="str">
        <f>HYPERLINK("#'Constants - Feedlot'!A1", "Constants - Feedlot")</f>
        <v>Constants - Feedlot</v>
      </c>
      <c r="D47" s="75" t="s">
        <v>118</v>
      </c>
      <c r="E47" s="9" t="s">
        <v>12</v>
      </c>
      <c r="F47" s="16"/>
      <c r="M47" s="124" t="s">
        <v>1484</v>
      </c>
      <c r="N47" s="126" t="s">
        <v>2323</v>
      </c>
      <c r="O47" s="225"/>
      <c r="P47" s="124"/>
      <c r="Q47" s="115" t="s">
        <v>1227</v>
      </c>
      <c r="R47" s="126" t="s">
        <v>764</v>
      </c>
      <c r="S47" s="226"/>
    </row>
    <row r="48" spans="1:24" ht="20.100000000000001" customHeight="1" x14ac:dyDescent="0.2">
      <c r="A48" s="5" t="str">
        <f>HYPERLINK("#'Constants - Common livestock'!A1", "Constants - Common Livestock")</f>
        <v>Constants - Common Livestock</v>
      </c>
      <c r="F48" s="16"/>
    </row>
    <row r="49" spans="1:19" ht="20.100000000000001" customHeight="1" x14ac:dyDescent="0.2">
      <c r="A49" s="5" t="str">
        <f>HYPERLINK("#'Constants - Electricity'!A1", "Constants - Electricity")</f>
        <v>Constants - Electricity</v>
      </c>
      <c r="D49" s="124" t="s">
        <v>2310</v>
      </c>
      <c r="E49" s="126" t="s">
        <v>2325</v>
      </c>
      <c r="F49" s="225"/>
      <c r="G49" s="124" t="s">
        <v>445</v>
      </c>
      <c r="H49" s="115" t="s">
        <v>2328</v>
      </c>
      <c r="I49" s="116" t="str" cm="1">
        <f t="array" aca="1" ref="I49" ca="1">HYPERLINK(Common_InputFunctions.Utility_SourceHyperlink(D16), D16)</f>
        <v>Table_MN_j_f</v>
      </c>
      <c r="M49" s="1" t="s">
        <v>765</v>
      </c>
      <c r="N49" s="1">
        <f>((-0.1474 + (0.0061 * R46)) * 10 ^ -2)</f>
        <v>9.6783250000000015E-3</v>
      </c>
      <c r="O49" s="9" t="str">
        <f>N44</f>
        <v>kg N2O-N/kg N applied</v>
      </c>
    </row>
    <row r="50" spans="1:19" ht="20.100000000000001" customHeight="1" x14ac:dyDescent="0.2">
      <c r="A50" s="5" t="str">
        <f>HYPERLINK("#'Constants - Fertiliser'!A1", "Constants - Fertiliser")</f>
        <v>Constants - Fertiliser</v>
      </c>
      <c r="D50" s="124" t="s">
        <v>2326</v>
      </c>
      <c r="E50" s="126" t="s">
        <v>2327</v>
      </c>
      <c r="F50" s="225"/>
      <c r="G50" s="124" t="s">
        <v>2320</v>
      </c>
      <c r="H50" s="115" t="s">
        <v>1227</v>
      </c>
      <c r="I50" s="124">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Fuel'!A1", "Constants - Fuel")</f>
        <v>Constants - Fuel</v>
      </c>
      <c r="D51" s="124" t="s">
        <v>1311</v>
      </c>
      <c r="E51" s="126" t="s">
        <v>1312</v>
      </c>
      <c r="F51" s="225"/>
      <c r="G51" s="124"/>
      <c r="H51" s="115" t="s">
        <v>1227</v>
      </c>
      <c r="I51" s="124">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Scope 3'!A1", "Constants - Scope 3")</f>
        <v>Constants - Scope 3</v>
      </c>
      <c r="D52" s="124" t="s">
        <v>1327</v>
      </c>
      <c r="E52" s="126" t="s">
        <v>479</v>
      </c>
      <c r="F52" s="225"/>
      <c r="G52" s="124"/>
      <c r="H52" s="114" t="s">
        <v>1196</v>
      </c>
      <c r="I52" s="124" t="str">
        <f>X_Cell_Fertiliser_ProductionSystem</f>
        <v>Crop</v>
      </c>
    </row>
    <row r="53" spans="1:19" ht="20.100000000000001" customHeight="1" x14ac:dyDescent="0.2">
      <c r="A53" s="5" t="str">
        <f>HYPERLINK("#'Constants - Solid Waste'!A1", "Constants - Solid Waste")</f>
        <v>Constants - Solid Waste</v>
      </c>
      <c r="D53" s="124" t="s">
        <v>1484</v>
      </c>
      <c r="E53" s="126" t="s">
        <v>2323</v>
      </c>
      <c r="F53" s="225"/>
      <c r="G53" s="124"/>
      <c r="H53" s="115" t="s">
        <v>1227</v>
      </c>
      <c r="I53" s="124" t="str">
        <f>"See " &amp; D57</f>
        <v>See M1_Table_E_N2O</v>
      </c>
      <c r="M53" s="2" t="s">
        <v>2329</v>
      </c>
    </row>
    <row r="54" spans="1:19" ht="20.100000000000001" customHeight="1" x14ac:dyDescent="0.2">
      <c r="A54" s="5" t="str">
        <f>HYPERLINK("#'Constants - Common'!A1", "Constants - Common")</f>
        <v>Constants - Common</v>
      </c>
      <c r="D54" s="124" t="s">
        <v>1608</v>
      </c>
      <c r="E54" s="126" t="s">
        <v>1329</v>
      </c>
      <c r="F54" s="225"/>
      <c r="G54" s="124"/>
      <c r="H54" s="114" t="s">
        <v>1196</v>
      </c>
      <c r="I54" s="124" t="str">
        <f>X_Cell_Fertiliser_IrrigationMethod</f>
        <v>Drip irrigation</v>
      </c>
      <c r="M54" s="17" t="s">
        <v>2330</v>
      </c>
    </row>
    <row r="55" spans="1:19" ht="20.100000000000001" customHeight="1" x14ac:dyDescent="0.2">
      <c r="A55" s="5" t="str">
        <f>HYPERLINK("#'Acknowledgements'!A1", "Acknowledgements")</f>
        <v>Acknowledgements</v>
      </c>
      <c r="D55" s="124" t="s">
        <v>1619</v>
      </c>
      <c r="E55" s="126" t="s">
        <v>1331</v>
      </c>
      <c r="F55" s="225"/>
      <c r="G55" s="124"/>
      <c r="H55" s="114" t="s">
        <v>1196</v>
      </c>
      <c r="I55" s="124" t="str">
        <f>X_Cell_Site_RainfallZone</f>
        <v>High rainfall</v>
      </c>
    </row>
    <row r="56" spans="1:19" ht="20.100000000000001" customHeight="1" x14ac:dyDescent="0.2">
      <c r="F56" s="16"/>
    </row>
    <row r="57" spans="1:19" ht="20.100000000000001" customHeight="1" x14ac:dyDescent="0.2">
      <c r="D57" s="118" t="s">
        <v>766</v>
      </c>
      <c r="F57" s="16"/>
      <c r="M57" s="75" t="s">
        <v>321</v>
      </c>
      <c r="N57" s="1" t="s">
        <v>2331</v>
      </c>
    </row>
    <row r="58" spans="1:19" ht="20.100000000000001" customHeight="1" x14ac:dyDescent="0.2">
      <c r="D58" s="119" t="s">
        <v>767</v>
      </c>
      <c r="F58" s="16"/>
      <c r="M58" s="75" t="s">
        <v>118</v>
      </c>
      <c r="N58" s="9" t="s">
        <v>2320</v>
      </c>
    </row>
    <row r="59" spans="1:19" ht="20.100000000000001" customHeight="1" x14ac:dyDescent="0.2">
      <c r="D59" s="120" t="s">
        <v>756</v>
      </c>
      <c r="E59" s="120" t="s">
        <v>768</v>
      </c>
    </row>
    <row r="60" spans="1:19" ht="20.100000000000001" customHeight="1" x14ac:dyDescent="0.2">
      <c r="D60" s="15" t="str" cm="1">
        <f t="array" ref="D60:D78">Table_Fertiliser_ChemicalCompounds[Fertiliser type f]</f>
        <v>Monoammonium phosphate (MAP)</v>
      </c>
      <c r="E60" s="15">
        <f>((G19 * $I$50 * $I$51) * 10 ^ -3)</f>
        <v>0</v>
      </c>
      <c r="F60" s="16" t="str">
        <f>E47</f>
        <v>t N2O</v>
      </c>
      <c r="M60" s="124" t="s">
        <v>2332</v>
      </c>
      <c r="N60" s="126" t="s">
        <v>2333</v>
      </c>
      <c r="O60" s="225"/>
      <c r="P60" s="124" t="s">
        <v>2324</v>
      </c>
      <c r="Q60" s="114" t="s">
        <v>1196</v>
      </c>
      <c r="R60" s="121">
        <f>$N$35</f>
        <v>182.82499999999999</v>
      </c>
      <c r="S60" s="226"/>
    </row>
    <row r="61" spans="1:19" ht="20.100000000000001" customHeight="1" x14ac:dyDescent="0.2">
      <c r="D61" s="15" t="str">
        <v>Diammonium phosphate (DAP)</v>
      </c>
      <c r="E61" s="15">
        <f>((G20 * $I$50 * $I$51) * 10 ^ -3)</f>
        <v>0</v>
      </c>
      <c r="M61" s="124" t="s">
        <v>1484</v>
      </c>
      <c r="N61" s="126" t="s">
        <v>2323</v>
      </c>
      <c r="O61" s="225"/>
      <c r="P61" s="124"/>
      <c r="Q61" s="115" t="s">
        <v>1227</v>
      </c>
      <c r="R61" s="126" t="s">
        <v>764</v>
      </c>
      <c r="S61" s="224"/>
    </row>
    <row r="62" spans="1:19" ht="20.100000000000001" customHeight="1" x14ac:dyDescent="0.2">
      <c r="D62" s="15" t="str">
        <v>Urea</v>
      </c>
      <c r="E62" s="15">
        <f>((G21 * $I$50 * $I$51) * 10 ^ -3)</f>
        <v>0.12759999340000003</v>
      </c>
    </row>
    <row r="63" spans="1:19" ht="20.100000000000001" customHeight="1" x14ac:dyDescent="0.2">
      <c r="D63" s="15" t="str">
        <v>Sulphate of ammonia (SOA)</v>
      </c>
      <c r="E63" s="15">
        <f>((G22 * $I$50 * $I$51) * 10 ^ -3)</f>
        <v>0</v>
      </c>
      <c r="M63" s="75" t="s">
        <v>769</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1:20" ht="20.100000000000001" customHeight="1" x14ac:dyDescent="0.2">
      <c r="D65" s="15" t="str">
        <v>Ammonium nitrate (AN)</v>
      </c>
      <c r="E65" s="15">
        <f>((G24 * $I$50 * $I$51) * 10 ^ -3)</f>
        <v>0</v>
      </c>
    </row>
    <row r="66" spans="1:20" ht="20.100000000000001" customHeight="1" x14ac:dyDescent="0.2">
      <c r="A66" s="79" t="str">
        <f>HYPERLINK("#A1", "▲ Back to top")</f>
        <v>▲ Back to top</v>
      </c>
      <c r="D66" s="15" t="str">
        <v>Calcium ammonium nitrate (CAN)</v>
      </c>
      <c r="E66" s="15">
        <f>((G25 * $I$50 * $I$51) * 10 ^ -3)</f>
        <v>0</v>
      </c>
      <c r="M66" s="2" t="s">
        <v>2334</v>
      </c>
    </row>
    <row r="67" spans="1:20" ht="20.100000000000001" customHeight="1" x14ac:dyDescent="0.2">
      <c r="D67" s="15" t="str">
        <v>Nitrogen - Ammoniacal</v>
      </c>
      <c r="E67" s="15">
        <f>((G26 * $I$50 * $I$51) * 10 ^ -3)</f>
        <v>1.3639999999999999E-2</v>
      </c>
      <c r="M67" s="17" t="s">
        <v>2335</v>
      </c>
    </row>
    <row r="68" spans="1:20" ht="20.100000000000001" customHeight="1" x14ac:dyDescent="0.2">
      <c r="D68" s="15" t="str">
        <v>Nitrogen - Nitrate</v>
      </c>
      <c r="E68" s="15">
        <f>((G27 * $I$50 * $I$51) * 10 ^ -3)</f>
        <v>6.0499999999999998E-3</v>
      </c>
    </row>
    <row r="69" spans="1:20" ht="20.100000000000001" customHeight="1" x14ac:dyDescent="0.2">
      <c r="D69" s="15" t="str">
        <v>Nitrogen - Generic</v>
      </c>
      <c r="E69" s="15">
        <f>((G28 * $I$50 * $I$51) * 10 ^ -3)</f>
        <v>0</v>
      </c>
    </row>
    <row r="70" spans="1:20" ht="20.100000000000001" customHeight="1" x14ac:dyDescent="0.2">
      <c r="D70" s="15" t="str">
        <v>Phosphorus - Generic</v>
      </c>
      <c r="E70" s="15">
        <f>((G29 * $I$50 * $I$51) * 10 ^ -3)</f>
        <v>0</v>
      </c>
    </row>
    <row r="71" spans="1:20" ht="20.100000000000001" customHeight="1" x14ac:dyDescent="0.2">
      <c r="D71" s="15" t="str">
        <v>Potassium - Generic</v>
      </c>
      <c r="E71" s="15">
        <f>((G30 * $I$50 * $I$51) * 10 ^ -3)</f>
        <v>0</v>
      </c>
      <c r="M71" s="75" t="s">
        <v>321</v>
      </c>
      <c r="N71" s="1" t="s">
        <v>2336</v>
      </c>
    </row>
    <row r="72" spans="1:20" ht="20.100000000000001" customHeight="1" x14ac:dyDescent="0.2">
      <c r="D72" s="15" t="str">
        <v>Sulfur - Generic</v>
      </c>
      <c r="E72" s="15">
        <f>((G31 * $I$50 * $I$51) * 10 ^ -3)</f>
        <v>0</v>
      </c>
      <c r="M72" s="75" t="s">
        <v>118</v>
      </c>
      <c r="N72" s="9" t="s">
        <v>2320</v>
      </c>
    </row>
    <row r="73" spans="1:20" ht="20.100000000000001" customHeight="1" x14ac:dyDescent="0.2">
      <c r="D73" s="15" t="str">
        <v>Zinc - Generic</v>
      </c>
      <c r="E73" s="15">
        <f>((G32 * $I$50 * $I$51) * 10 ^ -3)</f>
        <v>0</v>
      </c>
    </row>
    <row r="74" spans="1:20" ht="20.100000000000001" customHeight="1" x14ac:dyDescent="0.2">
      <c r="D74" s="15" t="str">
        <v>Muriate of potash (MOP)</v>
      </c>
      <c r="E74" s="15">
        <f>((G33 * $I$50 * $I$51) * 10 ^ -3)</f>
        <v>0</v>
      </c>
      <c r="M74" s="222" t="s">
        <v>770</v>
      </c>
      <c r="N74" s="222"/>
      <c r="O74" s="222"/>
      <c r="P74" s="222"/>
      <c r="Q74" s="222"/>
      <c r="R74" s="222"/>
      <c r="S74" s="222"/>
      <c r="T74" s="222"/>
    </row>
    <row r="75" spans="1:20" ht="20.100000000000001" customHeight="1" x14ac:dyDescent="0.2">
      <c r="D75" s="15" t="str">
        <v>Double superphosphate</v>
      </c>
      <c r="E75" s="15">
        <f>((G34 * $I$50 * $I$51) * 10 ^ -3)</f>
        <v>0</v>
      </c>
    </row>
    <row r="76" spans="1:20" ht="20.100000000000001" customHeight="1" x14ac:dyDescent="0.2">
      <c r="D76" s="15" t="str">
        <v>Single superphosphate (SSP)</v>
      </c>
      <c r="E76" s="15">
        <f>((G35 * $I$50 * $I$51) * 10 ^ -3)</f>
        <v>0</v>
      </c>
      <c r="M76" s="124" t="s">
        <v>2337</v>
      </c>
      <c r="N76" s="126" t="s">
        <v>2338</v>
      </c>
      <c r="O76" s="225"/>
      <c r="P76" s="126" t="s">
        <v>2324</v>
      </c>
      <c r="Q76" s="114" t="s">
        <v>1196</v>
      </c>
      <c r="R76" s="121">
        <f>MIN(300, $N$35)</f>
        <v>182.82499999999999</v>
      </c>
      <c r="S76" s="226"/>
    </row>
    <row r="77" spans="1:20" ht="20.100000000000001" customHeight="1" x14ac:dyDescent="0.2">
      <c r="D77" s="15" t="str">
        <v>Ammonia</v>
      </c>
      <c r="E77" s="15">
        <f>((G36 * $I$50 * $I$51) * 10 ^ -3)</f>
        <v>4.5292500000000006E-2</v>
      </c>
      <c r="M77" s="124" t="s">
        <v>1484</v>
      </c>
      <c r="N77" s="126" t="s">
        <v>2323</v>
      </c>
      <c r="O77" s="225"/>
      <c r="P77" s="126"/>
      <c r="Q77" s="115" t="s">
        <v>1227</v>
      </c>
      <c r="R77" s="126" t="s">
        <v>764</v>
      </c>
      <c r="S77" s="224"/>
    </row>
    <row r="78" spans="1:20" ht="20.100000000000001" customHeight="1" x14ac:dyDescent="0.2">
      <c r="D78" s="15" t="str">
        <v>Calcium nitrate</v>
      </c>
      <c r="E78" s="15">
        <f>((G37 * $I$50 * $I$51) * 10 ^ -3)</f>
        <v>8.5250000000000013E-3</v>
      </c>
    </row>
    <row r="79" spans="1:20" ht="20.100000000000001" customHeight="1" x14ac:dyDescent="0.2">
      <c r="M79" s="75" t="s">
        <v>769</v>
      </c>
      <c r="N79" s="1">
        <f>((0.01 * (0.29 + ((0.007 * (EXP(0.037 * R76) - 1)) / R76))) * 10 ^ -2)</f>
        <v>3.231403335233797E-5</v>
      </c>
      <c r="O79" s="9" t="str">
        <f>N72</f>
        <v>kg N2O-N/kg N applied</v>
      </c>
    </row>
    <row r="80" spans="1:20" ht="20.100000000000001" customHeight="1" x14ac:dyDescent="0.2">
      <c r="D80" s="85" t="s">
        <v>771</v>
      </c>
      <c r="E80" s="86">
        <f>SUM(E60:E78)</f>
        <v>0.20110749340000006</v>
      </c>
      <c r="F80" s="95" t="str">
        <f>$E$47</f>
        <v>t N2O</v>
      </c>
    </row>
    <row r="82" spans="1:24" ht="20.100000000000001" customHeight="1" x14ac:dyDescent="0.2">
      <c r="D82" s="124" t="str" cm="1">
        <f t="array" ref="D82:E83">Common_Equations.Common_ConvertN2OToCO2e_Arguments()</f>
        <v>EN2O</v>
      </c>
      <c r="E82" s="126" t="str">
        <v>Nitrous oxide emissions (t N2O)</v>
      </c>
      <c r="F82" s="127"/>
      <c r="G82" s="15">
        <f>VEERG_5_1_1_1__1_InorganicFertiliserApplicationN2OEmissions_Result_Method1</f>
        <v>0.20110749340000006</v>
      </c>
      <c r="L82" s="83"/>
      <c r="M82" s="83"/>
      <c r="N82" s="83"/>
      <c r="O82" s="83"/>
      <c r="P82" s="83"/>
      <c r="Q82" s="83"/>
      <c r="R82" s="83"/>
      <c r="S82" s="83"/>
      <c r="T82" s="83"/>
      <c r="U82" s="83"/>
      <c r="V82" s="83"/>
      <c r="W82" s="83"/>
      <c r="X82" s="83"/>
    </row>
    <row r="83" spans="1:24" ht="20.100000000000001" customHeight="1" x14ac:dyDescent="0.2">
      <c r="D83" s="124" t="str">
        <v>GWPN2O</v>
      </c>
      <c r="E83" s="126" t="str">
        <v>Global warming potential for nitrous oxide (t CO2-e / t N2O)</v>
      </c>
      <c r="F83" s="127"/>
      <c r="G83" s="15">
        <f>Common_InputFunctions.Utility_LookupValueInTableNumber("N2O",Table_GWPData[Gas],Table_GWPData[CO2-e factor])</f>
        <v>265</v>
      </c>
      <c r="M83" s="2" t="s">
        <v>2317</v>
      </c>
    </row>
    <row r="84" spans="1:24" ht="20.100000000000001" customHeight="1" x14ac:dyDescent="0.2">
      <c r="M84" s="17" t="s">
        <v>2318</v>
      </c>
    </row>
    <row r="85" spans="1:24" ht="20.100000000000001" customHeight="1" x14ac:dyDescent="0.2">
      <c r="D85" s="83" t="s">
        <v>427</v>
      </c>
      <c r="E85" s="83" cm="1">
        <f t="array" ref="E85">Common_Equations.Common_ConvertN2OToCO2e(G82,G83)</f>
        <v>53.293485751000013</v>
      </c>
      <c r="F85" s="89" t="str" cm="1">
        <f t="array" ref="F85">Common_Equations.Common_ConvertN2OToCO2e_Unit()</f>
        <v>t CO2e</v>
      </c>
      <c r="M85" s="112"/>
      <c r="N85" s="112"/>
    </row>
    <row r="89" spans="1:24" ht="20.100000000000001" customHeight="1" x14ac:dyDescent="0.2">
      <c r="M89" s="75" t="s">
        <v>321</v>
      </c>
      <c r="N89" s="1" t="s">
        <v>1570</v>
      </c>
    </row>
    <row r="90" spans="1:24" ht="20.100000000000001" customHeight="1" x14ac:dyDescent="0.2">
      <c r="M90" s="75" t="s">
        <v>118</v>
      </c>
      <c r="N90" s="9" t="s">
        <v>12</v>
      </c>
    </row>
    <row r="92" spans="1:24" ht="20.100000000000001" customHeight="1" x14ac:dyDescent="0.2">
      <c r="M92" s="124" t="s">
        <v>2310</v>
      </c>
      <c r="N92" s="126" t="s">
        <v>2325</v>
      </c>
      <c r="O92" s="225"/>
      <c r="P92" s="224"/>
      <c r="Q92" s="124" t="s">
        <v>445</v>
      </c>
      <c r="R92" s="115" t="s">
        <v>2328</v>
      </c>
      <c r="S92" s="113">
        <f>N33</f>
        <v>18282.5</v>
      </c>
    </row>
    <row r="93" spans="1:24" ht="20.100000000000001" customHeight="1" x14ac:dyDescent="0.2">
      <c r="M93" s="124" t="s">
        <v>2326</v>
      </c>
      <c r="N93" s="126" t="s">
        <v>2327</v>
      </c>
      <c r="O93" s="225"/>
      <c r="P93" s="224"/>
      <c r="Q93" s="124" t="s">
        <v>2320</v>
      </c>
      <c r="R93" s="115" t="s">
        <v>2339</v>
      </c>
      <c r="S93" s="113">
        <f>_xlfn.XLOOKUP(TRUE,N105:N108,O105:O108)</f>
        <v>9.6783250000000015E-3</v>
      </c>
    </row>
    <row r="94" spans="1:24" ht="20.100000000000001" customHeight="1" x14ac:dyDescent="0.2">
      <c r="M94" s="124" t="s">
        <v>1311</v>
      </c>
      <c r="N94" s="126" t="s">
        <v>1312</v>
      </c>
      <c r="O94" s="225"/>
      <c r="P94" s="224"/>
      <c r="Q94" s="124"/>
      <c r="R94" s="115" t="s">
        <v>1227</v>
      </c>
      <c r="S94" s="124">
        <f>Common_InputFunctions.Utility_LookupValueInTableNumber("N2O",Table_GasToMolecularConversionFactor[Gas],Table_GasToMolecularConversionFactor[Conversion factor combined])</f>
        <v>1.5714285714285714</v>
      </c>
    </row>
    <row r="95" spans="1:24" ht="20.100000000000001" customHeight="1" x14ac:dyDescent="0.2">
      <c r="M95" s="124" t="s">
        <v>1327</v>
      </c>
      <c r="N95" s="126" t="s">
        <v>479</v>
      </c>
      <c r="O95" s="225"/>
      <c r="P95" s="224"/>
      <c r="Q95" s="124"/>
      <c r="R95" s="114" t="s">
        <v>1196</v>
      </c>
      <c r="S95" s="124" t="str">
        <f>X_Cell_Fertiliser_ProductionSystem</f>
        <v>Crop</v>
      </c>
    </row>
    <row r="96" spans="1:24" ht="20.100000000000001" customHeight="1" x14ac:dyDescent="0.2">
      <c r="A96" s="79" t="str">
        <f>HYPERLINK("#A1", "▲ Back to top")</f>
        <v>▲ Back to top</v>
      </c>
      <c r="M96" s="124" t="s">
        <v>1453</v>
      </c>
      <c r="N96" s="126" t="s">
        <v>672</v>
      </c>
      <c r="O96" s="225"/>
      <c r="P96" s="224"/>
      <c r="Q96" s="124"/>
      <c r="R96" s="114" t="s">
        <v>1196</v>
      </c>
      <c r="S96" s="124" t="str">
        <f>X_Cell_Fertiliser_CropType</f>
        <v>Maize</v>
      </c>
    </row>
    <row r="97" spans="13:19" ht="20.100000000000001" customHeight="1" x14ac:dyDescent="0.2">
      <c r="M97" s="124" t="s">
        <v>1484</v>
      </c>
      <c r="N97" s="126" t="s">
        <v>2323</v>
      </c>
      <c r="O97" s="225"/>
      <c r="P97" s="224"/>
      <c r="Q97" s="124"/>
      <c r="R97" s="115" t="s">
        <v>1227</v>
      </c>
      <c r="S97" s="124" t="s">
        <v>772</v>
      </c>
    </row>
    <row r="98" spans="13:19" ht="20.100000000000001" customHeight="1" x14ac:dyDescent="0.2">
      <c r="M98" s="124" t="s">
        <v>1608</v>
      </c>
      <c r="N98" s="126" t="s">
        <v>1329</v>
      </c>
      <c r="O98" s="225"/>
      <c r="P98" s="224"/>
      <c r="Q98" s="124"/>
      <c r="R98" s="114" t="s">
        <v>1196</v>
      </c>
      <c r="S98" s="124" t="str">
        <f>X_Cell_Fertiliser_IrrigationMethod</f>
        <v>Drip irrigation</v>
      </c>
    </row>
    <row r="99" spans="13:19" ht="20.100000000000001" customHeight="1" x14ac:dyDescent="0.2">
      <c r="M99" s="126" t="s">
        <v>1619</v>
      </c>
      <c r="N99" s="126" t="s">
        <v>1331</v>
      </c>
      <c r="O99" s="225"/>
      <c r="P99" s="225"/>
      <c r="Q99" s="124"/>
      <c r="R99" s="114" t="s">
        <v>1196</v>
      </c>
      <c r="S99" s="124" t="str">
        <f>X_Cell_Site_RainfallZone</f>
        <v>High rainfall</v>
      </c>
    </row>
    <row r="102" spans="13:19" ht="20.100000000000001" customHeight="1" x14ac:dyDescent="0.2">
      <c r="M102" s="118" t="s">
        <v>773</v>
      </c>
    </row>
    <row r="103" spans="13:19" ht="20.100000000000001" customHeight="1" x14ac:dyDescent="0.2">
      <c r="M103" s="119" t="s">
        <v>774</v>
      </c>
    </row>
    <row r="104" spans="13:19" ht="20.100000000000001" customHeight="1" x14ac:dyDescent="0.2">
      <c r="M104" s="120" t="s">
        <v>479</v>
      </c>
      <c r="N104" s="120" t="s">
        <v>775</v>
      </c>
      <c r="O104" s="120" t="s">
        <v>776</v>
      </c>
    </row>
    <row r="105" spans="13:19" ht="20.100000000000001" customHeight="1" x14ac:dyDescent="0.2">
      <c r="M105" s="15" t="s">
        <v>777</v>
      </c>
      <c r="N105" s="15" t="b">
        <f>IF(AND(S96="Maize", NOT(S98="Not irrigated")), TRUE)</f>
        <v>1</v>
      </c>
      <c r="O105" s="15">
        <f>N49</f>
        <v>9.6783250000000015E-3</v>
      </c>
    </row>
    <row r="106" spans="13:19" ht="20.100000000000001" customHeight="1" x14ac:dyDescent="0.2">
      <c r="M106" s="15" t="s">
        <v>778</v>
      </c>
      <c r="N106" s="15" t="b">
        <f>IF(AND(S96="Grains", S98="Not irrigated", S99="High rainfall"), TRUE)</f>
        <v>0</v>
      </c>
      <c r="O106" s="15">
        <f>N63</f>
        <v>1.4492874999999999E-2</v>
      </c>
    </row>
    <row r="107" spans="13:19" ht="20.100000000000001" customHeight="1" x14ac:dyDescent="0.2">
      <c r="M107" s="15" t="s">
        <v>779</v>
      </c>
      <c r="N107" s="15" t="b">
        <f>IF(S96="Cotton", TRUE)</f>
        <v>0</v>
      </c>
      <c r="O107" s="227">
        <f>N79</f>
        <v>3.231403335233797E-5</v>
      </c>
    </row>
    <row r="108" spans="13:19" ht="20.100000000000001" customHeight="1" x14ac:dyDescent="0.2">
      <c r="M108" s="15" t="s">
        <v>780</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3:19" ht="20.100000000000001" customHeight="1" x14ac:dyDescent="0.2">
      <c r="M110" s="85" t="s">
        <v>771</v>
      </c>
      <c r="N110" s="86">
        <f>((S92 * S93 * $S$94) * 10 ^ -3)</f>
        <v>0.2780548207053572</v>
      </c>
      <c r="O110" s="95" t="str">
        <f>$E$47</f>
        <v>t N2O</v>
      </c>
    </row>
    <row r="112" spans="13:19" ht="20.100000000000001" customHeight="1" x14ac:dyDescent="0.2">
      <c r="M112" s="124" t="str" cm="1">
        <f t="array" ref="M112:N113">Common_Equations.Common_ConvertN2OToCO2e_Arguments()</f>
        <v>EN2O</v>
      </c>
      <c r="N112" s="126" t="str">
        <v>Nitrous oxide emissions (t N2O)</v>
      </c>
      <c r="O112" s="127"/>
      <c r="P112" s="15">
        <f>VEERG_5_1_1_1__1_InorganicFertiliserApplicationN2OEmissions_Result_Method2</f>
        <v>0.2780548207053572</v>
      </c>
    </row>
    <row r="113" spans="13:16" ht="20.100000000000001" customHeight="1" x14ac:dyDescent="0.2">
      <c r="M113" s="124" t="str">
        <v>GWPN2O</v>
      </c>
      <c r="N113" s="126" t="str">
        <v>Global warming potential for nitrous oxide (t CO2-e / t N2O)</v>
      </c>
      <c r="O113" s="127"/>
      <c r="P113" s="15">
        <f>Common_InputFunctions.Utility_LookupValueInTableNumber("N2O",Table_GWPData[Gas],Table_GWPData[CO2-e factor])</f>
        <v>265</v>
      </c>
    </row>
    <row r="115" spans="13:16" ht="20.100000000000001" customHeight="1" x14ac:dyDescent="0.2">
      <c r="M115" s="83" t="s">
        <v>427</v>
      </c>
      <c r="N115" s="83" cm="1">
        <f t="array" ref="N115">Common_Equations.Common_ConvertN2OToCO2e(P112,P113)</f>
        <v>73.684527486919663</v>
      </c>
      <c r="O115" s="89"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C5FC6FB6-699A-4E92-967F-4ED05897D2A7}"/>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DA42-8871-4881-8571-C75B4F0B6B3A}">
  <sheetPr>
    <tabColor rgb="FF008000"/>
  </sheetPr>
  <dimension ref="A1:U7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781</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2340</v>
      </c>
    </row>
    <row r="6" spans="1:21" ht="20.100000000000001" customHeight="1" x14ac:dyDescent="0.2">
      <c r="D6" s="17" t="s">
        <v>2341</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2342</v>
      </c>
    </row>
    <row r="11" spans="1:21" ht="20.100000000000001" customHeight="1" x14ac:dyDescent="0.2">
      <c r="A11" s="5" t="str">
        <f>HYPERLINK("#'Input - Feedlot'!A1", "Feedlot")</f>
        <v>Feedlot</v>
      </c>
      <c r="D11" s="75" t="s">
        <v>118</v>
      </c>
      <c r="E11" s="9" t="s">
        <v>2343</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24" t="s">
        <v>1490</v>
      </c>
      <c r="E13" s="126" t="s">
        <v>2311</v>
      </c>
      <c r="F13" s="224"/>
      <c r="G13" s="124" t="s">
        <v>748</v>
      </c>
      <c r="H13" s="114" t="s">
        <v>1196</v>
      </c>
      <c r="I13" s="116" t="str" cm="1">
        <f t="array" aca="1" ref="I13" ca="1">HYPERLINK(Common_InputFunctions.Utility_SourceHyperlink($D$16), $D$16)</f>
        <v>Table_MU_j_f</v>
      </c>
    </row>
    <row r="14" spans="1:21" ht="20.100000000000001" customHeight="1" x14ac:dyDescent="0.2">
      <c r="A14" s="5" t="str">
        <f>HYPERLINK("#'Input - Fuel'!A1", "Fuel")</f>
        <v>Fuel</v>
      </c>
      <c r="D14" s="124" t="s">
        <v>2344</v>
      </c>
      <c r="E14" s="126" t="s">
        <v>2345</v>
      </c>
      <c r="F14" s="224"/>
      <c r="G14" s="124" t="s">
        <v>2346</v>
      </c>
      <c r="H14" s="115" t="s">
        <v>1596</v>
      </c>
      <c r="I14" s="116"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782</v>
      </c>
    </row>
    <row r="17" spans="1:7" ht="20.100000000000001" customHeight="1" x14ac:dyDescent="0.2">
      <c r="A17" s="5" t="str">
        <f>HYPERLINK("#'Input - Livestock farm Inputs'!A1", "Livestock farm Inputs")</f>
        <v>Livestock farm Inputs</v>
      </c>
      <c r="D17" s="119" t="s">
        <v>783</v>
      </c>
    </row>
    <row r="18" spans="1:7" ht="20.100000000000001" customHeight="1" x14ac:dyDescent="0.2">
      <c r="A18" s="5" t="str">
        <f>HYPERLINK("#'Input - Freight'!A1", "Freight")</f>
        <v>Freight</v>
      </c>
      <c r="D18" s="120" t="s">
        <v>756</v>
      </c>
      <c r="E18" s="78" t="s">
        <v>757</v>
      </c>
      <c r="F18" s="120" t="s">
        <v>784</v>
      </c>
      <c r="G18" s="120" t="s">
        <v>785</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HYPERLINK("#'3.1.1.1-2 Enteric Methane'!A1", "3.1.1.1-2 Enteric Methane")</f>
        <v>3.1.1.1-2 Enteric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5" t="str">
        <f>HYPERLINK("#'4.1.1.1-2 Methane'!A1", "4.1.1.1-2 Manure Methane")</f>
        <v>4.1.1.1-2 Manure Methane</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HYPERLINK("#'4.1.1.3-4 Direct N20'!A1", "4.1.1.3-4 Manure Direct N2O")</f>
        <v>4.1.1.3-4 Manure Direct N2O</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HYPERLINK("#'4.1.1.5-6 Atmos Deposition'!A1", "4.1.1.5-6 Manure Atmos Dep")</f>
        <v>4.1.1.5-6 Manure Atmos Dep</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HYPERLINK("#'4.1.1.9 Manure applied to soils'!A1", "4.1.1.9 Manure applied to soils")</f>
        <v>4.1.1.9 Manure applied to soils</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HYPERLINK("#'Calcs - Manure sent off-site'!A1", "Calcs - Manure sent off-site")</f>
        <v>Calcs - Manure sent off-site</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HYPERLINK("#'5.1.1.1-2 Inorganic fert N2O'!A1", "5.1.1.1-2 Inorganic fert N2O")</f>
        <v>5.1.1.1-2 Inorganic fert N2O</v>
      </c>
    </row>
    <row r="39" spans="1:12" ht="20.100000000000001" customHeight="1" x14ac:dyDescent="0.2">
      <c r="A39" s="117" t="str">
        <f>HYPERLINK("#'5.1.1.3-4 Inorganic fert CO2'!A1", "5.1.1.3-4 Inorganic fert CO2")</f>
        <v>5.1.1.3-4 Inorganic fert CO2</v>
      </c>
    </row>
    <row r="40" spans="1:12" ht="20.100000000000001" customHeight="1" x14ac:dyDescent="0.2">
      <c r="A40" s="5" t="str">
        <f>HYPERLINK("#'5.2.1.1-2 Organic Fert N2O'!A1", "5.2.1.1-2 Organic Fert N2O")</f>
        <v>5.2.1.1-2 Organic Fert N2O</v>
      </c>
      <c r="C40" s="83"/>
      <c r="D40" s="83"/>
      <c r="E40" s="83"/>
      <c r="F40" s="83"/>
      <c r="G40" s="83"/>
      <c r="H40" s="83"/>
      <c r="I40" s="83"/>
      <c r="J40" s="83"/>
      <c r="K40" s="83"/>
      <c r="L40" s="83"/>
    </row>
    <row r="41" spans="1:12" ht="20.100000000000001" customHeight="1" x14ac:dyDescent="0.2">
      <c r="A41" s="5" t="str">
        <f>HYPERLINK("#'5.3.1.1-2 Lime CO2'!A1", "5.3.1.1-2 Lime CO2")</f>
        <v>5.3.1.1-2 Lime CO2</v>
      </c>
      <c r="D41" s="2" t="s">
        <v>2347</v>
      </c>
    </row>
    <row r="42" spans="1:12" ht="20.100000000000001" customHeight="1" x14ac:dyDescent="0.2">
      <c r="A42" s="5" t="str">
        <f>HYPERLINK("#'5.4.1.1-4 Atmos deposition'!A1", "5.4.1.1-4 Atmos deposition")</f>
        <v>5.4.1.1-4 Atmos deposition</v>
      </c>
      <c r="D42" s="17" t="s">
        <v>2348</v>
      </c>
    </row>
    <row r="43" spans="1:12" ht="20.100000000000001" customHeight="1" x14ac:dyDescent="0.2">
      <c r="A43" s="5" t="str">
        <f>HYPERLINK("#'5.5.1.1-2 Leaching and runoff'!A1", "5.5.1.1-2 Leaching and runoff")</f>
        <v>5.5.1.1-2 Leaching and runoff</v>
      </c>
      <c r="D43" s="112"/>
      <c r="E43" s="112"/>
    </row>
    <row r="46" spans="1:12" ht="20.100000000000001" customHeight="1" x14ac:dyDescent="0.2">
      <c r="A46" s="80" t="s">
        <v>1</v>
      </c>
      <c r="D46" s="75" t="s">
        <v>321</v>
      </c>
      <c r="E46" s="1" t="s">
        <v>2349</v>
      </c>
    </row>
    <row r="47" spans="1:12" ht="20.100000000000001" customHeight="1" x14ac:dyDescent="0.2">
      <c r="A47" s="5" t="str">
        <f>HYPERLINK("#'Constants - Feedlot'!A1", "Constants - Feedlot")</f>
        <v>Constants - Feedlot</v>
      </c>
      <c r="D47" s="75" t="s">
        <v>118</v>
      </c>
      <c r="E47" s="9" t="s">
        <v>127</v>
      </c>
    </row>
    <row r="48" spans="1:12" ht="20.100000000000001" customHeight="1" x14ac:dyDescent="0.2">
      <c r="A48" s="5" t="str">
        <f>HYPERLINK("#'Constants - Common livestock'!A1", "Constants - Common Livestock")</f>
        <v>Constants - Common Livestock</v>
      </c>
    </row>
    <row r="49" spans="1:9" ht="20.100000000000001" customHeight="1" x14ac:dyDescent="0.2">
      <c r="A49" s="5" t="str">
        <f>HYPERLINK("#'Constants - Electricity'!A1", "Constants - Electricity")</f>
        <v>Constants - Electricity</v>
      </c>
      <c r="D49" s="124" t="s">
        <v>2342</v>
      </c>
      <c r="E49" s="126" t="s">
        <v>2350</v>
      </c>
      <c r="F49" s="224"/>
      <c r="G49" s="124" t="s">
        <v>2343</v>
      </c>
      <c r="H49" s="115" t="s">
        <v>1576</v>
      </c>
      <c r="I49" s="116" t="str" cm="1">
        <f t="array" aca="1" ref="I49" ca="1">HYPERLINK(Common_InputFunctions.Utility_SourceHyperlink($D$16), $D$16)</f>
        <v>Table_MU_j_f</v>
      </c>
    </row>
    <row r="50" spans="1:9" ht="20.100000000000001" customHeight="1" x14ac:dyDescent="0.2">
      <c r="A50" s="5" t="str">
        <f>HYPERLINK("#'Constants - Fertiliser'!A1", "Constants - Fertiliser")</f>
        <v>Constants - Fertiliser</v>
      </c>
      <c r="D50" s="124" t="s">
        <v>2351</v>
      </c>
      <c r="E50" s="126" t="s">
        <v>2352</v>
      </c>
      <c r="F50" s="224"/>
      <c r="G50" s="124" t="s">
        <v>1774</v>
      </c>
      <c r="H50" s="115" t="s">
        <v>1227</v>
      </c>
      <c r="I50" s="124">
        <f>Fertiliser_EFUreaCO2_Data</f>
        <v>0.2</v>
      </c>
    </row>
    <row r="51" spans="1:9" ht="20.100000000000001" customHeight="1" x14ac:dyDescent="0.2">
      <c r="A51" s="5" t="str">
        <f>HYPERLINK("#'Constants - Fuel'!A1", "Constants - Fuel")</f>
        <v>Constants - Fuel</v>
      </c>
      <c r="D51" s="124" t="s">
        <v>2353</v>
      </c>
      <c r="E51" s="126" t="s">
        <v>2354</v>
      </c>
      <c r="F51" s="224"/>
      <c r="G51" s="124"/>
      <c r="H51" s="115" t="s">
        <v>1227</v>
      </c>
      <c r="I51" s="124">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Scope 3'!A1", "Constants - Scope 3")</f>
        <v>Constants - Scope 3</v>
      </c>
      <c r="D52" s="124" t="s">
        <v>1327</v>
      </c>
      <c r="E52" s="126" t="s">
        <v>479</v>
      </c>
      <c r="F52" s="224"/>
      <c r="G52" s="124"/>
      <c r="H52" s="114" t="s">
        <v>1196</v>
      </c>
      <c r="I52" s="124" t="str">
        <f>X_Cell_Fertiliser_ProductionSystem</f>
        <v>Crop</v>
      </c>
    </row>
    <row r="53" spans="1:9" ht="20.100000000000001" customHeight="1" x14ac:dyDescent="0.2">
      <c r="A53" s="5" t="str">
        <f>HYPERLINK("#'Constants - Solid Waste'!A1", "Constants - Solid Waste")</f>
        <v>Constants - Solid Waste</v>
      </c>
      <c r="D53" s="124" t="s">
        <v>1484</v>
      </c>
      <c r="E53" s="126" t="s">
        <v>2323</v>
      </c>
      <c r="F53" s="224"/>
      <c r="G53" s="124"/>
      <c r="H53" s="115" t="s">
        <v>1596</v>
      </c>
      <c r="I53" s="116" t="str" cm="1">
        <f t="array" aca="1" ref="I53" ca="1">HYPERLINK(Common_InputFunctions.Utility_SourceHyperlink($D$16), $D$16)</f>
        <v>Table_MU_j_f</v>
      </c>
    </row>
    <row r="54" spans="1:9" ht="20.100000000000001" customHeight="1" x14ac:dyDescent="0.2">
      <c r="A54" s="5" t="str">
        <f>HYPERLINK("#'Constants - Common'!A1", "Constants - Common")</f>
        <v>Constants - Common</v>
      </c>
    </row>
    <row r="55" spans="1:9" ht="20.100000000000001" customHeight="1" x14ac:dyDescent="0.2">
      <c r="A55" s="5" t="str">
        <f>HYPERLINK("#'Acknowledgements'!A1", "Acknowledgements")</f>
        <v>Acknowledgements</v>
      </c>
      <c r="D55" s="118" t="s">
        <v>786</v>
      </c>
    </row>
    <row r="56" spans="1:9" ht="20.100000000000001" customHeight="1" x14ac:dyDescent="0.2">
      <c r="D56" s="119" t="s">
        <v>787</v>
      </c>
    </row>
    <row r="57" spans="1:9" ht="20.100000000000001" customHeight="1" x14ac:dyDescent="0.2">
      <c r="D57" s="120" t="s">
        <v>756</v>
      </c>
      <c r="E57" s="120" t="s">
        <v>768</v>
      </c>
    </row>
    <row r="58" spans="1:9" ht="20.100000000000001" customHeight="1" x14ac:dyDescent="0.2">
      <c r="D58" s="15" t="str" cm="1">
        <f t="array" ref="D58:D76">Table_Fertiliser_ChemicalCompounds[Fertiliser type f]</f>
        <v>Monoammonium phosphate (MAP)</v>
      </c>
      <c r="E58" s="15">
        <f>((G19 * $I$50 * $I$51) * 10 ^ -3)</f>
        <v>0</v>
      </c>
      <c r="F58" s="16" t="str">
        <f>$E$47</f>
        <v>t CO2</v>
      </c>
    </row>
    <row r="59" spans="1:9" ht="20.100000000000001" customHeight="1" x14ac:dyDescent="0.2">
      <c r="D59" s="15" t="str">
        <v>Diammonium phosphate (DAP)</v>
      </c>
      <c r="E59" s="15">
        <f>((G20 * $I$50 * $I$51) * 10 ^ -3)</f>
        <v>0</v>
      </c>
    </row>
    <row r="60" spans="1:9" ht="20.100000000000001" customHeight="1" x14ac:dyDescent="0.2">
      <c r="D60" s="15" t="str">
        <v>Urea</v>
      </c>
      <c r="E60" s="15">
        <f>((G21 * $I$50 * $I$51) * 10 ^ -3)</f>
        <v>18.492752666666668</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1:6" ht="20.100000000000001" customHeight="1" x14ac:dyDescent="0.2">
      <c r="D65" s="15" t="str">
        <v>Nitrogen - Ammoniacal</v>
      </c>
      <c r="E65" s="15">
        <f>((G26 * $I$50 * $I$51) * 10 ^ -3)</f>
        <v>0</v>
      </c>
    </row>
    <row r="66" spans="1:6" ht="20.100000000000001" customHeight="1" x14ac:dyDescent="0.2">
      <c r="A66" s="79" t="str">
        <f>HYPERLINK("#A1", "▲ Back to top")</f>
        <v>▲ Back to top</v>
      </c>
      <c r="D66" s="15" t="str">
        <v>Nitrogen - Nitrate</v>
      </c>
      <c r="E66" s="15">
        <f>((G27 * $I$50 * $I$51) * 10 ^ -3)</f>
        <v>0</v>
      </c>
    </row>
    <row r="67" spans="1:6" ht="20.100000000000001" customHeight="1" x14ac:dyDescent="0.2">
      <c r="D67" s="15" t="str">
        <v>Nitrogen - Generic</v>
      </c>
      <c r="E67" s="15">
        <f>((G28 * $I$50 * $I$51) * 10 ^ -3)</f>
        <v>0</v>
      </c>
    </row>
    <row r="68" spans="1:6" ht="20.100000000000001" customHeight="1" x14ac:dyDescent="0.2">
      <c r="D68" s="15" t="str">
        <v>Phosphorus - Generic</v>
      </c>
      <c r="E68" s="15">
        <f>((G29 * $I$50 * $I$51) * 10 ^ -3)</f>
        <v>0</v>
      </c>
    </row>
    <row r="69" spans="1:6" ht="20.100000000000001" customHeight="1" x14ac:dyDescent="0.2">
      <c r="D69" s="15" t="str">
        <v>Potassium - Generic</v>
      </c>
      <c r="E69" s="15">
        <f>((G30 * $I$50 * $I$51) * 10 ^ -3)</f>
        <v>0</v>
      </c>
    </row>
    <row r="70" spans="1:6" ht="20.100000000000001" customHeight="1" x14ac:dyDescent="0.2">
      <c r="D70" s="15" t="str">
        <v>Sulfur - Generic</v>
      </c>
      <c r="E70" s="15">
        <f>((G31 * $I$50 * $I$51) * 10 ^ -3)</f>
        <v>0</v>
      </c>
    </row>
    <row r="71" spans="1:6" ht="20.100000000000001" customHeight="1" x14ac:dyDescent="0.2">
      <c r="D71" s="15" t="str">
        <v>Zinc - Generic</v>
      </c>
      <c r="E71" s="15">
        <f>((G32 * $I$50 * $I$51) * 10 ^ -3)</f>
        <v>0</v>
      </c>
    </row>
    <row r="72" spans="1:6" ht="20.100000000000001" customHeight="1" x14ac:dyDescent="0.2">
      <c r="D72" s="15" t="str">
        <v>Muriate of potash (MOP)</v>
      </c>
      <c r="E72" s="15">
        <f>((G33 * $I$50 * $I$51) * 10 ^ -3)</f>
        <v>0</v>
      </c>
    </row>
    <row r="73" spans="1:6" ht="20.100000000000001" customHeight="1" x14ac:dyDescent="0.2">
      <c r="D73" s="15" t="str">
        <v>Double superphosphate</v>
      </c>
      <c r="E73" s="15">
        <f>((G34 * $I$50 * $I$51) * 10 ^ -3)</f>
        <v>0</v>
      </c>
    </row>
    <row r="74" spans="1:6" ht="20.100000000000001" customHeight="1" x14ac:dyDescent="0.2">
      <c r="D74" s="15" t="str">
        <v>Single superphosphate (SSP)</v>
      </c>
      <c r="E74" s="15">
        <f>((G35 * $I$50 * $I$51) * 10 ^ -3)</f>
        <v>0</v>
      </c>
    </row>
    <row r="75" spans="1:6" ht="20.100000000000001" customHeight="1" x14ac:dyDescent="0.2">
      <c r="D75" s="15" t="str">
        <v>Ammonia</v>
      </c>
      <c r="E75" s="15">
        <f>((G36 * $I$50 * $I$51) * 10 ^ -3)</f>
        <v>0</v>
      </c>
    </row>
    <row r="76" spans="1:6" ht="20.100000000000001" customHeight="1" x14ac:dyDescent="0.2">
      <c r="D76" s="15" t="str">
        <v>Calcium nitrate</v>
      </c>
      <c r="E76" s="15">
        <f>((G37 * $I$50 * $I$51) * 10 ^ -3)</f>
        <v>0</v>
      </c>
    </row>
    <row r="78" spans="1:6" ht="20.100000000000001" customHeight="1" x14ac:dyDescent="0.2">
      <c r="D78" s="85" t="s">
        <v>788</v>
      </c>
      <c r="E78" s="86">
        <f>SUM(E58:E76)</f>
        <v>18.492752666666668</v>
      </c>
      <c r="F78" s="95" t="str">
        <f>$E$47</f>
        <v>t CO2</v>
      </c>
    </row>
  </sheetData>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35DC-F357-4E7E-A3E1-D4244D7B4DDC}">
  <sheetPr>
    <tabColor rgb="FF008000"/>
  </sheetPr>
  <dimension ref="A1:U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789</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2355</v>
      </c>
    </row>
    <row r="6" spans="1:21" ht="20.100000000000001" customHeight="1" x14ac:dyDescent="0.2">
      <c r="D6" s="17" t="s">
        <v>2356</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1591</v>
      </c>
    </row>
    <row r="11" spans="1:21" ht="20.100000000000001" customHeight="1" x14ac:dyDescent="0.2">
      <c r="A11" s="5" t="str">
        <f>HYPERLINK("#'Input - Feedlot'!A1", "Feedlot")</f>
        <v>Feedlot</v>
      </c>
      <c r="D11" s="75" t="s">
        <v>118</v>
      </c>
      <c r="E11" s="9" t="s">
        <v>445</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24" t="s">
        <v>2357</v>
      </c>
      <c r="E13" s="126" t="s">
        <v>2358</v>
      </c>
      <c r="F13" s="224"/>
      <c r="G13" s="113" t="s">
        <v>748</v>
      </c>
      <c r="H13" s="114" t="s">
        <v>1196</v>
      </c>
      <c r="I13" s="116" t="str" cm="1">
        <f t="array" aca="1" ref="I13" ca="1">HYPERLINK(Common_InputFunctions.Utility_SourceHyperlink($D$17), $D$17)</f>
        <v>Table_MNSoil_j_f</v>
      </c>
    </row>
    <row r="14" spans="1:21" ht="20.100000000000001" customHeight="1" x14ac:dyDescent="0.2">
      <c r="A14" s="5" t="str">
        <f>HYPERLINK("#'Input - Fuel'!A1", "Fuel")</f>
        <v>Fuel</v>
      </c>
      <c r="D14" s="124" t="s">
        <v>2359</v>
      </c>
      <c r="E14" s="126" t="s">
        <v>2360</v>
      </c>
      <c r="F14" s="224"/>
      <c r="G14" s="113" t="s">
        <v>2314</v>
      </c>
      <c r="H14" s="114" t="s">
        <v>1196</v>
      </c>
      <c r="I14" s="116" t="str" cm="1">
        <f t="array" aca="1" ref="I14" ca="1">HYPERLINK(Common_InputFunctions.Utility_SourceHyperlink($D$17), $D$17)</f>
        <v>Table_MNSoil_j_f</v>
      </c>
    </row>
    <row r="15" spans="1:21" ht="20.100000000000001" customHeight="1" x14ac:dyDescent="0.2">
      <c r="A15" s="5" t="str">
        <f>HYPERLINK("#'Input - Electricity'!A1", "Electricity")</f>
        <v>Electricity</v>
      </c>
      <c r="D15" s="124" t="s">
        <v>1484</v>
      </c>
      <c r="E15" s="126" t="s">
        <v>842</v>
      </c>
      <c r="F15" s="224"/>
      <c r="G15" s="113"/>
      <c r="H15" s="114" t="s">
        <v>1196</v>
      </c>
      <c r="I15" s="116"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18" t="s">
        <v>790</v>
      </c>
    </row>
    <row r="18" spans="1:10" ht="20.100000000000001" customHeight="1" x14ac:dyDescent="0.2">
      <c r="A18" s="5" t="str">
        <f>HYPERLINK("#'Input - Freight'!A1", "Freight")</f>
        <v>Freight</v>
      </c>
      <c r="D18" s="119" t="s">
        <v>791</v>
      </c>
    </row>
    <row r="19" spans="1:10" ht="20.100000000000001" customHeight="1" x14ac:dyDescent="0.2">
      <c r="A19" s="5" t="str">
        <f>HYPERLINK("#'Input - Solid waste'!A1", "Solid waste")</f>
        <v>Solid waste</v>
      </c>
      <c r="D19" s="78" t="s">
        <v>792</v>
      </c>
      <c r="E19" s="78" t="s">
        <v>793</v>
      </c>
      <c r="F19" s="78" t="s">
        <v>684</v>
      </c>
      <c r="G19" s="128" t="s">
        <v>794</v>
      </c>
      <c r="H19" s="78" t="s">
        <v>795</v>
      </c>
      <c r="I19" s="128" t="s">
        <v>796</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28" cm="1">
        <f t="array" ref="E20:E22">Table_Input_OrganicFertiliser[Amount applied (kg/hectare)]</f>
        <v>10</v>
      </c>
      <c r="F20" s="228" cm="1">
        <f t="array" ref="F20:F22">Table_Input_OrganicFertiliser[Application area (ha)]</f>
        <v>100</v>
      </c>
      <c r="G20" s="15" cm="1">
        <f t="array" ref="G20:G22">Table_Input_OrganicFertiliser[Amount applied (kg/hectare)]*Table_Input_OrganicFertiliser[Application area (ha)]</f>
        <v>1000</v>
      </c>
      <c r="H20" s="229" cm="1">
        <f t="array" ref="H20:H22">Table_Input_OrganicFertiliser[Percentage of N in fertiliser]</f>
        <v>0.3</v>
      </c>
      <c r="I20" s="15">
        <f>(G20 * 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f>(G21 * 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f>(G22 * H22)</f>
        <v>160</v>
      </c>
    </row>
    <row r="23" spans="1:10" ht="20.100000000000001" customHeight="1" x14ac:dyDescent="0.2">
      <c r="A23" s="5" t="str">
        <f>HYPERLINK("#'Input - Fertiliser'!A1", "Fertiliser")</f>
        <v>Fertiliser</v>
      </c>
      <c r="D23" s="15"/>
      <c r="E23" s="15"/>
      <c r="F23" s="15"/>
      <c r="G23" s="15"/>
      <c r="H23" s="15"/>
      <c r="I23" s="15">
        <f>(G23 * H23)</f>
        <v>0</v>
      </c>
    </row>
    <row r="24" spans="1:10" ht="20.100000000000001" customHeight="1" x14ac:dyDescent="0.2">
      <c r="D24" s="15"/>
      <c r="E24" s="15"/>
      <c r="F24" s="15"/>
      <c r="G24" s="15"/>
      <c r="H24" s="15"/>
      <c r="I24" s="15">
        <f>(G24 * H24)</f>
        <v>0</v>
      </c>
    </row>
    <row r="25" spans="1:10" ht="20.100000000000001" customHeight="1" x14ac:dyDescent="0.2">
      <c r="D25" s="15"/>
      <c r="E25" s="15"/>
      <c r="F25" s="15"/>
      <c r="G25" s="15"/>
      <c r="H25" s="15"/>
      <c r="I25" s="15">
        <f>(G25 * H25)</f>
        <v>0</v>
      </c>
    </row>
    <row r="26" spans="1:10" ht="20.100000000000001" customHeight="1" x14ac:dyDescent="0.2">
      <c r="A26" s="6" t="s">
        <v>2</v>
      </c>
      <c r="D26" s="15"/>
      <c r="E26" s="15"/>
      <c r="F26" s="15"/>
      <c r="G26" s="15"/>
      <c r="H26" s="15"/>
      <c r="I26" s="15">
        <f>(G26 * H26)</f>
        <v>0</v>
      </c>
    </row>
    <row r="27" spans="1:10" ht="20.100000000000001" customHeight="1" x14ac:dyDescent="0.2">
      <c r="A27" s="5" t="str">
        <f>HYPERLINK("#'3.1.1.1-2 Enteric Methane'!A1", "3.1.1.1-2 Enteric Methane")</f>
        <v>3.1.1.1-2 Enteric Methane</v>
      </c>
      <c r="D27" s="15"/>
      <c r="E27" s="15"/>
      <c r="F27" s="15"/>
      <c r="G27" s="15"/>
      <c r="H27" s="15"/>
      <c r="I27" s="15">
        <f>(G27 * H27)</f>
        <v>0</v>
      </c>
    </row>
    <row r="28" spans="1:10" ht="20.100000000000001" customHeight="1" x14ac:dyDescent="0.2">
      <c r="A28" s="5" t="str">
        <f>HYPERLINK("#'4.1.1.1-2 Methane'!A1", "4.1.1.1-2 Manure Methane")</f>
        <v>4.1.1.1-2 Manure Methane</v>
      </c>
      <c r="D28" s="15"/>
      <c r="E28" s="15"/>
      <c r="F28" s="15"/>
      <c r="G28" s="15"/>
      <c r="H28" s="15"/>
      <c r="I28" s="15">
        <f>(G28 * H28)</f>
        <v>0</v>
      </c>
    </row>
    <row r="29" spans="1:10" ht="20.100000000000001" customHeight="1" x14ac:dyDescent="0.2">
      <c r="A29" s="5" t="str">
        <f>HYPERLINK("#'4.1.1.3-4 Direct N20'!A1", "4.1.1.3-4 Manure Direct N2O")</f>
        <v>4.1.1.3-4 Manure Direct N2O</v>
      </c>
      <c r="D29" s="15"/>
      <c r="E29" s="15"/>
      <c r="F29" s="15"/>
      <c r="G29" s="15"/>
      <c r="H29" s="15"/>
      <c r="I29" s="15">
        <f>(G29 * H29)</f>
        <v>0</v>
      </c>
    </row>
    <row r="30" spans="1:10" ht="20.100000000000001" customHeight="1" x14ac:dyDescent="0.2">
      <c r="A30" s="5" t="str">
        <f>HYPERLINK("#'4.1.1.5-6 Atmos Deposition'!A1", "4.1.1.5-6 Manure Atmos Dep")</f>
        <v>4.1.1.5-6 Manure Atmos Dep</v>
      </c>
      <c r="D30" s="15"/>
      <c r="E30" s="15"/>
      <c r="F30" s="15"/>
      <c r="G30" s="15"/>
      <c r="H30" s="15"/>
      <c r="I30" s="15">
        <f>(G30 * H30)</f>
        <v>0</v>
      </c>
    </row>
    <row r="31" spans="1:10" ht="20.100000000000001" customHeight="1" x14ac:dyDescent="0.2">
      <c r="A31" s="5" t="str">
        <f>HYPERLINK("#'4.1.1.9 Manure applied to soils'!A1", "4.1.1.9 Manure applied to soils")</f>
        <v>4.1.1.9 Manure applied to soils</v>
      </c>
      <c r="D31" s="152"/>
      <c r="E31" s="152"/>
      <c r="F31" s="152"/>
      <c r="G31" s="152"/>
      <c r="H31" s="152"/>
      <c r="I31" s="152"/>
      <c r="J31" s="152"/>
    </row>
    <row r="32" spans="1:10" ht="20.100000000000001" customHeight="1" x14ac:dyDescent="0.2">
      <c r="A32" s="5" t="str">
        <f>HYPERLINK("#'8.1.1.1-2 Transport fuel'!A1", "8.1.1.1-2 Transport fuel")</f>
        <v>8.1.1.1-2 Transport fuel</v>
      </c>
      <c r="D32" s="88" t="s">
        <v>797</v>
      </c>
      <c r="E32" s="88">
        <f>SUM(I20:I30)</f>
        <v>710</v>
      </c>
      <c r="F32" s="130" t="str">
        <f>$E$11</f>
        <v>kg N</v>
      </c>
      <c r="G32" s="152"/>
      <c r="H32" s="152"/>
      <c r="I32" s="152"/>
      <c r="J32" s="152"/>
    </row>
    <row r="33" spans="1:12" ht="20.100000000000001" customHeight="1" x14ac:dyDescent="0.2">
      <c r="A33" s="5" t="str">
        <f>HYPERLINK("#'8.2.1.1-2 Stationary fuel'!A1", "8.2.1.1-2 Stationary fuel")</f>
        <v>8.2.1.1-2 Stationary fuel</v>
      </c>
    </row>
    <row r="34" spans="1:12" ht="20.100000000000001" customHeight="1" x14ac:dyDescent="0.2">
      <c r="A34" s="5" t="str">
        <f>HYPERLINK("#'10.1.1-2 Solid waste treatment'!A1", "10.1.1.1-2 Solid waste")</f>
        <v>10.1.1.1-2 Solid waste</v>
      </c>
    </row>
    <row r="35" spans="1:12" ht="20.100000000000001" customHeight="1" x14ac:dyDescent="0.2">
      <c r="A35" s="5" t="str">
        <f>HYPERLINK("#'14.1.1-2 Purchased electricity'!A1", "14.1.1-2 Purchased electricity")</f>
        <v>14.1.1-2 Purchased electricity</v>
      </c>
      <c r="C35" s="230"/>
      <c r="D35" s="230"/>
      <c r="E35" s="230"/>
      <c r="F35" s="230"/>
      <c r="G35" s="230"/>
      <c r="H35" s="230"/>
      <c r="I35" s="230"/>
      <c r="J35" s="230"/>
      <c r="K35" s="230"/>
      <c r="L35" s="230"/>
    </row>
    <row r="36" spans="1:12" ht="20.100000000000001" customHeight="1" x14ac:dyDescent="0.2">
      <c r="A36" s="5" t="str">
        <f>HYPERLINK("#'15 Scope 3'!A1", "15 Scope 3")</f>
        <v>15 Scope 3</v>
      </c>
      <c r="D36" s="2" t="s">
        <v>1589</v>
      </c>
    </row>
    <row r="37" spans="1:12" ht="20.100000000000001" customHeight="1" x14ac:dyDescent="0.2">
      <c r="A37" s="5" t="str">
        <f>HYPERLINK("#'Calcs - Manure sent off-site'!A1", "Calcs - Manure sent off-site")</f>
        <v>Calcs - Manure sent off-site</v>
      </c>
      <c r="D37" s="17" t="s">
        <v>1590</v>
      </c>
    </row>
    <row r="38" spans="1:12" ht="20.100000000000001" customHeight="1" x14ac:dyDescent="0.2">
      <c r="A38" s="5" t="str">
        <f>HYPERLINK("#'5.1.1.1-2 Inorganic fert N2O'!A1", "5.1.1.1-2 Inorganic fert N2O")</f>
        <v>5.1.1.1-2 Inorganic fert N2O</v>
      </c>
      <c r="D38" s="112"/>
      <c r="E38" s="112"/>
    </row>
    <row r="39" spans="1:12" ht="20.100000000000001" customHeight="1" x14ac:dyDescent="0.2">
      <c r="A39" s="5" t="str">
        <f>HYPERLINK("#'5.1.1.3-4 Inorganic fert CO2'!A1", "5.1.1.3-4 Inorganic fert CO2")</f>
        <v>5.1.1.3-4 Inorganic fert CO2</v>
      </c>
    </row>
    <row r="40" spans="1:12" ht="20.100000000000001" customHeight="1" x14ac:dyDescent="0.2">
      <c r="A40" s="117" t="str">
        <f>HYPERLINK("#'5.2.1.1-2 Organic Fert N2O'!A1", "5.2.1.1-2 Organic Fert N2O")</f>
        <v>5.2.1.1-2 Organic Fert N2O</v>
      </c>
    </row>
    <row r="41" spans="1:12" ht="20.100000000000001" customHeight="1" x14ac:dyDescent="0.2">
      <c r="A41" s="5" t="str">
        <f>HYPERLINK("#'5.3.1.1-2 Lime CO2'!A1", "5.3.1.1-2 Lime CO2")</f>
        <v>5.3.1.1-2 Lime CO2</v>
      </c>
      <c r="D41" s="75" t="s">
        <v>321</v>
      </c>
      <c r="E41" s="1" t="s">
        <v>1570</v>
      </c>
    </row>
    <row r="42" spans="1:12" ht="20.100000000000001" customHeight="1" x14ac:dyDescent="0.2">
      <c r="A42" s="5" t="str">
        <f>HYPERLINK("#'5.4.1.1-4 Atmos deposition'!A1", "5.4.1.1-4 Atmos deposition")</f>
        <v>5.4.1.1-4 Atmos deposition</v>
      </c>
      <c r="D42" s="75" t="s">
        <v>118</v>
      </c>
      <c r="E42" s="9" t="s">
        <v>12</v>
      </c>
    </row>
    <row r="43" spans="1:12" ht="20.100000000000001" customHeight="1" x14ac:dyDescent="0.2">
      <c r="A43" s="5" t="str">
        <f>HYPERLINK("#'5.5.1.1-2 Leaching and runoff'!A1", "5.5.1.1-2 Leaching and runoff")</f>
        <v>5.5.1.1-2 Leaching and runoff</v>
      </c>
    </row>
    <row r="44" spans="1:12" ht="20.100000000000001" customHeight="1" x14ac:dyDescent="0.2">
      <c r="D44" s="113" t="s">
        <v>1591</v>
      </c>
      <c r="E44" s="121" t="s">
        <v>1592</v>
      </c>
      <c r="F44" s="132"/>
      <c r="G44" s="132"/>
      <c r="H44" s="122"/>
      <c r="I44" s="113" t="s">
        <v>445</v>
      </c>
      <c r="J44" s="115" t="s">
        <v>1595</v>
      </c>
      <c r="K44" s="113">
        <f>$E$32</f>
        <v>710</v>
      </c>
    </row>
    <row r="45" spans="1:12" ht="20.100000000000001" customHeight="1" x14ac:dyDescent="0.2">
      <c r="D45" s="113" t="s">
        <v>1593</v>
      </c>
      <c r="E45" s="121" t="s">
        <v>1594</v>
      </c>
      <c r="F45" s="132"/>
      <c r="G45" s="132"/>
      <c r="H45" s="122"/>
      <c r="I45" s="113" t="s">
        <v>1314</v>
      </c>
      <c r="J45" s="115" t="s">
        <v>1596</v>
      </c>
      <c r="K45" s="113">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80" t="s">
        <v>1</v>
      </c>
      <c r="D46" s="113" t="s">
        <v>1311</v>
      </c>
      <c r="E46" s="121" t="s">
        <v>1312</v>
      </c>
      <c r="F46" s="132"/>
      <c r="G46" s="132"/>
      <c r="H46" s="122"/>
      <c r="I46" s="113"/>
      <c r="J46" s="115" t="s">
        <v>1227</v>
      </c>
      <c r="K46" s="124">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HYPERLINK("#'Constants - Feedlot'!A1", "Constants - Feedlot")</f>
        <v>Constants - Feedlot</v>
      </c>
      <c r="D47" s="113" t="s">
        <v>1327</v>
      </c>
      <c r="E47" s="121" t="s">
        <v>479</v>
      </c>
      <c r="F47" s="132"/>
      <c r="G47" s="132"/>
      <c r="H47" s="122"/>
      <c r="I47" s="113"/>
      <c r="J47" s="114" t="s">
        <v>1196</v>
      </c>
      <c r="K47" s="113" t="str">
        <f>X_Cell_Fertiliser_ProductionSystem</f>
        <v>Crop</v>
      </c>
    </row>
    <row r="48" spans="1:12" ht="20.100000000000001" customHeight="1" x14ac:dyDescent="0.2">
      <c r="A48" s="5" t="str">
        <f>HYPERLINK("#'Constants - Common livestock'!A1", "Constants - Common Livestock")</f>
        <v>Constants - Common Livestock</v>
      </c>
      <c r="D48" s="113" t="s">
        <v>1223</v>
      </c>
      <c r="E48" s="121" t="s">
        <v>114</v>
      </c>
      <c r="F48" s="132"/>
      <c r="G48" s="132"/>
      <c r="H48" s="122"/>
      <c r="I48" s="113"/>
      <c r="J48" s="114" t="s">
        <v>1196</v>
      </c>
      <c r="K48" s="113" t="str">
        <f>X_Cell_Site_WetOrDryClimateZone</f>
        <v>Dry climate zone</v>
      </c>
    </row>
    <row r="49" spans="1:7" ht="20.100000000000001" customHeight="1" x14ac:dyDescent="0.2">
      <c r="A49" s="5" t="str">
        <f>HYPERLINK("#'Constants - Electricity'!A1", "Constants - Electricity")</f>
        <v>Constants - Electricity</v>
      </c>
    </row>
    <row r="50" spans="1:7" ht="20.100000000000001" customHeight="1" x14ac:dyDescent="0.2">
      <c r="A50" s="5" t="str">
        <f>HYPERLINK("#'Constants - Fertiliser'!A1", "Constants - Fertiliser")</f>
        <v>Constants - Fertiliser</v>
      </c>
      <c r="D50" s="85" t="s">
        <v>771</v>
      </c>
      <c r="E50" s="86">
        <f>((K44 * K45 * K46) * 10 ^ -3)</f>
        <v>5.5785714285714293E-3</v>
      </c>
      <c r="F50" s="95" t="str">
        <f>$E$42</f>
        <v>t N2O</v>
      </c>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124" t="str" cm="1">
        <f t="array" ref="D52:E53">Common_Equations.Common_ConvertN2OToCO2e_Arguments()</f>
        <v>EN2O</v>
      </c>
      <c r="E52" s="126" t="str">
        <v>Nitrous oxide emissions (t N2O)</v>
      </c>
      <c r="F52" s="127"/>
      <c r="G52" s="15">
        <f>VEERG_5_2_1_1__2_MassOfNitrogenInOrganicFertiliser_Result_Method1</f>
        <v>5.5785714285714293E-3</v>
      </c>
    </row>
    <row r="53" spans="1:7" ht="20.100000000000001" customHeight="1" x14ac:dyDescent="0.2">
      <c r="A53" s="5" t="str">
        <f>HYPERLINK("#'Constants - Solid Waste'!A1", "Constants - Solid Waste")</f>
        <v>Constants - Solid Waste</v>
      </c>
      <c r="D53" s="124" t="str">
        <v>GWPN2O</v>
      </c>
      <c r="E53" s="126" t="str">
        <v>Global warming potential for nitrous oxide (t CO2-e / t N2O)</v>
      </c>
      <c r="F53" s="127"/>
      <c r="G53" s="15">
        <f>Common_InputFunctions.Utility_LookupValueInTableNumber("N2O",Table_GWPData[Gas],Table_GWPData[CO2-e factor])</f>
        <v>265</v>
      </c>
    </row>
    <row r="54" spans="1:7" ht="20.100000000000001" customHeight="1" x14ac:dyDescent="0.2">
      <c r="A54" s="5" t="str">
        <f>HYPERLINK("#'Constants - Common'!A1", "Constants - Common")</f>
        <v>Constants - Common</v>
      </c>
    </row>
    <row r="55" spans="1:7" ht="20.100000000000001" customHeight="1" x14ac:dyDescent="0.2">
      <c r="A55" s="5" t="str">
        <f>HYPERLINK("#'Acknowledgements'!A1", "Acknowledgements")</f>
        <v>Acknowledgements</v>
      </c>
      <c r="D55" s="83" t="s">
        <v>427</v>
      </c>
      <c r="E55" s="83" cm="1">
        <f t="array" ref="E55">Common_Equations.Common_ConvertN2OToCO2e(G52,G53)</f>
        <v>1.4783214285714288</v>
      </c>
      <c r="F55" s="89" t="str" cm="1">
        <f t="array" ref="F55">Common_Equations.Common_ConvertN2OToCO2e_Unit()</f>
        <v>t CO2e</v>
      </c>
    </row>
  </sheetData>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9E54-5982-4BFA-81C9-9031A102350E}">
  <sheetPr>
    <tabColor rgb="FF008000"/>
  </sheetPr>
  <dimension ref="A1:U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798</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2361</v>
      </c>
    </row>
    <row r="6" spans="1:21" ht="20.100000000000001" customHeight="1" x14ac:dyDescent="0.2">
      <c r="D6" s="17" t="s">
        <v>2362</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2363</v>
      </c>
    </row>
    <row r="11" spans="1:21" ht="20.100000000000001" customHeight="1" x14ac:dyDescent="0.2">
      <c r="A11" s="5" t="str">
        <f>HYPERLINK("#'Input - Feedlot'!A1", "Feedlot")</f>
        <v>Feedlot</v>
      </c>
      <c r="D11" s="75" t="s">
        <v>118</v>
      </c>
      <c r="E11" s="9" t="s">
        <v>127</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
        <v>1508</v>
      </c>
      <c r="E13" s="121" t="s">
        <v>2364</v>
      </c>
      <c r="F13" s="122"/>
      <c r="G13" s="113" t="s">
        <v>748</v>
      </c>
      <c r="H13" s="114" t="s">
        <v>1196</v>
      </c>
      <c r="I13" s="116" t="str" cm="1">
        <f t="array" aca="1" ref="I13" ca="1">HYPERLINK(Common_InputFunctions.Utility_SourceHyperlink($D$22), $D$22)</f>
        <v>Table_E_lime</v>
      </c>
    </row>
    <row r="14" spans="1:21" ht="20.100000000000001" customHeight="1" x14ac:dyDescent="0.2">
      <c r="A14" s="5" t="str">
        <f>HYPERLINK("#'Input - Fuel'!A1", "Fuel")</f>
        <v>Fuel</v>
      </c>
      <c r="D14" s="113" t="s">
        <v>802</v>
      </c>
      <c r="E14" s="121" t="s">
        <v>2365</v>
      </c>
      <c r="F14" s="122"/>
      <c r="G14" s="113" t="s">
        <v>299</v>
      </c>
      <c r="H14" s="114" t="s">
        <v>1196</v>
      </c>
      <c r="I14" s="116" t="str" cm="1">
        <f t="array" aca="1" ref="I14" ca="1">HYPERLINK(Common_InputFunctions.Utility_SourceHyperlink($D$22), $D$22)</f>
        <v>Table_E_lime</v>
      </c>
    </row>
    <row r="15" spans="1:21" ht="20.100000000000001" customHeight="1" x14ac:dyDescent="0.2">
      <c r="A15" s="5" t="str">
        <f>HYPERLINK("#'Input - Electricity'!A1", "Electricity")</f>
        <v>Electricity</v>
      </c>
      <c r="D15" s="113" t="s">
        <v>2366</v>
      </c>
      <c r="E15" s="121" t="s">
        <v>2367</v>
      </c>
      <c r="F15" s="122"/>
      <c r="G15" s="113" t="s">
        <v>299</v>
      </c>
      <c r="H15" s="115" t="s">
        <v>1227</v>
      </c>
      <c r="I15" s="113">
        <f>'Constants - Fertiliser'!$E$66</f>
        <v>0.9</v>
      </c>
    </row>
    <row r="16" spans="1:21" ht="20.100000000000001" customHeight="1" x14ac:dyDescent="0.2">
      <c r="A16" s="5" t="str">
        <f>HYPERLINK("#'Input - Common farm inputs'!A1", "Common farm inputs")</f>
        <v>Common farm inputs</v>
      </c>
      <c r="D16" s="113" t="s">
        <v>2368</v>
      </c>
      <c r="E16" s="121" t="s">
        <v>2369</v>
      </c>
      <c r="F16" s="122"/>
      <c r="G16" s="113" t="s">
        <v>2376</v>
      </c>
      <c r="H16" s="115" t="s">
        <v>1227</v>
      </c>
      <c r="I16" s="113">
        <f>'Constants - Fertiliser'!$F$66</f>
        <v>0.12</v>
      </c>
    </row>
    <row r="17" spans="1:9" ht="20.100000000000001" customHeight="1" x14ac:dyDescent="0.2">
      <c r="A17" s="5" t="str">
        <f>HYPERLINK("#'Input - Livestock farm Inputs'!A1", "Livestock farm Inputs")</f>
        <v>Livestock farm Inputs</v>
      </c>
      <c r="D17" s="113" t="s">
        <v>803</v>
      </c>
      <c r="E17" s="121" t="s">
        <v>2370</v>
      </c>
      <c r="F17" s="122"/>
      <c r="G17" s="113" t="s">
        <v>299</v>
      </c>
      <c r="H17" s="114" t="s">
        <v>1196</v>
      </c>
      <c r="I17" s="116" t="str" cm="1">
        <f t="array" aca="1" ref="I17" ca="1">HYPERLINK(Common_InputFunctions.Utility_SourceHyperlink($D$22), $D$22)</f>
        <v>Table_E_lime</v>
      </c>
    </row>
    <row r="18" spans="1:9" ht="20.100000000000001" customHeight="1" x14ac:dyDescent="0.2">
      <c r="A18" s="5" t="str">
        <f>HYPERLINK("#'Input - Freight'!A1", "Freight")</f>
        <v>Freight</v>
      </c>
      <c r="D18" s="113" t="s">
        <v>2371</v>
      </c>
      <c r="E18" s="121" t="s">
        <v>2372</v>
      </c>
      <c r="F18" s="122"/>
      <c r="G18" s="113" t="s">
        <v>299</v>
      </c>
      <c r="H18" s="115" t="s">
        <v>1227</v>
      </c>
      <c r="I18" s="113">
        <f>'Constants - Fertiliser'!$E$67</f>
        <v>0.95</v>
      </c>
    </row>
    <row r="19" spans="1:9" ht="20.100000000000001" customHeight="1" x14ac:dyDescent="0.2">
      <c r="A19" s="5" t="str">
        <f>HYPERLINK("#'Input - Solid waste'!A1", "Solid waste")</f>
        <v>Solid waste</v>
      </c>
      <c r="D19" s="113" t="s">
        <v>2373</v>
      </c>
      <c r="E19" s="121" t="s">
        <v>2374</v>
      </c>
      <c r="F19" s="122"/>
      <c r="G19" s="113" t="s">
        <v>2376</v>
      </c>
      <c r="H19" s="115" t="s">
        <v>1227</v>
      </c>
      <c r="I19" s="113">
        <f>'Constants - Fertiliser'!$F$67</f>
        <v>0.13</v>
      </c>
    </row>
    <row r="20" spans="1:9" ht="20.100000000000001" customHeight="1" x14ac:dyDescent="0.2">
      <c r="A20" s="5" t="str">
        <f>HYPERLINK("#'Input - Manure sent off-site'!A1", "Manure sent off-site")</f>
        <v>Manure sent off-site</v>
      </c>
      <c r="D20" s="113" t="s">
        <v>2353</v>
      </c>
      <c r="E20" s="121" t="s">
        <v>2375</v>
      </c>
      <c r="F20" s="122"/>
      <c r="G20" s="113"/>
      <c r="H20" s="115" t="s">
        <v>1227</v>
      </c>
      <c r="I20" s="124">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18" t="s">
        <v>799</v>
      </c>
    </row>
    <row r="23" spans="1:9" ht="20.100000000000001" customHeight="1" x14ac:dyDescent="0.2">
      <c r="A23" s="5" t="str">
        <f>HYPERLINK("#'Input - Fertiliser'!A1", "Fertiliser")</f>
        <v>Fertiliser</v>
      </c>
      <c r="D23" s="119" t="s">
        <v>721</v>
      </c>
    </row>
    <row r="24" spans="1:9" ht="20.100000000000001" customHeight="1" x14ac:dyDescent="0.2">
      <c r="D24" s="78" t="s">
        <v>800</v>
      </c>
      <c r="E24" s="78" t="s">
        <v>801</v>
      </c>
      <c r="F24" s="78" t="s">
        <v>802</v>
      </c>
      <c r="G24" s="78" t="s">
        <v>803</v>
      </c>
      <c r="H24" s="120" t="s">
        <v>804</v>
      </c>
    </row>
    <row r="25" spans="1:9" ht="20.100000000000001" customHeight="1" x14ac:dyDescent="0.2">
      <c r="D25" s="15" t="str" cm="1">
        <f t="array" ref="D25:D27">Table_Input_Lime[Product]</f>
        <v>Lime product 1</v>
      </c>
      <c r="E25" s="125" cm="1">
        <f t="array" ref="E25:E27">Table_Input_Lime[Total amount applied (t)]*10^3</f>
        <v>100000</v>
      </c>
      <c r="F25" s="154" cm="1">
        <f t="array" ref="F25:F27">Table_Input_Lime[Percent Lime CaCO3]</f>
        <v>0.8</v>
      </c>
      <c r="G25" s="154" cm="1">
        <f t="array" ref="G25:G27">Table_Input_Lime[Percent Dolomite CaMg(CO3)2]</f>
        <v>0.1</v>
      </c>
      <c r="H25" s="15">
        <f>(((E25 * F25 * $I$15 * $I$16) + (E25 * G25 * $I$18 * $I$19)) * $I$20 * 10 ^ -3)</f>
        <v>36.208333333333329</v>
      </c>
    </row>
    <row r="26" spans="1:9" ht="20.100000000000001" customHeight="1" x14ac:dyDescent="0.2">
      <c r="A26" s="6" t="s">
        <v>2</v>
      </c>
      <c r="D26" s="15" t="str">
        <v>Lime product 2</v>
      </c>
      <c r="E26" s="15">
        <v>100000</v>
      </c>
      <c r="F26" s="15">
        <v>1</v>
      </c>
      <c r="G26" s="15">
        <v>0</v>
      </c>
      <c r="H26" s="15">
        <f>(((E26 * F26 * $I$15 * $I$16) + (E26 * G26 * $I$18 * $I$19)) * $I$20 * 10 ^ -3)</f>
        <v>39.6</v>
      </c>
    </row>
    <row r="27" spans="1:9" ht="20.100000000000001" customHeight="1" x14ac:dyDescent="0.2">
      <c r="A27" s="5" t="str">
        <f>HYPERLINK("#'3.1.1.1-2 Enteric Methane'!A1", "3.1.1.1-2 Enteric Methane")</f>
        <v>3.1.1.1-2 Enteric Methane</v>
      </c>
      <c r="D27" s="15" t="str">
        <v>Lime product 3</v>
      </c>
      <c r="E27" s="15">
        <v>100000</v>
      </c>
      <c r="F27" s="15">
        <v>0</v>
      </c>
      <c r="G27" s="15">
        <v>0</v>
      </c>
      <c r="H27" s="15">
        <f>(((E27 * F27 * $I$15 * $I$16) + (E27 * G27 * $I$18 * $I$19)) * $I$20 * 10 ^ -3)</f>
        <v>0</v>
      </c>
    </row>
    <row r="28" spans="1:9" ht="20.100000000000001" customHeight="1" x14ac:dyDescent="0.2">
      <c r="A28" s="5" t="str">
        <f>HYPERLINK("#'4.1.1.1-2 Methane'!A1", "4.1.1.1-2 Manure Methane")</f>
        <v>4.1.1.1-2 Manure Methane</v>
      </c>
      <c r="D28" s="15"/>
      <c r="E28" s="15"/>
      <c r="F28" s="15"/>
      <c r="G28" s="15"/>
      <c r="H28" s="15">
        <f>(((E28 * F28 * $I$15 * $I$16) + (E28 * G28 * $I$18 * $I$19)) * $I$20 * 10 ^ -3)</f>
        <v>0</v>
      </c>
    </row>
    <row r="29" spans="1:9" ht="20.100000000000001" customHeight="1" x14ac:dyDescent="0.2">
      <c r="A29" s="5" t="str">
        <f>HYPERLINK("#'4.1.1.3-4 Direct N20'!A1", "4.1.1.3-4 Manure Direct N2O")</f>
        <v>4.1.1.3-4 Manure Direct N2O</v>
      </c>
      <c r="D29" s="15"/>
      <c r="E29" s="15"/>
      <c r="F29" s="15"/>
      <c r="G29" s="15"/>
      <c r="H29" s="15">
        <f>(((E29 * F29 * $I$15 * $I$16) + (E29 * G29 * $I$18 * $I$19)) * $I$20 * 10 ^ -3)</f>
        <v>0</v>
      </c>
    </row>
    <row r="30" spans="1:9" ht="20.100000000000001" customHeight="1" x14ac:dyDescent="0.2">
      <c r="A30" s="5" t="str">
        <f>HYPERLINK("#'4.1.1.5-6 Atmos Deposition'!A1", "4.1.1.5-6 Manure Atmos Dep")</f>
        <v>4.1.1.5-6 Manure Atmos Dep</v>
      </c>
    </row>
    <row r="31" spans="1:9" ht="20.100000000000001" customHeight="1" x14ac:dyDescent="0.2">
      <c r="A31" s="5" t="str">
        <f>HYPERLINK("#'4.1.1.9 Manure applied to soils'!A1", "4.1.1.9 Manure applied to soils")</f>
        <v>4.1.1.9 Manure applied to soils</v>
      </c>
      <c r="D31" s="85" t="s">
        <v>805</v>
      </c>
      <c r="E31" s="86">
        <f>SUM(H25:H29)</f>
        <v>75.808333333333337</v>
      </c>
      <c r="F31" s="231" t="s">
        <v>127</v>
      </c>
    </row>
    <row r="32" spans="1:9"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117"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A1A3-64A3-46F9-8326-B4B832BC553C}">
  <sheetPr>
    <tabColor rgb="FF008000"/>
  </sheetPr>
  <dimension ref="A1:U15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806</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2377</v>
      </c>
    </row>
    <row r="6" spans="1:21" ht="20.100000000000001" customHeight="1" x14ac:dyDescent="0.2">
      <c r="D6" s="17" t="s">
        <v>2378</v>
      </c>
    </row>
    <row r="7" spans="1:21" ht="20.100000000000001" customHeight="1" x14ac:dyDescent="0.2">
      <c r="D7" s="112"/>
      <c r="E7" s="112"/>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321</v>
      </c>
      <c r="E10" s="1" t="s">
        <v>2379</v>
      </c>
    </row>
    <row r="11" spans="1:21" ht="20.100000000000001" customHeight="1" x14ac:dyDescent="0.2">
      <c r="A11" s="5" t="str">
        <f>HYPERLINK("#'Input - Feedlot'!A1", "Feedlot")</f>
        <v>Feedlot</v>
      </c>
      <c r="D11" s="75" t="s">
        <v>118</v>
      </c>
      <c r="E11" s="9" t="s">
        <v>445</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
        <v>2310</v>
      </c>
      <c r="E13" s="121" t="s">
        <v>2380</v>
      </c>
      <c r="F13" s="122"/>
      <c r="G13" s="113" t="s">
        <v>445</v>
      </c>
      <c r="H13" s="115" t="s">
        <v>2328</v>
      </c>
      <c r="I13" s="116" t="str" cm="1">
        <f t="array" aca="1" ref="I13" ca="1">HYPERLINK(Common_InputFunctions.Utility_SourceHyperlink($D$16),$D$16)</f>
        <v>Table_M_vol_inorganic_j_f</v>
      </c>
    </row>
    <row r="14" spans="1:21" ht="20.100000000000001" customHeight="1" x14ac:dyDescent="0.2">
      <c r="A14" s="5" t="str">
        <f>HYPERLINK("#'Input - Fuel'!A1", "Fuel")</f>
        <v>Fuel</v>
      </c>
      <c r="D14" s="113" t="s">
        <v>2381</v>
      </c>
      <c r="E14" s="121" t="s">
        <v>2382</v>
      </c>
      <c r="F14" s="122"/>
      <c r="G14" s="113" t="s">
        <v>448</v>
      </c>
      <c r="H14" s="115" t="s">
        <v>1227</v>
      </c>
      <c r="I14" s="116"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807</v>
      </c>
    </row>
    <row r="17" spans="1:8" ht="20.100000000000001" customHeight="1" x14ac:dyDescent="0.2">
      <c r="A17" s="5" t="str">
        <f>HYPERLINK("#'Input - Livestock farm Inputs'!A1", "Livestock farm Inputs")</f>
        <v>Livestock farm Inputs</v>
      </c>
      <c r="D17" s="119" t="s">
        <v>808</v>
      </c>
    </row>
    <row r="18" spans="1:8" ht="20.100000000000001" customHeight="1" x14ac:dyDescent="0.2">
      <c r="A18" s="5" t="str">
        <f>HYPERLINK("#'Input - Freight'!A1", "Freight")</f>
        <v>Freight</v>
      </c>
      <c r="D18" s="120" t="s">
        <v>809</v>
      </c>
      <c r="E18" s="120" t="s">
        <v>810</v>
      </c>
      <c r="F18" s="120" t="s">
        <v>811</v>
      </c>
      <c r="G18" s="232" t="s">
        <v>812</v>
      </c>
      <c r="H18" s="232" t="s">
        <v>813</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HYPERLINK("#'3.1.1.1-2 Enteric Methane'!A1", "3.1.1.1-2 Enteric Methane")</f>
        <v>3.1.1.1-2 Enteric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5" t="str">
        <f>HYPERLINK("#'4.1.1.1-2 Methane'!A1", "4.1.1.1-2 Manure Methane")</f>
        <v>4.1.1.1-2 Manure Methane</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HYPERLINK("#'4.1.1.3-4 Direct N20'!A1", "4.1.1.3-4 Manure Direct N2O")</f>
        <v>4.1.1.3-4 Manure Direct N2O</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HYPERLINK("#'4.1.1.5-6 Atmos Deposition'!A1", "4.1.1.5-6 Manure Atmos Dep")</f>
        <v>4.1.1.5-6 Manure Atmos Dep</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HYPERLINK("#'4.1.1.9 Manure applied to soils'!A1", "4.1.1.9 Manure applied to soils")</f>
        <v>4.1.1.9 Manure applied to soils</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HYPERLINK("#'8.1.1.1-2 Transport fuel'!A1", "8.1.1.1-2 Transport fuel")</f>
        <v>8.1.1.1-2 Transport fuel</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HYPERLINK("#'8.2.1.1-2 Stationary fuel'!A1", "8.2.1.1-2 Stationary fuel")</f>
        <v>8.2.1.1-2 Stationary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HYPERLINK("#'10.1.1-2 Solid waste treatment'!A1", "10.1.1.1-2 Solid waste")</f>
        <v>10.1.1.1-2 Solid waste</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HYPERLINK("#'14.1.1-2 Purchased electricity'!A1", "14.1.1-2 Purchased electricity")</f>
        <v>14.1.1-2 Purchased electricity</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HYPERLINK("#'15 Scope 3'!A1", "15 Scope 3")</f>
        <v>15 Scope 3</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329.40000000000003</v>
      </c>
    </row>
    <row r="37" spans="1:12" ht="20.100000000000001" customHeight="1" x14ac:dyDescent="0.2">
      <c r="A37" s="5" t="str">
        <f>HYPERLINK("#'Calcs - Manure sent off-site'!A1", "Calcs - Manure sent off-site")</f>
        <v>Calcs - Manure sent off-site</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8" spans="1:12" ht="20.100000000000001" customHeight="1" x14ac:dyDescent="0.2">
      <c r="A38" s="5" t="str">
        <f>HYPERLINK("#'5.1.1.1-2 Inorganic fert N2O'!A1", "5.1.1.1-2 Inorganic fert N2O")</f>
        <v>5.1.1.1-2 Inorganic fert N2O</v>
      </c>
    </row>
    <row r="39" spans="1:12" ht="20.100000000000001" customHeight="1" x14ac:dyDescent="0.2">
      <c r="A39" s="5" t="str">
        <f>HYPERLINK("#'5.1.1.3-4 Inorganic fert CO2'!A1", "5.1.1.3-4 Inorganic fert CO2")</f>
        <v>5.1.1.3-4 Inorganic fert CO2</v>
      </c>
    </row>
    <row r="40" spans="1:12" ht="20.100000000000001" customHeight="1" x14ac:dyDescent="0.2">
      <c r="A40" s="5" t="str">
        <f>HYPERLINK("#'5.2.1.1-2 Organic Fert N2O'!A1", "5.2.1.1-2 Organic Fert N2O")</f>
        <v>5.2.1.1-2 Organic Fert N2O</v>
      </c>
      <c r="C40" s="230"/>
      <c r="D40" s="230"/>
      <c r="E40" s="230"/>
      <c r="F40" s="230"/>
      <c r="G40" s="230"/>
      <c r="H40" s="230"/>
      <c r="I40" s="230"/>
      <c r="J40" s="230"/>
      <c r="K40" s="230"/>
      <c r="L40" s="230"/>
    </row>
    <row r="41" spans="1:12" ht="20.100000000000001" customHeight="1" x14ac:dyDescent="0.2">
      <c r="A41" s="5" t="str">
        <f>HYPERLINK("#'5.3.1.1-2 Lime CO2'!A1", "5.3.1.1-2 Lime CO2")</f>
        <v>5.3.1.1-2 Lime CO2</v>
      </c>
      <c r="D41" s="2" t="s">
        <v>2383</v>
      </c>
    </row>
    <row r="42" spans="1:12" ht="20.100000000000001" customHeight="1" x14ac:dyDescent="0.2">
      <c r="A42" s="117" t="str">
        <f>HYPERLINK("#'5.4.1.1-4 Atmos deposition'!A1", "5.4.1.1-4 Atmos deposition")</f>
        <v>5.4.1.1-4 Atmos deposition</v>
      </c>
      <c r="D42" s="17" t="s">
        <v>2384</v>
      </c>
    </row>
    <row r="43" spans="1:12" ht="20.100000000000001" customHeight="1" x14ac:dyDescent="0.2">
      <c r="A43" s="5" t="str">
        <f>HYPERLINK("#'5.5.1.1-2 Leaching and runoff'!A1", "5.5.1.1-2 Leaching and runoff")</f>
        <v>5.5.1.1-2 Leaching and runoff</v>
      </c>
      <c r="D43" s="112"/>
      <c r="E43" s="112"/>
    </row>
    <row r="46" spans="1:12" ht="20.100000000000001" customHeight="1" x14ac:dyDescent="0.2">
      <c r="A46" s="80" t="s">
        <v>1</v>
      </c>
      <c r="D46" s="75" t="s">
        <v>321</v>
      </c>
      <c r="E46" s="1" t="s">
        <v>2385</v>
      </c>
    </row>
    <row r="47" spans="1:12" ht="20.100000000000001" customHeight="1" x14ac:dyDescent="0.2">
      <c r="A47" s="5" t="str">
        <f>HYPERLINK("#'Constants - Feedlot'!A1", "Constants - Feedlot")</f>
        <v>Constants - Feedlot</v>
      </c>
      <c r="D47" s="75" t="s">
        <v>118</v>
      </c>
      <c r="E47" s="9" t="s">
        <v>12</v>
      </c>
    </row>
    <row r="48" spans="1:12" ht="20.100000000000001" customHeight="1" x14ac:dyDescent="0.2">
      <c r="A48" s="5" t="str">
        <f>HYPERLINK("#'Constants - Common livestock'!A1", "Constants - Common Livestock")</f>
        <v>Constants - Common Livestock</v>
      </c>
    </row>
    <row r="49" spans="1:10" ht="20.100000000000001" customHeight="1" x14ac:dyDescent="0.2">
      <c r="A49" s="5" t="str">
        <f>HYPERLINK("#'Constants - Electricity'!A1", "Constants - Electricity")</f>
        <v>Constants - Electricity</v>
      </c>
      <c r="D49" s="113" t="s">
        <v>2379</v>
      </c>
      <c r="E49" s="121" t="s">
        <v>2386</v>
      </c>
      <c r="F49" s="132"/>
      <c r="G49" s="122"/>
      <c r="H49" s="113" t="s">
        <v>445</v>
      </c>
      <c r="I49" s="115" t="s">
        <v>2388</v>
      </c>
      <c r="J49" s="116" t="str" cm="1">
        <f t="array" aca="1" ref="J49" ca="1">HYPERLINK(Common_InputFunctions.Utility_SourceHyperlink($D$16),$D$16)</f>
        <v>Table_M_vol_inorganic_j_f</v>
      </c>
    </row>
    <row r="50" spans="1:10" ht="20.100000000000001" customHeight="1" x14ac:dyDescent="0.2">
      <c r="A50" s="5" t="str">
        <f>HYPERLINK("#'Constants - Fertiliser'!A1", "Constants - Fertiliser")</f>
        <v>Constants - Fertiliser</v>
      </c>
      <c r="D50" s="113" t="s">
        <v>1606</v>
      </c>
      <c r="E50" s="121" t="s">
        <v>2387</v>
      </c>
      <c r="F50" s="132"/>
      <c r="G50" s="122"/>
      <c r="H50" s="113" t="s">
        <v>1314</v>
      </c>
      <c r="I50" s="115" t="s">
        <v>1227</v>
      </c>
      <c r="J50" s="113">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Fuel'!A1", "Constants - Fuel")</f>
        <v>Constants - Fuel</v>
      </c>
      <c r="D51" s="113" t="s">
        <v>1311</v>
      </c>
      <c r="E51" s="121" t="s">
        <v>1312</v>
      </c>
      <c r="F51" s="132"/>
      <c r="G51" s="122"/>
      <c r="H51" s="113"/>
      <c r="I51" s="115" t="s">
        <v>1227</v>
      </c>
      <c r="J51" s="124">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Scope 3'!A1", "Constants - Scope 3")</f>
        <v>Constants - Scope 3</v>
      </c>
      <c r="D52" s="113" t="s">
        <v>1327</v>
      </c>
      <c r="E52" s="121" t="s">
        <v>479</v>
      </c>
      <c r="F52" s="132"/>
      <c r="G52" s="122"/>
      <c r="H52" s="113"/>
      <c r="I52" s="114" t="s">
        <v>1196</v>
      </c>
      <c r="J52" s="113" t="str">
        <f>X_Cell_Fertiliser_ProductionSystem</f>
        <v>Crop</v>
      </c>
    </row>
    <row r="53" spans="1:10" ht="20.100000000000001" customHeight="1" x14ac:dyDescent="0.2">
      <c r="A53" s="5" t="str">
        <f>HYPERLINK("#'Constants - Solid Waste'!A1", "Constants - Solid Waste")</f>
        <v>Constants - Solid Waste</v>
      </c>
      <c r="D53" s="113" t="s">
        <v>1608</v>
      </c>
      <c r="E53" s="121" t="s">
        <v>1329</v>
      </c>
      <c r="F53" s="132"/>
      <c r="G53" s="122"/>
      <c r="H53" s="113"/>
      <c r="I53" s="114" t="s">
        <v>1196</v>
      </c>
      <c r="J53" s="113" t="str">
        <f>X_Cell_Fertiliser_IrrigationMethod</f>
        <v>Drip irrigation</v>
      </c>
    </row>
    <row r="54" spans="1:10" ht="20.100000000000001" customHeight="1" x14ac:dyDescent="0.2">
      <c r="A54" s="5" t="str">
        <f>HYPERLINK("#'Constants - Common'!A1", "Constants - Common")</f>
        <v>Constants - Common</v>
      </c>
      <c r="D54" s="113" t="s">
        <v>1330</v>
      </c>
      <c r="E54" s="121" t="s">
        <v>1609</v>
      </c>
      <c r="F54" s="132"/>
      <c r="G54" s="122"/>
      <c r="H54" s="113"/>
      <c r="I54" s="114" t="s">
        <v>1196</v>
      </c>
      <c r="J54" s="113" t="str">
        <f>X_Cell_Site_RainfallZone</f>
        <v>High rainfall</v>
      </c>
    </row>
    <row r="55" spans="1:10" ht="20.100000000000001" customHeight="1" x14ac:dyDescent="0.2">
      <c r="A55" s="5" t="str">
        <f>HYPERLINK("#'Acknowledgements'!A1", "Acknowledgements")</f>
        <v>Acknowledgements</v>
      </c>
    </row>
    <row r="56" spans="1:10" ht="20.100000000000001" customHeight="1" x14ac:dyDescent="0.2">
      <c r="D56" s="118" t="s">
        <v>814</v>
      </c>
    </row>
    <row r="57" spans="1:10" ht="20.100000000000001" customHeight="1" x14ac:dyDescent="0.2">
      <c r="D57" s="119" t="s">
        <v>815</v>
      </c>
    </row>
    <row r="58" spans="1:10" ht="20.100000000000001" customHeight="1" x14ac:dyDescent="0.2">
      <c r="D58" s="120" t="s">
        <v>809</v>
      </c>
      <c r="E58" s="232" t="s">
        <v>813</v>
      </c>
      <c r="F58" s="232" t="s">
        <v>816</v>
      </c>
    </row>
    <row r="59" spans="1:10" ht="20.100000000000001" customHeight="1" x14ac:dyDescent="0.2">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D60" s="15" t="str">
        <v>Diammonium phosphate (DAP)</v>
      </c>
      <c r="E60" s="15">
        <f t="shared" si="0"/>
        <v>0</v>
      </c>
      <c r="F60" s="15">
        <f>((E60 * $J$50) * $J$51 * 10 ^ -3)</f>
        <v>0</v>
      </c>
    </row>
    <row r="61" spans="1:10" ht="20.100000000000001" customHeight="1" x14ac:dyDescent="0.2">
      <c r="D61" s="15" t="str">
        <v>Urea</v>
      </c>
      <c r="E61" s="15">
        <f t="shared" si="0"/>
        <v>1739.99991</v>
      </c>
      <c r="F61" s="15">
        <f>((E61 * $J$50) * $J$51 * 10 ^ -3)</f>
        <v>1.9139999010000002E-2</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1:6" ht="20.100000000000001" customHeight="1" x14ac:dyDescent="0.2">
      <c r="D65" s="15" t="str">
        <v>Calcium ammonium nitrate (CAN)</v>
      </c>
      <c r="E65" s="15">
        <f t="shared" si="0"/>
        <v>0</v>
      </c>
      <c r="F65" s="15">
        <f>((E65 * $J$50) * $J$51 * 10 ^ -3)</f>
        <v>0</v>
      </c>
    </row>
    <row r="66" spans="1:6" ht="20.100000000000001" customHeight="1" x14ac:dyDescent="0.2">
      <c r="A66" s="79" t="str">
        <f>HYPERLINK("#A1", "▲ Back to top")</f>
        <v>▲ Back to top</v>
      </c>
      <c r="D66" s="15" t="str">
        <v>Nitrogen - Ammoniacal</v>
      </c>
      <c r="E66" s="15">
        <f t="shared" si="0"/>
        <v>99.2</v>
      </c>
      <c r="F66" s="15">
        <f>((E66 * $J$50) * $J$51 * 10 ^ -3)</f>
        <v>1.0912000000000001E-3</v>
      </c>
    </row>
    <row r="67" spans="1:6" ht="20.100000000000001" customHeight="1" x14ac:dyDescent="0.2">
      <c r="D67" s="15" t="str">
        <v>Nitrogen - Nitrate</v>
      </c>
      <c r="E67" s="15">
        <f t="shared" si="0"/>
        <v>5.5</v>
      </c>
      <c r="F67" s="15">
        <f>((E67 * $J$50) * $J$51 * 10 ^ -3)</f>
        <v>6.05E-5</v>
      </c>
    </row>
    <row r="68" spans="1:6" ht="20.100000000000001" customHeight="1" x14ac:dyDescent="0.2">
      <c r="D68" s="15" t="str">
        <v>Nitrogen - Generic</v>
      </c>
      <c r="E68" s="15">
        <f t="shared" si="0"/>
        <v>0</v>
      </c>
      <c r="F68" s="15">
        <f>((E68 * $J$50) * $J$51 * 10 ^ -3)</f>
        <v>0</v>
      </c>
    </row>
    <row r="69" spans="1:6" ht="20.100000000000001" customHeight="1" x14ac:dyDescent="0.2">
      <c r="D69" s="15" t="str">
        <v>Phosphorus - Generic</v>
      </c>
      <c r="E69" s="15">
        <f t="shared" si="0"/>
        <v>0</v>
      </c>
      <c r="F69" s="15">
        <f>((E69 * $J$50) * $J$51 * 10 ^ -3)</f>
        <v>0</v>
      </c>
    </row>
    <row r="70" spans="1:6" ht="20.100000000000001" customHeight="1" x14ac:dyDescent="0.2">
      <c r="D70" s="15" t="str">
        <v>Potassium - Generic</v>
      </c>
      <c r="E70" s="15">
        <f t="shared" si="0"/>
        <v>0</v>
      </c>
      <c r="F70" s="15">
        <f>((E70 * $J$50) * $J$51 * 10 ^ -3)</f>
        <v>0</v>
      </c>
    </row>
    <row r="71" spans="1:6" ht="20.100000000000001" customHeight="1" x14ac:dyDescent="0.2">
      <c r="D71" s="15" t="str">
        <v>Sulfur - Generic</v>
      </c>
      <c r="E71" s="15">
        <f t="shared" si="0"/>
        <v>0</v>
      </c>
      <c r="F71" s="15">
        <f>((E71 * $J$50) * $J$51 * 10 ^ -3)</f>
        <v>0</v>
      </c>
    </row>
    <row r="72" spans="1:6" ht="20.100000000000001" customHeight="1" x14ac:dyDescent="0.2">
      <c r="D72" s="15" t="str">
        <v>Zinc - Generic</v>
      </c>
      <c r="E72" s="15">
        <f t="shared" si="0"/>
        <v>0</v>
      </c>
      <c r="F72" s="15">
        <f>((E72 * $J$50) * $J$51 * 10 ^ -3)</f>
        <v>0</v>
      </c>
    </row>
    <row r="73" spans="1:6" ht="20.100000000000001" customHeight="1" x14ac:dyDescent="0.2">
      <c r="D73" s="15" t="str">
        <v>Muriate of potash (MOP)</v>
      </c>
      <c r="E73" s="15">
        <f t="shared" si="0"/>
        <v>0</v>
      </c>
      <c r="F73" s="15">
        <f>((E73 * $J$50) * $J$51 * 10 ^ -3)</f>
        <v>0</v>
      </c>
    </row>
    <row r="74" spans="1:6" ht="20.100000000000001" customHeight="1" x14ac:dyDescent="0.2">
      <c r="D74" s="15" t="str">
        <v>Double superphosphate</v>
      </c>
      <c r="E74" s="15">
        <f t="shared" si="0"/>
        <v>0</v>
      </c>
      <c r="F74" s="15">
        <f>((E74 * $J$50) * $J$51 * 10 ^ -3)</f>
        <v>0</v>
      </c>
    </row>
    <row r="75" spans="1:6" ht="20.100000000000001" customHeight="1" x14ac:dyDescent="0.2">
      <c r="D75" s="15" t="str">
        <v>Single superphosphate (SSP)</v>
      </c>
      <c r="E75" s="15">
        <f t="shared" si="0"/>
        <v>0</v>
      </c>
      <c r="F75" s="15">
        <f>((E75 * $J$50) * $J$51 * 10 ^ -3)</f>
        <v>0</v>
      </c>
    </row>
    <row r="76" spans="1:6" ht="20.100000000000001" customHeight="1" x14ac:dyDescent="0.2">
      <c r="D76" s="15" t="str">
        <v>Ammonia</v>
      </c>
      <c r="E76" s="15">
        <f t="shared" si="0"/>
        <v>329.40000000000003</v>
      </c>
      <c r="F76" s="15">
        <f>((E76 * $J$50) * $J$51 * 10 ^ -3)</f>
        <v>3.6234000000000001E-3</v>
      </c>
    </row>
    <row r="77" spans="1:6" ht="20.100000000000001" customHeight="1" x14ac:dyDescent="0.2">
      <c r="D77" s="15" t="str">
        <v>Calcium nitrate</v>
      </c>
      <c r="E77" s="15">
        <f t="shared" si="0"/>
        <v>7.75</v>
      </c>
      <c r="F77" s="15">
        <f>((E77 * $J$50) * $J$51 * 10 ^ -3)</f>
        <v>8.5249999999999999E-5</v>
      </c>
    </row>
    <row r="79" spans="1:6" ht="20.100000000000001" customHeight="1" x14ac:dyDescent="0.2">
      <c r="D79" s="85" t="s">
        <v>817</v>
      </c>
      <c r="E79" s="86">
        <f>SUM(F59:F77)</f>
        <v>2.4000349010000002E-2</v>
      </c>
      <c r="F79" s="95" t="str">
        <f>$E$47</f>
        <v>t N2O</v>
      </c>
    </row>
    <row r="81" spans="1:12" ht="20.100000000000001" customHeight="1" x14ac:dyDescent="0.2">
      <c r="D81" s="124" t="str" cm="1">
        <f t="array" ref="D81:E82">Common_Equations.Common_ConvertN2OToCO2e_Arguments()</f>
        <v>EN2O</v>
      </c>
      <c r="E81" s="126" t="str">
        <v>Nitrous oxide emissions (t N2O)</v>
      </c>
      <c r="F81" s="127"/>
      <c r="G81" s="15">
        <f>VEERG_5_4_1_1__1_InorganicFertiliserAtmosphericDepositionN2OEmissions_Result_Method1</f>
        <v>2.4000349010000002E-2</v>
      </c>
    </row>
    <row r="82" spans="1:12" ht="20.100000000000001" customHeight="1" x14ac:dyDescent="0.2">
      <c r="D82" s="124" t="str">
        <v>GWPN2O</v>
      </c>
      <c r="E82" s="126" t="str">
        <v>Global warming potential for nitrous oxide (t CO2-e / t N2O)</v>
      </c>
      <c r="F82" s="127"/>
      <c r="G82" s="15">
        <f>Common_InputFunctions.Utility_LookupValueInTableNumber("N2O",Table_GWPData[Gas],Table_GWPData[CO2-e factor])</f>
        <v>265</v>
      </c>
    </row>
    <row r="84" spans="1:12" ht="20.100000000000001" customHeight="1" x14ac:dyDescent="0.2">
      <c r="D84" s="83" t="s">
        <v>427</v>
      </c>
      <c r="E84" s="83" cm="1">
        <f t="array" ref="E84">Common_Equations.Common_ConvertN2OToCO2e(G81,G82)</f>
        <v>6.3600924876500002</v>
      </c>
      <c r="F84" s="89" t="str" cm="1">
        <f t="array" ref="F84">Common_Equations.Common_ConvertN2OToCO2e_Unit()</f>
        <v>t CO2e</v>
      </c>
    </row>
    <row r="87" spans="1:12" ht="20.100000000000001" customHeight="1" x14ac:dyDescent="0.2">
      <c r="C87" s="230"/>
      <c r="D87" s="230"/>
      <c r="E87" s="230"/>
      <c r="F87" s="230"/>
      <c r="G87" s="230"/>
      <c r="H87" s="230"/>
      <c r="I87" s="230"/>
      <c r="J87" s="230"/>
      <c r="K87" s="230"/>
      <c r="L87" s="230"/>
    </row>
    <row r="88" spans="1:12" ht="20.100000000000001" customHeight="1" x14ac:dyDescent="0.2">
      <c r="D88" s="2" t="s">
        <v>1597</v>
      </c>
    </row>
    <row r="89" spans="1:12" ht="20.100000000000001" customHeight="1" x14ac:dyDescent="0.2">
      <c r="D89" s="17" t="s">
        <v>1598</v>
      </c>
    </row>
    <row r="90" spans="1:12" ht="20.100000000000001" customHeight="1" x14ac:dyDescent="0.2">
      <c r="D90" s="112"/>
      <c r="E90" s="112"/>
    </row>
    <row r="93" spans="1:12" ht="20.100000000000001" customHeight="1" x14ac:dyDescent="0.2">
      <c r="D93" s="75" t="s">
        <v>321</v>
      </c>
      <c r="E93" s="1" t="s">
        <v>1599</v>
      </c>
    </row>
    <row r="94" spans="1:12" ht="20.100000000000001" customHeight="1" x14ac:dyDescent="0.2">
      <c r="D94" s="75" t="s">
        <v>118</v>
      </c>
      <c r="E94" s="9" t="s">
        <v>445</v>
      </c>
    </row>
    <row r="96" spans="1:12" ht="20.100000000000001" customHeight="1" x14ac:dyDescent="0.2">
      <c r="A96" s="79" t="str">
        <f>HYPERLINK("#A1", "▲ Back to top")</f>
        <v>▲ Back to top</v>
      </c>
      <c r="D96" s="113" t="s">
        <v>1591</v>
      </c>
      <c r="E96" s="113" t="s">
        <v>1592</v>
      </c>
      <c r="F96" s="113"/>
      <c r="G96" s="113" t="s">
        <v>445</v>
      </c>
      <c r="H96" s="115" t="s">
        <v>1595</v>
      </c>
      <c r="I96" s="116" t="str" cm="1">
        <f t="array" aca="1" ref="I96" ca="1">HYPERLINK(Common_InputFunctions.Utility_SourceHyperlink($D$99), $D$99)</f>
        <v>Table_M_vol_organic_j_f</v>
      </c>
    </row>
    <row r="97" spans="4:9" ht="20.100000000000001" customHeight="1" x14ac:dyDescent="0.2">
      <c r="D97" s="113" t="s">
        <v>1600</v>
      </c>
      <c r="E97" s="113" t="s">
        <v>1601</v>
      </c>
      <c r="F97" s="113"/>
      <c r="G97" s="113" t="s">
        <v>448</v>
      </c>
      <c r="H97" s="115" t="s">
        <v>1227</v>
      </c>
      <c r="I97" s="113">
        <f>Fertiliser_FracGASMSoil_Data</f>
        <v>0.21</v>
      </c>
    </row>
    <row r="99" spans="4:9" ht="20.100000000000001" customHeight="1" x14ac:dyDescent="0.2">
      <c r="D99" s="118" t="s">
        <v>818</v>
      </c>
    </row>
    <row r="100" spans="4:9" ht="20.100000000000001" customHeight="1" x14ac:dyDescent="0.2">
      <c r="D100" s="119" t="s">
        <v>819</v>
      </c>
    </row>
    <row r="101" spans="4:9" ht="20.100000000000001" customHeight="1" x14ac:dyDescent="0.2">
      <c r="D101" s="78" t="s">
        <v>792</v>
      </c>
      <c r="E101" s="128" t="s">
        <v>796</v>
      </c>
      <c r="F101" s="128" t="s">
        <v>820</v>
      </c>
    </row>
    <row r="102" spans="4:9" ht="20.100000000000001" customHeight="1" x14ac:dyDescent="0.2">
      <c r="D102" s="15" t="str" cm="1">
        <f t="array" ref="D102:D104">Table_Input_OrganicFertiliser[Organic fertiliser type (select)]</f>
        <v>Manure - Other</v>
      </c>
      <c r="E102" s="15">
        <f>INDEX(Table_MNSoil_j_f,2,6)</f>
        <v>300</v>
      </c>
      <c r="F102" s="15">
        <f>(E102 * $I$97)</f>
        <v>63</v>
      </c>
      <c r="G102" s="16" t="str">
        <f>$E$94</f>
        <v>kg N</v>
      </c>
    </row>
    <row r="103" spans="4:9" ht="20.100000000000001" customHeight="1" x14ac:dyDescent="0.2">
      <c r="D103" s="15" t="str">
        <v>Manure - Poultry</v>
      </c>
      <c r="E103" s="15">
        <f>INDEX(Table_MNSoil_j_f,3,6)</f>
        <v>250</v>
      </c>
      <c r="F103" s="15">
        <f>(E103 * $I$97)</f>
        <v>52.5</v>
      </c>
    </row>
    <row r="104" spans="4:9" ht="20.100000000000001" customHeight="1" x14ac:dyDescent="0.2">
      <c r="D104" s="15" t="str">
        <v>Other organic fertiliser</v>
      </c>
      <c r="E104" s="15">
        <f>INDEX(Table_MNSoil_j_f,4,6)</f>
        <v>160</v>
      </c>
      <c r="F104" s="15">
        <f>(E104 * $I$97)</f>
        <v>33.6</v>
      </c>
    </row>
    <row r="105" spans="4:9" ht="20.100000000000001" customHeight="1" x14ac:dyDescent="0.2">
      <c r="D105" s="15"/>
      <c r="E105" s="15">
        <f>'5.2.1.1-2 Organic Fert N2O'!I23</f>
        <v>0</v>
      </c>
      <c r="F105" s="15">
        <f>(E105 * $I$97)</f>
        <v>0</v>
      </c>
    </row>
    <row r="106" spans="4:9" ht="20.100000000000001" customHeight="1" x14ac:dyDescent="0.2">
      <c r="D106" s="15"/>
      <c r="E106" s="15">
        <f>'5.2.1.1-2 Organic Fert N2O'!I24</f>
        <v>0</v>
      </c>
      <c r="F106" s="15">
        <f>(E106 * $I$97)</f>
        <v>0</v>
      </c>
    </row>
    <row r="107" spans="4:9" ht="20.100000000000001" customHeight="1" x14ac:dyDescent="0.2">
      <c r="D107" s="15"/>
      <c r="E107" s="15">
        <f>'5.2.1.1-2 Organic Fert N2O'!I25</f>
        <v>0</v>
      </c>
      <c r="F107" s="15">
        <f>(E107 * $I$97)</f>
        <v>0</v>
      </c>
    </row>
    <row r="108" spans="4:9" ht="20.100000000000001" customHeight="1" x14ac:dyDescent="0.2">
      <c r="D108" s="15"/>
      <c r="E108" s="15">
        <f>'5.2.1.1-2 Organic Fert N2O'!I26</f>
        <v>0</v>
      </c>
      <c r="F108" s="15">
        <f>(E108 * $I$97)</f>
        <v>0</v>
      </c>
    </row>
    <row r="109" spans="4:9" ht="20.100000000000001" customHeight="1" x14ac:dyDescent="0.2">
      <c r="D109" s="15"/>
      <c r="E109" s="15">
        <f>'5.2.1.1-2 Organic Fert N2O'!I27</f>
        <v>0</v>
      </c>
      <c r="F109" s="15">
        <f>(E109 * $I$97)</f>
        <v>0</v>
      </c>
    </row>
    <row r="110" spans="4:9" ht="20.100000000000001" customHeight="1" x14ac:dyDescent="0.2">
      <c r="D110" s="15"/>
      <c r="E110" s="15">
        <f>'5.2.1.1-2 Organic Fert N2O'!I28</f>
        <v>0</v>
      </c>
      <c r="F110" s="15">
        <f>(E110 * $I$97)</f>
        <v>0</v>
      </c>
    </row>
    <row r="111" spans="4:9" ht="20.100000000000001" customHeight="1" x14ac:dyDescent="0.2">
      <c r="D111" s="15"/>
      <c r="E111" s="15">
        <f>'5.2.1.1-2 Organic Fert N2O'!I29</f>
        <v>0</v>
      </c>
      <c r="F111" s="15">
        <f>(E111 * $I$97)</f>
        <v>0</v>
      </c>
    </row>
    <row r="112" spans="4:9" ht="20.100000000000001" customHeight="1" x14ac:dyDescent="0.2">
      <c r="D112" s="15"/>
      <c r="E112" s="15">
        <f>'5.2.1.1-2 Organic Fert N2O'!I30</f>
        <v>0</v>
      </c>
      <c r="F112" s="15">
        <f>(E112 * $I$97)</f>
        <v>0</v>
      </c>
    </row>
    <row r="115" spans="1:12" ht="20.100000000000001" customHeight="1" x14ac:dyDescent="0.2">
      <c r="C115" s="230"/>
      <c r="D115" s="230"/>
      <c r="E115" s="230"/>
      <c r="F115" s="230"/>
      <c r="G115" s="230"/>
      <c r="H115" s="230"/>
      <c r="I115" s="230"/>
      <c r="J115" s="230"/>
      <c r="K115" s="230"/>
      <c r="L115" s="230"/>
    </row>
    <row r="116" spans="1:12" ht="20.100000000000001" customHeight="1" x14ac:dyDescent="0.2">
      <c r="D116" s="2" t="s">
        <v>1602</v>
      </c>
    </row>
    <row r="117" spans="1:12" ht="20.100000000000001" customHeight="1" x14ac:dyDescent="0.2">
      <c r="D117" s="17" t="s">
        <v>1603</v>
      </c>
    </row>
    <row r="118" spans="1:12" ht="20.100000000000001" customHeight="1" x14ac:dyDescent="0.2">
      <c r="D118" s="112"/>
      <c r="E118" s="112"/>
    </row>
    <row r="121" spans="1:12" ht="20.100000000000001" customHeight="1" x14ac:dyDescent="0.2">
      <c r="D121" s="75" t="s">
        <v>321</v>
      </c>
      <c r="E121" s="1" t="s">
        <v>1604</v>
      </c>
    </row>
    <row r="122" spans="1:12" ht="20.100000000000001" customHeight="1" x14ac:dyDescent="0.2">
      <c r="D122" s="75" t="s">
        <v>118</v>
      </c>
      <c r="E122" s="9" t="s">
        <v>12</v>
      </c>
    </row>
    <row r="124" spans="1:12" ht="20.100000000000001" customHeight="1" x14ac:dyDescent="0.2">
      <c r="D124" s="113" t="s">
        <v>1599</v>
      </c>
      <c r="E124" s="121" t="s">
        <v>1605</v>
      </c>
      <c r="F124" s="122"/>
      <c r="G124" s="113" t="s">
        <v>445</v>
      </c>
      <c r="H124" s="115" t="s">
        <v>1610</v>
      </c>
      <c r="I124" s="116" t="str" cm="1">
        <f t="array" aca="1" ref="I124" ca="1">HYPERLINK(Common_InputFunctions.Utility_SourceHyperlink($D$99), $D$99)</f>
        <v>Table_M_vol_organic_j_f</v>
      </c>
    </row>
    <row r="125" spans="1:12" ht="20.100000000000001" customHeight="1" x14ac:dyDescent="0.2">
      <c r="D125" s="113" t="s">
        <v>1606</v>
      </c>
      <c r="E125" s="121" t="s">
        <v>1607</v>
      </c>
      <c r="F125" s="122"/>
      <c r="G125" s="113" t="s">
        <v>1314</v>
      </c>
      <c r="H125" s="115" t="s">
        <v>1227</v>
      </c>
      <c r="I125" s="113">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A126" s="79" t="str">
        <f>HYPERLINK("#A1", "▲ Back to top")</f>
        <v>▲ Back to top</v>
      </c>
      <c r="D126" s="113" t="s">
        <v>1311</v>
      </c>
      <c r="E126" s="121" t="s">
        <v>1312</v>
      </c>
      <c r="F126" s="122"/>
      <c r="G126" s="113"/>
      <c r="H126" s="115" t="s">
        <v>1227</v>
      </c>
      <c r="I126" s="124">
        <f>Common_InputFunctions.Utility_LookupValueInTableNumber("N2O",Table_GasToMolecularConversionFactor[Gas],Table_GasToMolecularConversionFactor[Conversion factor combined])</f>
        <v>1.5714285714285714</v>
      </c>
    </row>
    <row r="127" spans="1:12" ht="20.100000000000001" customHeight="1" x14ac:dyDescent="0.2">
      <c r="D127" s="113" t="s">
        <v>1327</v>
      </c>
      <c r="E127" s="121" t="s">
        <v>479</v>
      </c>
      <c r="F127" s="122"/>
      <c r="G127" s="113"/>
      <c r="H127" s="114" t="s">
        <v>1196</v>
      </c>
      <c r="I127" s="113" t="str">
        <f>X_Cell_Fertiliser_ProductionSystem</f>
        <v>Crop</v>
      </c>
    </row>
    <row r="128" spans="1:12" ht="20.100000000000001" customHeight="1" x14ac:dyDescent="0.2">
      <c r="D128" s="113" t="s">
        <v>1608</v>
      </c>
      <c r="E128" s="121" t="s">
        <v>1329</v>
      </c>
      <c r="F128" s="122"/>
      <c r="G128" s="113"/>
      <c r="H128" s="114" t="s">
        <v>1196</v>
      </c>
      <c r="I128" s="113" t="str">
        <f>X_Cell_Fertiliser_IrrigationMethod</f>
        <v>Drip irrigation</v>
      </c>
    </row>
    <row r="129" spans="4:9" ht="20.100000000000001" customHeight="1" x14ac:dyDescent="0.2">
      <c r="D129" s="113" t="s">
        <v>1330</v>
      </c>
      <c r="E129" s="121" t="s">
        <v>1609</v>
      </c>
      <c r="F129" s="122"/>
      <c r="G129" s="113"/>
      <c r="H129" s="114" t="s">
        <v>1196</v>
      </c>
      <c r="I129" s="113" t="str">
        <f>X_Cell_Site_RainfallZone</f>
        <v>High rainfall</v>
      </c>
    </row>
    <row r="131" spans="4:9" ht="20.100000000000001" customHeight="1" x14ac:dyDescent="0.2">
      <c r="D131" s="118" t="s">
        <v>821</v>
      </c>
    </row>
    <row r="132" spans="4:9" ht="20.100000000000001" customHeight="1" x14ac:dyDescent="0.2">
      <c r="D132" s="119" t="s">
        <v>822</v>
      </c>
    </row>
    <row r="133" spans="4:9" ht="20.100000000000001" customHeight="1" x14ac:dyDescent="0.2">
      <c r="D133" s="78" t="s">
        <v>792</v>
      </c>
      <c r="E133" s="128" t="s">
        <v>820</v>
      </c>
      <c r="F133" s="128" t="s">
        <v>823</v>
      </c>
    </row>
    <row r="134" spans="4:9" ht="20.100000000000001" customHeight="1" x14ac:dyDescent="0.2">
      <c r="D134" s="15" t="str" cm="1">
        <f t="array" ref="D134:D136">Table_Input_OrganicFertiliser[Organic fertiliser type (select)]</f>
        <v>Manure - Other</v>
      </c>
      <c r="E134" s="15">
        <f>F102</f>
        <v>63</v>
      </c>
      <c r="F134" s="15">
        <f>((E134 * $I$125) * $I$126 * 10 ^ -3)</f>
        <v>6.9299999999999993E-4</v>
      </c>
    </row>
    <row r="135" spans="4:9" ht="20.100000000000001" customHeight="1" x14ac:dyDescent="0.2">
      <c r="D135" s="15" t="str">
        <v>Manure - Poultry</v>
      </c>
      <c r="E135" s="15">
        <f t="shared" ref="E135:E144" si="1">F103</f>
        <v>52.5</v>
      </c>
      <c r="F135" s="15">
        <f>((E135 * $I$125) * $I$126 * 10 ^ -3)</f>
        <v>5.775E-4</v>
      </c>
    </row>
    <row r="136" spans="4:9" ht="20.100000000000001" customHeight="1" x14ac:dyDescent="0.2">
      <c r="D136" s="15" t="str">
        <v>Other organic fertiliser</v>
      </c>
      <c r="E136" s="15">
        <f t="shared" si="1"/>
        <v>33.6</v>
      </c>
      <c r="F136" s="15">
        <f>((E136 * $I$125) * $I$126 * 10 ^ -3)</f>
        <v>3.6960000000000004E-4</v>
      </c>
    </row>
    <row r="137" spans="4:9" ht="20.100000000000001" customHeight="1" x14ac:dyDescent="0.2">
      <c r="D137" s="15"/>
      <c r="E137" s="15">
        <f t="shared" si="1"/>
        <v>0</v>
      </c>
      <c r="F137" s="15">
        <f>((E137 * $I$125) * $I$126 * 10 ^ -3)</f>
        <v>0</v>
      </c>
    </row>
    <row r="138" spans="4:9" ht="20.100000000000001" customHeight="1" x14ac:dyDescent="0.2">
      <c r="D138" s="15"/>
      <c r="E138" s="15">
        <f t="shared" si="1"/>
        <v>0</v>
      </c>
      <c r="F138" s="15">
        <f>((E138 * $I$125) * $I$126 * 10 ^ -3)</f>
        <v>0</v>
      </c>
    </row>
    <row r="139" spans="4:9" ht="20.100000000000001" customHeight="1" x14ac:dyDescent="0.2">
      <c r="D139" s="15"/>
      <c r="E139" s="15">
        <f t="shared" si="1"/>
        <v>0</v>
      </c>
      <c r="F139" s="15">
        <f>((E139 * $I$125) * $I$126 * 10 ^ -3)</f>
        <v>0</v>
      </c>
    </row>
    <row r="140" spans="4:9" ht="20.100000000000001" customHeight="1" x14ac:dyDescent="0.2">
      <c r="D140" s="15"/>
      <c r="E140" s="15">
        <f t="shared" si="1"/>
        <v>0</v>
      </c>
      <c r="F140" s="15">
        <f>((E140 * $I$125) * $I$126 * 10 ^ -3)</f>
        <v>0</v>
      </c>
    </row>
    <row r="141" spans="4:9" ht="20.100000000000001" customHeight="1" x14ac:dyDescent="0.2">
      <c r="D141" s="15"/>
      <c r="E141" s="15">
        <f t="shared" si="1"/>
        <v>0</v>
      </c>
      <c r="F141" s="15">
        <f>((E141 * $I$125) * $I$126 * 10 ^ -3)</f>
        <v>0</v>
      </c>
    </row>
    <row r="142" spans="4:9" ht="20.100000000000001" customHeight="1" x14ac:dyDescent="0.2">
      <c r="D142" s="15"/>
      <c r="E142" s="15">
        <f t="shared" si="1"/>
        <v>0</v>
      </c>
      <c r="F142" s="15">
        <f>((E142 * $I$125) * $I$126 * 10 ^ -3)</f>
        <v>0</v>
      </c>
    </row>
    <row r="143" spans="4:9" ht="20.100000000000001" customHeight="1" x14ac:dyDescent="0.2">
      <c r="D143" s="15"/>
      <c r="E143" s="15">
        <f t="shared" si="1"/>
        <v>0</v>
      </c>
      <c r="F143" s="15">
        <f>((E143 * $I$125) * $I$126 * 10 ^ -3)</f>
        <v>0</v>
      </c>
    </row>
    <row r="144" spans="4:9" ht="20.100000000000001" customHeight="1" x14ac:dyDescent="0.2">
      <c r="D144" s="15"/>
      <c r="E144" s="15">
        <f t="shared" si="1"/>
        <v>0</v>
      </c>
      <c r="F144" s="15">
        <f>((E144 * $I$125) * $I$126 * 10 ^ -3)</f>
        <v>0</v>
      </c>
    </row>
    <row r="146" spans="4:7" ht="20.100000000000001" customHeight="1" x14ac:dyDescent="0.2">
      <c r="D146" s="85" t="s">
        <v>824</v>
      </c>
      <c r="E146" s="86">
        <f>SUM(F134:F144)</f>
        <v>1.6401E-3</v>
      </c>
      <c r="F146" s="95" t="str">
        <f>$E$122</f>
        <v>t N2O</v>
      </c>
    </row>
    <row r="148" spans="4:7" ht="20.100000000000001" customHeight="1" x14ac:dyDescent="0.2">
      <c r="D148" s="124" t="str" cm="1">
        <f t="array" ref="D148:E149">Common_Equations.Common_ConvertN2OToCO2e_Arguments()</f>
        <v>EN2O</v>
      </c>
      <c r="E148" s="126" t="str">
        <v>Nitrous oxide emissions (t N2O)</v>
      </c>
      <c r="F148" s="127"/>
      <c r="G148" s="15">
        <f>VEERG_5_4_1_3__1_OrganicFertiliserAtmosphericDepositionN2OEmissions_Result_Method1</f>
        <v>1.6401E-3</v>
      </c>
    </row>
    <row r="149" spans="4:7" ht="20.100000000000001" customHeight="1" x14ac:dyDescent="0.2">
      <c r="D149" s="124" t="str">
        <v>GWPN2O</v>
      </c>
      <c r="E149" s="126" t="str">
        <v>Global warming potential for nitrous oxide (t CO2-e / t N2O)</v>
      </c>
      <c r="F149" s="127"/>
      <c r="G149" s="15">
        <f>Common_InputFunctions.Utility_LookupValueInTableNumber("N2O",Table_GWPData[Gas],Table_GWPData[CO2-e factor])</f>
        <v>265</v>
      </c>
    </row>
    <row r="151" spans="4:7" ht="20.100000000000001" customHeight="1" x14ac:dyDescent="0.2">
      <c r="D151" s="83" t="s">
        <v>427</v>
      </c>
      <c r="E151" s="83" cm="1">
        <f t="array" ref="E151">Common_Equations.Common_ConvertN2OToCO2e(G148,G149)</f>
        <v>0.43462650000000003</v>
      </c>
      <c r="F151" s="89" t="str" cm="1">
        <f t="array" ref="F151">Common_Equations.Common_ConvertN2OToCO2e_Unit()</f>
        <v>t CO2e</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761E-50C8-4D12-9A2A-7E0AE137B55D}">
  <sheetPr>
    <tabColor rgb="FF008000"/>
  </sheetPr>
  <dimension ref="A1:T99"/>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825</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2389</v>
      </c>
    </row>
    <row r="6" spans="1:20" ht="20.100000000000001" customHeight="1" x14ac:dyDescent="0.2">
      <c r="D6" s="17" t="s">
        <v>2390</v>
      </c>
    </row>
    <row r="7" spans="1:20" ht="20.100000000000001" customHeight="1" x14ac:dyDescent="0.2">
      <c r="D7" s="112"/>
      <c r="E7" s="112"/>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321</v>
      </c>
      <c r="E10" s="1" t="s">
        <v>1624</v>
      </c>
    </row>
    <row r="11" spans="1:20" ht="20.100000000000001" customHeight="1" x14ac:dyDescent="0.2">
      <c r="A11" s="5" t="str">
        <f>HYPERLINK("#'Input - Feedlot'!A1", "Feedlot")</f>
        <v>Feedlot</v>
      </c>
      <c r="D11" s="75" t="s">
        <v>118</v>
      </c>
      <c r="E11" s="9" t="s">
        <v>445</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13" t="s">
        <v>2310</v>
      </c>
      <c r="E13" s="121" t="s">
        <v>2391</v>
      </c>
      <c r="F13" s="122"/>
      <c r="G13" s="113" t="s">
        <v>445</v>
      </c>
      <c r="H13" s="115" t="s">
        <v>2328</v>
      </c>
      <c r="I13" s="116" t="str" cm="1">
        <f t="array" aca="1" ref="I13" ca="1">HYPERLINK(Common_InputFunctions.Utility_SourceHyperlink(D20), D20)</f>
        <v>Table_M_leach_inorganic_j</v>
      </c>
    </row>
    <row r="14" spans="1:20" ht="20.100000000000001" customHeight="1" x14ac:dyDescent="0.2">
      <c r="A14" s="5" t="str">
        <f>HYPERLINK("#'Input - Fuel'!A1", "Fuel")</f>
        <v>Fuel</v>
      </c>
      <c r="D14" s="113" t="s">
        <v>1615</v>
      </c>
      <c r="E14" s="121" t="s">
        <v>1616</v>
      </c>
      <c r="F14" s="122"/>
      <c r="G14" s="113" t="s">
        <v>299</v>
      </c>
      <c r="H14" s="115" t="s">
        <v>1227</v>
      </c>
      <c r="I14" s="113">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13" t="s">
        <v>1617</v>
      </c>
      <c r="E15" s="121" t="s">
        <v>1618</v>
      </c>
      <c r="F15" s="122"/>
      <c r="G15" s="113" t="s">
        <v>299</v>
      </c>
      <c r="H15" s="115" t="s">
        <v>1227</v>
      </c>
      <c r="I15" s="113">
        <f>Fertiliser_FracLEACH_Data</f>
        <v>0.24</v>
      </c>
    </row>
    <row r="16" spans="1:20" ht="20.100000000000001" customHeight="1" x14ac:dyDescent="0.2">
      <c r="A16" s="5" t="str">
        <f>HYPERLINK("#'Input - Common farm inputs'!A1", "Common farm inputs")</f>
        <v>Common farm inputs</v>
      </c>
      <c r="D16" s="113" t="s">
        <v>1619</v>
      </c>
      <c r="E16" s="121" t="s">
        <v>1620</v>
      </c>
      <c r="F16" s="122"/>
      <c r="G16" s="113"/>
      <c r="H16" s="114" t="s">
        <v>1196</v>
      </c>
      <c r="I16" s="113" t="str">
        <f>X_Cell_Site_LeachingZone</f>
        <v>NO - Not in leaching zone</v>
      </c>
    </row>
    <row r="17" spans="1:9" ht="20.100000000000001" customHeight="1" x14ac:dyDescent="0.2">
      <c r="A17" s="5" t="str">
        <f>HYPERLINK("#'Input - Livestock farm Inputs'!A1", "Livestock farm Inputs")</f>
        <v>Livestock farm Inputs</v>
      </c>
      <c r="D17" s="113" t="s">
        <v>1327</v>
      </c>
      <c r="E17" s="121" t="s">
        <v>1328</v>
      </c>
      <c r="F17" s="122"/>
      <c r="G17" s="113"/>
      <c r="H17" s="114" t="s">
        <v>1196</v>
      </c>
      <c r="I17" s="113" t="str">
        <f>X_Cell_Fertiliser_ProductionSystem</f>
        <v>Crop</v>
      </c>
    </row>
    <row r="18" spans="1:9" ht="20.100000000000001" customHeight="1" x14ac:dyDescent="0.2">
      <c r="A18" s="5" t="str">
        <f>HYPERLINK("#'Input - Freight'!A1", "Freight")</f>
        <v>Freight</v>
      </c>
      <c r="D18" s="113" t="s">
        <v>1608</v>
      </c>
      <c r="E18" s="121" t="s">
        <v>1329</v>
      </c>
      <c r="F18" s="122"/>
      <c r="G18" s="113"/>
      <c r="H18" s="114" t="s">
        <v>1196</v>
      </c>
      <c r="I18" s="113"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18" t="s">
        <v>826</v>
      </c>
    </row>
    <row r="21" spans="1:9" ht="20.100000000000001" customHeight="1" x14ac:dyDescent="0.2">
      <c r="A21" s="5" t="str">
        <f>HYPERLINK("#'Input - Data quality'!A1", "Data quality")</f>
        <v>Data quality</v>
      </c>
      <c r="D21" s="119" t="s">
        <v>827</v>
      </c>
    </row>
    <row r="22" spans="1:9" ht="20.100000000000001" customHeight="1" x14ac:dyDescent="0.2">
      <c r="A22" s="5" t="str">
        <f>HYPERLINK("#'Input - Fert Prod System'!A1", "Fert Prod System")</f>
        <v>Fert Prod System</v>
      </c>
      <c r="D22" s="120" t="s">
        <v>756</v>
      </c>
      <c r="E22" s="120" t="s">
        <v>810</v>
      </c>
      <c r="F22" s="120" t="s">
        <v>828</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f>(E23 * $I$14 * $I$15)</f>
        <v>0</v>
      </c>
    </row>
    <row r="24" spans="1:9" ht="20.100000000000001" customHeight="1" x14ac:dyDescent="0.2">
      <c r="D24" s="15" t="str">
        <v>Diammonium phosphate (DAP)</v>
      </c>
      <c r="E24" s="15">
        <f>INDEX(Table_MN_j_f,3,4)</f>
        <v>0</v>
      </c>
      <c r="F24" s="15">
        <f>(E24 * $I$14 * $I$15)</f>
        <v>0</v>
      </c>
    </row>
    <row r="25" spans="1:9" ht="20.100000000000001" customHeight="1" x14ac:dyDescent="0.2">
      <c r="D25" s="15" t="str">
        <v>Urea</v>
      </c>
      <c r="E25" s="15">
        <f>INDEX(Table_MN_j_f,4,4)</f>
        <v>11599.999400000001</v>
      </c>
      <c r="F25" s="15">
        <f>(E25 * $I$14 * $I$15)</f>
        <v>0</v>
      </c>
    </row>
    <row r="26" spans="1:9" ht="20.100000000000001" customHeight="1" x14ac:dyDescent="0.2">
      <c r="A26" s="6" t="s">
        <v>2</v>
      </c>
      <c r="D26" s="15" t="str">
        <v>Sulphate of ammonia (SOA)</v>
      </c>
      <c r="E26" s="15">
        <f>INDEX(Table_MN_j_f,5,4)</f>
        <v>0</v>
      </c>
      <c r="F26" s="15">
        <f>(E26 * $I$14 * $I$15)</f>
        <v>0</v>
      </c>
    </row>
    <row r="27" spans="1:9" ht="20.100000000000001" customHeight="1" x14ac:dyDescent="0.2">
      <c r="A27" s="5" t="str">
        <f>HYPERLINK("#'3.1.1.1-2 Enteric Methane'!A1", "3.1.1.1-2 Enteric Methane")</f>
        <v>3.1.1.1-2 Enteric Methane</v>
      </c>
      <c r="D27" s="15" t="str">
        <v>Urea-ammonium nitrate (UAN)</v>
      </c>
      <c r="E27" s="15">
        <f>INDEX(Table_MN_j_f,6,4)</f>
        <v>0</v>
      </c>
      <c r="F27" s="15">
        <f>(E27 * $I$14 * $I$15)</f>
        <v>0</v>
      </c>
    </row>
    <row r="28" spans="1:9" ht="20.100000000000001" customHeight="1" x14ac:dyDescent="0.2">
      <c r="A28" s="5" t="str">
        <f>HYPERLINK("#'4.1.1.1-2 Methane'!A1", "4.1.1.1-2 Manure Methane")</f>
        <v>4.1.1.1-2 Manure Methane</v>
      </c>
      <c r="D28" s="15" t="str">
        <v>Ammonium nitrate (AN)</v>
      </c>
      <c r="E28" s="15">
        <f>INDEX(Table_MN_j_f,7,4)</f>
        <v>0</v>
      </c>
      <c r="F28" s="15">
        <f>(E28 * $I$14 * $I$15)</f>
        <v>0</v>
      </c>
    </row>
    <row r="29" spans="1:9" ht="20.100000000000001" customHeight="1" x14ac:dyDescent="0.2">
      <c r="A29" s="5" t="str">
        <f>HYPERLINK("#'4.1.1.3-4 Direct N20'!A1", "4.1.1.3-4 Manure Direct N2O")</f>
        <v>4.1.1.3-4 Manure Direct N2O</v>
      </c>
      <c r="D29" s="15" t="str">
        <v>Calcium ammonium nitrate (CAN)</v>
      </c>
      <c r="E29" s="15">
        <f>INDEX(Table_MN_j_f,8,4)</f>
        <v>0</v>
      </c>
      <c r="F29" s="15">
        <f>(E29 * $I$14 * $I$15)</f>
        <v>0</v>
      </c>
    </row>
    <row r="30" spans="1:9" ht="20.100000000000001" customHeight="1" x14ac:dyDescent="0.2">
      <c r="A30" s="5" t="str">
        <f>HYPERLINK("#'4.1.1.5-6 Atmos Deposition'!A1", "4.1.1.5-6 Manure Atmos Dep")</f>
        <v>4.1.1.5-6 Manure Atmos Dep</v>
      </c>
      <c r="D30" s="15" t="str">
        <v>Nitrogen - Ammoniacal</v>
      </c>
      <c r="E30" s="15">
        <f>INDEX(Table_MN_j_f,9,4)</f>
        <v>1240</v>
      </c>
      <c r="F30" s="15">
        <f>(E30 * $I$14 * $I$15)</f>
        <v>0</v>
      </c>
    </row>
    <row r="31" spans="1:9" ht="20.100000000000001" customHeight="1" x14ac:dyDescent="0.2">
      <c r="A31" s="5" t="str">
        <f>HYPERLINK("#'4.1.1.9 Manure applied to soils'!A1", "4.1.1.9 Manure applied to soils")</f>
        <v>4.1.1.9 Manure applied to soils</v>
      </c>
      <c r="D31" s="15" t="str">
        <v>Nitrogen - Nitrate</v>
      </c>
      <c r="E31" s="15">
        <f>INDEX(Table_MN_j_f,10,4)</f>
        <v>550</v>
      </c>
      <c r="F31" s="15">
        <f>(E31 * $I$14 * $I$15)</f>
        <v>0</v>
      </c>
    </row>
    <row r="32" spans="1:9" ht="20.100000000000001" customHeight="1" x14ac:dyDescent="0.2">
      <c r="A32" s="5" t="str">
        <f>HYPERLINK("#'8.1.1.1-2 Transport fuel'!A1", "8.1.1.1-2 Transport fuel")</f>
        <v>8.1.1.1-2 Transport fuel</v>
      </c>
      <c r="D32" s="15" t="str">
        <v>Nitrogen - Generic</v>
      </c>
      <c r="E32" s="15">
        <f>INDEX(Table_MN_j_f,11,4)</f>
        <v>0</v>
      </c>
      <c r="F32" s="15">
        <f>(E32 * $I$14 * $I$15)</f>
        <v>0</v>
      </c>
    </row>
    <row r="33" spans="1:11" ht="20.100000000000001" customHeight="1" x14ac:dyDescent="0.2">
      <c r="A33" s="5" t="str">
        <f>HYPERLINK("#'8.2.1.1-2 Stationary fuel'!A1", "8.2.1.1-2 Stationary fuel")</f>
        <v>8.2.1.1-2 Stationary fuel</v>
      </c>
      <c r="D33" s="15" t="str">
        <v>Phosphorus - Generic</v>
      </c>
      <c r="E33" s="15">
        <f>INDEX(Table_MN_j_f,12,4)</f>
        <v>0</v>
      </c>
      <c r="F33" s="15">
        <f>(E33 * $I$14 * $I$15)</f>
        <v>0</v>
      </c>
    </row>
    <row r="34" spans="1:11" ht="20.100000000000001" customHeight="1" x14ac:dyDescent="0.2">
      <c r="A34" s="5" t="str">
        <f>HYPERLINK("#'10.1.1-2 Solid waste treatment'!A1", "10.1.1.1-2 Solid waste")</f>
        <v>10.1.1.1-2 Solid waste</v>
      </c>
      <c r="D34" s="15" t="str">
        <v>Potassium - Generic</v>
      </c>
      <c r="E34" s="15">
        <f>INDEX(Table_MN_j_f,13,4)</f>
        <v>0</v>
      </c>
      <c r="F34" s="15">
        <f>(E34 * $I$14 * $I$15)</f>
        <v>0</v>
      </c>
    </row>
    <row r="35" spans="1:11" ht="20.100000000000001" customHeight="1" x14ac:dyDescent="0.2">
      <c r="A35" s="5" t="str">
        <f>HYPERLINK("#'14.1.1-2 Purchased electricity'!A1", "14.1.1-2 Purchased electricity")</f>
        <v>14.1.1-2 Purchased electricity</v>
      </c>
      <c r="D35" s="15" t="str">
        <v>Sulfur - Generic</v>
      </c>
      <c r="E35" s="15">
        <f>INDEX(Table_MN_j_f,14,4)</f>
        <v>0</v>
      </c>
      <c r="F35" s="15">
        <f>(E35 * $I$14 * $I$15)</f>
        <v>0</v>
      </c>
    </row>
    <row r="36" spans="1:11" ht="20.100000000000001" customHeight="1" x14ac:dyDescent="0.2">
      <c r="A36" s="5" t="str">
        <f>HYPERLINK("#'15 Scope 3'!A1", "15 Scope 3")</f>
        <v>15 Scope 3</v>
      </c>
      <c r="D36" s="15" t="str">
        <v>Zinc - Generic</v>
      </c>
      <c r="E36" s="15">
        <f>INDEX(Table_MN_j_f,15,4)</f>
        <v>0</v>
      </c>
      <c r="F36" s="15">
        <f>(E36 * $I$14 * $I$15)</f>
        <v>0</v>
      </c>
    </row>
    <row r="37" spans="1:11" ht="20.100000000000001" customHeight="1" x14ac:dyDescent="0.2">
      <c r="A37" s="5" t="str">
        <f>HYPERLINK("#'Calcs - Manure sent off-site'!A1", "Calcs - Manure sent off-site")</f>
        <v>Calcs - Manure sent off-site</v>
      </c>
      <c r="D37" s="15" t="str">
        <v>Muriate of potash (MOP)</v>
      </c>
      <c r="E37" s="15">
        <f>INDEX(Table_MN_j_f,16,4)</f>
        <v>0</v>
      </c>
      <c r="F37" s="15">
        <f>(E37 * $I$14 * $I$15)</f>
        <v>0</v>
      </c>
    </row>
    <row r="38" spans="1:11" ht="20.100000000000001" customHeight="1" x14ac:dyDescent="0.2">
      <c r="A38" s="5" t="str">
        <f>HYPERLINK("#'5.1.1.1-2 Inorganic fert N2O'!A1", "5.1.1.1-2 Inorganic fert N2O")</f>
        <v>5.1.1.1-2 Inorganic fert N2O</v>
      </c>
      <c r="D38" s="15" t="str">
        <v>Double superphosphate</v>
      </c>
      <c r="E38" s="15">
        <f>INDEX(Table_MN_j_f,17,4)</f>
        <v>0</v>
      </c>
      <c r="F38" s="15">
        <f>(E38 * $I$14 * $I$15)</f>
        <v>0</v>
      </c>
    </row>
    <row r="39" spans="1:11" ht="20.100000000000001" customHeight="1" x14ac:dyDescent="0.2">
      <c r="A39" s="5" t="str">
        <f>HYPERLINK("#'5.1.1.3-4 Inorganic fert CO2'!A1", "5.1.1.3-4 Inorganic fert CO2")</f>
        <v>5.1.1.3-4 Inorganic fert CO2</v>
      </c>
      <c r="D39" s="15" t="str">
        <v>Single superphosphate (SSP)</v>
      </c>
      <c r="E39" s="15">
        <f>INDEX(Table_MN_j_f,18,4)</f>
        <v>0</v>
      </c>
      <c r="F39" s="15">
        <f>(E39 * $I$14 * $I$15)</f>
        <v>0</v>
      </c>
    </row>
    <row r="40" spans="1:11" ht="20.100000000000001" customHeight="1" x14ac:dyDescent="0.2">
      <c r="A40" s="5" t="str">
        <f>HYPERLINK("#'5.2.1.1-2 Organic Fert N2O'!A1", "5.2.1.1-2 Organic Fert N2O")</f>
        <v>5.2.1.1-2 Organic Fert N2O</v>
      </c>
      <c r="D40" s="15" t="str">
        <v>Ammonia</v>
      </c>
      <c r="E40" s="15">
        <f>INDEX(Table_MN_j_f,19,4)</f>
        <v>4117.5</v>
      </c>
      <c r="F40" s="15">
        <f>(E40 * $I$14 * $I$15)</f>
        <v>0</v>
      </c>
    </row>
    <row r="41" spans="1:11" ht="20.100000000000001" customHeight="1" x14ac:dyDescent="0.2">
      <c r="A41" s="5" t="str">
        <f>HYPERLINK("#'5.3.1.1-2 Lime CO2'!A1", "5.3.1.1-2 Lime CO2")</f>
        <v>5.3.1.1-2 Lime CO2</v>
      </c>
      <c r="D41" s="15" t="str">
        <v>Calcium nitrate</v>
      </c>
      <c r="E41" s="15">
        <f>INDEX(Table_MN_j_f,20,4)</f>
        <v>775</v>
      </c>
      <c r="F41" s="15">
        <f>(E41 * $I$14 * $I$15)</f>
        <v>0</v>
      </c>
    </row>
    <row r="42" spans="1:11" ht="20.100000000000001" customHeight="1" x14ac:dyDescent="0.2">
      <c r="A42" s="5" t="str">
        <f>HYPERLINK("#'5.4.1.1-4 Atmos deposition'!A1", "5.4.1.1-4 Atmos deposition")</f>
        <v>5.4.1.1-4 Atmos deposition</v>
      </c>
    </row>
    <row r="43" spans="1:11" ht="20.100000000000001" customHeight="1" x14ac:dyDescent="0.2">
      <c r="A43" s="117" t="str">
        <f>HYPERLINK("#'5.5.1.1-2 Leaching and runoff'!A1", "5.5.1.1-2 Leaching and runoff")</f>
        <v>5.5.1.1-2 Leaching and runoff</v>
      </c>
      <c r="D43" s="88" t="s">
        <v>829</v>
      </c>
      <c r="E43" s="83">
        <f>SUM(F23:F41)</f>
        <v>0</v>
      </c>
      <c r="F43" s="89" t="str">
        <f>$E$11</f>
        <v>kg N</v>
      </c>
    </row>
    <row r="45" spans="1:11" ht="20.100000000000001" customHeight="1" x14ac:dyDescent="0.2">
      <c r="C45" s="131"/>
      <c r="D45" s="131"/>
      <c r="E45" s="131"/>
      <c r="F45" s="131"/>
      <c r="G45" s="131"/>
      <c r="H45" s="131"/>
      <c r="I45" s="131"/>
      <c r="J45" s="131"/>
      <c r="K45" s="131"/>
    </row>
    <row r="46" spans="1:11" ht="20.100000000000001" customHeight="1" x14ac:dyDescent="0.2">
      <c r="A46" s="80" t="s">
        <v>1</v>
      </c>
    </row>
    <row r="47" spans="1:11" ht="20.100000000000001" customHeight="1" x14ac:dyDescent="0.2">
      <c r="A47" s="5" t="str">
        <f>HYPERLINK("#'Constants - Feedlot'!A1", "Constants - Feedlot")</f>
        <v>Constants - Feedlot</v>
      </c>
      <c r="D47" s="2" t="s">
        <v>1611</v>
      </c>
    </row>
    <row r="48" spans="1:11" ht="20.100000000000001" customHeight="1" x14ac:dyDescent="0.2">
      <c r="A48" s="5" t="str">
        <f>HYPERLINK("#'Constants - Common livestock'!A1", "Constants - Common Livestock")</f>
        <v>Constants - Common Livestock</v>
      </c>
      <c r="D48" s="17" t="s">
        <v>1612</v>
      </c>
    </row>
    <row r="49" spans="1:9" ht="20.100000000000001" customHeight="1" x14ac:dyDescent="0.2">
      <c r="A49" s="5" t="str">
        <f>HYPERLINK("#'Constants - Electricity'!A1", "Constants - Electricity")</f>
        <v>Constants - Electricity</v>
      </c>
      <c r="D49" s="112"/>
      <c r="E49" s="112"/>
    </row>
    <row r="50" spans="1:9" ht="20.100000000000001" customHeight="1" x14ac:dyDescent="0.2">
      <c r="A50" s="5" t="str">
        <f>HYPERLINK("#'Constants - Fertiliser'!A1", "Constants - Fertiliser")</f>
        <v>Constants - Fertiliser</v>
      </c>
    </row>
    <row r="51" spans="1:9" ht="20.100000000000001" customHeight="1" x14ac:dyDescent="0.2">
      <c r="A51" s="5" t="str">
        <f>HYPERLINK("#'Constants - Fuel'!A1", "Constants - Fuel")</f>
        <v>Constants - Fuel</v>
      </c>
    </row>
    <row r="52" spans="1:9" ht="20.100000000000001" customHeight="1" x14ac:dyDescent="0.2">
      <c r="A52" s="5" t="str">
        <f>HYPERLINK("#'Constants - Scope 3'!A1", "Constants - Scope 3")</f>
        <v>Constants - Scope 3</v>
      </c>
      <c r="D52" s="75" t="s">
        <v>321</v>
      </c>
      <c r="E52" s="1" t="s">
        <v>1613</v>
      </c>
    </row>
    <row r="53" spans="1:9" ht="20.100000000000001" customHeight="1" x14ac:dyDescent="0.2">
      <c r="A53" s="5" t="str">
        <f>HYPERLINK("#'Constants - Solid Waste'!A1", "Constants - Solid Waste")</f>
        <v>Constants - Solid Waste</v>
      </c>
      <c r="D53" s="75" t="s">
        <v>118</v>
      </c>
      <c r="E53" s="9" t="s">
        <v>445</v>
      </c>
    </row>
    <row r="54" spans="1:9" ht="20.100000000000001" customHeight="1" x14ac:dyDescent="0.2">
      <c r="A54" s="5" t="str">
        <f>HYPERLINK("#'Constants - Common'!A1", "Constants - Common")</f>
        <v>Constants - Common</v>
      </c>
    </row>
    <row r="55" spans="1:9" ht="20.100000000000001" customHeight="1" x14ac:dyDescent="0.2">
      <c r="A55" s="5" t="str">
        <f>HYPERLINK("#'Acknowledgements'!A1", "Acknowledgements")</f>
        <v>Acknowledgements</v>
      </c>
      <c r="D55" s="113" t="s">
        <v>1591</v>
      </c>
      <c r="E55" s="121" t="s">
        <v>1614</v>
      </c>
      <c r="F55" s="122"/>
      <c r="G55" s="113" t="s">
        <v>445</v>
      </c>
      <c r="H55" s="115" t="s">
        <v>1595</v>
      </c>
      <c r="I55" s="116" t="str" cm="1">
        <f t="array" aca="1" ref="I55" ca="1">HYPERLINK(Common_InputFunctions.Utility_SourceHyperlink(D62), D62)</f>
        <v>Table_M_leach_organic_j</v>
      </c>
    </row>
    <row r="56" spans="1:9" ht="20.100000000000001" customHeight="1" x14ac:dyDescent="0.2">
      <c r="D56" s="113" t="s">
        <v>1615</v>
      </c>
      <c r="E56" s="121" t="s">
        <v>1616</v>
      </c>
      <c r="F56" s="122"/>
      <c r="G56" s="113" t="s">
        <v>299</v>
      </c>
      <c r="H56" s="115" t="s">
        <v>1227</v>
      </c>
      <c r="I56" s="113">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D57" s="113" t="s">
        <v>1617</v>
      </c>
      <c r="E57" s="121" t="s">
        <v>1618</v>
      </c>
      <c r="F57" s="122"/>
      <c r="G57" s="113" t="s">
        <v>299</v>
      </c>
      <c r="H57" s="115" t="s">
        <v>1227</v>
      </c>
      <c r="I57" s="113">
        <f>Fertiliser_FracLEACH_Data</f>
        <v>0.24</v>
      </c>
    </row>
    <row r="58" spans="1:9" ht="20.100000000000001" customHeight="1" x14ac:dyDescent="0.2">
      <c r="D58" s="113" t="s">
        <v>1619</v>
      </c>
      <c r="E58" s="121" t="s">
        <v>1620</v>
      </c>
      <c r="F58" s="122"/>
      <c r="G58" s="113"/>
      <c r="H58" s="114" t="s">
        <v>1196</v>
      </c>
      <c r="I58" s="113" t="str">
        <f>X_Cell_Site_LeachingZone</f>
        <v>NO - Not in leaching zone</v>
      </c>
    </row>
    <row r="59" spans="1:9" ht="20.100000000000001" customHeight="1" x14ac:dyDescent="0.2">
      <c r="D59" s="113" t="s">
        <v>1327</v>
      </c>
      <c r="E59" s="121" t="s">
        <v>1328</v>
      </c>
      <c r="F59" s="122"/>
      <c r="G59" s="113"/>
      <c r="H59" s="114" t="s">
        <v>1196</v>
      </c>
      <c r="I59" s="113" t="str">
        <f>X_Cell_Fertiliser_ProductionSystem</f>
        <v>Crop</v>
      </c>
    </row>
    <row r="60" spans="1:9" ht="20.100000000000001" customHeight="1" x14ac:dyDescent="0.2">
      <c r="D60" s="113" t="s">
        <v>1608</v>
      </c>
      <c r="E60" s="121" t="s">
        <v>1329</v>
      </c>
      <c r="F60" s="122"/>
      <c r="G60" s="113"/>
      <c r="H60" s="114" t="s">
        <v>1196</v>
      </c>
      <c r="I60" s="113" t="str">
        <f>X_Cell_Fertiliser_IrrigationMethod</f>
        <v>Drip irrigation</v>
      </c>
    </row>
    <row r="62" spans="1:9" ht="20.100000000000001" customHeight="1" x14ac:dyDescent="0.2">
      <c r="D62" s="118" t="s">
        <v>830</v>
      </c>
    </row>
    <row r="63" spans="1:9" ht="20.100000000000001" customHeight="1" x14ac:dyDescent="0.2">
      <c r="D63" s="119" t="s">
        <v>831</v>
      </c>
    </row>
    <row r="64" spans="1:9" ht="20.100000000000001" customHeight="1" x14ac:dyDescent="0.2">
      <c r="D64" s="78" t="s">
        <v>792</v>
      </c>
      <c r="E64" s="233" t="s">
        <v>796</v>
      </c>
      <c r="F64" s="120" t="s">
        <v>832</v>
      </c>
    </row>
    <row r="65" spans="1:11" ht="20.100000000000001" customHeight="1" x14ac:dyDescent="0.2">
      <c r="D65" s="15" t="str">
        <f>INDEX(Table_MNSoil_j_f,2,1)</f>
        <v>Manure - Other</v>
      </c>
      <c r="E65" s="15">
        <f>INDEX(Table_MNSoil_j_f,2,6)</f>
        <v>300</v>
      </c>
      <c r="F65" s="15">
        <f>(E65 * $I$56 * $I$57)</f>
        <v>0</v>
      </c>
    </row>
    <row r="66" spans="1:11" ht="20.100000000000001" customHeight="1" x14ac:dyDescent="0.2">
      <c r="A66" s="79" t="str">
        <f>HYPERLINK("#A1", "▲ Back to top")</f>
        <v>▲ Back to top</v>
      </c>
      <c r="D66" s="15" t="str">
        <f>INDEX(Table_MNSoil_j_f,3,1)</f>
        <v>Manure - Poultry</v>
      </c>
      <c r="E66" s="15">
        <f>INDEX(Table_MNSoil_j_f,3,6)</f>
        <v>250</v>
      </c>
      <c r="F66" s="15">
        <f>(E66 * $I$56 * $I$57)</f>
        <v>0</v>
      </c>
    </row>
    <row r="67" spans="1:11" ht="20.100000000000001" customHeight="1" x14ac:dyDescent="0.2">
      <c r="D67" s="15" t="str">
        <f>INDEX(Table_MNSoil_j_f,4,1)</f>
        <v>Other organic fertiliser</v>
      </c>
      <c r="E67" s="15">
        <f>INDEX(Table_MNSoil_j_f,4,6)</f>
        <v>160</v>
      </c>
      <c r="F67" s="15">
        <f>(E67 * $I$56 * $I$57)</f>
        <v>0</v>
      </c>
    </row>
    <row r="68" spans="1:11" ht="20.100000000000001" customHeight="1" x14ac:dyDescent="0.2">
      <c r="D68" s="15">
        <f>'5.2.1.1-2 Organic Fert N2O'!D23</f>
        <v>0</v>
      </c>
      <c r="E68" s="15">
        <f>'5.2.1.1-2 Organic Fert N2O'!I23</f>
        <v>0</v>
      </c>
      <c r="F68" s="15">
        <f>(E68 * $I$56 * $I$57)</f>
        <v>0</v>
      </c>
    </row>
    <row r="69" spans="1:11" ht="20.100000000000001" customHeight="1" x14ac:dyDescent="0.2">
      <c r="D69" s="15">
        <f>'5.2.1.1-2 Organic Fert N2O'!D24</f>
        <v>0</v>
      </c>
      <c r="E69" s="15">
        <f>'5.2.1.1-2 Organic Fert N2O'!I24</f>
        <v>0</v>
      </c>
      <c r="F69" s="15">
        <f>(E69 * $I$56 * $I$57)</f>
        <v>0</v>
      </c>
    </row>
    <row r="70" spans="1:11" ht="20.100000000000001" customHeight="1" x14ac:dyDescent="0.2">
      <c r="D70" s="15">
        <f>'5.2.1.1-2 Organic Fert N2O'!D25</f>
        <v>0</v>
      </c>
      <c r="E70" s="15">
        <f>'5.2.1.1-2 Organic Fert N2O'!I25</f>
        <v>0</v>
      </c>
      <c r="F70" s="15">
        <f>(E70 * $I$56 * $I$57)</f>
        <v>0</v>
      </c>
    </row>
    <row r="71" spans="1:11" ht="20.100000000000001" customHeight="1" x14ac:dyDescent="0.2">
      <c r="D71" s="15">
        <f>'5.2.1.1-2 Organic Fert N2O'!D26</f>
        <v>0</v>
      </c>
      <c r="E71" s="15">
        <f>'5.2.1.1-2 Organic Fert N2O'!I26</f>
        <v>0</v>
      </c>
      <c r="F71" s="15">
        <f>(E71 * $I$56 * $I$57)</f>
        <v>0</v>
      </c>
    </row>
    <row r="72" spans="1:11" ht="20.100000000000001" customHeight="1" x14ac:dyDescent="0.2">
      <c r="D72" s="15">
        <f>'5.2.1.1-2 Organic Fert N2O'!D27</f>
        <v>0</v>
      </c>
      <c r="E72" s="15">
        <f>'5.2.1.1-2 Organic Fert N2O'!I27</f>
        <v>0</v>
      </c>
      <c r="F72" s="15">
        <f>(E72 * $I$56 * $I$57)</f>
        <v>0</v>
      </c>
    </row>
    <row r="73" spans="1:11" ht="20.100000000000001" customHeight="1" x14ac:dyDescent="0.2">
      <c r="D73" s="15">
        <f>'5.2.1.1-2 Organic Fert N2O'!D28</f>
        <v>0</v>
      </c>
      <c r="E73" s="15">
        <f>'5.2.1.1-2 Organic Fert N2O'!I28</f>
        <v>0</v>
      </c>
      <c r="F73" s="15">
        <f>(E73 * $I$56 * $I$57)</f>
        <v>0</v>
      </c>
    </row>
    <row r="74" spans="1:11" ht="20.100000000000001" customHeight="1" x14ac:dyDescent="0.2">
      <c r="D74" s="15">
        <f>'5.2.1.1-2 Organic Fert N2O'!D29</f>
        <v>0</v>
      </c>
      <c r="E74" s="15">
        <f>'5.2.1.1-2 Organic Fert N2O'!I29</f>
        <v>0</v>
      </c>
      <c r="F74" s="15">
        <f>(E74 * $I$56 * $I$57)</f>
        <v>0</v>
      </c>
    </row>
    <row r="75" spans="1:11" ht="20.100000000000001" customHeight="1" x14ac:dyDescent="0.2">
      <c r="D75" s="15">
        <f>'5.2.1.1-2 Organic Fert N2O'!D30</f>
        <v>0</v>
      </c>
      <c r="E75" s="15">
        <f>'5.2.1.1-2 Organic Fert N2O'!I30</f>
        <v>0</v>
      </c>
      <c r="F75" s="15">
        <f>(E75 * $I$56 * $I$57)</f>
        <v>0</v>
      </c>
    </row>
    <row r="77" spans="1:11" ht="20.100000000000001" customHeight="1" x14ac:dyDescent="0.2">
      <c r="D77" s="88" t="s">
        <v>833</v>
      </c>
      <c r="E77" s="83">
        <f>SUM(F65:F75)</f>
        <v>0</v>
      </c>
      <c r="F77" s="89" t="str">
        <f>$E$53</f>
        <v>kg N</v>
      </c>
    </row>
    <row r="79" spans="1:11" ht="20.100000000000001" customHeight="1" x14ac:dyDescent="0.2">
      <c r="C79" s="131"/>
      <c r="D79" s="131"/>
      <c r="E79" s="131"/>
      <c r="F79" s="131"/>
      <c r="G79" s="131"/>
      <c r="H79" s="131"/>
      <c r="I79" s="131"/>
      <c r="J79" s="131"/>
      <c r="K79" s="131"/>
    </row>
    <row r="81" spans="1:10" ht="20.100000000000001" customHeight="1" x14ac:dyDescent="0.2">
      <c r="D81" s="2" t="s">
        <v>1621</v>
      </c>
    </row>
    <row r="82" spans="1:10" ht="20.100000000000001" customHeight="1" x14ac:dyDescent="0.2">
      <c r="D82" s="17" t="s">
        <v>1622</v>
      </c>
    </row>
    <row r="83" spans="1:10" ht="20.100000000000001" customHeight="1" x14ac:dyDescent="0.2">
      <c r="D83" s="112"/>
      <c r="E83" s="112"/>
    </row>
    <row r="86" spans="1:10" ht="20.100000000000001" customHeight="1" x14ac:dyDescent="0.2">
      <c r="D86" s="75" t="s">
        <v>321</v>
      </c>
      <c r="E86" s="1" t="s">
        <v>1623</v>
      </c>
    </row>
    <row r="87" spans="1:10" ht="20.100000000000001" customHeight="1" x14ac:dyDescent="0.2">
      <c r="D87" s="75" t="s">
        <v>118</v>
      </c>
      <c r="E87" s="9" t="s">
        <v>12</v>
      </c>
    </row>
    <row r="89" spans="1:10" ht="20.100000000000001" customHeight="1" x14ac:dyDescent="0.2">
      <c r="D89" s="113" t="s">
        <v>1624</v>
      </c>
      <c r="E89" s="121" t="s">
        <v>1625</v>
      </c>
      <c r="F89" s="132"/>
      <c r="G89" s="122"/>
      <c r="H89" s="113" t="s">
        <v>445</v>
      </c>
      <c r="I89" s="115" t="s">
        <v>1629</v>
      </c>
      <c r="J89" s="113">
        <f>$E$43</f>
        <v>0</v>
      </c>
    </row>
    <row r="90" spans="1:10" ht="20.100000000000001" customHeight="1" x14ac:dyDescent="0.2">
      <c r="D90" s="113" t="s">
        <v>1613</v>
      </c>
      <c r="E90" s="121" t="s">
        <v>1626</v>
      </c>
      <c r="F90" s="132"/>
      <c r="G90" s="122"/>
      <c r="H90" s="113" t="s">
        <v>445</v>
      </c>
      <c r="I90" s="115" t="s">
        <v>1630</v>
      </c>
      <c r="J90" s="113">
        <f>$E$77</f>
        <v>0</v>
      </c>
    </row>
    <row r="91" spans="1:10" ht="20.100000000000001" customHeight="1" x14ac:dyDescent="0.2">
      <c r="D91" s="113" t="s">
        <v>1627</v>
      </c>
      <c r="E91" s="121" t="s">
        <v>1628</v>
      </c>
      <c r="F91" s="132"/>
      <c r="G91" s="122"/>
      <c r="H91" s="113" t="s">
        <v>1314</v>
      </c>
      <c r="I91" s="115" t="s">
        <v>1227</v>
      </c>
      <c r="J91" s="113">
        <f>Fertiliser_EFLeach_Data</f>
        <v>1.0999999999999999E-2</v>
      </c>
    </row>
    <row r="92" spans="1:10" ht="20.100000000000001" customHeight="1" x14ac:dyDescent="0.2">
      <c r="D92" s="113" t="s">
        <v>1311</v>
      </c>
      <c r="E92" s="121" t="s">
        <v>1312</v>
      </c>
      <c r="F92" s="132"/>
      <c r="G92" s="122"/>
      <c r="H92" s="113"/>
      <c r="I92" s="115" t="s">
        <v>1227</v>
      </c>
      <c r="J92" s="124">
        <f>Common_InputFunctions.Utility_LookupValueInTableNumber("N2O",Table_GasToMolecularConversionFactor[Gas],Table_GasToMolecularConversionFactor[Conversion factor combined])</f>
        <v>1.5714285714285714</v>
      </c>
    </row>
    <row r="94" spans="1:10" ht="20.100000000000001" customHeight="1" x14ac:dyDescent="0.2">
      <c r="D94" s="85" t="s">
        <v>834</v>
      </c>
      <c r="E94" s="86">
        <f>((J89 + J90) * J91 * J92 * 10 ^ -3)</f>
        <v>0</v>
      </c>
      <c r="F94" s="95" t="str">
        <f>$E$87</f>
        <v>t N2O</v>
      </c>
    </row>
    <row r="96" spans="1:10" ht="20.100000000000001" customHeight="1" x14ac:dyDescent="0.2">
      <c r="A96" s="79" t="str">
        <f>HYPERLINK("#A1", "▲ Back to top")</f>
        <v>▲ Back to top</v>
      </c>
      <c r="D96" s="124" t="str" cm="1">
        <f t="array" ref="D96:E97">Common_Equations.Common_ConvertN2OToCO2e_Arguments()</f>
        <v>EN2O</v>
      </c>
      <c r="E96" s="126" t="str">
        <v>Nitrous oxide emissions (t N2O)</v>
      </c>
      <c r="F96" s="127"/>
      <c r="G96" s="15">
        <f>VEERG_5_5_1_1__1_FertiliserLeachingAndRunoffN2OEmissions_Result_Method1</f>
        <v>0</v>
      </c>
    </row>
    <row r="97" spans="4:7" ht="20.100000000000001" customHeight="1" x14ac:dyDescent="0.2">
      <c r="D97" s="124" t="str">
        <v>GWPN2O</v>
      </c>
      <c r="E97" s="126" t="str">
        <v>Global warming potential for nitrous oxide (t CO2-e / t N2O)</v>
      </c>
      <c r="F97" s="127"/>
      <c r="G97" s="15">
        <f>Common_InputFunctions.Utility_LookupValueInTableNumber("N2O",Table_GWPData[Gas],Table_GWPData[CO2-e factor])</f>
        <v>265</v>
      </c>
    </row>
    <row r="99" spans="4:7" ht="20.100000000000001" customHeight="1" x14ac:dyDescent="0.2">
      <c r="D99" s="83" t="s">
        <v>427</v>
      </c>
      <c r="E99" s="83" cm="1">
        <f t="array" ref="E99">Common_Equations.Common_ConvertN2OToCO2e(G96,G97)</f>
        <v>0</v>
      </c>
      <c r="F99" s="89" t="str" cm="1">
        <f t="array" ref="F99">Common_Equations.Common_ConvertN2OToCO2e_Unit()</f>
        <v>t CO2e</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EE7A-1A02-4134-9881-E7C961973755}">
  <sheetPr>
    <tabColor theme="2" tint="-0.499984740745262"/>
  </sheetPr>
  <dimension ref="A1:A55"/>
  <sheetViews>
    <sheetView tabSelected="1" zoomScaleNormal="100" workbookViewId="0">
      <pane xSplit="1" topLeftCell="B1" activePane="topRight" state="frozenSplit"/>
      <selection pane="topRight" activeCell="B1" sqref="B1"/>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Feedlot'!A1", "Feedlot")</f>
        <v>Feedlot</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81"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Q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BcACIALAAgAFwAIgBrAGcAIABOAFwAIgAsACAAXAAiAEMAYQBsAGMAdQBsAGEAdABlAGQAIABmAHIAbwBtACAANAAuADEALgAxAC4AMwAgACgAMgApACgANgApACgAOAApAFwAIgA7AFwAbgAgACAAIAAgACAAIAAgACAAIAAgAFwAIgBFAEYAXwBqAG0AXAAiACwAXAAiAG4AaQB0AHIAbwB1AHMAIABvAHgAaQBkAGUAIABlAG0AaQBzAHMAaQBvAG4AIABmAGEAYwB0AG8AcgAgAGYAbwByACAATQBNAFMAXAAiACw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gBfAFMAdABhAGcAZQAxAE4AaQB0AHIAbwBnAGUAbgBJAG4ATQBNAFMARAByAHkAbABvAHQAXABuAE4AaQB0AHIAbwBnAGUAbgAgAGkAbgAgAHQAcgBlAGEAdABtAGUAbgB0ACAAcwB0AGEAZwBlACAAMQAgAE0ATQBTAFwAbgBNAE4AXwBqAG0ANQBUADEAXABuAGsAZwAgAE4AXABuAE0ATgBfAHsAagBtAD0ANQAsAFQAPQAxAH0APQBBAEUAXwB7AGoAfQBcAFwAdABpAG0AZQBzACAATQBNAFMAXwB7AGoAbQA9ADUALABUAD0AMQB9AFwAbgBBAEUAXwBqACAAPQAgAHQAbwB0AGEAbAAgAG4AaQB0AHIAbwBnAGUAbgAgAGUAeABjAHIAZQB0AGUAZAAgAGIAeQAgAGUAYQBjAGgAIABjAGEAdAB0AGwAZQAgAGcAcgBvAHUAcAAgADoAIABrAGcAIABOAFwAbgBNAE0AUwBfAGoAbQA1AFQAMQAgAD0AIABmAHIAYQBjAHQAaQBvAG4AIABvAGYAIABtAGEAbgB1AHIAZQAgAGkAbgAgAHAAcgBpAG0AYQByAHkAIABzAHkAcwB0AGUAbQAgAGQAcgB5AGwAbwB0ACAATQBNAFMAIAA6ACAAZgByAGEAYwB0AGkAbwBuAFwAbgAtAC0ALQAtAC0ALQAtAC0ALQAtAC0ALQAtAC0ALQAtAC0ALQAtAC0ALQAtAC0ALQAtAC0ALQAtAC0ALQAtAC0ALQAtAC0ALQAtAC0AXABuACoALwBcAG4AXABuAFYARQBFAFIARwBfADQAXwAxAF8AMQBfADMAXwBfADIAXwBTAHQAYQBnAGUAMQBOAGkAdAByAG8AZwBlAG4ASQBuAE0ATQBTAEQAcgB5AGwAbwB0AFwAbgAgACAAPQBMAEEATQBCAEQAQQAoAFwAbgAgACAAIAAgAEEARQBfAGoALAAgAE0ATQBTAF8AagBtADUAVAAxACwAXABuACAAIAAgACAAQQBFAF8AagAgACoAIABNAE0AUwBfAGoAbQA1AFQAMQBcAG4AIAAgACkAOwBcAG4AXABuAFYARQBFAFIARwBfADQAXwAxAF8AMQBfADMAXwBfADIAXwBTAHQAYQBnAGUAMQBOAGkAdAByAG8AZwBlAG4ASQBuAE0ATQBTAEQAcgB5AGwAbwB0AF8AVABpAHQAbABlAFwAbgAgACAAPQBMAEEATQBCAEQAQQAoAFwAIgBOAGkAdAByAG8AZwBlAG4AIABpAG4AIAB0AHIAZQBhAHQAbQBlAG4AdAAgAHMAdABhAGcAZQAgADEAIABNAE0AUwBcACIAKQA7AFwAbgBcAG4AVgBFAEUAUgBHAF8ANABfADEAXwAxAF8AMwBfAF8AMgBfAFMAdABhAGcAZQAxAE4AaQB0AHIAbwBnAGUAbgBJAG4ATQBNAFMARAByAHkAbABvAHQAXwBWAGEAcgBpAGEAYgBsAGUAXABuACAAIAA9AEwAQQBNAEIARABBACgAXAAiAE0ATgBfAGoAbQA1AFQAMQBcACIAKQA7AFwAbgBcAG4AVgBFAEUAUgBHAF8ANABfADEAXwAxAF8AMwBfAF8AMgBfAFMAdABhAGcAZQAxAE4AaQB0AHIAbwBnAGUAbgBJAG4ATQBNAFMARAByAHkAbABvAHQAXwBVAG4AaQB0AFwAbgAgACAAPQBMAEEATQBCAEQAQQAoAFwAIgBrAGcAIABOAFwAIgApADsAXABuAFwAbgBWAEUARQBSAEcAXwA0AF8AMQBfADEAXwAzAF8AXwAyAF8AUwB0AGEAZwBlADEATgBpAHQAcgBvAGcAZQBuAEkAbgBNAE0AUwBEAHIAeQBsAG8AdABfAFMAbwB1AHIAYwBlAFwAbgAgACAAPQBMAEEATQBCAEQAQQAoAFwAIgBWAEUARQBSAEcAIAAyADAAMgA2ADoAIAA0AC4AMQAuADEALgAzACwAIABFAHEAdQBhAHQAaQBvAG4AIAAoADIAKQBcACIAKQA7AFwAbgBcAG4AVgBFAEUAUgBHAF8ANABfADEAXwAxAF8AMwBfAF8AMgBfAFMAdABhAGcAZQAxAE4AaQB0AHIAbwBnAGUAbgBJAG4ATQBNAFMARAByAHkAbABvAHQAXwBOAEkAUgBSAGUAZgBlAHIAZQBuAGMAZQBcAG4AIAAgAD0ATABBAE0AQgBEAEEAKABcACIAXAAiACkAOwBcAG4AXABuAFYARQBFAFIARwBfADQAXwAxAF8AMQBfADMAXwBfADIAXwBTAHQAYQBnAGUAMQBOAGkAdAByAG8AZwBlAG4ASQBuAE0ATQBTAEQAcgB5AGwAbwB0AF8ATABhAHQAZQB4AEUAcQB1AGEAdABpAG8AbgBcAG4AIAAgAD0ATABBAE0AQgBEAEEAKABcACIATQBOAF8AewBqAG0APQA1ACwAVAA9ADEAfQA9AEEARQBfAHsAagB9AFwAXAB0AGkAbQBlAHMAIABNAE0AUwBfAHsAagBtAD0ANQAsAFQAPQAxAH0AXAAiACkAOwBcAG4AXABuAFYARQBFAFIARwBfADQAXwAxAF8AMQBfADMAXwBfADIAXwBTAHQAYQBnAGUAMQBOAGkAdAByAG8AZwBlAG4ASQBuAE0ATQBTAEQAcgB5AGwAbwB0AF8AQQByAGcAdQBtAGUAbgB0AHMAXABuACAAIAA9AEwAQQBNAEIARABBACgAXABuACAAIAAgACAATQBBAEsARQBBAFIAUgBBAFkAKAAyACwAIAA0ACwAXABuACAAIAAgACAAIAAgAEwAQQBNAEIARABBACgAcgAsAGMALABcAG4AIAAgACAAIAAgACAAIAAgAEkATgBEAEUAWAAoAHsAXABuACAAIAAgACAAIAAgACAAIAAgACAAXAAiAEEARQBfAGoAXAAiACwAXAAiAHQAbwB0AGEAbAAgAG4AaQB0AHIAbwBnAGUAbgAgAGUAeABjAHIAZQB0AGUAZAAgAGIAeQAgAGUAYQBjAGgAIABjAGEAdAB0AGwAZQAgAGcAcgBvAHUAcABcACIALAAgAFwAIgBrAGcAIABOAFwAIgAsACAAXAAiAEMAYQBsAGMAdQBsAGEAdABlAGQAIABmAHIAbwBtACAANAAuADEALgAxAC4AMwAgACgAMwApAFwAIgA7AFwAbgAgACAAIAAgACAAIAAgACAAIAAgAFwAIgBNAE0AUwBfAGoAbQA1AFQAMQBcACIALABcACIAZgByAGEAYwB0AGkAbwBuACAAbwBmACAAbQBhAG4AdQByAGUAIABpAG4AIABwAHIAaQBtAGEAcgB5ACAAcwB5AHMAdABlAG0AIABkAHIAeQBsAG8Ad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wBfAEEAbgBuAHUAYQBsAE4AaQB0AHIAbwBnAGUAbgBFAHgAYwByAGUAdABpAG8AbgBcAG4AQQBuAG4AdQBhAGwAIABuAGkAdAByAG8AZwBlAG4AIABlAHgAYwByAGUAdABpAG8AbgAgAGYAcgBvAG0AIABlAGEAYwBoACAAZgBlAGUAZABsAG8AdAAgAGMAYQB0AHQAbABlACAAZwByAG8AdQBwAFwAbgBBAEUAXwBqAFwAbgBrAGcAIABOAFwAbgBBAEUAXwB7AGoAfQA9AE4AXwB7AGoAfQBcAFwAdABpAG0AZQBzACAATgBFAF8AewBqAH0AXABcAHQAaQBtAGUAcwAgAEQAXwB7AGoAfQBcAG4ATgBfAGoAIAA9ACAAbgB1AG0AYgBlAHIAIABvAGYAIABjAGEAdAB0AGwAZQAgAGkAbgAgAGUAYQBjAGgAIABnAHIAbwB1AHAAIAA6ACAAaABlAGEAZABcAG4ATgBFAF8AagAgAD0AIABuAGkAdAByAG8AZwBlAG4AIABlAHgAYwByAGUAdABpAG8AbgAgADoAIABrAGcAIABOAC8AaABlAGEAZAAvAGQAYQB5AFwAbgBEAF8AagAgAD0AIABkAHUAcgBhAHQAaQBvAG4AIABvAGYAIABzAHQAYQB5ACAAbwBmACAAYwBhAHQAdABsAGUAIABnAHIAbwB1AHAAIAA6ACAAZABhAHkAcwBcAG4ALQAtAC0ALQAtAC0ALQAtAC0ALQAtAC0ALQAtAC0ALQAtAC0ALQAtAC0ALQAtAC0ALQAtAC0ALQAtAC0ALQAtAC0ALQAtAC0ALQAtAFwAbgAqAC8AXABuAFwAbgBWAEUARQBSAEcAXwA0AF8AMQBfADEAXwAzAF8AXwAzAF8AQQBuAG4AdQBhAGwATgBpAHQAcgBvAGcAZQBuAEUAeABjAHIAZQB0AGkAbwBuAFwAbgAgACAAPQBMAEEATQBCAEQAQQAoAFwAbgAgACAAIAAgAE4AXwBqACwAIABOAEUAXwBqACwAIABEAF8AagAsAFwAbgAgACAAIAAgAE4AXwBqACAAKgAgAE4ARQBfAGoAIAAqACAARABfAGoAXABuACAAIAApADsAXABuAFwAbgBWAEUARQBSAEcAXwA0AF8AMQBfADEAXwAzAF8AXwAzAF8AQQBuAG4AdQBhAGwATgBpAHQAcgBvAGcAZQBuAEUAeABjAHIAZQB0AGkAbwBuAF8AVABpAHQAbABlAFwAbgAgACAAPQBMAEEATQBCAEQAQQAoAFwAIgBBAG4AbgB1AGEAbAAgAG4AaQB0AHIAbwBnAGUAbgAgAGUAeABjAHIAZQB0AGkAbwBuACAAZgByAG8AbQAgAGUAYQBjAGgAIABmAGUAZQBkAGwAbwB0ACAAYwBhAHQAdABsAGUAIABnAHIAbwB1AHAAXAAiACkAOwBcAG4AXABuAFYARQBFAFIARwBfADQAXwAxAF8AMQBfADMAXwBfADMAXwBBAG4AbgB1AGEAbABOAGkAdAByAG8AZwBlAG4ARQB4AGMAcgBlAHQAaQBvAG4AXwBWAGEAcgBpAGEAYgBsAGUAXABuACAAIAA9AEwAQQBNAEIARABBACgAXAAiAEEARQBfAGoAXAAiACkAOwBcAG4AXABuAFYARQBFAFIARwBfADQAXwAxAF8AMQBfADMAXwBfADMAXwBBAG4AbgB1AGEAbABOAGkAdAByAG8AZwBlAG4ARQB4AGMAcgBlAHQAaQBvAG4AXwBVAG4AaQB0AFwAbgAgACAAPQBMAEEATQBCAEQAQQAoAFwAIgBrAGcAIABOAFwAIgApADsAXABuAFwAbgBWAEUARQBSAEcAXwA0AF8AMQBfADEAXwAzAF8AXwAzAF8AQQBuAG4AdQBhAGwATgBpAHQAcgBvAGcAZQBuAEUAeABjAHIAZQB0AGkAbwBuAF8AUwBvAHUAcgBjAGUAXABuACAAIAA9AEwAQQBNAEIARABBACgAXAAiAFYARQBFAFIARwAgADIAMAAyADYAOgAgADQALgAxAC4AMQAuADMALAAgAEUAcQB1AGEAdABpAG8AbgAgACgAMwApAFwAIgApADsAXABuAFwAbgBWAEUARQBSAEcAXwA0AF8AMQBfADEAXwAzAF8AXwAzAF8AQQBuAG4AdQBhAGwATgBpAHQAcgBvAGcAZQBuAEUAeABjAHIAZQB0AGkAbwBuAF8ATgBJAFIAUgBlAGYAZQByAGUAbgBjAGUAXABuACAAIAA9AEwAQQBNAEIARABBACgAXAAiAFwAIgApADsAXABuAFwAbgBWAEUARQBSAEcAXwA0AF8AMQBfADEAXwAzAF8AXwAzAF8AQQBuAG4AdQBhAGwATgBpAHQAcgBvAGcAZQBuAEUAeABjAHIAZQB0AGkAbwBuAF8ATABhAHQAZQB4AEUAcQB1AGEAdABpAG8AbgBcAG4AIAAgAD0ATABBAE0AQgBEAEEAKABcACIAQQBFAF8AewBqAH0APQBOAF8AewBqAH0AXABcAHQAaQBtAGUAcwAgAE4ARQBfAHsAagB9AFwAXAB0AGkAbQBlAHMAIABEAF8AewBqAH0AXAAiACkAOwBcAG4AXABuAFYARQBFAFIARwBfADQAXwAx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XAAiAG4AdQBtAGIAZQByACAAbwBmACAAYwBhAHQAdABsAGUAIABpAG4AIABlAGEAYwBoACAAZwByAG8AdQBwAFwAIgAsACAAXAAiAGgAZQBhAGQAXAAiACwAIABcACIASQBuAHAAdQB0AFwAIgA7AFwAbgAgACAAIAAgACAAIAAgACAAIAAgAFwAIgBOAEUAXwBqAFwAIgAsAFwAIgBuAGkAdAByAG8AZwBlAG4AIABlAHgAYwByAGUAdABpAG8AbgBcACIALAAgAFwAIgBrAGcAIABOAC8AaABlAGEAZAAvAGQAYQB5AFwAIgAsACAAXAAiAEMAYQBsAGMAdQBsAGEAdABlAGQAIABmAHIAbwBtACAANAAuADEALgAxAC4AMwAgACgANAApAFwAIgA7AFwAbgAgACAAIAAgACAAIAAgACAAIAAgAFwAIgBEAF8AagBcACIALABcACIAZAB1AHIAYQB0AGkAbwBuACAAbwBmACAAcwB0AGEAeQAgAG8AZgAgAGMAYQB0AHQAbABlACAAZwByAG8AdQBw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QAXwBOAGkAdAByAG8AZwBlAG4ARQB4AGMAcgBlAHQAaQBvAG4AUABlAHIASABlAGEAZABcAG4ATgBpAHQAcgBvAGcAZQBuACAAZQB4AGMAcgBlAHQAaQBvAG4AIABwAGUAcgAgAGgAZQBhAGQAIABwAGUAcgAgAGQAYQB5AFwAbgBOAEUAXwBqAFwAbgBrAGcAIABOAC8AaABlAGEAZAAvAGQAYQB5AFwAbgBOAEUAXwB7AGoAfQA9AE4ASQBfAHsAagB9AFwAXAB0AGkAbQBlAHMAKAAxAC0ATgBSAF8AewBqAH0AKQBcAG4ATgBJAF8AagAgAD0AIABuAGkAdAByAG8AZwBlAG4AIABpAG4AdABhAGsAZQAgADoAIABrAGcAIABOAC8AaABlAGEAZAAvAGQAYQB5AFwAbgBOAFIAXwBq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xAF8AMQBfADMAXwBfADQAXwBOAGkAdAByAG8AZwBlAG4ARQB4AGMAcgBlAHQAaQBvAG4AUABlAHIASABlAGEAZABcAG4AIAAgAD0ATABBAE0AQgBEAEEAKABcAG4AIAAgACAAIABOAEkAXwBqACwAIABOAFIAXwBqACwAXABuACAAIAAgACAATgBJAF8AagAgACoAIAAoADEAIAAtACAATgBSAF8AagApAFwAbgAgACAAKQA7AFwAbgBcAG4AVgBFAEUAUgBHAF8ANABfADEAXwAxAF8AMwBfAF8ANABfAE4AaQB0AHIAbwBnAGUAbgBFAHgAYwByAGUAdABpAG8AbgBQAGUAcgBIAGUAYQBkAF8AVABpAHQAbABlAFwAbgAgACAAPQBMAEEATQBCAEQAQQAoAFwAIgBOAGkAdAByAG8AZwBlAG4AIABlAHgAYwByAGUAdABpAG8AbgAgAHAAZQByACAAaABlAGEAZAAgAHAAZQByACAAZABhAHkAXAAiACkAOwBcAG4AXABuAFYARQBFAFIARwBfADQAXwAxAF8AMQBfADMAXwBfADQAXwBOAGkAdAByAG8AZwBlAG4ARQB4AGMAcgBlAHQAaQBvAG4AUABlAHIASABlAGEAZABfAFYAYQByAGkAYQBiAGwAZQBcAG4AIAAgAD0ATABBAE0AQgBEAEEAKABcACIATgBFAF8AagBcACIAKQA7AFwAbgBcAG4AVgBFAEUAUgBHAF8ANABfADEAXwAxAF8AMwBfAF8ANABfAE4AaQB0AHIAbwBnAGUAbgBFAHgAYwByAGUAdABpAG8AbgBQAGUAcgBIAGUAYQBkAF8AVQBuAGkAdABcAG4AIAAgAD0ATABBAE0AQgBEAEEAKABcACIAawBnACAATgAvAGgAZQBhAGQALwBkAGEAeQBcACIAKQA7AFwAbgBcAG4AVgBFAEUAUgBHAF8ANABfADEAXwAxAF8AMwBfAF8ANABfAE4AaQB0AHIAbwBnAGUAbgBFAHgAYwByAGUAdABpAG8AbgBQAGUAcgBIAGUAYQBkAF8AUwBvAHUAcgBjAGUAXABuACAAIAA9AEwAQQBNAEIARABBACgAXAAiAFYARQBFAFIARwAgADIAMAAyADYAOgAgADQALgAxAC4AMQAuADMALAAgAEUAcQB1AGEAdABpAG8AbgAgACgANAApAFwAIgApADsAXABuAFwAbgBWAEUARQBSAEcAXwA0AF8AMQBfADEAXwAzAF8AXwA0AF8ATgBpAHQAcgBvAGcAZQBuAEUAeABjAHIAZQB0AGkAbwBuAFAAZQByAEgAZQBhAGQAXwBOAEkAUgBSAGUAZgBlAHIAZQBuAGMAZQBcAG4AIAAgAD0ATABBAE0AQgBEAEEAKABcACIAXAAiACkAOwBcAG4AXABuAFYARQBFAFIARwBfADQAXwAxAF8AMQBfADMAXwBfADQAXwBOAGkAdAByAG8AZwBlAG4ARQB4AGMAcgBlAHQAaQBvAG4AUABlAHIASABlAGEAZABfAEwAYQB0AGUAeABFAHEAdQBhAHQAaQBvAG4AXABuACAAIAA9AEwAQQBNAEIARABBACgAXAAiAE4ARQBfAHsAagB9AD0ATgBJAF8AewBqAH0AXABcAHQAaQBtAGUAcwAoADEALQBOAFIAXwB7AGoAfQApAFwAIgApADsAXABuAFwAbgBWAEUARQBSAEcAXwA0AF8AMQBfADEAXwAzAF8AXwA0AF8ATgBpAHQAcgBvAGcAZQBuAEUAeABjAHIAZQB0AGkAbwBuAFAAZQByAEgAZQBhAGQAXwBBAHIAZwB1AG0AZQBuAHQAcwBcAG4AIAAgAD0ATABBAE0AQgBEAEEAKABcAG4AIAAgACAAIABNAEEASwBFAEEAUgBSAEEAWQAoADIALAAgADQALABcAG4AIAAgACAAIAAgACAATABBAE0AQgBEAEEAKAByACwAYwAsAFwAbgAgACAAIAAgACAAIAAgACAASQBOAEQARQBYACgAewBcAG4AIAAgACAAIAAgACAAIAAgACAAIABcACIATgBJAF8AagBcACIALABcACIAbgBpAHQAcgBvAGcAZQBuACAAaQBuAHQAYQBrAGUAXAAiACwAIABcACIAawBnACAATgAvAGgAZQBhAGQALwBkAGEAeQBcACIALAAgAFwAIgBDAGEAbABjAHUAbABhAHQAZQBkACAAZgByAG8AbQAgADQALgAxAC4AMQAuADMAIAAoADUAKQBcACIAOwBcAG4AIAAgACAAIAAgACAAIAAgACAAIABcACIATgBSAF8AagBcACIALABcACIAbgBpAHQAcgBvAGcAZQBuACAAcgBlAHQAZQBuAHQAaQBvAG4AIABlAHgAcAByAGUAcwBzAGUAZAAgAGEAcwAgAGEAIABmAHIAYQBjAHQAaQBvAG4AIABvAGY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UAXwBOAGkAdAByAG8AZwBlAG4ASQBuAHQAYQBrAGUAXABuAE4AaQB0AHIAbwBnAGUAbgAgAGkAbgB0AGEAawBlACAAbwBmACAAZgBlAGUAZABsAG8AdAAgAGMAYQB0AHQAbABlAFwAbgBOAEkAXwBqAFwAbgBrAGcAIABOAC8AaABlAGEAZAAvAGQAYQB5AFwAbgBOAEkAXwB7AGoAfQA9AEkAXwB7AGoAfQBcAFwAdABpAG0AZQBzACAAQwBQAF8AewBqAH0AXABcAGQAaQB2ACAANgAuADIANQBcAG4ASQBfAGoAIAA9ACAAZAByAHkAIABtAGEAdAB0AGUAcgAgAGkAbgB0AGEAawBlACAAOgAgAGsAZwAgAEQATQAvAGgAZQBhAGQALwBkAGEAeQBcAG4AQwBQAF8Aag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xAF8AMQBfADMAXwBfADUAXwBOAGkAdAByAG8AZwBlAG4ASQBuAHQAYQBrAGUAXABuACAAIAA9AEwAQQBNAEIARABBACgAXABuACAAIAAgACAASQBfAGoALAAgAEMAUABfAGoALABcAG4AIAAgACAAIABJAF8AagAgACoAIABDAFAAXwBqACAALwAgADYALgAyADUAXABuACAAIAApADsAXABuAFwAbgBWAEUARQBSAEcAXwA0AF8AMQBfADEAXwAzAF8AXwA1AF8ATgBpAHQAcgBvAGcAZQBuAEkAbgB0AGEAawBlAF8AVABpAHQAbABlAFwAbgAgACAAPQBMAEEATQBCAEQAQQAoAFwAIgBOAGkAdAByAG8AZwBlAG4AIABpAG4AdABhAGsAZQAgAG8AZgAgAGYAZQBlAGQAbABvAHQAIABjAGEAdAB0AGwAZQBcACIAKQA7AFwAbgBcAG4AVgBFAEUAUgBHAF8ANABfADEAXwAxAF8AMwBfAF8ANQBfAE4AaQB0AHIAbwBnAGUAbgBJAG4AdABhAGsAZQBfAFYAYQByAGkAYQBiAGwAZQBcAG4AIAAgAD0ATABBAE0AQgBEAEEAKABcACIATgBJAF8AagBcACIAKQA7AFwAbgBcAG4AVgBFAEUAUgBHAF8ANABfADEAXwAxAF8AMwBfAF8ANQBfAE4AaQB0AHIAbwBnAGUAbgBJAG4AdABhAGsAZQBfAFUAbgBpAHQAXABuACAAIAA9AEwAQQBNAEIARABBACgAXAAiAGsAZwAgAE4ALwBoAGUAYQBkAC8AZABhAHkAXAAiACkAOwBcAG4AXABuAFYARQBFAFIARwBfADQAXwAxAF8AMQBfADMAXwBfADUAXwBOAGkAdAByAG8AZwBlAG4ASQBuAHQAYQBrAGUAXwBTAG8AdQByAGMAZQBcAG4AIAAgAD0ATABBAE0AQgBEAEEAKABcACIAVgBFAEUAUgBHACAAMgAwADIANgA6ACAANAAuADEALgAxAC4AMwAsACAARQBxAHUAYQB0AGkAbwBuACAAKAA1ACkAXAAiACkAOwBcAG4AXABuAFYARQBFAFIARwBfADQAXwAxAF8AMQBfADMAXwBfADUAXwBOAGkAdAByAG8AZwBlAG4ASQBuAHQAYQBrAGUAXwBOAEkAUgBSAGUAZgBlAHIAZQBuAGMAZQBcAG4AIAAgAD0ATABBAE0AQgBEAEEAKABcACIAXAAiACkAOwBcAG4AXABuAFYARQBFAFIARwBfADQAXwAxAF8AMQBfADMAXwBfADUAXwBOAGkAdAByAG8AZwBlAG4ASQBuAHQAYQBrAGUAXwBMAGEAdABlAHgARQBxAHUAYQB0AGkAbwBuAFwAbgAgACAAPQBMAEEATQBCAEQAQQAoAFwAIgBOAEkAXwB7AGoAfQA9AEkAXwB7AGoAfQBcAFwAdABpAG0AZQBzACAAQwBQAF8AewBqAH0AXABcAGQAaQB2ACAANgAuADIANQBcACIAKQA7AFwAbgBcAG4AVgBFAEUAUgBHAF8ANABfADE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FwAIgAsACAAXAAiAGsAZwAgAEQATQAvAGgAZQBhAGQALwBkAGEAeQBcACIALAAgAFwAIgBJAG4AcAB1AHQAXAAiADsAXABuACAAIAAgACAAIAAgACAAIAAgACAAXAAiAEMAUABfAGo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DoAIABrAGcAIABOAFwAbgBNAE0AUwBfAGoAbQBUADIAIAA9ACAAZgByAGEAYwB0AGkAbwBuACAAbwBmACAAbQBhAG4AdQByAGUAIABpAG4AIABlAGEAYwBoACAAcwBlAGMAbwBuAGQAYQByAHkAIABzAHkAcwB0AGUAbQAgADoAIABmAHIAYQBjAHQAaQBvAG4AXABuAC0ALQAtAC0ALQAtAC0ALQAtAC0ALQAtAC0ALQAtAC0ALQAtAC0ALQAtAC0ALQAtAC0ALQAtAC0ALQAtAC0ALQAtAC0ALQAtAC0ALQBcAG4AKgAvAFwAbgBcAG4AVgBFAEUAUgBHAF8ANABfADE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MQBfADEAXwAzAF8AXwA2AF8AUwB0AGEAZwBlADIATgBpAHQAcgBvAGcAZQBuAEkAbgBNAE0AUwBfAFQAaQB0AGwAZQBcAG4AIAAgAD0ATABBAE0AQgBEAEEAKABcACIATgBpAHQAcgBvAGcAZQBuACAAaQBuACAAdAByAGUAYQB0AG0AZQBuAHQAIABzAHQAYQBnAGUAIAAyACAATQBNAFMAXAAiACkAOwBcAG4AXABuAFYARQBFAFIARwBfADQAXwAxAF8AMQBfADMAXwBfADYAXwBTAHQAYQBnAGUAMgBOAGkAdAByAG8AZwBlAG4ASQBuAE0ATQBTAF8AVgBhAHIAaQBhAGIAbABlAFwAbgAgACAAPQBMAEEATQBCAEQAQQAoAFwAIgBNAE4AXwBqAG0AVAAyAFwAIgApADsAXABuAFwAbgBWAEUARQBSAEcAXwA0AF8AMQBfADEAXwAzAF8AXwA2AF8AUwB0AGEAZwBlADIATgBpAHQAcgBvAGcAZQBuAEkAbgBNAE0AUwBfAFUAbgBpAHQAXABuACAAIAA9AEwAQQBNAEIARABBACgAXAAiAGsAZwAgAE4AXAAiACkAOwBcAG4AXABuAFYARQBFAFIARwBfADQAXwAxAF8AMQBfADMAXwBfADYAXwBTAHQAYQBnAGUAMgBOAGkAdAByAG8AZwBlAG4ASQBuAE0ATQBTAF8AUwBvAHUAcgBjAGUAXABuACAAIAA9AEwAQQBNAEIARABBACgAXAAiAFYARQBFAFIARwAgADIAMAAyADYAOgAgADQALgAxAC4AMQAuADMALAAgAEUAcQB1AGEAdABpAG8AbgAgACgANgApAFwAIgApADsAXABuAFwAbgBWAEUARQBSAEcAXwA0AF8AMQBfADEAXwAzAF8AXwA2AF8AUwB0AGEAZwBlADIATgBpAHQAcgBvAGcAZQBuAEkAbgBNAE0AUwBfAE4ASQBSAFIAZQBmAGUAcgBlAG4AYwBlAFwAbgAgACAAPQBMAEEATQBCAEQAQQAoAFwAIgBcACIAKQA7AFwAbgBcAG4AVgBFAEUAUgBHAF8ANABfADE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MQ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0AVAAyAFwAIgAsAFwAIgBuAGkAdAByAG8AZwBlAG4AIAB0AHIAYQBuAHMAZgBlAHIAcgBlAGQAIAB0AG8AIABzAGUAYwBvAG4AZABhAHIAeQAgAHQAcgBlAGEAdABtAGUAbgB0ACAATQBNAFMAXAAiACwAIABcACIAawBnACAATgBcACIALAAgAFwAIgBDAGEAbABjAHUAbABhAHQAZQBkACAAZgByAG8AbQAgADQALgAxAC4AMQAuADMAIAAoADcAKQBcACIAOwBcAG4AIAAgACAAIAAgACAAIAAgACAAIABcACIATQBNAFMAXwBq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QALABcAG4AIAAgACAAIAAgACAATABBAE0AQgBEAEEAKAByACwAYwAsAFwAbgAgACAAIAAgACAAIAAgACAASQBOAEQARQBYACgAewBcAG4AIAAgACAAIAAgACAAIAAgACAAIABcACIATQBOAF8AagBtADUAVAAxAFwAIgAsAFwAIgBuAGkAdAByAG8AZwBlAG4AIABpAG4AIABNAE0AUwAgAHQAcgBlAGEAdABtAGUAbgB0ACAAcwB0AGEAZwBlACAAMQBcACIALAAgAFwAIgBrAGcAIABOAFwAIgAsACAAXAAiAEMAYQBsAGMAdQBsAGEAdABlAGQAIABmAHIAbwBtACAANAAuADEALgAxAC4AMwAgACgAMgApAFwAIgA7AFwAbgAgACAAIAAgACAAIAAgACAAIAAgAFwAIgBGAHIAYQBjAEcAQQBTAE0AXwBtADUAXAAiACwAXAAiAGYAcgBhAGMAdABpAG8AbgAgAG8AZgAgAE4AIAB2AG8AbABhAHQAaQBsAGkAcwBlAGQAIABmAHIAbwBtACAAZAByAHkAbABvAHQAIABNAE0AUwBcACIALAAgAFwAIgBmAHIAYQBjAHQAaQBvAG4AXAAiACwAIABcACIAQwBvAG4AcwB0AGEAbgB0AFwAIgA7AFwAbgAgACAAIAAgACAAIAAgACAAIAAgAFwAIgBFAEYAXwBtADUAXAAiACwAXAAiAG4AaQB0AHIAbwB1AHMAIABvAHgAaQBkAGUAIABlAG0AaQBzAHMAaQBvAG4AIABmAGEAYwB0AG8AcgAgAGYAbwByACAAZAByAHkAbABvAHQAIABNAE0AUwBcACIALAAgAFwAIgBrAGcAIABOADIATwAtAE4ALwBrAGcAIABOACAAZABlAHAAbwBzAGkAdABlAGQAXAAiACwAIABcACIAQwBvAG4AcwB0AGEAbgB0AFwAIgA7AFwAbgAgACAAIAAgACAAIAAgACAAIAAgAFwAIgBNAE4AXwBqAG0AVAAzAFwAIgAsAFwAIgBuAGkAdAByAG8AZwBlAG4AIABpAG4AIABNAE0AUwAgAHQAcgBlAGEAdABtAGUAbgB0ACAAcwB0AGEAZwBlACAAMwBcACIALAAgAFwAIgBrAGcAIABOAFwAIgAsACAAXAAiAEMAYQBsAGMAdQBsAGEAdABlAGQAIABmAHIAbwBtACAANAAuADEALgAxAC4AMwAgACgAOAAp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gAXwBTAHQAYQBnAGUAMwBOAGkAdAByAG8AZwBlAG4ASQBuAE0ATQBTAEEAbgBhAGUAcgBvAGIAaQBjAEwAYQBnAG8AbwBuAFwAbgBOAGkAdAByAG8AZwBlAG4AIABpAG4AIAB0AHIAZQBhAHQAbQBlAG4AdAAgAHMAdABhAGcAZQAgADMAIABNAE0AUwBcAG4ATQBOAF8AagBtADEAVAAzAFwAbgBrAGcAIABOAFwAbgBNAE4AXwB7AGoAbQA9ADEALABUAD0AMwB9AD0AQQBFAF8AewBqAH0AXABcAHQAaQBtAGUAcwAgAE0ATQBTAF8AewBqAG0APQAxACwAVAA9ADMAfQBcAG4AQQBFAF8AagAgAD0AIAB0AG8AdABhAGwAIABuAGkAdAByAG8AZwBlAG4AIABlAHgAYwByAGUAdABlAGQAIABiAHkAIABlAGEAYwBoACAAYwBhAHQAdABsAGUAIABnAHIAbwB1AHAAIAA6ACAAawBnACAATgBcAG4ATQBNAFMAXwBqAG0AMQBUADMAIAA9ACAAZgByAGEAYwB0AGkAbwBuACAAbwBmACAAbQBhAG4AdQByAGUAIAB0AG8AIAB0AGUAcgB0AGkAYQByAHkAIABhAG4AYQBlAHIAbwBiAGkAYwAgAGwAYQBnAG8AbwBuACAAcwB5AHMAdABlAG0AIAA6ACAAZgByAGEAYwB0AGkAbwBuAFwAbgAtAC0ALQAtAC0ALQAtAC0ALQAtAC0ALQAtAC0ALQAtAC0ALQAtAC0ALQAtAC0ALQAtAC0ALQAtAC0ALQAtAC0ALQAtAC0ALQAtAC0AXABuACoALwBcAG4AXABuAFYARQBFAFIARwBfADQAXwAxAF8AMQBfADMAXwBfADgAXwBTAHQAYQBnAGUAMwBOAGkAdAByAG8AZwBlAG4ASQBuAE0ATQBTAEEAbgBhAGUAcgBvAGIAaQBjAEwAYQBnAG8AbwBuAFwAbgAgACAAPQBMAEEATQBCAEQAQQAoAFwAbgAgACAAIAAgAEEARQBfAGoALAAgAE0ATQBTAF8AagBtADEAVAAzACwAXABuACAAIAAgACAAQQBFAF8AagAgACoAIABNAE0AUwBfAGoAbQAxAFQAMwBcAG4AIAAgACkAOwBcAG4AXABuAFYARQBFAFIARwBfADQAXwAxAF8AMQBfADMAXwBfADgAXwBTAHQAYQBnAGUAMwBOAGkAdAByAG8AZwBlAG4ASQBuAE0ATQBTAEEAbgBhAGUAcgBvAGIAaQBjAEwAYQBnAG8AbwBuAF8AVABpAHQAbABlAFwAbgAgACAAPQBMAEEATQBCAEQAQQAoAFwAIgBOAGkAdAByAG8AZwBlAG4AIABpAG4AIAB0AHIAZQBhAHQAbQBlAG4AdAAgAHMAdABhAGcAZQAgADMAIABNAE0AUwBcACIAKQA7AFwAbgBcAG4AVgBFAEUAUgBHAF8ANABfADEAXwAxAF8AMwBfAF8AOABfAFMAdABhAGcAZQAzAE4AaQB0AHIAbwBnAGUAbgBJAG4ATQBNAFMAQQBuAGEAZQByAG8AYgBpAGMATABhAGcAbwBvAG4AXwBWAGEAcgBpAGEAYgBsAGUAXABuACAAIAA9AEwAQQBNAEIARABBACgAXAAiAE0ATgBfAGoAbQAxAFQAMwBcACIAKQA7AFwAbgBcAG4AVgBFAEUAUgBHAF8ANABfADEAXwAxAF8AMwBfAF8AOABfAFMAdABhAGcAZQAzAE4AaQB0AHIAbwBnAGUAbgBJAG4ATQBNAFMAQQBuAGEAZQByAG8AYgBpAGMATABhAGcAbwBvAG4AXwBVAG4AaQB0AFwAbgAgACAAPQBMAEEATQBCAEQAQQAoAFwAIgBrAGcAIABOAFwAIgApADsAXABuAFwAbgBWAEUARQBSAEcAXwA0AF8AMQBfADEAXwAzAF8AXwA4AF8AUwB0AGEAZwBlADMATgBpAHQAcgBvAGcAZQBuAEkAbgBNAE0AUwBBAG4AYQBlAHIAbwBiAGkAYwBMAGEAZwBvAG8AbgBfAFMAbwB1AHIAYwBlAFwAbgAgACAAPQBMAEEATQBCAEQAQQAoAFwAIgBWAEUARQBSAEcAIAAyADAAMgA2ADoAIAA0AC4AMQAuADEALgAzACwAIABFAHEAdQBhAHQAaQBvAG4AIAAoADgAKQBcACIAKQA7AFwAbgBcAG4AVgBFAEUAUgBHAF8ANABfADEAXwAxAF8AMwBfAF8AOABfAFMAdABhAGcAZQAzAE4AaQB0AHIAbwBnAGUAbgBJAG4ATQBNAFMAQQBuAGEAZQByAG8AYgBpAGMATABhAGcAbwBvAG4AXwBOAEkAUgBSAGUAZgBlAHIAZQBuAGMAZQBcAG4AIAAgAD0ATABBAE0AQgBEAEEAKABcACIAXAAiACkAOwBcAG4AXABuAFYARQBFAFIARwBfADQAXwAxAF8AMQBfADMAXwBfADgAXwBTAHQAYQBnAGUAMwBOAGkAdAByAG8AZwBlAG4ASQBuAE0ATQBTAEEAbgBhAGUAcgBvAGIAaQBjAEwAYQBnAG8AbwBuAF8ATABhAHQAZQB4AEUAcQB1AGEAdABpAG8AbgBcAG4AIAAgAD0ATABBAE0AQgBEAEEAKABcACIATQBOAF8AewBqAG0APQAxACwAVAA9ADMAfQA9AEEARQBfAHsAagB9AFwAXAB0AGkAbQBlAHMAIABNAE0AUwBfAHsAagBtAD0AMQAsAFQAPQAzAH0AXAAiACkAOwBcAG4AXABuAFYARQBFAFIARwBfADQAXwAxAF8AMQBfADMAXwBfADgAXwBTAHQAYQBnAGUAMwBOAGkAdAByAG8AZwBlAG4ASQBuAE0ATQBTAEEAbgBhAGUAcgBvAGIAaQBjAEwAYQBnAG8AbwBuAF8AQQByAGcAdQBtAGUAbgB0AHMAXABuACAAIAA9AEwAQQBNAEIARABBACgAXABuACAAIAAgACAATQBBAEsARQBBAFIAUgBBAFkAKAAyACwAIAA0ACwAXABuACAAIAAgACAAIAAgAEwAQQBNAEIARABBACgAcgAsAGMALABcAG4AIAAgACAAIAAgACAAIAAgAEkATgBEAEUAWAAoAHsAXABuACAAIAAgACAAIAAgACAAIAAgACAAXAAiAEEARQBfAGoAXAAiACwAXAAiAHQAbwB0AGEAbAAgAG4AaQB0AHIAbwBnAGUAbgAgAGUAeABjAHIAZQB0AGUAZAAgAGIAeQAgAGUAYQBjAGgAIABjAGEAdAB0AGwAZQAgAGcAcgBvAHUAcABcACIALAAgAFwAIgBrAGcAIABOAFwAIgAsACAAXAAiAEMAYQBsAGMAdQBsAGEAdABlAGQAIABmAHIAbwBtACAANAAuADEALgAxAC4AMwAgACgAMwApAFwAIgA7AFwAbgAgACAAIAAgACAAIAAgACAAIAAgAFwAIgBNAE0AUwBfAGoAbQAxAFQAMwBcACIALABcACIAZgByAGEAYwB0AGkAbwBuACAAbwBmACAAbQBhAG4AdQByAGUAIAB0AG8AIAB0AGUAcgB0AGkAYQByAHkAIABhAG4AYQBlAHIAbwBiAGkAYwAgAGwAYQBnAG8AbwBuACAAcwB5AHMAdABlAG0AXAAiACwAIABcACIAZgByAGEAYwB0AGkAbwBuAFwAIgAsACAAXAAiAEkAbgBwAHUAdABcACIAXABuACAAIAAgACAAIAAgACAAIAB9ACwAIAByACwAIABjACkAXABuACAAIAAgACAAIAAgACkAXABuACAAIAAgACAAKQBcAG4AIAAgACkAOw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275</vt:i4>
      </vt:variant>
    </vt:vector>
  </HeadingPairs>
  <TitlesOfParts>
    <vt:vector size="319" baseType="lpstr">
      <vt:lpstr>Home</vt:lpstr>
      <vt:lpstr>Results - Activity period</vt:lpstr>
      <vt:lpstr>Results - Product EI</vt:lpstr>
      <vt:lpstr>Input - Enterprise</vt:lpstr>
      <vt:lpstr>Input - Site</vt:lpstr>
      <vt:lpstr>Input - Feedlot</vt:lpstr>
      <vt:lpstr>Input - Livestock sales</vt:lpstr>
      <vt:lpstr>Input - Beef cattle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3.1.1.1-2 Enteric Methane</vt:lpstr>
      <vt:lpstr>4.1.1.1-2 Methane</vt:lpstr>
      <vt:lpstr>4.1.1.3-4 Direct N20</vt:lpstr>
      <vt:lpstr>4.1.1.5-6 Atmos Deposition</vt:lpstr>
      <vt:lpstr>4.1.1.9 Manure applied to soils</vt:lpstr>
      <vt:lpstr>8.1.1.1-2 Transport fuel</vt:lpstr>
      <vt:lpstr>8.2.1.1-2 Stationary fuel</vt:lpstr>
      <vt:lpstr>10.1.1-2 Solid waste treatment</vt:lpstr>
      <vt:lpstr>14.1.1-2 Purchased electricity</vt:lpstr>
      <vt:lpstr>15 Scope 3</vt:lpstr>
      <vt:lpstr>Calcs - Manure sent off-site</vt:lpstr>
      <vt:lpstr>Constants - Feedlot</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Input_Site_EndDate</vt:lpstr>
      <vt:lpstr>Input_Site_FarmName</vt:lpstr>
      <vt:lpstr>Input_Site_ReportingEntityName</vt:lpstr>
      <vt:lpstr>Input_Site_StartDate</vt:lpstr>
      <vt:lpstr>M1_Table_AE_j</vt:lpstr>
      <vt:lpstr>M1_Table_CP_j</vt:lpstr>
      <vt:lpstr>M1_Table_DMD_j</vt:lpstr>
      <vt:lpstr>M1_Table_E_CH4</vt:lpstr>
      <vt:lpstr>M1_Table_E_CO2</vt:lpstr>
      <vt:lpstr>M1_Table_E_N2O</vt:lpstr>
      <vt:lpstr>M1_Table_E_N2O_dir</vt:lpstr>
      <vt:lpstr>M1_Table_EE_j</vt:lpstr>
      <vt:lpstr>M1_Table_I_j</vt:lpstr>
      <vt:lpstr>M1_Table_I_j_Consumer_1</vt:lpstr>
      <vt:lpstr>M1_Table_M_j</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M1_Table_NDF_j</vt:lpstr>
      <vt:lpstr>M1_Table_NE_j</vt:lpstr>
      <vt:lpstr>M1_Table_NI_j</vt:lpstr>
      <vt:lpstr>M1_Table_NR_j</vt:lpstr>
      <vt:lpstr>M1_Table_NT_j_m_T2</vt:lpstr>
      <vt:lpstr>M1_Table_VS_j</vt:lpstr>
      <vt:lpstr>M2_Table_AE_j</vt:lpstr>
      <vt:lpstr>M2_Table_CP_j</vt:lpstr>
      <vt:lpstr>M2_Table_DMD_j</vt:lpstr>
      <vt:lpstr>M2_Table_E_CH4</vt:lpstr>
      <vt:lpstr>M2_Table_E_N2O_dir</vt:lpstr>
      <vt:lpstr>M2_Table_EE_j</vt:lpstr>
      <vt:lpstr>M2_Table_FertApplications</vt:lpstr>
      <vt:lpstr>M2_Table_I_j</vt:lpstr>
      <vt:lpstr>M2_Table_I_j_Consumer_1</vt:lpstr>
      <vt:lpstr>M2_Table_M_j</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M2_Table_NDF_j</vt:lpstr>
      <vt:lpstr>M2_Table_NE_j</vt:lpstr>
      <vt:lpstr>M2_Table_NI_j</vt:lpstr>
      <vt:lpstr>M2_Table_NR_j</vt:lpstr>
      <vt:lpstr>M2_Table_NT_j_m_T2</vt:lpstr>
      <vt:lpstr>M2_Table_VS_j</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Table_E_ad_inorganic</vt:lpstr>
      <vt:lpstr>Table_E_ad_organic</vt:lpstr>
      <vt:lpstr>Table_E_CH4</vt:lpstr>
      <vt:lpstr>Table_E_CH4_Consumer_1</vt:lpstr>
      <vt:lpstr>Table_E_g</vt:lpstr>
      <vt:lpstr>Table_E_g_Consumer_1</vt:lpstr>
      <vt:lpstr>Table_E_g_offsite</vt:lpstr>
      <vt:lpstr>Table_E_g_onsite</vt:lpstr>
      <vt:lpstr>Table_E_lime</vt:lpstr>
      <vt:lpstr>Table_EF_j_m</vt:lpstr>
      <vt:lpstr>Table_EF_j_m_T23</vt:lpstr>
      <vt:lpstr>Table_FracGASM_m_T23</vt:lpstr>
      <vt:lpstr>Table_FracGASM_m_T23_Consumer_1</vt:lpstr>
      <vt:lpstr>Table_M_leach_inorganic_j</vt:lpstr>
      <vt:lpstr>Table_M_leach_organic_j</vt:lpstr>
      <vt:lpstr>Table_M_vol_inorganic_j_f</vt:lpstr>
      <vt:lpstr>Table_M_vol_organic_j_f</vt:lpstr>
      <vt:lpstr>Table_MMS_j_m_T2</vt:lpstr>
      <vt:lpstr>Table_MMS_j_m1_T3</vt:lpstr>
      <vt:lpstr>Table_MMS_j_m5_T1</vt:lpstr>
      <vt:lpstr>Table_MMS_m_T2</vt:lpstr>
      <vt:lpstr>Table_MMS_m1_T3</vt:lpstr>
      <vt:lpstr>Table_MMS_m5_T1</vt:lpstr>
      <vt:lpstr>Table_MN_j_f</vt:lpstr>
      <vt:lpstr>Table_MNSoil_j_f</vt:lpstr>
      <vt:lpstr>Table_MU_j_f</vt:lpstr>
      <vt:lpstr>Table_N_j</vt:lpstr>
      <vt:lpstr>Table_N_j_Consumer_1</vt:lpstr>
      <vt:lpstr>Table_PF</vt:lpstr>
      <vt:lpstr>Table_PF_fert</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VEERG_3_1_1_1__1_TotalAnnualMethaneFromEntericFermentation_Result_Method1</vt:lpstr>
      <vt:lpstr>VEERG_3_1_1_1__1_TotalAnnualMethaneFromEntericFermentation_Result_Method2</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X_Cell_Feedlot_GrazingIrrigationMethod</vt:lpstr>
      <vt:lpstr>X_Cell_Feedlot_GrazingProductionSystem</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2026-09-03T01:44:49Z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2026-09-02T18:44:22; rename=True resize=True rowheights=True scope=all</vt:lpwstr>
  </property>
</Properties>
</file>